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5"/>
    <sheet state="visible" name="Summary" sheetId="2" r:id="rId6"/>
    <sheet state="visible" name="Accounts" sheetId="3" r:id="rId7"/>
    <sheet state="visible" name="Blocker log" sheetId="4" r:id="rId8"/>
    <sheet state="visible" name="Gap reference" sheetId="5" r:id="rId9"/>
    <sheet state="visible" name="Playbook feedback" sheetId="6" r:id="rId10"/>
    <sheet state="visible" name="Lists" sheetId="7" r:id="rId11"/>
    <sheet state="visible" name="Sheet1" sheetId="8" r:id="rId12"/>
  </sheets>
  <definedNames>
    <definedName hidden="1" localSheetId="2" name="_xlnm._FilterDatabase">Accounts!$A$1:$AC$1368</definedName>
    <definedName hidden="1" localSheetId="3" name="_xlnm._FilterDatabase">'Blocker log'!$A$1:$O$1018</definedName>
    <definedName hidden="1" localSheetId="4" name="_xlnm._FilterDatabase">'Gap reference'!$A$1:$J$1059</definedName>
    <definedName hidden="1" localSheetId="2" name="Z_C915C2CD_9B94_4561_AA84_AAD643356AF4_.wvu.FilterData">Accounts!$A$1:$U$1368</definedName>
  </definedNames>
  <calcPr/>
  <customWorkbookViews>
    <customWorkbookView activeSheetId="0" maximized="1" windowHeight="0" windowWidth="0" guid="{C915C2CD-9B94-4561-AA84-AAD643356AF4}" name="Tommy Accounts"/>
  </customWorkbookViews>
</workbook>
</file>

<file path=xl/sharedStrings.xml><?xml version="1.0" encoding="utf-8"?>
<sst xmlns="http://schemas.openxmlformats.org/spreadsheetml/2006/main" count="11202" uniqueCount="3346">
  <si>
    <t>Account iD</t>
  </si>
  <si>
    <t>Field assessment summary</t>
  </si>
  <si>
    <t>Account</t>
  </si>
  <si>
    <t>Cortex Cloud upgrade: field assessment tracker</t>
  </si>
  <si>
    <t>All figures update from the Accounts and Blocker log tabs. Grey cells are formulas; do not type over them.</t>
  </si>
  <si>
    <t>Coverage</t>
  </si>
  <si>
    <t>What this tracker answers for each account</t>
  </si>
  <si>
    <t>Gap</t>
  </si>
  <si>
    <t>1) Which technical blockers the customer has confirmed. 2) Which of those have no committed release date. 3) Which release clears the account, and the expected start date.</t>
  </si>
  <si>
    <t>How to fill it in</t>
  </si>
  <si>
    <t>Accounts in scope</t>
  </si>
  <si>
    <t>Tier</t>
  </si>
  <si>
    <t>1. Accounts tab: one row per account. Fill the white columns. Set Assessment status to Complete only when every relevant gap has been validated with the customer.</t>
  </si>
  <si>
    <t>Planned release</t>
  </si>
  <si>
    <t>Theatre</t>
  </si>
  <si>
    <t>Default view</t>
  </si>
  <si>
    <t>PM owner</t>
  </si>
  <si>
    <t>Telemetry signal</t>
  </si>
  <si>
    <t>Customer outcome</t>
  </si>
  <si>
    <t>Upgrade status</t>
  </si>
  <si>
    <t>Description / how they use it (scale)</t>
  </si>
  <si>
    <t>Workaround and who delivers it</t>
  </si>
  <si>
    <r>
      <rPr>
        <rFont val="Arial"/>
        <color theme="1"/>
        <sz val="10.0"/>
      </rPr>
      <t xml:space="preserve">2. Blocker log tab: one row per gap discussed with the customer. Pick the account and gap from the dropdowns; release, default view and PM owner fill in automatically. </t>
    </r>
    <r>
      <rPr>
        <rFont val="Arial"/>
        <b/>
        <color theme="1"/>
        <sz val="10.0"/>
      </rPr>
      <t>This is for Roadmap blocking items only (Parity and Top 100 Account Feature Requests)</t>
    </r>
  </si>
  <si>
    <t>Telemetry matched customer?</t>
  </si>
  <si>
    <t>ARR ($M)</t>
  </si>
  <si>
    <t>Sprint</t>
  </si>
  <si>
    <t>3. Set Customer outcome: Hard blocker, Workaround accepted, Not needed or Unknown. For a blocker that is not on the gap list, pick 'Other (not on gap list)' and describe it.</t>
  </si>
  <si>
    <t>Release rank</t>
  </si>
  <si>
    <t>4. Record whether telemetry matched what the customer told you. These corrections improve telemetry for the next wave of accounts.</t>
  </si>
  <si>
    <t>Escalate?</t>
  </si>
  <si>
    <t>5. Playbook feedback tab: anything we should change in the runbook, telemetry or product.</t>
  </si>
  <si>
    <t>Date validated</t>
  </si>
  <si>
    <t>How the readiness bucket is set (automatic)</t>
  </si>
  <si>
    <t>Notes</t>
  </si>
  <si>
    <t>Ready now: no validated hard blockers. Otherwise the latest planned release among the account's hard blockers sets the bucket.</t>
  </si>
  <si>
    <t>No date: at least one hard blocker has No date, TBC, Not planned or Unknown. These rows show Escalate = Yes in the Blocker log; raise them with the PM owner.</t>
  </si>
  <si>
    <t>Example Corp (ignore this row)</t>
  </si>
  <si>
    <t>'Oct 2026 to Jan 2027' (custom rule translation) counts as January, to plan on the later date. Apr and Jul 2027 both count as 'After April release or later'.</t>
  </si>
  <si>
    <t>TSE</t>
  </si>
  <si>
    <t>The bucket only shows once Assessment status is Complete. Set Expected start date yourself after agreeing it with the customer.</t>
  </si>
  <si>
    <t>Companion (ride-along)</t>
  </si>
  <si>
    <t>Legend</t>
  </si>
  <si>
    <t>Assessment status</t>
  </si>
  <si>
    <t>Audit Asset Trail</t>
  </si>
  <si>
    <t>White cells: inputs. Grey cells: formulas, do not type over them. Grey italic rows: an example account to show the format; delete before use.</t>
  </si>
  <si>
    <t>Assessment date</t>
  </si>
  <si>
    <t>The full approach is in the TSE Field Assessment Guide.</t>
  </si>
  <si>
    <t># gaps validated</t>
  </si>
  <si>
    <t># hard blockers</t>
  </si>
  <si>
    <t># hard blockers with no date</t>
  </si>
  <si>
    <t>Latest release rank</t>
  </si>
  <si>
    <t>Readiness bucket</t>
  </si>
  <si>
    <t>Expected start date</t>
  </si>
  <si>
    <t>Next step</t>
  </si>
  <si>
    <t>Escalation reason</t>
  </si>
  <si>
    <t>0017000000qySjdAAE</t>
  </si>
  <si>
    <t>Cognizant Technology Solutions Corporation</t>
  </si>
  <si>
    <t>Tier 1</t>
  </si>
  <si>
    <t>AMER</t>
  </si>
  <si>
    <t>AMER Strategic East</t>
  </si>
  <si>
    <t>AMER Strategic East SI/SP</t>
  </si>
  <si>
    <t>Cohort 1: Upgrades in progress</t>
  </si>
  <si>
    <t>Alan Simpkins</t>
  </si>
  <si>
    <t>Complete</t>
  </si>
  <si>
    <t>Assessments complete</t>
  </si>
  <si>
    <t>% complete</t>
  </si>
  <si>
    <t>Readiness buckets (completed assessments)</t>
  </si>
  <si>
    <t>Bucket</t>
  </si>
  <si>
    <t># accounts</t>
  </si>
  <si>
    <t>% of complete</t>
  </si>
  <si>
    <t>Ready now</t>
  </si>
  <si>
    <t>After October release</t>
  </si>
  <si>
    <t>After January release</t>
  </si>
  <si>
    <t>0017000000WRcO6AAL</t>
  </si>
  <si>
    <t>HARTFORD FIRE INSURANCE COMPANY</t>
  </si>
  <si>
    <t>After April release or later</t>
  </si>
  <si>
    <t>Tier 2</t>
  </si>
  <si>
    <t>AMER Strategic East Northeast</t>
  </si>
  <si>
    <t>Pending</t>
  </si>
  <si>
    <t>No date</t>
  </si>
  <si>
    <t>Module</t>
  </si>
  <si>
    <t>Telemetry field</t>
  </si>
  <si>
    <t>Question to ask the customer</t>
  </si>
  <si>
    <t># accounts using</t>
  </si>
  <si>
    <t># accounts with hard blocker</t>
  </si>
  <si>
    <t>Assessment pending</t>
  </si>
  <si>
    <t>Tanzu / PCF</t>
  </si>
  <si>
    <t>CWP</t>
  </si>
  <si>
    <t>Oct 2026</t>
  </si>
  <si>
    <t>Major blocker</t>
  </si>
  <si>
    <t>Do you protect Tanzu, TKG or PCF workloads, and what share of your workloads?</t>
  </si>
  <si>
    <t>Daphna Shemesh</t>
  </si>
  <si>
    <t>0017000000LKb1aAAD</t>
  </si>
  <si>
    <t>Connection</t>
  </si>
  <si>
    <t>AMER Acquisition</t>
  </si>
  <si>
    <t>Blockers</t>
  </si>
  <si>
    <t>Validated hard blockers (all accounts)</t>
  </si>
  <si>
    <t>Hard blockers with no committed date</t>
  </si>
  <si>
    <t>Accounts with a no-date hard blocker</t>
  </si>
  <si>
    <t>0017000000Wc7W0AAJ</t>
  </si>
  <si>
    <t>ISO New England Inc.</t>
  </si>
  <si>
    <t>AMER Commercial</t>
  </si>
  <si>
    <t>Select East</t>
  </si>
  <si>
    <t>Workarounds accepted</t>
  </si>
  <si>
    <t>Azure BYO Event Hub</t>
  </si>
  <si>
    <t>CSPM</t>
  </si>
  <si>
    <t>total_event_hub_accounts</t>
  </si>
  <si>
    <t>Did you onboard Azure with your own Event Hub?</t>
  </si>
  <si>
    <t>Ashwin Manekar</t>
  </si>
  <si>
    <t>Flagged</t>
  </si>
  <si>
    <t>Blockers not on the gap list</t>
  </si>
  <si>
    <t>Hard blocker</t>
  </si>
  <si>
    <t>TKG clusters run about 40% of production workloads</t>
  </si>
  <si>
    <t>Yes</t>
  </si>
  <si>
    <t>0017000000rXvEBAA0</t>
  </si>
  <si>
    <t>Skillsoft Corporation</t>
  </si>
  <si>
    <t>Select West</t>
  </si>
  <si>
    <t>Telemetry mismatches found</t>
  </si>
  <si>
    <t>Most common hard blockers: sort the Gap reference tab by its last column.</t>
  </si>
  <si>
    <t>IBM Cloud rules (~71)</t>
  </si>
  <si>
    <t>IBM Usage - Telemetry</t>
  </si>
  <si>
    <t>Do you monitor IBM Cloud and rely on the policies Cortex Cloud lacks?</t>
  </si>
  <si>
    <t>0017000000jurAfAAI</t>
  </si>
  <si>
    <t>MetLife, Inc.</t>
  </si>
  <si>
    <t>AMER Strategic East FIS</t>
  </si>
  <si>
    <t>Alex Reshetniak</t>
  </si>
  <si>
    <t>RQL to XQL custom rules</t>
  </si>
  <si>
    <t>Azure EAI</t>
  </si>
  <si>
    <t>requires_azure_eai_support</t>
  </si>
  <si>
    <t>Question to be defined. October reaches Prisma parity; January adds more APIs.</t>
  </si>
  <si>
    <t>0014u00002BGospAAD</t>
  </si>
  <si>
    <t>Fed-Tulip38</t>
  </si>
  <si>
    <t>US Public Sector</t>
  </si>
  <si>
    <t>SLED Northeast</t>
  </si>
  <si>
    <t>Lightweight agent</t>
  </si>
  <si>
    <t>Agent</t>
  </si>
  <si>
    <t>None</t>
  </si>
  <si>
    <t>Do you run large Kubernetes estates on Defender, and will you accept the XDR agent footprint until the lightweight agent is validated?</t>
  </si>
  <si>
    <t>0017000000bFPu8AAG</t>
  </si>
  <si>
    <t>Equinix, Inc.</t>
  </si>
  <si>
    <t>AMER Strategic West</t>
  </si>
  <si>
    <t>AMER Strategic West NorCal</t>
  </si>
  <si>
    <t>IBM Cloud onboarding</t>
  </si>
  <si>
    <t>Onboarding, CSPM, CWP</t>
  </si>
  <si>
    <t>Which of your accounts monitor IBM Cloud today?</t>
  </si>
  <si>
    <t>Chen Segelman</t>
  </si>
  <si>
    <t>0017000000drDq2AAE</t>
  </si>
  <si>
    <t>Intrado Life &amp; Safety</t>
  </si>
  <si>
    <t>Workaround accepted</t>
  </si>
  <si>
    <t>~120 custom rules; 15 fail translation</t>
  </si>
  <si>
    <t>PS rewrites the 15 failing rules before cutover</t>
  </si>
  <si>
    <t>Terraform onboarding (full lifecycle)</t>
  </si>
  <si>
    <t>Do you manage cloud accounts with Terraform?</t>
  </si>
  <si>
    <t>0017000000wKwTRAA0</t>
  </si>
  <si>
    <t>Allegiant Travel Company</t>
  </si>
  <si>
    <t>GuardDuty ingestion</t>
  </si>
  <si>
    <t>AMER Strategic West MTN</t>
  </si>
  <si>
    <t>Date</t>
  </si>
  <si>
    <t>Feedback type</t>
  </si>
  <si>
    <t>What we learned</t>
  </si>
  <si>
    <t>Suggested change (runbook, telemetry or product)</t>
  </si>
  <si>
    <t>Owner</t>
  </si>
  <si>
    <t>Status</t>
  </si>
  <si>
    <t>0017000001NUIVSAA5</t>
  </si>
  <si>
    <t>Personal Capital Corporation</t>
  </si>
  <si>
    <t>GCP Assured Workloads</t>
  </si>
  <si>
    <t>Onboarding</t>
  </si>
  <si>
    <t>Do you run GCP Assured Workloads? (ETA being validated, CRTX-231176)</t>
  </si>
  <si>
    <t>Avishai Moshka</t>
  </si>
  <si>
    <t>0017000000jFWBeAAO</t>
  </si>
  <si>
    <t>Novo Nordisk A/S</t>
  </si>
  <si>
    <t>EMEA</t>
  </si>
  <si>
    <t>Nordics</t>
  </si>
  <si>
    <t>Denmark</t>
  </si>
  <si>
    <t>Amir Chamma</t>
  </si>
  <si>
    <t>ServiceNow integration</t>
  </si>
  <si>
    <t>AppSec</t>
  </si>
  <si>
    <t>Do you send alerts to ServiceNow, and are workflows automated on them?</t>
  </si>
  <si>
    <t>Andrew Scott</t>
  </si>
  <si>
    <t>0017000000neSduAAE</t>
  </si>
  <si>
    <t>Ulta Salon, Cosmetics &amp; Fragrance, Inc</t>
  </si>
  <si>
    <t>AMER Strategic Central</t>
  </si>
  <si>
    <t>AMER Strategic Central Northcentral</t>
  </si>
  <si>
    <t>Brian Lewis</t>
  </si>
  <si>
    <t>Red Hat certified scanner</t>
  </si>
  <si>
    <t>UVEM</t>
  </si>
  <si>
    <t>Validate in discovery</t>
  </si>
  <si>
    <t>Do you scan OpenShift or RHEL/UBI workloads, and does a regulation require a certified scanner?</t>
  </si>
  <si>
    <t>0017000000lAllhAAC</t>
  </si>
  <si>
    <t>Cardinal Health, Inc.</t>
  </si>
  <si>
    <t>AMER Strategic Central Ohio Valley</t>
  </si>
  <si>
    <t>Not needed</t>
  </si>
  <si>
    <t>Findings duplicate Cortex Cloud detections</t>
  </si>
  <si>
    <t>No, flagged but not used</t>
  </si>
  <si>
    <t>Alma Linux</t>
  </si>
  <si>
    <t>Do you run Alma Linux hosts, images or containers, and what share?</t>
  </si>
  <si>
    <t>Elad Shuster</t>
  </si>
  <si>
    <t>The Charles Schwab Corporation</t>
  </si>
  <si>
    <t>0017000000cKVeuAAG</t>
  </si>
  <si>
    <t>HealthPartners, Inc.</t>
  </si>
  <si>
    <t>AMER Strategic West Healthcare West</t>
  </si>
  <si>
    <t>Jenkins image-scan plugin</t>
  </si>
  <si>
    <t>Do you scan images through the Jenkins plugin? (workaround available)</t>
  </si>
  <si>
    <t>0017000000oqq3JAAQ</t>
  </si>
  <si>
    <t>Engie</t>
  </si>
  <si>
    <t>France</t>
  </si>
  <si>
    <t>France Strategic</t>
  </si>
  <si>
    <t>Christopher Ley</t>
  </si>
  <si>
    <t>Compliance reporting</t>
  </si>
  <si>
    <t>Compliance</t>
  </si>
  <si>
    <t>Question to be defined.</t>
  </si>
  <si>
    <t>0017000001VuycpAAB</t>
  </si>
  <si>
    <t>Airbus 1</t>
  </si>
  <si>
    <t>Daniel Tor</t>
  </si>
  <si>
    <t>xSPM inline scanner</t>
  </si>
  <si>
    <t>0017000000rZ0dmAAC</t>
  </si>
  <si>
    <t>Sabre GLBL Inc</t>
  </si>
  <si>
    <t>AMER Strategic Central Texas</t>
  </si>
  <si>
    <t>Farooq Abrahem</t>
  </si>
  <si>
    <t>367 run policies with RQL in scope (518 total incl. 151 build). 315 translated as of Oct 22; just under 40 remaining.</t>
  </si>
  <si>
    <t>PS (Phelipe) translating by hand; Schwab (Ladi) correcting defects in its own RQL.</t>
  </si>
  <si>
    <t>Terraform: agent, connector, registry</t>
  </si>
  <si>
    <t>Covered by the Terraform provider question (Jan 2027).</t>
  </si>
  <si>
    <t>0017000000bF5EOAA0</t>
  </si>
  <si>
    <t>The NASDAQ OMX Group, Inc.</t>
  </si>
  <si>
    <t>AMER Strategic East NY Enterprise</t>
  </si>
  <si>
    <t>Telemetry counts 601 custom policies vs 518; reconciling.</t>
  </si>
  <si>
    <t>Terraform provider gaps</t>
  </si>
  <si>
    <t>Oct 2026 to Jan 2027</t>
  </si>
  <si>
    <t>custom_config_policies</t>
  </si>
  <si>
    <t>How many custom RQL rules do you have, and how many fail translation?</t>
  </si>
  <si>
    <t>0017000000mir1qAAA</t>
  </si>
  <si>
    <t>Texas Children's Hospital</t>
  </si>
  <si>
    <t>CSP registry scan (non-onboarded accounts)</t>
  </si>
  <si>
    <t>Jan 2027</t>
  </si>
  <si>
    <t>Do you scan registries in cloud accounts that are not onboarded?</t>
  </si>
  <si>
    <t>0017000000dx6OMAAY</t>
  </si>
  <si>
    <t>The PNC Financial Services Group, Inc.</t>
  </si>
  <si>
    <t>Network anomaly detection</t>
  </si>
  <si>
    <t>CDR</t>
  </si>
  <si>
    <t>Network Anomaly Alerts Count in CDR</t>
  </si>
  <si>
    <t>Do you use network anomaly policies and act on their alerts?</t>
  </si>
  <si>
    <t>No telemetry</t>
  </si>
  <si>
    <t>Schwab manages rules, policies and compliance controls through the Terraform provider after deployment (COE 524).</t>
  </si>
  <si>
    <t>0017000000MfHihAAF</t>
  </si>
  <si>
    <t>Franciscan Alliance, Inc.</t>
  </si>
  <si>
    <t>AMER Strategic West Healthcare East</t>
  </si>
  <si>
    <t>Granular module scoping</t>
  </si>
  <si>
    <t>Onboarding, CWP, CSPM</t>
  </si>
  <si>
    <t>has_granular_module_scoping</t>
  </si>
  <si>
    <t>Do you scope features differently across accounts in the same org?</t>
  </si>
  <si>
    <t>Production control creation failure (04248274 / XSUP-78801) routed to David as a bug.</t>
  </si>
  <si>
    <t>Asset audit trail</t>
  </si>
  <si>
    <t>001700000137WgRAAU</t>
  </si>
  <si>
    <t>Wind River Systems, Inc.</t>
  </si>
  <si>
    <t>MSSP parent/child policies</t>
  </si>
  <si>
    <t>custom_policies_pushed_to_child</t>
  </si>
  <si>
    <t>Do you run parent and child tenants, and push policies to child tenants? (ETA to confirm: Jan or Apr 2027)</t>
  </si>
  <si>
    <t>0017000000kbOIVAA2</t>
  </si>
  <si>
    <t>Lg Uplus Corp.</t>
  </si>
  <si>
    <t>JAPAC</t>
  </si>
  <si>
    <t>Korea</t>
  </si>
  <si>
    <t>Jane Shin</t>
  </si>
  <si>
    <t>CLI remediation</t>
  </si>
  <si>
    <t>Rely on remediation rules</t>
  </si>
  <si>
    <t>Do you use CLI remediation, manual or automatic?</t>
  </si>
  <si>
    <t>0017000000dN3dfAAC</t>
  </si>
  <si>
    <t>Salesforce.Com, Inc.</t>
  </si>
  <si>
    <t>Platform</t>
  </si>
  <si>
    <t>Khizar Karim</t>
  </si>
  <si>
    <t>H1 CY2027 (Internal)</t>
  </si>
  <si>
    <t>uses_asset_audit_trail</t>
  </si>
  <si>
    <t>Do you use asset configuration history?</t>
  </si>
  <si>
    <t>Guy Liberman</t>
  </si>
  <si>
    <t>Unknown</t>
  </si>
  <si>
    <t>15 asset audit trail API calls in 30 days. Ladi (Oct 22): nothing critical depends on it, from memory.</t>
  </si>
  <si>
    <t>0017000000qx0YBAAY</t>
  </si>
  <si>
    <t>Marriott International, Inc.</t>
  </si>
  <si>
    <t>AMER Strategic East MidAtlantic</t>
  </si>
  <si>
    <t>Agentless: skip non-running VMs</t>
  </si>
  <si>
    <t>Have you turned off scanning of non-running machines?</t>
  </si>
  <si>
    <t>Confirming with Justin; tracing the API caller.</t>
  </si>
  <si>
    <t>0014u00001tEzw8AAC</t>
  </si>
  <si>
    <t>Dh Business Services Llc</t>
  </si>
  <si>
    <t>150K issue limit per module</t>
  </si>
  <si>
    <t>Would you exceed 150K issues in any module?</t>
  </si>
  <si>
    <t>Sarit Tager</t>
  </si>
  <si>
    <t>0017000000peq8uAAA</t>
  </si>
  <si>
    <t>Tory Burch LLC</t>
  </si>
  <si>
    <t>Rank</t>
  </si>
  <si>
    <t>Do you manage Prisma Cloud through the Terraform provider, and for what?</t>
  </si>
  <si>
    <t>Region</t>
  </si>
  <si>
    <t>In progress</t>
  </si>
  <si>
    <t>Not started</t>
  </si>
  <si>
    <t>Continue</t>
  </si>
  <si>
    <t>Telemetry correction</t>
  </si>
  <si>
    <t>NAM</t>
  </si>
  <si>
    <t>Scheduled</t>
  </si>
  <si>
    <t>Pause until release</t>
  </si>
  <si>
    <t>Not flagged</t>
  </si>
  <si>
    <t>New blocker</t>
  </si>
  <si>
    <t>LATAM</t>
  </si>
  <si>
    <t>Escalate</t>
  </si>
  <si>
    <t>No, used but not flagged</t>
  </si>
  <si>
    <t>What worked</t>
  </si>
  <si>
    <t>0017000000nBDuXAAW</t>
  </si>
  <si>
    <t>Factory Mutual Insurance Co</t>
  </si>
  <si>
    <t>OCI template onboarding</t>
  </si>
  <si>
    <t>OCI_Usage_Telemetry</t>
  </si>
  <si>
    <t>Do you monitor OCI, and how were those accounts onboarded?</t>
  </si>
  <si>
    <t>Apr 2027</t>
  </si>
  <si>
    <t>What fell flat</t>
  </si>
  <si>
    <t>Jul 2027</t>
  </si>
  <si>
    <t>TBC</t>
  </si>
  <si>
    <t>Not planned</t>
  </si>
  <si>
    <t>Rank 2 for 'Oct 2026 to Jan 2027' plans on the later date. Ranks 9 count as no committed date.</t>
  </si>
  <si>
    <t>0017000000cJCU8AAO</t>
  </si>
  <si>
    <t>Cox Communications, Inc.</t>
  </si>
  <si>
    <t>Lauren Megrelis</t>
  </si>
  <si>
    <t>Schwab rejected the standard onboarding template and wants it customized; Azure service principal created through Terraform.</t>
  </si>
  <si>
    <t>Service principal via azuread_service_principal from the wizard app ID.</t>
  </si>
  <si>
    <t>Alibaba template onboarding</t>
  </si>
  <si>
    <t>Alibaba_Usage_Telemetry</t>
  </si>
  <si>
    <t>Do you monitor Alibaba, and how were those accounts onboarded?</t>
  </si>
  <si>
    <t>Jira ticketing for issues</t>
  </si>
  <si>
    <t>0017000000jEETMAA4</t>
  </si>
  <si>
    <t>Medidata Solutions Worldwide</t>
  </si>
  <si>
    <t>FedRAMP High</t>
  </si>
  <si>
    <t>Cross modules</t>
  </si>
  <si>
    <t>FedRamp High</t>
  </si>
  <si>
    <t>Is the tenant on FedRAMP High?</t>
  </si>
  <si>
    <t>Eyal Keyton</t>
  </si>
  <si>
    <t>0017000001V49vrAAB</t>
  </si>
  <si>
    <t>Everbridge, Inc.</t>
  </si>
  <si>
    <t>FedRAMP Moderate</t>
  </si>
  <si>
    <t>FedRamp Moderate</t>
  </si>
  <si>
    <t>Is the tenant on FedRAMP Moderate?</t>
  </si>
  <si>
    <t>0017000000t9fPSAAY</t>
  </si>
  <si>
    <t>Memorial Sloan-Kettering Cancer Center</t>
  </si>
  <si>
    <t>Guard Duty Findings - 1mo</t>
  </si>
  <si>
    <t>Do you ingest GuardDuty findings, and do you need them beyond what Cortex Cloud detects?</t>
  </si>
  <si>
    <t>0014u0000238d8uAAA</t>
  </si>
  <si>
    <t>Corebridge Financial, Inc.</t>
  </si>
  <si>
    <t>Cortex Cloud issues must open Jira tickets automatically; Schwab named it an open cutover blocker.</t>
  </si>
  <si>
    <t>Owner per Ashwin, Oct 23: notifications (Guy Liberman). Specifics being confirmed with Schwab.</t>
  </si>
  <si>
    <t>Compliance categories via API</t>
  </si>
  <si>
    <t>Flow logs in CDR</t>
  </si>
  <si>
    <t>Flowlogs Usage in CDR</t>
  </si>
  <si>
    <t>Do you ingest flow logs and actively use them?</t>
  </si>
  <si>
    <t>0014u000029psomAAA</t>
  </si>
  <si>
    <t>Optus Systems Pty Ltd</t>
  </si>
  <si>
    <t>ANZ</t>
  </si>
  <si>
    <t>ANZ East Coast Majors</t>
  </si>
  <si>
    <t>Image analysis sandbox</t>
  </si>
  <si>
    <t>Do you run the image analysis sandbox?</t>
  </si>
  <si>
    <t>0017000000bFh2TAAS</t>
  </si>
  <si>
    <t>The Chubb Corporation</t>
  </si>
  <si>
    <t>CIEM evidence</t>
  </si>
  <si>
    <t>0014u00001x8rNFAAY</t>
  </si>
  <si>
    <t>Movable Ink</t>
  </si>
  <si>
    <t>manages_trusted_ips_via_api (mapping to confirm)</t>
  </si>
  <si>
    <t>Do you actively use CIEM or IAM analysis?</t>
  </si>
  <si>
    <t>0017000000RGL6UAAX</t>
  </si>
  <si>
    <t>American Express Company</t>
  </si>
  <si>
    <t>Trusted networks API</t>
  </si>
  <si>
    <t>Lindsey Smith</t>
  </si>
  <si>
    <t>Do you manage trusted IPs or networks through the API?</t>
  </si>
  <si>
    <t>Alexandre Cezar</t>
  </si>
  <si>
    <t>0017000000peemgAAA</t>
  </si>
  <si>
    <t>Micron Technologies, Inc</t>
  </si>
  <si>
    <t>AMER Strategic West PNW</t>
  </si>
  <si>
    <t>Schwab builds custom compliance standards and subcategories through the API (case 04194314).</t>
  </si>
  <si>
    <t>JFrog subdomains</t>
  </si>
  <si>
    <t>Do you scan JFrog Artifactory registries that use subdomains?</t>
  </si>
  <si>
    <t>Production vs test subcategory difference routed to David as a bug.</t>
  </si>
  <si>
    <t>Asset groups from cloud account tags</t>
  </si>
  <si>
    <t>0017000000ZN93ZAAT</t>
  </si>
  <si>
    <t>Kaiser Permanente</t>
  </si>
  <si>
    <t>Muhammad Ali</t>
  </si>
  <si>
    <t>Neel Dave</t>
  </si>
  <si>
    <t>Oleg Fiksel</t>
  </si>
  <si>
    <t>Ravi Badana</t>
  </si>
  <si>
    <t>Scott Orton</t>
  </si>
  <si>
    <t>Simon Melotte</t>
  </si>
  <si>
    <t>Steve Briand</t>
  </si>
  <si>
    <t>0010g00001hXpCsAAK</t>
  </si>
  <si>
    <t>AWS org Terraform onboarding</t>
  </si>
  <si>
    <t>Applied Materials</t>
  </si>
  <si>
    <t>Syam Pillai</t>
  </si>
  <si>
    <t>Tommy Song</t>
  </si>
  <si>
    <t>Vad Vadwlas</t>
  </si>
  <si>
    <t>Z Yu</t>
  </si>
  <si>
    <t>Simeon Finch</t>
  </si>
  <si>
    <t>Manuel Angel De Miguel Moreno</t>
  </si>
  <si>
    <t>Sebastian Straube</t>
  </si>
  <si>
    <t>Gary Ho</t>
  </si>
  <si>
    <t>Akeim Findlay</t>
  </si>
  <si>
    <t>Stefan Mandl</t>
  </si>
  <si>
    <t>Do you onboard AWS organizations with Terraform?</t>
  </si>
  <si>
    <t>Eyal Rotberg</t>
  </si>
  <si>
    <t>Amjad Jabali</t>
  </si>
  <si>
    <t>Ayesha Yege</t>
  </si>
  <si>
    <t>Filip Ves</t>
  </si>
  <si>
    <t>Nikhil Ahuja</t>
  </si>
  <si>
    <t>Carlos Martins Jr.</t>
  </si>
  <si>
    <t>Kishwar Firdaus</t>
  </si>
  <si>
    <t>Tunde Adenugba</t>
  </si>
  <si>
    <t>Pushkar Kakkar</t>
  </si>
  <si>
    <t>Priyank Patel</t>
  </si>
  <si>
    <t>Tomi Fajulugbe</t>
  </si>
  <si>
    <t>Luis Ponce</t>
  </si>
  <si>
    <t>Ivani Aviles</t>
  </si>
  <si>
    <t>Alan Gomez</t>
  </si>
  <si>
    <t>Wikenson Lejulus</t>
  </si>
  <si>
    <t>Akintayo Akinbade</t>
  </si>
  <si>
    <t>Chinmoy Roy</t>
  </si>
  <si>
    <t>Shijin Varghese</t>
  </si>
  <si>
    <t>Somesh Patil</t>
  </si>
  <si>
    <t>Daniel Reyes</t>
  </si>
  <si>
    <t>Terrell Carter</t>
  </si>
  <si>
    <t>Sriram Choudary Nimmagadda</t>
  </si>
  <si>
    <t>Sugathri Tumiki</t>
  </si>
  <si>
    <t>Sveta Poluektova</t>
  </si>
  <si>
    <t>Madhu Palukuri</t>
  </si>
  <si>
    <t>Mathieu Dalbes</t>
  </si>
  <si>
    <t>Manish Kabra</t>
  </si>
  <si>
    <t>Harold Rodriguez</t>
  </si>
  <si>
    <t>Chad Cazzato</t>
  </si>
  <si>
    <t>Bella Dosovitsky</t>
  </si>
  <si>
    <t>Sophie Wang</t>
  </si>
  <si>
    <t>Akanchha Singh</t>
  </si>
  <si>
    <t>Jonathan Brox</t>
  </si>
  <si>
    <t>RD Singh</t>
  </si>
  <si>
    <t>0017000000scHxAAAU</t>
  </si>
  <si>
    <t>Meijer, Inc.</t>
  </si>
  <si>
    <t>Prateek Pawar</t>
  </si>
  <si>
    <t>Nik Perez</t>
  </si>
  <si>
    <t>Mike Labadie</t>
  </si>
  <si>
    <t>Akihiro Yamamoto</t>
  </si>
  <si>
    <t>Yash Boravelli</t>
  </si>
  <si>
    <t>Akash Singh</t>
  </si>
  <si>
    <t>Tetsushi Shimada</t>
  </si>
  <si>
    <t>Kashan Naqvi</t>
  </si>
  <si>
    <t>Miguel Lopez-Henriquez</t>
  </si>
  <si>
    <t>Zoheb Sarwar</t>
  </si>
  <si>
    <t>Dele Adewumi</t>
  </si>
  <si>
    <t>Akira Uenoyama</t>
  </si>
  <si>
    <t>Andrew Curran</t>
  </si>
  <si>
    <t>Pranav Jha</t>
  </si>
  <si>
    <t>Joel Jean-Claude</t>
  </si>
  <si>
    <t>Kiran Kaukuntla</t>
  </si>
  <si>
    <t>Oluranti Omotayo</t>
  </si>
  <si>
    <t>omoniyi Jabaru</t>
  </si>
  <si>
    <t>Meral Abu-jaser</t>
  </si>
  <si>
    <t>Azure decrypt without ListKeys</t>
  </si>
  <si>
    <t>Mikhail Bakhmetiev</t>
  </si>
  <si>
    <t>Ownership and access are organized by cloud account tags; asset groups and business applications must inherit them.</t>
  </si>
  <si>
    <t>Adam Hamilton</t>
  </si>
  <si>
    <t>PS automation (Phelipe) creates asset groups and business applications from tags.</t>
  </si>
  <si>
    <t>0017000000kYwckAAC</t>
  </si>
  <si>
    <t>L'Oreal</t>
  </si>
  <si>
    <t>Does your Azure policy block the ListKeys permission?</t>
  </si>
  <si>
    <t>IP-in-CIDR search on firewall rules</t>
  </si>
  <si>
    <t>CSPM scan every 12h</t>
  </si>
  <si>
    <t>Do you need posture results more often than every 24 hours?</t>
  </si>
  <si>
    <t>0017000000os81PAAQ</t>
  </si>
  <si>
    <t>Worley Parsons Limited</t>
  </si>
  <si>
    <t>0017000000gGsAhAAK</t>
  </si>
  <si>
    <t>Cantor Fitzgerald Technology Markets, LLC</t>
  </si>
  <si>
    <t>XDR auto deploy</t>
  </si>
  <si>
    <t>Do you deploy Defenders through auto-defend?</t>
  </si>
  <si>
    <t>0017000000q3Y2KAAU</t>
  </si>
  <si>
    <t>Blue Cross Blue Shield Association (HQ)</t>
  </si>
  <si>
    <t>Schwab looks up every GCP firewall rule allowing a given IP; 192 VPC rules plus firewall policies.</t>
  </si>
  <si>
    <t>XQL lookup validated in Schwab's tenant (TSE); no automatic flagging.</t>
  </si>
  <si>
    <t>Multi-tenant (non-MSSP)</t>
  </si>
  <si>
    <t>Platform, cross modules</t>
  </si>
  <si>
    <t>0017000000cIg6KAAS</t>
  </si>
  <si>
    <t>Vanderbilt Health</t>
  </si>
  <si>
    <t>Do you run more than one tenant, managed centrally?</t>
  </si>
  <si>
    <t>XPANDR-15405</t>
  </si>
  <si>
    <t>GCP address group resolution</t>
  </si>
  <si>
    <t>0017000001XPl7OAAT</t>
  </si>
  <si>
    <t>Tarjeta Naranja S.a.</t>
  </si>
  <si>
    <t>MCA South</t>
  </si>
  <si>
    <t>0017000000nyW1fAAE</t>
  </si>
  <si>
    <t>Air Liquide S.A.</t>
  </si>
  <si>
    <t>App Control</t>
  </si>
  <si>
    <t>0017000000tfianAAA</t>
  </si>
  <si>
    <t>Diagnosticos da America S/A.</t>
  </si>
  <si>
    <t>Brazil</t>
  </si>
  <si>
    <t>Whether Schwab's firewall policies reference address groups is not yet confirmed.</t>
  </si>
  <si>
    <t>0017000000tAmAHAA0</t>
  </si>
  <si>
    <t>Score Media and Gaming Inc.</t>
  </si>
  <si>
    <t>AMER Canada</t>
  </si>
  <si>
    <t>Canada Central</t>
  </si>
  <si>
    <t>Cloud onboarding via API</t>
  </si>
  <si>
    <t>XPANDR-15404, 15401</t>
  </si>
  <si>
    <t>Do you onboard cloud accounts only through API or Terraform?</t>
  </si>
  <si>
    <t>AWS audit logs without SNS</t>
  </si>
  <si>
    <t>0017000000ZLRJNAA5</t>
  </si>
  <si>
    <t>Aaron's, Inc.</t>
  </si>
  <si>
    <t>AWS member account settings</t>
  </si>
  <si>
    <t>Do you need custom IAM role names or templates, or to keep the existing role ARN and External ID?</t>
  </si>
  <si>
    <t>0017000000qySf5AAE</t>
  </si>
  <si>
    <t>Adani Enterprises Limited</t>
  </si>
  <si>
    <t>India</t>
  </si>
  <si>
    <t>India Conglomerates and SP</t>
  </si>
  <si>
    <t>Azure auth mode</t>
  </si>
  <si>
    <t>Does your policy require a specific Azure auth method? (WIF is supported; likely a documentation gap)</t>
  </si>
  <si>
    <t>0017000000pdPvnAAE</t>
  </si>
  <si>
    <t>Nationwide Building Society</t>
  </si>
  <si>
    <t>UKI</t>
  </si>
  <si>
    <t>UK Strategic</t>
  </si>
  <si>
    <t>Schwab asked for EventBridge S3 event format and S3 to SQS delivery without SNS.</t>
  </si>
  <si>
    <t>0014u00001mrMwXAAU</t>
  </si>
  <si>
    <t>Nippon Life Insurance Australia and New Zealand Limited</t>
  </si>
  <si>
    <t>SNS intermediary per deployment guidelines; acceptability not confirmed.</t>
  </si>
  <si>
    <t>Azure private resources</t>
  </si>
  <si>
    <t>Do you need visibility into Azure private resources? (no known gap per engineering)</t>
  </si>
  <si>
    <t>Specialist review requested Oct 5.</t>
  </si>
  <si>
    <t>Default policy parity</t>
  </si>
  <si>
    <t>0014u00001yJ3tHAAS</t>
  </si>
  <si>
    <t>Volkswagen Software Asset Management GmbH</t>
  </si>
  <si>
    <t>Germany</t>
  </si>
  <si>
    <t>Germany Strategic</t>
  </si>
  <si>
    <t>IBM registry scanning</t>
  </si>
  <si>
    <t>Do you scan IBM Cloud Container Registry?</t>
  </si>
  <si>
    <t>0017000000YweyvAAB</t>
  </si>
  <si>
    <t>Murata Manufacturing Co., Ltd.</t>
  </si>
  <si>
    <t>JP</t>
  </si>
  <si>
    <t>JP Majors 2</t>
  </si>
  <si>
    <t>China regions</t>
  </si>
  <si>
    <t>China coverage required</t>
  </si>
  <si>
    <t>Do you monitor accounts in China regions, and on which clouds? (escalate; make no commitments)</t>
  </si>
  <si>
    <t>0017000000nylXCAAY</t>
  </si>
  <si>
    <t>Admiral Group Plc</t>
  </si>
  <si>
    <t>UK Majors</t>
  </si>
  <si>
    <t>Justin asked for parity with Prisma Cloud default policies (Sep 10); scope not defined.</t>
  </si>
  <si>
    <t>Image age lineage for rehydration evidence</t>
  </si>
  <si>
    <t>0017000000nyW8xAAE</t>
  </si>
  <si>
    <t>MAPFRE S.A</t>
  </si>
  <si>
    <t>Iberia</t>
  </si>
  <si>
    <t>Spain Private</t>
  </si>
  <si>
    <t>CortexCLI scan speed</t>
  </si>
  <si>
    <t>How many CI scans do you run?</t>
  </si>
  <si>
    <t>Ofer Hakimi</t>
  </si>
  <si>
    <t>0017000000qySkiAAE</t>
  </si>
  <si>
    <t>EDP Global</t>
  </si>
  <si>
    <t>Portugal</t>
  </si>
  <si>
    <t>Serverless runtimes</t>
  </si>
  <si>
    <t>Do you run serverless on runtimes Cortex Cloud does not support, and what share?</t>
  </si>
  <si>
    <t>0017000001ITp6fAAD</t>
  </si>
  <si>
    <t>Rakuten Usa, Inc.</t>
  </si>
  <si>
    <t>SMB</t>
  </si>
  <si>
    <t>EKS Fargate</t>
  </si>
  <si>
    <t>Do you protect EKS on Fargate, and what share of your deployment?</t>
  </si>
  <si>
    <t>0014u000027qiy4AAA</t>
  </si>
  <si>
    <t>Fed-Jasmine5</t>
  </si>
  <si>
    <t>Civilian/FSI</t>
  </si>
  <si>
    <t>Vulnerability management must show auditors that every workload was built from an image passed within 30 days. Prisma maps workload age to parent image age today.</t>
  </si>
  <si>
    <t>Schwab mapping requirements, about two weeks (Oct 21). Rules API row (04220471) removed: bug to David.</t>
  </si>
  <si>
    <t>GCP Parameter Manager ingestion</t>
  </si>
  <si>
    <t>0017000000PP73xAAD</t>
  </si>
  <si>
    <t>Freddie Mac</t>
  </si>
  <si>
    <t>AWS Inspector ingestion</t>
  </si>
  <si>
    <t>Do you ingest AWS Inspector findings and rely on them?</t>
  </si>
  <si>
    <t>OCI outpost</t>
  </si>
  <si>
    <t>Do you need scanning inside your own OCI tenancy?</t>
  </si>
  <si>
    <t>0017000000nylpAAAQ</t>
  </si>
  <si>
    <t>Whitbread</t>
  </si>
  <si>
    <t>OIDC login</t>
  </si>
  <si>
    <t>Does your identity policy require OIDC?</t>
  </si>
  <si>
    <t>Ben Sack</t>
  </si>
  <si>
    <t>0014u00001x8IUDAA2</t>
  </si>
  <si>
    <t>Dyson Operations Pte. Ltd.</t>
  </si>
  <si>
    <t>ASEAN</t>
  </si>
  <si>
    <t>Singapore</t>
  </si>
  <si>
    <t>WAAS file upload rules</t>
  </si>
  <si>
    <t>Do you use WAAS file upload rules?</t>
  </si>
  <si>
    <t>Feature request (describe, list, versions) for IAM controls and audit logging; expected Nov 22.</t>
  </si>
  <si>
    <t>Lambda image attributes in inventory</t>
  </si>
  <si>
    <t>0017000000nesZZAAY</t>
  </si>
  <si>
    <t>Amp Limited</t>
  </si>
  <si>
    <t>Terraform for XDR API</t>
  </si>
  <si>
    <t>0014u00001tDTyIAAW</t>
  </si>
  <si>
    <t>Ataccama Software, s.r.o.</t>
  </si>
  <si>
    <t>CEE</t>
  </si>
  <si>
    <t>Central EEUR</t>
  </si>
  <si>
    <t>Disable agentless when agent present</t>
  </si>
  <si>
    <t>Capture if the customer raises it.</t>
  </si>
  <si>
    <t>0017000000qyShCAAU</t>
  </si>
  <si>
    <t>Bancolombia S.A.</t>
  </si>
  <si>
    <t>MCA North</t>
  </si>
  <si>
    <t>Dynamic URL</t>
  </si>
  <si>
    <t>Do not raise proactively; capture if the customer raises it.</t>
  </si>
  <si>
    <t>0017000000qx7kfAAA</t>
  </si>
  <si>
    <t>Fidelity National Financial, Inc.</t>
  </si>
  <si>
    <t>AMER Strategic East Southeast</t>
  </si>
  <si>
    <t>Azure BYO app registration</t>
  </si>
  <si>
    <t>Do not raise proactively; capture if raised (more common in regulated environments).</t>
  </si>
  <si>
    <t>0010g00001j5zIuAAI</t>
  </si>
  <si>
    <t>STMicroelectronics</t>
  </si>
  <si>
    <t>EKS Automode</t>
  </si>
  <si>
    <t>KSPM</t>
  </si>
  <si>
    <t>Describe the blocker in the log and set the release once product confirms it.</t>
  </si>
  <si>
    <t>Noam</t>
  </si>
  <si>
    <t>0017000001RMDCFAA5</t>
  </si>
  <si>
    <t>The Pokemon Company International Inc</t>
  </si>
  <si>
    <t>0014u00001uGbfaAAC</t>
  </si>
  <si>
    <t>Kyndryl, Inc.</t>
  </si>
  <si>
    <t>0017000000PN6iDAAT</t>
  </si>
  <si>
    <t>Tyson Foods, Inc.</t>
  </si>
  <si>
    <t>Which issues must open a Jira ticket automatically, and which fields carry over?</t>
  </si>
  <si>
    <t>Feature request for Lambda image attributes such as ImageUri; expected Nov 22.</t>
  </si>
  <si>
    <t>Do you build custom compliance standards and subcategories through the API?</t>
  </si>
  <si>
    <t>Do asset groups need to inherit your cloud account tags?</t>
  </si>
  <si>
    <t>Do you look up which firewall rules allow a given IP?</t>
  </si>
  <si>
    <t>Do your GCP firewall policies reference address groups?</t>
  </si>
  <si>
    <t>0017000000YfwM2AAJ</t>
  </si>
  <si>
    <t>A&amp;O Shearman</t>
  </si>
  <si>
    <t>Do you need EventBridge format or S3 to SQS delivery without SNS for audit logs?</t>
  </si>
  <si>
    <t>RedHat Hardened Images Support</t>
  </si>
  <si>
    <t>Which Prisma default policies need a one-to-one equivalent at cutover?</t>
  </si>
  <si>
    <t>Do you need Parameter Manager resources in inventory?</t>
  </si>
  <si>
    <t>Do you need Lambda image attributes such as ImageUri in inventory?</t>
  </si>
  <si>
    <t>Do you evidence rehydration by inheriting a workload's age from its parent image?</t>
  </si>
  <si>
    <t>0017000000cIUW0AAO</t>
  </si>
  <si>
    <t>Intact</t>
  </si>
  <si>
    <t>Canada East West Commercial</t>
  </si>
  <si>
    <t>PURL namespace</t>
  </si>
  <si>
    <t>Are PURLs for JARs are downloaded from Maven only sufficient?</t>
  </si>
  <si>
    <t>Q3</t>
  </si>
  <si>
    <t>DSPM large file set scanning w/ MIP labeling</t>
  </si>
  <si>
    <t>DSPM</t>
  </si>
  <si>
    <t>Yotam Ben-Ezra</t>
  </si>
  <si>
    <t>Azure Linux 3 support</t>
  </si>
  <si>
    <t>Do you actively use Linux AKS?</t>
  </si>
  <si>
    <t>Aviel Tzarfaty</t>
  </si>
  <si>
    <t>0017000001NWi6iAAD</t>
  </si>
  <si>
    <t>PEXA Services Pty Ltd</t>
  </si>
  <si>
    <t>0017000000cIF9wAAG</t>
  </si>
  <si>
    <t>Baring Investment Services Limited</t>
  </si>
  <si>
    <t>About half of the Docker images being built and deployed by MetLife use RedHat Hardened Images as base. Current version of CortexCLI and CC Intelligence feed does not allow for complete SBOM extraction and vulnerability detection respectively.</t>
  </si>
  <si>
    <t>0017000000gE2ySAAS</t>
  </si>
  <si>
    <t>Wawa, Inc.</t>
  </si>
  <si>
    <t>0017000000orFxrAAE</t>
  </si>
  <si>
    <t>Rockwell Automation, Incorporated</t>
  </si>
  <si>
    <t>0017000000mAYzCAAW</t>
  </si>
  <si>
    <t>Sanofi S.A</t>
  </si>
  <si>
    <t>DSPM MIP Labeling and Ability to scan large number of files. Partially solved, still to be delivered and demo-ed to the customer</t>
  </si>
  <si>
    <t>0017000000y1HbLAAU</t>
  </si>
  <si>
    <t>Hilton Worldwide Holdings Inc.</t>
  </si>
  <si>
    <t>AMER Strategic Central Central Plains</t>
  </si>
  <si>
    <t>John Hancock Financial Services, Inc.</t>
  </si>
  <si>
    <t>Cortex CLI: --policy-metadata-filter (policy labels)</t>
  </si>
  <si>
    <t>0014u000026KaSRAA0</t>
  </si>
  <si>
    <t>Malaysia Aviation Group Berhad</t>
  </si>
  <si>
    <t>Malaysia</t>
  </si>
  <si>
    <t>0017000001GFR0OAAX</t>
  </si>
  <si>
    <t>Banco Pichincha C.A.</t>
  </si>
  <si>
    <t>0017000000yNYy4AAG</t>
  </si>
  <si>
    <t>Yardi Systems, Inc.</t>
  </si>
  <si>
    <t>AMER Strategic West SoCal</t>
  </si>
  <si>
    <t>Pipelines select custom YAML IaC policies by label at build time (--policy-metadata-filter policy.label). Cortex CLI lacks the flag. P0, customer-confirmed (TAC 4186899).</t>
  </si>
  <si>
    <t>None. DC confirmed no workaround (Oct 21).</t>
  </si>
  <si>
    <t>0017000000ylwVDAAY</t>
  </si>
  <si>
    <t>IVECO SPA</t>
  </si>
  <si>
    <t>Italy</t>
  </si>
  <si>
    <t>Italy Private</t>
  </si>
  <si>
    <t>Split from the combined CLI flags row. Product list to Elad Oct 27; PM owner to be named by product.</t>
  </si>
  <si>
    <t>End-of-life / end-of-sale package detection</t>
  </si>
  <si>
    <t>001700000137YtQAAU</t>
  </si>
  <si>
    <t>Tata Consultancy Services Limited</t>
  </si>
  <si>
    <t>India IT - ITES</t>
  </si>
  <si>
    <t>0017000000zfLmuAAE</t>
  </si>
  <si>
    <t>Union of European Football Associations (UEFA)</t>
  </si>
  <si>
    <t>Alps</t>
  </si>
  <si>
    <t>Switzerland/Austria</t>
  </si>
  <si>
    <t>0017000001XPurFAAT</t>
  </si>
  <si>
    <t>Stone Pagamentos S.a.</t>
  </si>
  <si>
    <t>End-of-life and end-of-sale package detection in the CWP and AppSec scanners. Customer-confirmed upgrade blocker (TAC 4186938, Asana FR). Customer vulnerability team uses Qualys for this.</t>
  </si>
  <si>
    <t>Prisma Cloud today: PS-built scripts. No Cortex Cloud equivalent.</t>
  </si>
  <si>
    <t>00170000011uEWiAAM</t>
  </si>
  <si>
    <t>CRISIL LIMITED</t>
  </si>
  <si>
    <t>India BFSI</t>
  </si>
  <si>
    <t>Routes to product through Elad (Gil Kedem scope is ADS, Outpost, CloudScan).</t>
  </si>
  <si>
    <t>Cortex CLI finding suppression</t>
  </si>
  <si>
    <t>0010g00001j5KivAAE</t>
  </si>
  <si>
    <t>Canada Pension Plan Investment Board</t>
  </si>
  <si>
    <t>Canada Public Sector</t>
  </si>
  <si>
    <t>0017000001RLJkdAAH</t>
  </si>
  <si>
    <t>California Employment Development Department</t>
  </si>
  <si>
    <t>SLED West</t>
  </si>
  <si>
    <t>0010g00001lRVosAAG</t>
  </si>
  <si>
    <t>Porto Seguro Seguro Saude S/A</t>
  </si>
  <si>
    <t>Suppression of Cortex CLI findings (GitHub Action AppSec integration). Core day-to-day IaC control; customer must validate before team leave in December. Support case 04184944.</t>
  </si>
  <si>
    <t>Developer suppressions until Posture Policy Exception lands (support: scheduled for tenant Nov 15, field).</t>
  </si>
  <si>
    <t>0017000000qySs8AAE</t>
  </si>
  <si>
    <t>PPG Industries, Inc.</t>
  </si>
  <si>
    <t>Planned release blank until product confirms; Nov 15 is support's date (field). Validate the Suppress action seen in AppSec CI/CD Runs against this requirement.</t>
  </si>
  <si>
    <t>0017000000gF8DtAAK</t>
  </si>
  <si>
    <t>Abbott Laboratories</t>
  </si>
  <si>
    <t>00170000010Dsg3AAC</t>
  </si>
  <si>
    <t>CompuGroup Medical SE and Co KGaA</t>
  </si>
  <si>
    <t>Germany Public</t>
  </si>
  <si>
    <t>0017000001MCHlVAAX</t>
  </si>
  <si>
    <t>One 97 Communications Limited</t>
  </si>
  <si>
    <t>India Enterprise</t>
  </si>
  <si>
    <t>Manual Azure onboarding with minimal permissions, no write/action/delete (former COE 748). Customer completed phases 1 to 4 of the manual onboarding guide on Oct 21 (platform and registry roles at management group, data and KSPM roles on test subscription).</t>
  </si>
  <si>
    <t>Manual onboarding guide; phase 5 registration (API call) run with PS.</t>
  </si>
  <si>
    <t>0017000001V6ZhvAAF</t>
  </si>
  <si>
    <t>Nuvei Ltd</t>
  </si>
  <si>
    <t>Israel/Greece</t>
  </si>
  <si>
    <t>Israel</t>
  </si>
  <si>
    <t>Supported since the September release (field, Ali). Phase 5 pending PS staffing.</t>
  </si>
  <si>
    <t>0017000000nyWK2AAM</t>
  </si>
  <si>
    <t>Mercadona</t>
  </si>
  <si>
    <t>0017000000UUsrOAAT</t>
  </si>
  <si>
    <t>Advocate Aurora Health</t>
  </si>
  <si>
    <t>00170000014LFmdAAG</t>
  </si>
  <si>
    <t>Netsmart Technologies, Inc.</t>
  </si>
  <si>
    <t>0017000000jtfNDAAY</t>
  </si>
  <si>
    <t>CHS Inc.</t>
  </si>
  <si>
    <t>Customer wants audit logs from existing central Event Hubs across subscriptions; created a test Event Hub per the guide. Open: management group vs subscription activity logs; cross-subscription ingestion.</t>
  </si>
  <si>
    <t>0014u000027pKgOAAU</t>
  </si>
  <si>
    <t>National Gas Transmission Limited</t>
  </si>
  <si>
    <t>Waiting on customer Event Hub diagram and PM answer (Avishai).</t>
  </si>
  <si>
    <t>0017000000mmAPGAA2</t>
  </si>
  <si>
    <t>Richemont International SA</t>
  </si>
  <si>
    <t>0017000000jucKCAAY</t>
  </si>
  <si>
    <t>NYU Langone Health</t>
  </si>
  <si>
    <t>About half of Prisma Cloud credits are on AKS; every AKS environment runs the Defender in alert mode (CIS compliance and vulnerability scanning). Customer needs a quantified XDR agent footprint for its business case (COE 749).</t>
  </si>
  <si>
    <t>0017000000bGHkaAAG</t>
  </si>
  <si>
    <t>Primerica Financial Services, LLC</t>
  </si>
  <si>
    <t>Plan: measure the agent on one representative AKS cluster in the test migration. Agent CWP components must be in the customer's approved software catalog to deploy at scale.</t>
  </si>
  <si>
    <t>Other (not on gap list)</t>
  </si>
  <si>
    <t>0017000001QXMvoAAH</t>
  </si>
  <si>
    <t>84.51 Llc</t>
  </si>
  <si>
    <t>0017000000mlohXAAQ</t>
  </si>
  <si>
    <t>Publix Super Markets, Inc.</t>
  </si>
  <si>
    <t>0017000000cLVIzAAO</t>
  </si>
  <si>
    <t>Fifth Third Bancorp</t>
  </si>
  <si>
    <t>0017000000n7h74AAA</t>
  </si>
  <si>
    <t>Foundation Medicine, Inc.</t>
  </si>
  <si>
    <t>Pipeline image gating: non-compliant images must not deploy after cutover. Admission control sits in the Kubernetes connector posture management (Policy Enforcement by the Admission Controller, documented).</t>
  </si>
  <si>
    <t>Production gate; validate in the test migration.</t>
  </si>
  <si>
    <t>0017000000jFpGaAAK</t>
  </si>
  <si>
    <t>IBERDROLA, S.A.</t>
  </si>
  <si>
    <t>0017000000kYov4AAC</t>
  </si>
  <si>
    <t>University of Technology, Sydney (UTS)</t>
  </si>
  <si>
    <t>0017000000jsdwkAAA</t>
  </si>
  <si>
    <t>Omnicell</t>
  </si>
  <si>
    <t>0014u000026M7eFAAS</t>
  </si>
  <si>
    <t>NEOM Energy (ENOWA)</t>
  </si>
  <si>
    <t>Saudi/LBS</t>
  </si>
  <si>
    <t>Saudi</t>
  </si>
  <si>
    <t>Kubernetes connector host compliance scanning, and whether containerd CIS support built for the Defender carried over to the XDR agent and connector.</t>
  </si>
  <si>
    <t>0014u000022YArZAAW</t>
  </si>
  <si>
    <t>Ministry of Communications and Information Technology</t>
  </si>
  <si>
    <t>Gulf/North Africa</t>
  </si>
  <si>
    <t>Qatar</t>
  </si>
  <si>
    <t>Written question to the KSPM PM.</t>
  </si>
  <si>
    <t>0017000000lkNkTAAU</t>
  </si>
  <si>
    <t>Carrefour (Spain)</t>
  </si>
  <si>
    <t>0014u00001yJU04AAG</t>
  </si>
  <si>
    <t>Access Uk Ltd</t>
  </si>
  <si>
    <t>0017000000jFlOWAA0</t>
  </si>
  <si>
    <t>Ameriprise Financial, Inc.</t>
  </si>
  <si>
    <t>JFrog Artifactory self-hosted in Azure, private. Product (Avishai) confirmed CloudScan covers private ACR and JFrog; JFrog with subdomains needs admin credentials, path-based does not.</t>
  </si>
  <si>
    <t>Confirm whether Manulife's JFrog uses subdomains or paths.</t>
  </si>
  <si>
    <t>0017000000qySuNAAU</t>
  </si>
  <si>
    <t>Standard Bank Group Limited</t>
  </si>
  <si>
    <t>Southern Africa</t>
  </si>
  <si>
    <t>Southern Africa Private</t>
  </si>
  <si>
    <t>0014u000028xwJGAAY</t>
  </si>
  <si>
    <t>Alpiq Ag</t>
  </si>
  <si>
    <t>0017000001DcUXgAAN</t>
  </si>
  <si>
    <t>BAJAJ FINANCE LIMITED</t>
  </si>
  <si>
    <t>Evaluate policies from a local git repo (policy as code) in Cortex CLI (TAC 4186920).</t>
  </si>
  <si>
    <t>0010g00001aEcFbAAK</t>
  </si>
  <si>
    <t>Aptiv Global Operations Limited</t>
  </si>
  <si>
    <t>Ireland</t>
  </si>
  <si>
    <t>From account issues tracker; not yet confirmed as a blocker.</t>
  </si>
  <si>
    <t>0017000000dK3YiAAK</t>
  </si>
  <si>
    <t>The Coca-Cola Company</t>
  </si>
  <si>
    <t>0017000000ndlH6AAI</t>
  </si>
  <si>
    <t>Ally Financial Inc.</t>
  </si>
  <si>
    <t>0017000000hb81BAAQ</t>
  </si>
  <si>
    <t>Suez</t>
  </si>
  <si>
    <t>Nested Terraform module scanning (TAC 4186936; prior RFE PANWRFE-I-1429).</t>
  </si>
  <si>
    <t>0017000000dMIaMAAW</t>
  </si>
  <si>
    <t>Loblaws Inc.</t>
  </si>
  <si>
    <t>0017000000mA9HIAA0</t>
  </si>
  <si>
    <t>Mitsubishi Heavy Industries, Ltd.</t>
  </si>
  <si>
    <t>JP Majors 1</t>
  </si>
  <si>
    <t>0017000000dwYJnAAM</t>
  </si>
  <si>
    <t>Dialog Telekom Plc</t>
  </si>
  <si>
    <t>India Commercial</t>
  </si>
  <si>
    <t>0017000000nyStKAAU</t>
  </si>
  <si>
    <t>Crum and Forster</t>
  </si>
  <si>
    <t>Cortex CLI output shows failed checks only, not passed (TAC 4186889).</t>
  </si>
  <si>
    <t>0014u0000238m8wAAA</t>
  </si>
  <si>
    <t>PT Super Bank Indonesia</t>
  </si>
  <si>
    <t>Indonesia</t>
  </si>
  <si>
    <t>From account issues tracker.</t>
  </si>
  <si>
    <t>0014u000027r2h7AAA</t>
  </si>
  <si>
    <t>Paytm Payments Services Limited</t>
  </si>
  <si>
    <t>0017000000ymVodAAE</t>
  </si>
  <si>
    <t>HCL Americas</t>
  </si>
  <si>
    <t>0010g00001mqdS9AAI</t>
  </si>
  <si>
    <t>Darwinbox Digital Solutions Private Limited</t>
  </si>
  <si>
    <t>Suppress an IaC issue directly from the console link (TAC 4186880).</t>
  </si>
  <si>
    <t>0017000001XPu6EAAT</t>
  </si>
  <si>
    <t>National Skill Development Corporation (NSDC)</t>
  </si>
  <si>
    <t>India Public Sector</t>
  </si>
  <si>
    <t>0017000000nbVORAA2</t>
  </si>
  <si>
    <t>Transbank</t>
  </si>
  <si>
    <t>No dedicated results page for CWP Cortex CLI scans.</t>
  </si>
  <si>
    <t>0010g00001dm3HmAAI</t>
  </si>
  <si>
    <t>Emis Group Plc</t>
  </si>
  <si>
    <t>UK Public</t>
  </si>
  <si>
    <t>0017000000bE0yDAAS</t>
  </si>
  <si>
    <t>Infosys Limited</t>
  </si>
  <si>
    <t>Python custom policy conversion. Customer uses YAML only for IaC policies; Python referred to planned Checkov Kubernetes config scanning, not enabled today.</t>
  </si>
  <si>
    <t>Future use case: Kubernetes config scanning in Cortex CLI (coverage question to AppSec PM).</t>
  </si>
  <si>
    <t>0017000000t9bIaAAI</t>
  </si>
  <si>
    <t>TRANSURBAN GROUP</t>
  </si>
  <si>
    <t>0017000000orq3TAAQ</t>
  </si>
  <si>
    <t>Novant Health</t>
  </si>
  <si>
    <t>Telemetry: 43 network anomaly alerts in CDR (item: Flow logs: anomaly detection in CDR).</t>
  </si>
  <si>
    <t>Validate with customer.</t>
  </si>
  <si>
    <t>0017000000ju7cDAAQ</t>
  </si>
  <si>
    <t>DXC Technology Company</t>
  </si>
  <si>
    <t>0017000000ymt9iAAA</t>
  </si>
  <si>
    <t>Snam Rete Gas S.p.A.</t>
  </si>
  <si>
    <t>Telemetry: 690 CLI remediation policies (11 custom).</t>
  </si>
  <si>
    <t>0010g00001ZYGl0AAH</t>
  </si>
  <si>
    <t>Silverfort Ltd</t>
  </si>
  <si>
    <t>0017000001JMtxAAAT</t>
  </si>
  <si>
    <t>New York City Fire Department (FDNY)</t>
  </si>
  <si>
    <t>Telemetry: 202 asset audit trail API calls in 30 days.</t>
  </si>
  <si>
    <t>0017000000vj0ESAAY</t>
  </si>
  <si>
    <t>Flagstar Bank, N.A.</t>
  </si>
  <si>
    <t>0017000000dIyCpAAK</t>
  </si>
  <si>
    <t>Singapore Telecommunications Limited</t>
  </si>
  <si>
    <t>0017000001KpWicAAF</t>
  </si>
  <si>
    <t>Playtika</t>
  </si>
  <si>
    <t>Telemetry flags Alibaba usage. DC: about 5% of estate on Alibaba (China business unit, Philippines lab).</t>
  </si>
  <si>
    <t>00170000010kSQZAA2</t>
  </si>
  <si>
    <t>Inmobi</t>
  </si>
  <si>
    <t>Telemetry flags EAI support for Azure.</t>
  </si>
  <si>
    <t>0014u00001tDCt9AAG</t>
  </si>
  <si>
    <t>Wipro Limited</t>
  </si>
  <si>
    <t>0017000000Le8WUAAZ</t>
  </si>
  <si>
    <t>Alliance Berstein L.P.</t>
  </si>
  <si>
    <t>0010g00001j75vWAAQ</t>
  </si>
  <si>
    <t>ezCater</t>
  </si>
  <si>
    <t>0017000000ZK0auAAD</t>
  </si>
  <si>
    <t>Dell Inc. (Sell-to)</t>
  </si>
  <si>
    <t>Telemetry flags China coverage. DC confirmed a China business unit.</t>
  </si>
  <si>
    <t>Validate with customer; make no commitments.</t>
  </si>
  <si>
    <t>0017000000nyW67AAE</t>
  </si>
  <si>
    <t>Zurich Financial Group AG</t>
  </si>
  <si>
    <t>0017000000lhzCGAAY</t>
  </si>
  <si>
    <t>KeyBank National Association</t>
  </si>
  <si>
    <t>0017000000hckcpAAA</t>
  </si>
  <si>
    <t>Baker Hughes Oilfield Operations LLC</t>
  </si>
  <si>
    <t>Telemetry: 964 custom config policies.</t>
  </si>
  <si>
    <t>0017000000p63kNAAQ</t>
  </si>
  <si>
    <t>Enterprise Products Partners L.P.</t>
  </si>
  <si>
    <t>Validate count in translation scope with customer.</t>
  </si>
  <si>
    <t>0017000001Kr9P1AAJ</t>
  </si>
  <si>
    <t>Onity Group Inc.</t>
  </si>
  <si>
    <t>0017000000gH6m3AAC</t>
  </si>
  <si>
    <t>Schlumberger Technology Corporation</t>
  </si>
  <si>
    <t>0017000000f1hWDAAY</t>
  </si>
  <si>
    <t>0014u000027r4ZjAAI</t>
  </si>
  <si>
    <t>Xaira Therapeutics</t>
  </si>
  <si>
    <t>00170000019KsKPAA0</t>
  </si>
  <si>
    <t>Zoom Video Communications, Inc.</t>
  </si>
  <si>
    <t>Telemetry validate item: Evidence support for CIEM.</t>
  </si>
  <si>
    <t>0017000000bECMQAA4</t>
  </si>
  <si>
    <t>Broadcom Corporation</t>
  </si>
  <si>
    <t>0017000000nBPYcAAO</t>
  </si>
  <si>
    <t>Wesfarmers Bunnings Limited</t>
  </si>
  <si>
    <t>ANZ Regional and Federal and Defence</t>
  </si>
  <si>
    <t>0014u00001v8iIBAAY</t>
  </si>
  <si>
    <t>GXS BANK PTE. LTD</t>
  </si>
  <si>
    <t>0017000000woxnfAAA</t>
  </si>
  <si>
    <t>CSC</t>
  </si>
  <si>
    <t>0017000001AewZiAAJ</t>
  </si>
  <si>
    <t>TriNet USA Inc.</t>
  </si>
  <si>
    <t xml:space="preserve">Use of pURL as a field in cortex that can sync to their workflows such as jira or snow vr </t>
  </si>
  <si>
    <t>Sprint 1</t>
  </si>
  <si>
    <t>Pending validation</t>
  </si>
  <si>
    <t>0017000000zhcptAAA</t>
  </si>
  <si>
    <t>Gold Fields Limited</t>
  </si>
  <si>
    <t>0017000000jElv6AAC</t>
  </si>
  <si>
    <t>Excellus BlueCross BlueShield</t>
  </si>
  <si>
    <t>0010g00001lQxmeAAC</t>
  </si>
  <si>
    <t>LIBERTY GROUP LTD</t>
  </si>
  <si>
    <t>blocker</t>
  </si>
  <si>
    <t>Lightweight agent needed to limit resource consumption</t>
  </si>
  <si>
    <t>0017000000ZKsJcAAL</t>
  </si>
  <si>
    <t>Los Angeles Unified School District</t>
  </si>
  <si>
    <t>0017000000WdcfKAAR</t>
  </si>
  <si>
    <t>ADT Security Services, Inc.</t>
  </si>
  <si>
    <t>0010g00001j76JOAAY</t>
  </si>
  <si>
    <t>White Cap Supply Holdings, LLC</t>
  </si>
  <si>
    <t>Azure Linux 2.0 is being deprecated from Azure and we need confirmation we will be supporting V3</t>
  </si>
  <si>
    <t>0017000000yNK04AAG</t>
  </si>
  <si>
    <t>Israel Police</t>
  </si>
  <si>
    <t>Cortex CLI: --skip-check wildcard (CKV*)</t>
  </si>
  <si>
    <t>0017000000s7lJ5AAI</t>
  </si>
  <si>
    <t>Aumovio</t>
  </si>
  <si>
    <t>France Enterprise</t>
  </si>
  <si>
    <t>Pipelines exclude rules with --skip-check CKV*. Cortex CLI lacks the flag. P0, customer-confirmed (TAC 4186899).</t>
  </si>
  <si>
    <t>Split from the combined CLI flags row. Product list to Elad Oct 27.</t>
  </si>
  <si>
    <t>Cortex CLI: EVAL_TF_PLAN_AFTER_UNKNOWN</t>
  </si>
  <si>
    <t>0010g00001doVZcAAM</t>
  </si>
  <si>
    <t>Evergy, Inc</t>
  </si>
  <si>
    <t>Terraform plan scanning with EVAL_TF_PLAN_AFTER_UNKNOWN=true; tfplan.json scans run in the customer pipelines. Cortex CLI lacks the setting. P0, customer-confirmed (TAC 4186899).</t>
  </si>
  <si>
    <t xml:space="preserve">Gilead Sciences </t>
  </si>
  <si>
    <t>0017000000nyW8cAAE</t>
  </si>
  <si>
    <t>CODERE</t>
  </si>
  <si>
    <t>0017000001NU1MzAAL</t>
  </si>
  <si>
    <t>STARHUB LTD.</t>
  </si>
  <si>
    <t>0014u00001yK2WxAAK</t>
  </si>
  <si>
    <t>Paytm Money Limited</t>
  </si>
  <si>
    <t>0017000000ka7MQAAY</t>
  </si>
  <si>
    <t>Tnuva</t>
  </si>
  <si>
    <t>0017000000dJHLUAA4</t>
  </si>
  <si>
    <t>Amdocs (Israel) Ltd.</t>
  </si>
  <si>
    <t>00170000012OqvJAAS</t>
  </si>
  <si>
    <t>ALINTA ENERGY HOLDINGS PTY LTD</t>
  </si>
  <si>
    <t>0017000001RLMsFAAX</t>
  </si>
  <si>
    <t>FQE</t>
  </si>
  <si>
    <t>0014u0000236TrDAAU</t>
  </si>
  <si>
    <t>Us Technology International Private Limited</t>
  </si>
  <si>
    <t>0017000001K1QrCAAV</t>
  </si>
  <si>
    <t>Franklin Templeton Services, LLC</t>
  </si>
  <si>
    <t>0010g00001ZZTxNAAX</t>
  </si>
  <si>
    <t>Tandem Bank</t>
  </si>
  <si>
    <t>UK Regional</t>
  </si>
  <si>
    <t>0014u000021JsYaAAK</t>
  </si>
  <si>
    <t>Scientific Games LLC</t>
  </si>
  <si>
    <t>0017000001A81xLAAR</t>
  </si>
  <si>
    <t>City of Virginia Beach</t>
  </si>
  <si>
    <t>SLED Southeast</t>
  </si>
  <si>
    <t>0017000001VuZoWAAV</t>
  </si>
  <si>
    <t>Rategain IT Solutions Pvt Ltd</t>
  </si>
  <si>
    <t>0017000001CLpBBAA1</t>
  </si>
  <si>
    <t>Banco Industrial SA</t>
  </si>
  <si>
    <t>0010g00001inQVCAA2</t>
  </si>
  <si>
    <t>Star Health And Allied Insurance Company Limited</t>
  </si>
  <si>
    <t>0017000000WT6RiAAL</t>
  </si>
  <si>
    <t>BCD Travel USA LLC</t>
  </si>
  <si>
    <t>00170000018SSaSAAW</t>
  </si>
  <si>
    <t>TEXAS ROADHOUSE, INC.</t>
  </si>
  <si>
    <t>00170000016V5wnAAC</t>
  </si>
  <si>
    <t>HAVELLS INDIA LIMITED</t>
  </si>
  <si>
    <t>0017000000vEvgOAAS</t>
  </si>
  <si>
    <t>Aditya Birla Management Corporation Ltd.</t>
  </si>
  <si>
    <t>0010g00001lS14uAAC</t>
  </si>
  <si>
    <t>Galactus Funware Technology Private Limited</t>
  </si>
  <si>
    <t>0010g00001j3CUfAAM</t>
  </si>
  <si>
    <t>Equitas Small Finance Bank Limited</t>
  </si>
  <si>
    <t>0017000000vj9YgAAI</t>
  </si>
  <si>
    <t>National Hockey League</t>
  </si>
  <si>
    <t>0017000001Da8uNAAR</t>
  </si>
  <si>
    <t>LINEAGE LOGISTICS HOLDINGS, LLC</t>
  </si>
  <si>
    <t>0017000000vFYOcAAO</t>
  </si>
  <si>
    <t>Shinko Electric Industries Co., Ltd.</t>
  </si>
  <si>
    <t>0017000000lhJ3CAAU</t>
  </si>
  <si>
    <t>Willdan Group, Inc.</t>
  </si>
  <si>
    <t>0017000000uktEAAAY</t>
  </si>
  <si>
    <t>Cohort 5: Not started, blockers close in the Apr release or have no timeline (Tier 1/ Tier 2)</t>
  </si>
  <si>
    <t>0017000000qxxOTAAY</t>
  </si>
  <si>
    <t>Humana Inc.</t>
  </si>
  <si>
    <t>Cohort 4: Not started, blockers close in the Jan release (Tier 1/ Tier 2)</t>
  </si>
  <si>
    <t>0017000000SzrgQAAR</t>
  </si>
  <si>
    <t>Iron Mountain Incorporated</t>
  </si>
  <si>
    <t>0017000000qySw8AAE</t>
  </si>
  <si>
    <t>UnitedHealth Group</t>
  </si>
  <si>
    <t>0017000000nAuipAAC</t>
  </si>
  <si>
    <t>Workday</t>
  </si>
  <si>
    <t>0014u000028yZtiAAE</t>
  </si>
  <si>
    <t>Deloitte Services Lp</t>
  </si>
  <si>
    <t>0017000000qxBsIAAU</t>
  </si>
  <si>
    <t>Mastercard Incorporated</t>
  </si>
  <si>
    <t>0017000000LKbnCAAT</t>
  </si>
  <si>
    <t>The Goldman Sachs Group, Inc.</t>
  </si>
  <si>
    <t>0010g00001lR5nuAAC</t>
  </si>
  <si>
    <t>Proquire LLC</t>
  </si>
  <si>
    <t>0017000000dxRkQAAU</t>
  </si>
  <si>
    <t>Nvidia Corporation</t>
  </si>
  <si>
    <t>0017000000lhKmWAAU</t>
  </si>
  <si>
    <t>Vonage Holdings Corp</t>
  </si>
  <si>
    <t>Cohort 2: Not started, no major blockers identified (Tier 1/ Tier 2)</t>
  </si>
  <si>
    <t>0017000000RGbKaAAL</t>
  </si>
  <si>
    <t>Wells Fargo &amp; Company</t>
  </si>
  <si>
    <t>00170000015EsOPAA0</t>
  </si>
  <si>
    <t>Verizon Wireless</t>
  </si>
  <si>
    <t>0017000000VhqekAAB</t>
  </si>
  <si>
    <t>Cigna Corporation</t>
  </si>
  <si>
    <t>Cohort 3: Not started, blockers close in the Oct release (Tier 1/ Tier 2)</t>
  </si>
  <si>
    <t>0017000000dxgv6AAA</t>
  </si>
  <si>
    <t>Informatica LLC (affiliate of Salesforce Inc.)</t>
  </si>
  <si>
    <t>0014u000027qQT7AAM</t>
  </si>
  <si>
    <t>Fed- Marigold1</t>
  </si>
  <si>
    <t>0014u00001xvjD2AAI</t>
  </si>
  <si>
    <t>Flexera Software Pty Limited</t>
  </si>
  <si>
    <t>0017000000dxRI5AAM</t>
  </si>
  <si>
    <t>State Farm Mutual Automobile Insurance Company</t>
  </si>
  <si>
    <t>0017000001EEYXJAA5</t>
  </si>
  <si>
    <t>OpenText</t>
  </si>
  <si>
    <t>0017000001SyRUtAAN</t>
  </si>
  <si>
    <t>Deutsche Bank AG</t>
  </si>
  <si>
    <t>0017000001K1QtXAAV</t>
  </si>
  <si>
    <t>Coupa Software Incorporated</t>
  </si>
  <si>
    <t>0017000000fRRaoAAG</t>
  </si>
  <si>
    <t>Societe Generale</t>
  </si>
  <si>
    <t>0017000000nyWIeAAM</t>
  </si>
  <si>
    <t>Deutsche Borse</t>
  </si>
  <si>
    <t>0014u00001oyMAwAAM</t>
  </si>
  <si>
    <t>Deloitte Global Services Limited</t>
  </si>
  <si>
    <t>0017000000YuJKHAA3</t>
  </si>
  <si>
    <t>Rogers Communications Canada Inc</t>
  </si>
  <si>
    <t>0014u00002BHQIvAAP</t>
  </si>
  <si>
    <t>Fed-Sunflower23</t>
  </si>
  <si>
    <t>0017000000ndeo5AAA</t>
  </si>
  <si>
    <t>Australia And New Zealand Banking Group Limited</t>
  </si>
  <si>
    <t>ANZ NGS</t>
  </si>
  <si>
    <t>0014u000027r2E7AAI</t>
  </si>
  <si>
    <t>Fed-Tulip</t>
  </si>
  <si>
    <t>0017000001SyAn0AAF</t>
  </si>
  <si>
    <t>Conduent, Inc.</t>
  </si>
  <si>
    <t>0017000000qMFgWAAW</t>
  </si>
  <si>
    <t>Sas Institute Inc.</t>
  </si>
  <si>
    <t>0017000000bDbA5AAK</t>
  </si>
  <si>
    <t>Dish Network Corporation</t>
  </si>
  <si>
    <t>N/A: Upgrade completed</t>
  </si>
  <si>
    <t>0014u000028TVZcAAO</t>
  </si>
  <si>
    <t>Medidata US - FedRAMP</t>
  </si>
  <si>
    <t>0017000000lkVzyAAE</t>
  </si>
  <si>
    <t>Repsol Sa.</t>
  </si>
  <si>
    <t>0017000001VtMlXAAV</t>
  </si>
  <si>
    <t>Ivanti</t>
  </si>
  <si>
    <t>00170000016VQtjAAG</t>
  </si>
  <si>
    <t>Bell Canada</t>
  </si>
  <si>
    <t>0017000000n7jnpAAA</t>
  </si>
  <si>
    <t>Thales DIS CPL Canada, Inc</t>
  </si>
  <si>
    <t>0017000001RLyzXAAT</t>
  </si>
  <si>
    <t>ZoomInfo Technologies LLC</t>
  </si>
  <si>
    <t>00170000011MGZ8AAO</t>
  </si>
  <si>
    <t>Take Two Interactive Software, Inc.</t>
  </si>
  <si>
    <t>0017000000l9go9AAA</t>
  </si>
  <si>
    <t>Motorola Solutions, Inc.(Global HQ)</t>
  </si>
  <si>
    <t>0017000000gGqC6AAK</t>
  </si>
  <si>
    <t>Southwest Airlines Co.</t>
  </si>
  <si>
    <t>0017000000qySr7AAE</t>
  </si>
  <si>
    <t>Nomura Holdings, Inc.</t>
  </si>
  <si>
    <t>0017000000jCujaAAC</t>
  </si>
  <si>
    <t>The Gap Inc</t>
  </si>
  <si>
    <t>0017000000jFHZ4AAO</t>
  </si>
  <si>
    <t>Edward Jones</t>
  </si>
  <si>
    <t>0017000000qxy7KAAQ</t>
  </si>
  <si>
    <t>Nationwide Corporation</t>
  </si>
  <si>
    <t>0017000001Ep14BAAR</t>
  </si>
  <si>
    <t>Finicity</t>
  </si>
  <si>
    <t>0017000000p5yWwAAI</t>
  </si>
  <si>
    <t>Citizens Financial Group, Inc.</t>
  </si>
  <si>
    <t>0017000001BRQFlAAP</t>
  </si>
  <si>
    <t>Itau Unibanco Holding S/A.</t>
  </si>
  <si>
    <t>0017000000cKiWsAAK</t>
  </si>
  <si>
    <t>The Progressive Corporation</t>
  </si>
  <si>
    <t>0017000000qySoyAAE</t>
  </si>
  <si>
    <t>Kohl's Corporation</t>
  </si>
  <si>
    <t>0017000000y1IDdAAM</t>
  </si>
  <si>
    <t>Early Warning Services, LLC</t>
  </si>
  <si>
    <t>0010g00001mqFCrAAM</t>
  </si>
  <si>
    <t>Mayo Foundation For Medical Education And Research</t>
  </si>
  <si>
    <t>0017000000WdL99AAF</t>
  </si>
  <si>
    <t>DATEV eG</t>
  </si>
  <si>
    <t>Germany Majors Engaged</t>
  </si>
  <si>
    <t>0017000000gGAfNAAW</t>
  </si>
  <si>
    <t>Intesa Sanpaolo Spa</t>
  </si>
  <si>
    <t>0017000000lDTOOAA4</t>
  </si>
  <si>
    <t>Best Buy Co., Inc.</t>
  </si>
  <si>
    <t>0010g00001ZYXUWAA5</t>
  </si>
  <si>
    <t>Australian Digital Health Agency</t>
  </si>
  <si>
    <t>0017000000cKmeoAAC</t>
  </si>
  <si>
    <t>Danske Bank A/S</t>
  </si>
  <si>
    <t>0010g00001by2cKAAQ</t>
  </si>
  <si>
    <t>Aia Shared Services (hong Kong) Limited</t>
  </si>
  <si>
    <t>Greater China</t>
  </si>
  <si>
    <t>Hong Kong</t>
  </si>
  <si>
    <t>0017000000dxRjYAAU</t>
  </si>
  <si>
    <t>Harmonic, Inc.</t>
  </si>
  <si>
    <t>0017000000rX2T0AAK</t>
  </si>
  <si>
    <t>Transport For NSW</t>
  </si>
  <si>
    <t>0017000001OwGd1AAF</t>
  </si>
  <si>
    <t>Procore Technologies, Inc.</t>
  </si>
  <si>
    <t>0017000000oqoP7AAI</t>
  </si>
  <si>
    <t>BHP Group Limited</t>
  </si>
  <si>
    <t>0017000000jt9pHAAQ</t>
  </si>
  <si>
    <t>Halliburton Company</t>
  </si>
  <si>
    <t>0017000000dJXsjAAG</t>
  </si>
  <si>
    <t>Ericsson AB</t>
  </si>
  <si>
    <t>Sweden</t>
  </si>
  <si>
    <t>00170000011NmIjAAK</t>
  </si>
  <si>
    <t>Rocket Mortgage</t>
  </si>
  <si>
    <t>0017000000lDWpRAAW</t>
  </si>
  <si>
    <t>New York City Office of Technology &amp; Innovation (OTI) - Infrastructure Mgmt (IM)</t>
  </si>
  <si>
    <t>0017000000qLMXMAA4</t>
  </si>
  <si>
    <t>Change Healthcare</t>
  </si>
  <si>
    <t>0010g00001aCYftAAG</t>
  </si>
  <si>
    <t>Stitch Fix, Inc.</t>
  </si>
  <si>
    <t>0017000000nc6UzAAI</t>
  </si>
  <si>
    <t>Bank Of Queensland Limited</t>
  </si>
  <si>
    <t>Queensland</t>
  </si>
  <si>
    <t>0017000000qySpFAAU</t>
  </si>
  <si>
    <t>Latam Airlines Group S.a.</t>
  </si>
  <si>
    <t>0017000001CKbvfAAD</t>
  </si>
  <si>
    <t>CDK Global, Inc.</t>
  </si>
  <si>
    <t>0010g00001j3EOnAAM</t>
  </si>
  <si>
    <t>Amway Corp.</t>
  </si>
  <si>
    <t>0017000000p70WcAAI</t>
  </si>
  <si>
    <t>Gilead Sciences</t>
  </si>
  <si>
    <t>0010g00001bxAP0AAM</t>
  </si>
  <si>
    <t>Shipt, Inc.</t>
  </si>
  <si>
    <t>0017000000wKy6fAAC</t>
  </si>
  <si>
    <t>American Family Mutual Insurance Company</t>
  </si>
  <si>
    <t>0014u00001mrE37AAE</t>
  </si>
  <si>
    <t>BV Leasing Arrendamento Mercantil S/A</t>
  </si>
  <si>
    <t>0017000000ZKt2vAAD</t>
  </si>
  <si>
    <t>Barclays PLC</t>
  </si>
  <si>
    <t>0017000000pdo3bAAA</t>
  </si>
  <si>
    <t>Universal Music Group Inc.</t>
  </si>
  <si>
    <t>0017000000q5QFCAA2</t>
  </si>
  <si>
    <t>Teradata Corporation</t>
  </si>
  <si>
    <t>0017000000gGJSLAA4</t>
  </si>
  <si>
    <t>Safran Group</t>
  </si>
  <si>
    <t>0017000000pcsf7AAA</t>
  </si>
  <si>
    <t>GM Financial</t>
  </si>
  <si>
    <t>0014u000027rAA1AAM</t>
  </si>
  <si>
    <t>Fed-Jasmine1</t>
  </si>
  <si>
    <t>0014u000027qd6oAAA</t>
  </si>
  <si>
    <t>Fed- Marigold4</t>
  </si>
  <si>
    <t>00170000016VGK0AAO</t>
  </si>
  <si>
    <t>Northwell Health, Inc.</t>
  </si>
  <si>
    <t>0017000000qySndAAE</t>
  </si>
  <si>
    <t>Icici Bank Limited</t>
  </si>
  <si>
    <t>0017000000rWy0vAAC</t>
  </si>
  <si>
    <t>Volvo Car Sverige Ab</t>
  </si>
  <si>
    <t>0017000000qL9idAAC</t>
  </si>
  <si>
    <t>Semiconductor Component Industries, LLC</t>
  </si>
  <si>
    <t>0010g00001j623PAAQ</t>
  </si>
  <si>
    <t>Banco Inter</t>
  </si>
  <si>
    <t>Unassigned</t>
  </si>
  <si>
    <t>Cohort 6: Scaled cohort</t>
  </si>
  <si>
    <t>0017000000nyj4tAAA</t>
  </si>
  <si>
    <t>Origin Energy Services Limited</t>
  </si>
  <si>
    <t>0017000000jFc3iAAC</t>
  </si>
  <si>
    <t>Swisscom AG (IT-Services, Internal IT)</t>
  </si>
  <si>
    <t>0017000000jEcVYAA0</t>
  </si>
  <si>
    <t>The Guardian Life Insurance Company of America</t>
  </si>
  <si>
    <t>0010g00001fsFkAAAU</t>
  </si>
  <si>
    <t>IDFC FIRST Bank Ltd</t>
  </si>
  <si>
    <t>0017000000bDU1BAAW</t>
  </si>
  <si>
    <t>MMS Technology GmbH</t>
  </si>
  <si>
    <t>0014u0000200pvdAAA</t>
  </si>
  <si>
    <t>Australia And New Zealand Banking Group Limited - Twistlock</t>
  </si>
  <si>
    <t>0017000000YEz3HAAT</t>
  </si>
  <si>
    <t>Natixis</t>
  </si>
  <si>
    <t>0017000000fSL7WAAW</t>
  </si>
  <si>
    <t>First Abu Dhabi Bank (FAB)</t>
  </si>
  <si>
    <t>UAE/Oman</t>
  </si>
  <si>
    <t>0014u00001wl14hAAA</t>
  </si>
  <si>
    <t>SingleStore, Inc.</t>
  </si>
  <si>
    <t>0014u00001mr72fAAA</t>
  </si>
  <si>
    <t>Fivetran, Inc.</t>
  </si>
  <si>
    <t>00170000014MJliAAG</t>
  </si>
  <si>
    <t>Csl Behring L.L.C.</t>
  </si>
  <si>
    <t>0017000000ynFVxAAM</t>
  </si>
  <si>
    <t>Securian Financial Group, Inc.</t>
  </si>
  <si>
    <t>0014u000027qvhjAAA</t>
  </si>
  <si>
    <t>Fed-Tulip8</t>
  </si>
  <si>
    <t>0010g00001bzZX3AAM</t>
  </si>
  <si>
    <t>IRB Holding Corp.</t>
  </si>
  <si>
    <t>0017000000y1JzRAAU</t>
  </si>
  <si>
    <t>EXL SERVICE.COM (INDIA) PRIVATE LIMITED</t>
  </si>
  <si>
    <t>0017000000bFvrhAAC</t>
  </si>
  <si>
    <t>Marks and Spencer Group Plc</t>
  </si>
  <si>
    <t>0010g00001bxSfGAAU</t>
  </si>
  <si>
    <t>Sompo Systems Inc.</t>
  </si>
  <si>
    <t>00170000015EOvFAAW</t>
  </si>
  <si>
    <t>Inland Revenue Authority of Singapore</t>
  </si>
  <si>
    <t>0017000000qySmoAAE</t>
  </si>
  <si>
    <t>Hdfc Bank Limited</t>
  </si>
  <si>
    <t>0014u00001zFbT2AAK</t>
  </si>
  <si>
    <t>SONY GLOBAL SOLUTIONS INC. - Sony Group Prisma Cloud</t>
  </si>
  <si>
    <t>0017000000nyWFiAAM</t>
  </si>
  <si>
    <t>Saudi Arabian Oil Co. (ARAMCO)</t>
  </si>
  <si>
    <t>00170000016UVNBAA4</t>
  </si>
  <si>
    <t>Environmental Systems Research Institute, Inc. (ESRI)</t>
  </si>
  <si>
    <t>0010g00001aEuiVAAS</t>
  </si>
  <si>
    <t>Telus International</t>
  </si>
  <si>
    <t>0017000000tBI26AAG</t>
  </si>
  <si>
    <t>Nedbank Group Limited</t>
  </si>
  <si>
    <t>0017000000MfYnQAAV</t>
  </si>
  <si>
    <t>Genworth Financial, Inc.</t>
  </si>
  <si>
    <t>0014u000027rFXYAA2</t>
  </si>
  <si>
    <t>Fed-Lilly3</t>
  </si>
  <si>
    <t>0014u00001tEztXAAS</t>
  </si>
  <si>
    <t>Conrad Electronic Se</t>
  </si>
  <si>
    <t>Germany Mittelstand</t>
  </si>
  <si>
    <t>0017000000lDeFkAAK</t>
  </si>
  <si>
    <t>Old Mutual Limited</t>
  </si>
  <si>
    <t>0017000000kbjryAAA</t>
  </si>
  <si>
    <t>Huntington Bancshares Incorporated</t>
  </si>
  <si>
    <t>0017000000fSIkgAAG</t>
  </si>
  <si>
    <t>Abu Dhabi National Oil Company (ADNOC)</t>
  </si>
  <si>
    <t>0017000000YuJJiAAN</t>
  </si>
  <si>
    <t>WEX</t>
  </si>
  <si>
    <t>0017000000mkFcoAAE</t>
  </si>
  <si>
    <t>Bank Of Ayudhya Public Company Limited</t>
  </si>
  <si>
    <t>Thailand</t>
  </si>
  <si>
    <t>0017000000pgP9DAAU</t>
  </si>
  <si>
    <t>Laboratory Corporation of America Holdings</t>
  </si>
  <si>
    <t>0017000000tC2goAAC</t>
  </si>
  <si>
    <t>EBSCO PUBLISHING, INC.</t>
  </si>
  <si>
    <t>0014u000028UVxKAAW</t>
  </si>
  <si>
    <t>Home Office Emergency Services Network (ESN)</t>
  </si>
  <si>
    <t>0017000000fRejNAAS</t>
  </si>
  <si>
    <t>HD Supply</t>
  </si>
  <si>
    <t>0017000001Db14CAAR</t>
  </si>
  <si>
    <t>Deutsche Post IT Services GmbH</t>
  </si>
  <si>
    <t>0017000000YwZWJAA3</t>
  </si>
  <si>
    <t>Air Products And Chemicals, Inc.</t>
  </si>
  <si>
    <t>0017000000qySoBAAU</t>
  </si>
  <si>
    <t>Jabil Circuit, Inc.</t>
  </si>
  <si>
    <t>0017000000dJcDSAA0</t>
  </si>
  <si>
    <t>Dick's Sporting Goods</t>
  </si>
  <si>
    <t>0017000000gH7YoAAK</t>
  </si>
  <si>
    <t>Eni S.p.A.</t>
  </si>
  <si>
    <t>0017000000VSIcAAAX</t>
  </si>
  <si>
    <t>M&amp;T Bank</t>
  </si>
  <si>
    <t>0017000000f3p7LAAQ</t>
  </si>
  <si>
    <t>Acciona, Sa</t>
  </si>
  <si>
    <t>0017000001VuIJ4AAN</t>
  </si>
  <si>
    <t>Idf / Mamram</t>
  </si>
  <si>
    <t>0017000000Q4IJWAA3</t>
  </si>
  <si>
    <t>Blackhawk Network, Inc.</t>
  </si>
  <si>
    <t>0017000001QXQfAAAX</t>
  </si>
  <si>
    <t>Mimecast North America, Inc.</t>
  </si>
  <si>
    <t>0017000000kaYGVAA2</t>
  </si>
  <si>
    <t>BCBSM Inc.</t>
  </si>
  <si>
    <t>0017000000dy94zAAA</t>
  </si>
  <si>
    <t>United Services Automobile Association</t>
  </si>
  <si>
    <t>0014u000023wblKAAQ</t>
  </si>
  <si>
    <t>Michaels Stores Procurement Company, Inc.</t>
  </si>
  <si>
    <t>0014u000027qwDuAAI</t>
  </si>
  <si>
    <t>Fed-Sunflower9</t>
  </si>
  <si>
    <t>0017000000fSXmAAAW</t>
  </si>
  <si>
    <t>Telefonica  Germany Gmbh &amp; Co. Ohg</t>
  </si>
  <si>
    <t>0017000000ZN3B5AAL</t>
  </si>
  <si>
    <t>Providence Saint Joseph Health</t>
  </si>
  <si>
    <t>0017000001Oun7HAAR</t>
  </si>
  <si>
    <t>Gosoft (Thailand) Company Limited</t>
  </si>
  <si>
    <t>0017000000QgIUiAAN</t>
  </si>
  <si>
    <t>Eaton Vance</t>
  </si>
  <si>
    <t>0014u00002BHMOhAAP</t>
  </si>
  <si>
    <t>Fed-Sunflower19</t>
  </si>
  <si>
    <t>0017000000KW3nuAAD</t>
  </si>
  <si>
    <t>Sentara Health</t>
  </si>
  <si>
    <t>0010g00001hn9boAAA</t>
  </si>
  <si>
    <t>Singapore Life Ltd</t>
  </si>
  <si>
    <t>0017000000wKdW1AAK</t>
  </si>
  <si>
    <t>Grupo Nacional Provincial, S.A.B.</t>
  </si>
  <si>
    <t>Mexico</t>
  </si>
  <si>
    <t>0017000000uj6qdAAA</t>
  </si>
  <si>
    <t>Under Armour, Inc.</t>
  </si>
  <si>
    <t>0010g00001inKlxAAE</t>
  </si>
  <si>
    <t>9219-1568 Quebec Inc.</t>
  </si>
  <si>
    <t>Scale cohort</t>
  </si>
  <si>
    <t>0017000000pcuYRAAY</t>
  </si>
  <si>
    <t>The Siam Commercial Bank Public Company Limited</t>
  </si>
  <si>
    <t>0017000000qKrHUAA0</t>
  </si>
  <si>
    <t>Canadian National Railway Company</t>
  </si>
  <si>
    <t>0010g00001bykzFAAQ</t>
  </si>
  <si>
    <t>Benchling, Inc.</t>
  </si>
  <si>
    <t>0017000000SIcaNAAT</t>
  </si>
  <si>
    <t>AQR Capital Management, LLC</t>
  </si>
  <si>
    <t>0014u00002BHEtaAAH</t>
  </si>
  <si>
    <t>Fed-Sunflower15</t>
  </si>
  <si>
    <t>0010g00001ZYuQ1AAL</t>
  </si>
  <si>
    <t>Star Lizard Consulting Limited</t>
  </si>
  <si>
    <t>0017000001K4YYfAAN</t>
  </si>
  <si>
    <t>Altus Group Limited</t>
  </si>
  <si>
    <t>0014u00001yJHIfAAO</t>
  </si>
  <si>
    <t>Mpokket Financial Services Private Limited</t>
  </si>
  <si>
    <t>00170000011NoJaAAK</t>
  </si>
  <si>
    <t>TMX Group Inc.</t>
  </si>
  <si>
    <t>0017000001Ho20uAAB</t>
  </si>
  <si>
    <t>Georgia-Pacific Llc</t>
  </si>
  <si>
    <t>0017000000O8wYnAAJ</t>
  </si>
  <si>
    <t>Zions Bancorp</t>
  </si>
  <si>
    <t>0017000001AcnAjAAJ</t>
  </si>
  <si>
    <t>RIGHTMOVE GROUP LTD</t>
  </si>
  <si>
    <t>0017000000drNVKAA2</t>
  </si>
  <si>
    <t>LG Electronics</t>
  </si>
  <si>
    <t>0017000000yMbTbAAK</t>
  </si>
  <si>
    <t>Proquire Plus Inc (Accenture)</t>
  </si>
  <si>
    <t>AMER HQ</t>
  </si>
  <si>
    <t>0017000000hbvJiAAI</t>
  </si>
  <si>
    <t>Kellanova</t>
  </si>
  <si>
    <t>0014u00001mr6SdAAI</t>
  </si>
  <si>
    <t>Auchan Retail International</t>
  </si>
  <si>
    <t>0017000001OWT6HAAX</t>
  </si>
  <si>
    <t>Liferay, Inc.</t>
  </si>
  <si>
    <t>0010g00001dmyxiAAA</t>
  </si>
  <si>
    <t>Moneygram Payment Systems, Inc.</t>
  </si>
  <si>
    <t>0017000000bFzXDAA0</t>
  </si>
  <si>
    <t>Visa Inc.</t>
  </si>
  <si>
    <t>0014u000028R9ILAA0</t>
  </si>
  <si>
    <t>Department of Employment and Workplace Relations</t>
  </si>
  <si>
    <t>0017000000qySvsAAE</t>
  </si>
  <si>
    <t>Transatlantic Holdings Inc.</t>
  </si>
  <si>
    <t>0017000000TgpLPAAZ</t>
  </si>
  <si>
    <t>Panasonic Avionics Corporation</t>
  </si>
  <si>
    <t>0014u00001yJB8eAAG</t>
  </si>
  <si>
    <t>Definity Insurance Company</t>
  </si>
  <si>
    <t>0017000001SwTr0AAF</t>
  </si>
  <si>
    <t>Rubrik, Inc.</t>
  </si>
  <si>
    <t>0017000001XQx9gAAD</t>
  </si>
  <si>
    <t>Berkshire Hathaway Energy Company</t>
  </si>
  <si>
    <t>0017000000gFYoxAAG</t>
  </si>
  <si>
    <t>Greensky Trade Credit, LLC</t>
  </si>
  <si>
    <t>0017000000UU36IAAT</t>
  </si>
  <si>
    <t>DeLaval AB</t>
  </si>
  <si>
    <t>0017000001BTML6AAP</t>
  </si>
  <si>
    <t>Tata Aia Life Insurance Company Limited</t>
  </si>
  <si>
    <t>0014u00002BGxvKAAT</t>
  </si>
  <si>
    <t>Fed-Tulip44</t>
  </si>
  <si>
    <t>0017000001A7yDbAAJ</t>
  </si>
  <si>
    <t>Auto-Owners Insurance Company</t>
  </si>
  <si>
    <t>0017000000lAcxEAAS</t>
  </si>
  <si>
    <t>Denso Corporation</t>
  </si>
  <si>
    <t>JP Majors 3</t>
  </si>
  <si>
    <t>0010g00001j54NTAAY</t>
  </si>
  <si>
    <t>Mahindra And Mahindra Limited</t>
  </si>
  <si>
    <t>0014u00002BHF1BAAX</t>
  </si>
  <si>
    <t>Fed-Sunflower16</t>
  </si>
  <si>
    <t>0014u00001nyOYuAAM</t>
  </si>
  <si>
    <t>Kahoot! As</t>
  </si>
  <si>
    <t>Norway</t>
  </si>
  <si>
    <t>0017000000hdAQGAA2</t>
  </si>
  <si>
    <t>BMO Blue Rewards, Inc</t>
  </si>
  <si>
    <t>0017000001OWS7pAAH</t>
  </si>
  <si>
    <t>Varonis Systems Ltd</t>
  </si>
  <si>
    <t>0017000001A89MMAAZ</t>
  </si>
  <si>
    <t>Cone Health</t>
  </si>
  <si>
    <t>0017000001V3uKuAAJ</t>
  </si>
  <si>
    <t>Pricewaterhousecoopers China Holding Limited</t>
  </si>
  <si>
    <t>China</t>
  </si>
  <si>
    <t>0017000000oXamlAAC</t>
  </si>
  <si>
    <t>PKO BP S.A.</t>
  </si>
  <si>
    <t>Poland</t>
  </si>
  <si>
    <t>0017000000gE45AAAS</t>
  </si>
  <si>
    <t>Charter Communications, Inc.</t>
  </si>
  <si>
    <t>0014u00002AnMZMAA3</t>
  </si>
  <si>
    <t>Black Duck Software, Inc.</t>
  </si>
  <si>
    <t>0017000000mIs6BAAS</t>
  </si>
  <si>
    <t>Mattel, Inc.</t>
  </si>
  <si>
    <t>0017000000nchDpAAI</t>
  </si>
  <si>
    <t>Boehringer Ingelheim GmbH</t>
  </si>
  <si>
    <t>0017000000rWLpoAAG</t>
  </si>
  <si>
    <t>Orsted A/S</t>
  </si>
  <si>
    <t>0017000000tCmcjAAC</t>
  </si>
  <si>
    <t>Andersen Corporation</t>
  </si>
  <si>
    <t>0017000001Kqxa8AAB</t>
  </si>
  <si>
    <t>Coursera, Inc.</t>
  </si>
  <si>
    <t>001700000138jhSAAQ</t>
  </si>
  <si>
    <t>Brunswick Corporation</t>
  </si>
  <si>
    <t>Select Central</t>
  </si>
  <si>
    <t>0017000001K4jHOAAZ</t>
  </si>
  <si>
    <t>Teranet Inc</t>
  </si>
  <si>
    <t>0017000000ZLkXeAAL</t>
  </si>
  <si>
    <t>Bankinter Sociedad Anonima</t>
  </si>
  <si>
    <t>0017000001GFlCoAAL</t>
  </si>
  <si>
    <t>O Boticario Franchising Ltda.</t>
  </si>
  <si>
    <t>0017000001SxMGzAAN</t>
  </si>
  <si>
    <t>Greenstone Financial Services Pty Ltd</t>
  </si>
  <si>
    <t>0014u000021lZxnAAE</t>
  </si>
  <si>
    <t>GX Bank Berhad</t>
  </si>
  <si>
    <t>0017000000sdQ0UAAU</t>
  </si>
  <si>
    <t>Vertex Pharmaceuticals Incorporated</t>
  </si>
  <si>
    <t>0010g00001lQWmwAAG</t>
  </si>
  <si>
    <t>Flipkart Internet Private Limited</t>
  </si>
  <si>
    <t>0017000001OWq2qAAD</t>
  </si>
  <si>
    <t>BPI FRANCE</t>
  </si>
  <si>
    <t>France Public</t>
  </si>
  <si>
    <t>0014u00001x8LD2AAM</t>
  </si>
  <si>
    <t>Webull Inc.</t>
  </si>
  <si>
    <t>0017000000qySwYAAU</t>
  </si>
  <si>
    <t>Waters Technologies Corporation</t>
  </si>
  <si>
    <t>0010g00001YhGRmAAN</t>
  </si>
  <si>
    <t>DXC Technology - System Integrator (EMEA)</t>
  </si>
  <si>
    <t>UKI Partners</t>
  </si>
  <si>
    <t>0017000000p6xuPAAQ</t>
  </si>
  <si>
    <t>Cathay Pacific Airways Limited</t>
  </si>
  <si>
    <t>0017000000haVqVAAU</t>
  </si>
  <si>
    <t>Hong Kong Economic Times Limited</t>
  </si>
  <si>
    <t>0017000000js17bAAA</t>
  </si>
  <si>
    <t>Kasikornbank Public Company Limited</t>
  </si>
  <si>
    <t>0017000000fS2MEAA0</t>
  </si>
  <si>
    <t>Western Governors University</t>
  </si>
  <si>
    <t>0017000000wp4W0AAI</t>
  </si>
  <si>
    <t>Bunzl Distribution USA, Inc.</t>
  </si>
  <si>
    <t>001700000138DfdAAE</t>
  </si>
  <si>
    <t>SERVICE NSW</t>
  </si>
  <si>
    <t>0010g00001hofJpAAI</t>
  </si>
  <si>
    <t>Au Small Finance Bank Limited</t>
  </si>
  <si>
    <t>0010g00001gCFvKAAW</t>
  </si>
  <si>
    <t>Orange Theory Fitness</t>
  </si>
  <si>
    <t>0017000000jFs8fAAC</t>
  </si>
  <si>
    <t>Centerpoint Energy, Inc.</t>
  </si>
  <si>
    <t>0017000001Ae5zIAAR</t>
  </si>
  <si>
    <t>Cadena Comercial Oxxo, S.A. de C.V.</t>
  </si>
  <si>
    <t>0017000000ZK6K1AAL</t>
  </si>
  <si>
    <t>Ontario Health</t>
  </si>
  <si>
    <t>0017000000qySwNAAU</t>
  </si>
  <si>
    <t>VF Services, LLC</t>
  </si>
  <si>
    <t>0014u000024oUxZAAU</t>
  </si>
  <si>
    <t>Dream Finance Ou</t>
  </si>
  <si>
    <t>Finland/Baltics</t>
  </si>
  <si>
    <t>0010g00001Z5MfyAAF</t>
  </si>
  <si>
    <t>Mercado Bitcoin Servicos Digitais</t>
  </si>
  <si>
    <t>0017000001T0PzWAAV</t>
  </si>
  <si>
    <t>Opendoor Labs Inc.</t>
  </si>
  <si>
    <t>00170000012P21fAAC</t>
  </si>
  <si>
    <t>Ceska sporitelna a.s.</t>
  </si>
  <si>
    <t>0017000000bEgnuAAC</t>
  </si>
  <si>
    <t>Comcast Corporation</t>
  </si>
  <si>
    <t>0017000000ZMUoAAAX</t>
  </si>
  <si>
    <t>Cambia Health Solutions, Inc</t>
  </si>
  <si>
    <t>001Ki00000DmPrgIAF</t>
  </si>
  <si>
    <t>Fed-Poppy31</t>
  </si>
  <si>
    <t>DOD/Intel</t>
  </si>
  <si>
    <t>0017000001BQpjTAAT</t>
  </si>
  <si>
    <t>MARKETAXESS HOLDINGS INC.</t>
  </si>
  <si>
    <t>0017000001RKqs0AAD</t>
  </si>
  <si>
    <t>Network International Llc</t>
  </si>
  <si>
    <t>0017000000nb9qLAAQ</t>
  </si>
  <si>
    <t>AccuWeather</t>
  </si>
  <si>
    <t>0017000001NT7dPAAT</t>
  </si>
  <si>
    <t>Interac Corp</t>
  </si>
  <si>
    <t>0017000000vFvxmAAC</t>
  </si>
  <si>
    <t>Registers Of Scotland</t>
  </si>
  <si>
    <t>00170000011O31sAAC</t>
  </si>
  <si>
    <t>Getty Images</t>
  </si>
  <si>
    <t>0017000000gFvDRAA0</t>
  </si>
  <si>
    <t>Toyota Motor Europe (Belgium)</t>
  </si>
  <si>
    <t>Benelux</t>
  </si>
  <si>
    <t>Belux</t>
  </si>
  <si>
    <t>0010g00001bBaw5AAC</t>
  </si>
  <si>
    <t>Apa Group (victoria) Pty Ltd</t>
  </si>
  <si>
    <t>0017000000qx4q5AAA</t>
  </si>
  <si>
    <t>AECOM Corporation</t>
  </si>
  <si>
    <t>0017000000tCDdWAAW</t>
  </si>
  <si>
    <t>L'Oreal China Co., Ltd.</t>
  </si>
  <si>
    <t>0017000001A8gkvAAB</t>
  </si>
  <si>
    <t>Abu Dhabi Investment Authority (ADIA)</t>
  </si>
  <si>
    <t>00170000018Rxs3AAC</t>
  </si>
  <si>
    <t>DYCOM INDUSTRIES, INC.</t>
  </si>
  <si>
    <t>0014u00001ukHOBAA2</t>
  </si>
  <si>
    <t>Calibo Private Limited</t>
  </si>
  <si>
    <t>0017000000ndqZxAAI</t>
  </si>
  <si>
    <t>Proximus</t>
  </si>
  <si>
    <t>0017000000nazK6AAI</t>
  </si>
  <si>
    <t>PT BANK CIMB NIAGA Tbk</t>
  </si>
  <si>
    <t>0017000001Da7vgAAB</t>
  </si>
  <si>
    <t>THE CLEARING HOUSE PAYMENTS COMPANY L.L.C.</t>
  </si>
  <si>
    <t>0010g00001mqoBnAAI</t>
  </si>
  <si>
    <t>Tenedora De Cines, S.a. De C.v.</t>
  </si>
  <si>
    <t>0010g00001j6KEeAAM</t>
  </si>
  <si>
    <t>PayIt</t>
  </si>
  <si>
    <t>0017000000jCNK5AAO</t>
  </si>
  <si>
    <t>Suncoast Credit Union</t>
  </si>
  <si>
    <t>0017000000qySlpAAE</t>
  </si>
  <si>
    <t>Fukuoka Financial Group, Inc.</t>
  </si>
  <si>
    <t>JP MidMarket Enterprise</t>
  </si>
  <si>
    <t>0017000000ZKqWDAA1</t>
  </si>
  <si>
    <t>M&amp;G plc</t>
  </si>
  <si>
    <t>0014u00001zz2XWAAY</t>
  </si>
  <si>
    <t>One Identity LLC</t>
  </si>
  <si>
    <t>0017000000nyW9FAAU</t>
  </si>
  <si>
    <t>Sol Melia</t>
  </si>
  <si>
    <t>0017000000qvj6hAAA</t>
  </si>
  <si>
    <t>Generali Italia Spa</t>
  </si>
  <si>
    <t>0017000001SyzjVAAR</t>
  </si>
  <si>
    <t>Agilon Health</t>
  </si>
  <si>
    <t>0017000000qySmvAAE</t>
  </si>
  <si>
    <t>Helvetia Schweizerische Versicherungsgesellschaft AG</t>
  </si>
  <si>
    <t>0017000000m8ZvjAAE</t>
  </si>
  <si>
    <t>Ricoh USA, LLC</t>
  </si>
  <si>
    <t>0017000000vGE18AAG</t>
  </si>
  <si>
    <t>Bank Millennium S.A.</t>
  </si>
  <si>
    <t>0017000000tCk3vAAC</t>
  </si>
  <si>
    <t>Banco de Chile</t>
  </si>
  <si>
    <t>0017000001Sx72SAAR</t>
  </si>
  <si>
    <t>Szerencsejatek  Zrt</t>
  </si>
  <si>
    <t>0017000001REiKTAA1</t>
  </si>
  <si>
    <t>Sbf Comercio De Produtos Esportivos Ltda.</t>
  </si>
  <si>
    <t>0017000000vHexIAAS</t>
  </si>
  <si>
    <t>Russell Reynolds Associates, Inc. (HQ)</t>
  </si>
  <si>
    <t>0010g00001lPzRBAA0</t>
  </si>
  <si>
    <t>Sorting Hat Technologies Private Limited</t>
  </si>
  <si>
    <t>0010g00001j4a9qAAA</t>
  </si>
  <si>
    <t>Clearcaptions Llc</t>
  </si>
  <si>
    <t>0017000000n7zs1AAA</t>
  </si>
  <si>
    <t>Instinet Holdings Inc</t>
  </si>
  <si>
    <t>0014u000023uUVdAAM</t>
  </si>
  <si>
    <t>Exelon Corporation</t>
  </si>
  <si>
    <t>0017000000li8y4AAA</t>
  </si>
  <si>
    <t>Banco Sabadell SA</t>
  </si>
  <si>
    <t>0017000000qvUxWAAU</t>
  </si>
  <si>
    <t>CO-OPERATIVE BANKING GROUP LIMITED</t>
  </si>
  <si>
    <t>0017000001XPpILAA1</t>
  </si>
  <si>
    <t>Mtn Nigeria Communications Ltd.</t>
  </si>
  <si>
    <t>0014u00001tCtUhAAK</t>
  </si>
  <si>
    <t>Sumitomo Pharma America, Inc.</t>
  </si>
  <si>
    <t>0010g00001YJ3iiAAD</t>
  </si>
  <si>
    <t>Arvest Bank</t>
  </si>
  <si>
    <t>0010g00001hnbXNAAY</t>
  </si>
  <si>
    <t>First Bank Of Nigeria Limited</t>
  </si>
  <si>
    <t>0017000001RMnXKAA1</t>
  </si>
  <si>
    <t>Alelo TLT</t>
  </si>
  <si>
    <t>0017000001V6MOoAAN</t>
  </si>
  <si>
    <t>Empreendimentos Pague Menos S/a</t>
  </si>
  <si>
    <t>0017000001Vta77AAB</t>
  </si>
  <si>
    <t>Computer Services, Inc.</t>
  </si>
  <si>
    <t>0017000001SxHudAAF</t>
  </si>
  <si>
    <t>Autobuses De Oriente Ado, S.a. De C.v.</t>
  </si>
  <si>
    <t>0017000001ITnsIAAT</t>
  </si>
  <si>
    <t>MBANK S A</t>
  </si>
  <si>
    <t>0010g00001doccrAAA</t>
  </si>
  <si>
    <t>Shein Group Ltd</t>
  </si>
  <si>
    <t>0010g00001bzLBeAAM</t>
  </si>
  <si>
    <t>Liminex, Inc. dba GoGuardian</t>
  </si>
  <si>
    <t>0017000000cKaCmAAK</t>
  </si>
  <si>
    <t>Tesco Plc</t>
  </si>
  <si>
    <t>0017000000wNwb5AAC</t>
  </si>
  <si>
    <t>QTS</t>
  </si>
  <si>
    <t>0017000001RLvucAAD</t>
  </si>
  <si>
    <t>Trubridge, Llc</t>
  </si>
  <si>
    <t>00170000011vAsAAAU</t>
  </si>
  <si>
    <t>Laureate Education, Inc.</t>
  </si>
  <si>
    <t>00170000018U5DOAA0</t>
  </si>
  <si>
    <t>MRC Global Inc.</t>
  </si>
  <si>
    <t>0010g00001dpLY7AAM</t>
  </si>
  <si>
    <t>Ptt Oil And Retail Business Public Company Limited</t>
  </si>
  <si>
    <t>0014u00001yItwlAAC</t>
  </si>
  <si>
    <t>Cloudticity</t>
  </si>
  <si>
    <t>001700000137ZiPAAU</t>
  </si>
  <si>
    <t>MARELLI SPA</t>
  </si>
  <si>
    <t>0014u000026NN0mAAG</t>
  </si>
  <si>
    <t>Tipti S.a.</t>
  </si>
  <si>
    <t>0017000000uiclCAAQ</t>
  </si>
  <si>
    <t>Thermote &amp; Vanhalst NV</t>
  </si>
  <si>
    <t>0017000000f3bAKAAY</t>
  </si>
  <si>
    <t>The Bank of East Asia, Ltd</t>
  </si>
  <si>
    <t>00170000015BxwpAAC</t>
  </si>
  <si>
    <t>HDFC  LIFE INSURANCE COMPANY LIMITED</t>
  </si>
  <si>
    <t>0017000000gH6WFAA0</t>
  </si>
  <si>
    <t>Mahindra &amp; Mahindra Financial Services Limited</t>
  </si>
  <si>
    <t>0017000000cM0YQAA0</t>
  </si>
  <si>
    <t>Seagate Technology LLC</t>
  </si>
  <si>
    <t>0017000001A8pH9AAJ</t>
  </si>
  <si>
    <t>University of Pittsburgh</t>
  </si>
  <si>
    <t>00170000014MR9xAAG</t>
  </si>
  <si>
    <t>LC WAIKIKI MAGAZACILIK HIZMETLERI TICARET A S</t>
  </si>
  <si>
    <t>Turkey/CIS</t>
  </si>
  <si>
    <t>Turkey</t>
  </si>
  <si>
    <t>0014u00002BHMZzAAP</t>
  </si>
  <si>
    <t>Fed-Sunflower20</t>
  </si>
  <si>
    <t>0017000000lhG95AAE</t>
  </si>
  <si>
    <t>Pembina Pipeline</t>
  </si>
  <si>
    <t>0017000000qySqIAAU</t>
  </si>
  <si>
    <t>Mitsui Chemicals, Inc.</t>
  </si>
  <si>
    <t>0010g00001bxFU5AAM</t>
  </si>
  <si>
    <t>Sistemas Globales S.a.</t>
  </si>
  <si>
    <t>0014u000026d0gGAAQ</t>
  </si>
  <si>
    <t>RPE Tech</t>
  </si>
  <si>
    <t>00170000019L6LzAAK</t>
  </si>
  <si>
    <t>Kapital Bank OJSC</t>
  </si>
  <si>
    <t>CIS</t>
  </si>
  <si>
    <t>0017000000WRyeHAAT</t>
  </si>
  <si>
    <t>Fannie Mae</t>
  </si>
  <si>
    <t>0017000000bFsnmAAC</t>
  </si>
  <si>
    <t>True Money Company Limited</t>
  </si>
  <si>
    <t>00170000013rm6nAAA</t>
  </si>
  <si>
    <t>Home Trust Company</t>
  </si>
  <si>
    <t>00170000010jXPZAA2</t>
  </si>
  <si>
    <t>KUWAIT PETROLEUM ITALIA SPA</t>
  </si>
  <si>
    <t>0017000000qySr3AAE</t>
  </si>
  <si>
    <t>Nisource Inc.</t>
  </si>
  <si>
    <t>0017000000vjcGyAAI</t>
  </si>
  <si>
    <t>Banco Bice</t>
  </si>
  <si>
    <t>0017000001SyojDAAR</t>
  </si>
  <si>
    <t>CLP Power Hong Kong Limited</t>
  </si>
  <si>
    <t>0014u00001uuJFqAAM</t>
  </si>
  <si>
    <t>Malam - Team Ltd</t>
  </si>
  <si>
    <t>0017000000n7cGtAAI</t>
  </si>
  <si>
    <t>One New Zealand Group Limited</t>
  </si>
  <si>
    <t>New Zealand</t>
  </si>
  <si>
    <t>0017000001HopdVAAR</t>
  </si>
  <si>
    <t>Shi International Corp.</t>
  </si>
  <si>
    <t>001700000138iVGAAY</t>
  </si>
  <si>
    <t>TOPCON POSITIONING SYSTEMS, INC.</t>
  </si>
  <si>
    <t>0017000000u3dKTAAY</t>
  </si>
  <si>
    <t>Hackensack Meridian Health</t>
  </si>
  <si>
    <t>0017000000oXufrAAC</t>
  </si>
  <si>
    <t>San Francisco International Airport</t>
  </si>
  <si>
    <t>0010g00001dn2nMAAQ</t>
  </si>
  <si>
    <t>The Simons Foundation Inc</t>
  </si>
  <si>
    <t>0017000000MuzGKAAZ</t>
  </si>
  <si>
    <t>Dominion Energy</t>
  </si>
  <si>
    <t>0017000000bFHQKAA4</t>
  </si>
  <si>
    <t>Mizuho Americas Services LLC</t>
  </si>
  <si>
    <t>0017000001OvVAWAA3</t>
  </si>
  <si>
    <t>SOGEI Spa per Ministero Economia e Finanze</t>
  </si>
  <si>
    <t>Italy Public</t>
  </si>
  <si>
    <t>0017000000tCJ8TAAW</t>
  </si>
  <si>
    <t>St. Luke's University Health Network</t>
  </si>
  <si>
    <t>0017000000rZ62FAAS</t>
  </si>
  <si>
    <t>A2A S.p.A.</t>
  </si>
  <si>
    <t>0017000001SyEjfAAF</t>
  </si>
  <si>
    <t>Suramericana S A</t>
  </si>
  <si>
    <t>0017000001XPozTAAT</t>
  </si>
  <si>
    <t>Salt Bank</t>
  </si>
  <si>
    <t>South EEUR</t>
  </si>
  <si>
    <t>0017000000vkAlEAAU</t>
  </si>
  <si>
    <t>National Football League</t>
  </si>
  <si>
    <t>0017000001VthyaAAB</t>
  </si>
  <si>
    <t>Aldermore Group Plc</t>
  </si>
  <si>
    <t>0017000000lDkaDAAS</t>
  </si>
  <si>
    <t>Taiwan Semiconductor Manufacturing Company Limited</t>
  </si>
  <si>
    <t>Taiwan</t>
  </si>
  <si>
    <t>0017000000naqH9AAI</t>
  </si>
  <si>
    <t>Bank of the Philippine Islands</t>
  </si>
  <si>
    <t>Philippines</t>
  </si>
  <si>
    <t>0014u00001yJeBUAA0</t>
  </si>
  <si>
    <t>Nference, Inc.</t>
  </si>
  <si>
    <t>0017000000nct5eAAA</t>
  </si>
  <si>
    <t>Mutua Madrilena</t>
  </si>
  <si>
    <t>0010g00001bBDyTAAW</t>
  </si>
  <si>
    <t>Nutrien</t>
  </si>
  <si>
    <t>0017000001XRNsdAAH</t>
  </si>
  <si>
    <t>Barcelo Hotels Spain Sl</t>
  </si>
  <si>
    <t>0017000000jvQmeAAE</t>
  </si>
  <si>
    <t>Portland General Electric</t>
  </si>
  <si>
    <t>0010g00001hme0SAAQ</t>
  </si>
  <si>
    <t>Messer Gas</t>
  </si>
  <si>
    <t>0014u00001tF3xXAAS</t>
  </si>
  <si>
    <t>SCB TECH X Co., Ltd.</t>
  </si>
  <si>
    <t>0017000000p5PGIAA2</t>
  </si>
  <si>
    <t>Edelman Financial Engines, LLC</t>
  </si>
  <si>
    <t>0017000000mmKmpAAE</t>
  </si>
  <si>
    <t>Southern Glazer's Wine &amp; Spirits</t>
  </si>
  <si>
    <t>00170000011td3kAAA</t>
  </si>
  <si>
    <t>JBCC CORPORATION(Partner)</t>
  </si>
  <si>
    <t>JP HQ</t>
  </si>
  <si>
    <t>0014u00001vxAknAAE</t>
  </si>
  <si>
    <t>Precisely Software Incorporated</t>
  </si>
  <si>
    <t>0017000000bG4R4AAK</t>
  </si>
  <si>
    <t>LAC Co., Ltd.</t>
  </si>
  <si>
    <t>0017000000TvaeHAAR</t>
  </si>
  <si>
    <t>Sky Group plc</t>
  </si>
  <si>
    <t>0017000001OuqfGAAR</t>
  </si>
  <si>
    <t>JBCC HOLDINGS INC.</t>
  </si>
  <si>
    <t>0014u00002BGqREAA1</t>
  </si>
  <si>
    <t>Fed-Tulip39</t>
  </si>
  <si>
    <t>0014u000027r6xMAAQ</t>
  </si>
  <si>
    <t>Fed- Marigold2</t>
  </si>
  <si>
    <t>0014u00001tDOJkAAO</t>
  </si>
  <si>
    <t>I-MED S.A</t>
  </si>
  <si>
    <t>0017000000vIcY7AAK</t>
  </si>
  <si>
    <t>Duke University Health System, Inc.</t>
  </si>
  <si>
    <t>0017000000LEUaDAAX</t>
  </si>
  <si>
    <t>University of California at San Francisco</t>
  </si>
  <si>
    <t>0017000000bFCS9AAO</t>
  </si>
  <si>
    <t>NHK</t>
  </si>
  <si>
    <t>0017000001XRkxGAAT</t>
  </si>
  <si>
    <t>E-mart Inc.</t>
  </si>
  <si>
    <t>0017000001OXTTeAAP</t>
  </si>
  <si>
    <t>Icici Lombard General Insurance Company Limited</t>
  </si>
  <si>
    <t>0017000000gGzjNAAS</t>
  </si>
  <si>
    <t>Georgia Department of Labor</t>
  </si>
  <si>
    <t>0010g00001dnBSTAA2</t>
  </si>
  <si>
    <t>Softserve,  Inc.</t>
  </si>
  <si>
    <t>0017000000lDAoEAAW</t>
  </si>
  <si>
    <t>Ctrip Travel Information Technology Co., Ltd</t>
  </si>
  <si>
    <t>0017000001RLbsnAAD</t>
  </si>
  <si>
    <t>Banco Mercantil del Norte, S.A., Institucion de Banca Multiple, Grupo Financiero Banorte</t>
  </si>
  <si>
    <t>0014u000026bM1gAAE</t>
  </si>
  <si>
    <t>Zhejiang Huanfu Technology Co., Ltd.</t>
  </si>
  <si>
    <t>0017000001SzODLAA3</t>
  </si>
  <si>
    <t>Office of National Intelligence</t>
  </si>
  <si>
    <t>0017000000dxOZEAA2</t>
  </si>
  <si>
    <t>INSTITUTO DE EMPRESA, S.L.U.</t>
  </si>
  <si>
    <t>Spain Public</t>
  </si>
  <si>
    <t>0017000000qySi4AAE</t>
  </si>
  <si>
    <t>BRF S.A.</t>
  </si>
  <si>
    <t>0017000000xLbpWAAS</t>
  </si>
  <si>
    <t>East West Bank</t>
  </si>
  <si>
    <t>0017000000lAoyqAAC</t>
  </si>
  <si>
    <t>TAKENAKA CORPORATION</t>
  </si>
  <si>
    <t>0017000001GGE88AAH</t>
  </si>
  <si>
    <t>Intrafi Network, LLC</t>
  </si>
  <si>
    <t>0017000000xMP4EAAW</t>
  </si>
  <si>
    <t>Melco Resorts &amp; Entertainment Limited</t>
  </si>
  <si>
    <t>0017000000nyW91AAE</t>
  </si>
  <si>
    <t>Abanca</t>
  </si>
  <si>
    <t>0017000000jsi6oAAA</t>
  </si>
  <si>
    <t>San Diego Gas &amp; Electric (SDGE)</t>
  </si>
  <si>
    <t>0010g00001lQTkuAAG</t>
  </si>
  <si>
    <t>Ecom Express Private Limited</t>
  </si>
  <si>
    <t>0017000001QYFgmAAH</t>
  </si>
  <si>
    <t>Zumiez Inc.</t>
  </si>
  <si>
    <t>00170000019L3GPAA0</t>
  </si>
  <si>
    <t>C2FO</t>
  </si>
  <si>
    <t>0010g00001YIIszAAH</t>
  </si>
  <si>
    <t>Ethio Telecom</t>
  </si>
  <si>
    <t>0017000000YuLmcAAF</t>
  </si>
  <si>
    <t>Independence Blue Cross</t>
  </si>
  <si>
    <t>0017000000dxDEkAAM</t>
  </si>
  <si>
    <t>Telefonica de Espana SA (customer)</t>
  </si>
  <si>
    <t>0017000001OwgeAAAR</t>
  </si>
  <si>
    <t>Banco Monex, S.A., Institucion de Banca Multiple, Monex Grupo Financiero</t>
  </si>
  <si>
    <t>0010g00001lPxPOAA0</t>
  </si>
  <si>
    <t>Net One Systems (Reseller)</t>
  </si>
  <si>
    <t>0010g00001lR50AAAS</t>
  </si>
  <si>
    <t>Kore.ai Software India Private Limited</t>
  </si>
  <si>
    <t>00170000019L05lAAC</t>
  </si>
  <si>
    <t>Federal Home Loan Bank of Chicago</t>
  </si>
  <si>
    <t>0017000000ZN1PtAAL</t>
  </si>
  <si>
    <t>Artisan Partners Limited Partnership</t>
  </si>
  <si>
    <t>0017000001RKWOJAA5</t>
  </si>
  <si>
    <t>World Duty Free Group Sociedad Anonima.</t>
  </si>
  <si>
    <t>0017000000haEcWAAU</t>
  </si>
  <si>
    <t>Nelnet, Inc.</t>
  </si>
  <si>
    <t>0017000000s5LV8AAM</t>
  </si>
  <si>
    <t>Shinsegae</t>
  </si>
  <si>
    <t>0017000001SzQSJAA3</t>
  </si>
  <si>
    <t>eProcess International</t>
  </si>
  <si>
    <t>0017000000dJnggAAC</t>
  </si>
  <si>
    <t>HUK-COBURG VVaG</t>
  </si>
  <si>
    <t>0017000000hdCkQAAU</t>
  </si>
  <si>
    <t>Banco del Bajio</t>
  </si>
  <si>
    <t>0017000000bGis4AAC</t>
  </si>
  <si>
    <t>Alliant Energy Corporation</t>
  </si>
  <si>
    <t>0014u000028UeUeAAK</t>
  </si>
  <si>
    <t>GovTech Tokyo General Inc. Association</t>
  </si>
  <si>
    <t>JP Public Sector</t>
  </si>
  <si>
    <t>001700000137xzgAAA</t>
  </si>
  <si>
    <t>Federal Home Loan Bank of Pittsburgh</t>
  </si>
  <si>
    <t>0017000001HpzsnAAB</t>
  </si>
  <si>
    <t>ZEE ENTERTAINMENT ENTERPRISES LIMITED</t>
  </si>
  <si>
    <t>0014u00001ukSbVAAU</t>
  </si>
  <si>
    <t>AXA GO</t>
  </si>
  <si>
    <t>0017000001DQxZKAA1</t>
  </si>
  <si>
    <t>Scentsy, Inc.</t>
  </si>
  <si>
    <t>0017000000oHhwFAAS</t>
  </si>
  <si>
    <t>Fundserv</t>
  </si>
  <si>
    <t>0010g00001lS0AxAAK</t>
  </si>
  <si>
    <t>Juspay Technologies Private Limited</t>
  </si>
  <si>
    <t>0017000001SxqTRAAZ</t>
  </si>
  <si>
    <t>Safaricom Limited</t>
  </si>
  <si>
    <t>0017000000dwYKaAAM</t>
  </si>
  <si>
    <t>Synapxe Pte Ltd</t>
  </si>
  <si>
    <t>0017000000dJTStAAO</t>
  </si>
  <si>
    <t>Yamaha Motor Co., Ltd.</t>
  </si>
  <si>
    <t>00170000016XF8CAAW</t>
  </si>
  <si>
    <t>Canada Border Services Agency</t>
  </si>
  <si>
    <t>0017000000nyW8nAAE</t>
  </si>
  <si>
    <t>GLOBALIA</t>
  </si>
  <si>
    <t>0017000000V18msAAB</t>
  </si>
  <si>
    <t>Indiana University Health, Inc.</t>
  </si>
  <si>
    <t>0010g00001Z3HCYAA3</t>
  </si>
  <si>
    <t>British Columbia Investment Management Corporation</t>
  </si>
  <si>
    <t>0014u00001yJb53AAC</t>
  </si>
  <si>
    <t>Lentra AI Pvt Ltd</t>
  </si>
  <si>
    <t>0017000000qySiTAAU</t>
  </si>
  <si>
    <t>Capitaland Limited</t>
  </si>
  <si>
    <t>0017000001RMdrFAAT</t>
  </si>
  <si>
    <t>Sealed Air Corporation</t>
  </si>
  <si>
    <t>0017000000q5jgbAAA</t>
  </si>
  <si>
    <t>OTC MARKETS GROUP INC.</t>
  </si>
  <si>
    <t>0010g00001bygDEAAY</t>
  </si>
  <si>
    <t>Centria - Grupo Breca</t>
  </si>
  <si>
    <t>0014u00002ADKKeAAP</t>
  </si>
  <si>
    <t>Factorial HR</t>
  </si>
  <si>
    <t>0017000001QY4hKAAT</t>
  </si>
  <si>
    <t>Instituto de Prevision Social</t>
  </si>
  <si>
    <t>0014u000028xCMtAAM</t>
  </si>
  <si>
    <t>Fed-Tulip15</t>
  </si>
  <si>
    <t>0017000001VspAZAAZ</t>
  </si>
  <si>
    <t>Xp Investimentos Corretora De Cambio, Titulos E Valores Mobiliarios S/a.</t>
  </si>
  <si>
    <t>0017000000jFuAeAAK</t>
  </si>
  <si>
    <t>BJ's Wholesale Club, Inc.</t>
  </si>
  <si>
    <t>0017000000fSWcYAAW</t>
  </si>
  <si>
    <t>Assured Guaranty</t>
  </si>
  <si>
    <t>0014u00001x8LnoAAE</t>
  </si>
  <si>
    <t>LOLC Holdings PLC</t>
  </si>
  <si>
    <t>001700000138hr6AAA</t>
  </si>
  <si>
    <t>Station Casinos Llc</t>
  </si>
  <si>
    <t>0017000000sfDVcAAM</t>
  </si>
  <si>
    <t>Universal Electronics Inc.</t>
  </si>
  <si>
    <t>0017000000WRNGbAAP</t>
  </si>
  <si>
    <t>GALEC</t>
  </si>
  <si>
    <t>France Majors</t>
  </si>
  <si>
    <t>0010g00001aD0KaAAK</t>
  </si>
  <si>
    <t>IDEMIA</t>
  </si>
  <si>
    <t>0017000001Vub96AAB</t>
  </si>
  <si>
    <t>Varo Bank, N.A.</t>
  </si>
  <si>
    <t>0014u000023XSR1AAO</t>
  </si>
  <si>
    <t>MRO Corp</t>
  </si>
  <si>
    <t>001700000137poZAAQ</t>
  </si>
  <si>
    <t>Flow Traders</t>
  </si>
  <si>
    <t>Netherlands</t>
  </si>
  <si>
    <t>0017000000u4Qv4AAE</t>
  </si>
  <si>
    <t>Tryg A/S</t>
  </si>
  <si>
    <t>0017000000miC5pAAE</t>
  </si>
  <si>
    <t>Orlando Health</t>
  </si>
  <si>
    <t>00170000012NDLHAA4</t>
  </si>
  <si>
    <t>Lina Life</t>
  </si>
  <si>
    <t>0017000000uinJrAAI</t>
  </si>
  <si>
    <t>Ministerio de Defensa Nacional (Colombia)</t>
  </si>
  <si>
    <t>0017000001D4czEAAR</t>
  </si>
  <si>
    <t>BANCO DE GALICIA Y BUENOS AIRES S.A.</t>
  </si>
  <si>
    <t>0017000000vGHrOAAW</t>
  </si>
  <si>
    <t>Gore Mutual Insurance Company</t>
  </si>
  <si>
    <t>0017000000nefIZAAY</t>
  </si>
  <si>
    <t>Federation Internationale de Football Association (FIFA)</t>
  </si>
  <si>
    <t>0017000001V3uF1AAJ</t>
  </si>
  <si>
    <t>Softbank Corp.</t>
  </si>
  <si>
    <t>JP Majors 4</t>
  </si>
  <si>
    <t>0014u000020111YAAQ</t>
  </si>
  <si>
    <t>Lendingkart Technologies Private Limited</t>
  </si>
  <si>
    <t>0017000001Ovb2JAAR</t>
  </si>
  <si>
    <t>Unity Technologies SF</t>
  </si>
  <si>
    <t>0017000001RLyYlAAL</t>
  </si>
  <si>
    <t>Turnpike Commission, PA</t>
  </si>
  <si>
    <t>0017000000lDoLYAA0</t>
  </si>
  <si>
    <t>European External Action Service (EEAS)</t>
  </si>
  <si>
    <t>0017000000qySqTAAU</t>
  </si>
  <si>
    <t>MTN South Africa</t>
  </si>
  <si>
    <t>0017000000qySpuAAE</t>
  </si>
  <si>
    <t>Mazda Motor Corporation</t>
  </si>
  <si>
    <t>0014u00001ukji3AAA</t>
  </si>
  <si>
    <t>Neeyamo</t>
  </si>
  <si>
    <t>0014u000026bEvqAAE</t>
  </si>
  <si>
    <t>Rentokil North America, Inc.</t>
  </si>
  <si>
    <t>0017000000lAMVPAA4</t>
  </si>
  <si>
    <t>0017000001Gew5FAAR</t>
  </si>
  <si>
    <t>JCB CO.,LTD.</t>
  </si>
  <si>
    <t>0017000000qyStRAAU</t>
  </si>
  <si>
    <t>0017000000MfqLxAAJ</t>
  </si>
  <si>
    <t>UPMC</t>
  </si>
  <si>
    <t>0014u00001yJg2bAAC</t>
  </si>
  <si>
    <t>Oddity</t>
  </si>
  <si>
    <t>0014u00001tDZShAAO</t>
  </si>
  <si>
    <t>HONESTICA</t>
  </si>
  <si>
    <t>0017000001OV5uGAAT</t>
  </si>
  <si>
    <t>Meest Express Trade House Limited Liability Company</t>
  </si>
  <si>
    <t>0010g00001j4xwhAAA</t>
  </si>
  <si>
    <t>Jugos Del Valle, S.a.p.i. De C.v.</t>
  </si>
  <si>
    <t>0017000000kbS2VAAU</t>
  </si>
  <si>
    <t>Planned Parenthood Federation of America, Inc.</t>
  </si>
  <si>
    <t>0010g00001hVxZkAAK</t>
  </si>
  <si>
    <t>Grainchain, Inc.</t>
  </si>
  <si>
    <t>0014u000028y0CuAAI</t>
  </si>
  <si>
    <t>Fed-Tulip32</t>
  </si>
  <si>
    <t>0010g00001byxSuAAI</t>
  </si>
  <si>
    <t>Daiwa Institute Of Research Ltd.</t>
  </si>
  <si>
    <t>0010g00001mqJlRAAU</t>
  </si>
  <si>
    <t>Digiturk</t>
  </si>
  <si>
    <t>0014u00001ownj8AAA</t>
  </si>
  <si>
    <t>Appviewx</t>
  </si>
  <si>
    <t>0017000000peHiwAAE</t>
  </si>
  <si>
    <t>Samaritan's Purse</t>
  </si>
  <si>
    <t>0014u0000254VWWAA2</t>
  </si>
  <si>
    <t>HID Global</t>
  </si>
  <si>
    <t>0014u000027r0CZAAY</t>
  </si>
  <si>
    <t>nuam exchange</t>
  </si>
  <si>
    <t>0010g00001dllUDAAY</t>
  </si>
  <si>
    <t>Hexaware Technologies Limited</t>
  </si>
  <si>
    <t>0017000001RKeUBAA1</t>
  </si>
  <si>
    <t>Zopa Bank Limited.</t>
  </si>
  <si>
    <t>00170000018SSVhAAO</t>
  </si>
  <si>
    <t>Wellstar Health System, Inc.</t>
  </si>
  <si>
    <t>0014u00001tFQ6FAAW</t>
  </si>
  <si>
    <t>Australian Investment Exchange Limited</t>
  </si>
  <si>
    <t>ANZ East Coast Enterprise</t>
  </si>
  <si>
    <t>0017000000qySqGAAU</t>
  </si>
  <si>
    <t>Mitsubishi HC Capital Inc</t>
  </si>
  <si>
    <t>0017000000gFTRfAAO</t>
  </si>
  <si>
    <t>Greendot Online</t>
  </si>
  <si>
    <t>0017000000jt2YVAAY</t>
  </si>
  <si>
    <t>Region Hovedstaden</t>
  </si>
  <si>
    <t>0017000000zfvYHAAY</t>
  </si>
  <si>
    <t>BANCO CORPBANCA COLOMBIA SA</t>
  </si>
  <si>
    <t>0017000000gFuucAAC</t>
  </si>
  <si>
    <t>0017000001Sf3EvAAJ</t>
  </si>
  <si>
    <t>Saipem Spa</t>
  </si>
  <si>
    <t>001700000138jZNAAY</t>
  </si>
  <si>
    <t>Select Medical Corporation</t>
  </si>
  <si>
    <t>0010g00001bzVrxAAE</t>
  </si>
  <si>
    <t>Capspecialty, Inc.</t>
  </si>
  <si>
    <t>0014u000023w6qPAAQ</t>
  </si>
  <si>
    <t>Compania Cervecerias Unidas S.a.</t>
  </si>
  <si>
    <t>0017000000orJWaAAM</t>
  </si>
  <si>
    <t>Direct Line Insurance Group Plc</t>
  </si>
  <si>
    <t>0017000000kYSUUAA4</t>
  </si>
  <si>
    <t>CIBC - Canadian Imperial Bank of Commerce</t>
  </si>
  <si>
    <t>0014u00001yItehAAC</t>
  </si>
  <si>
    <t>Papaya Gaming Ltd</t>
  </si>
  <si>
    <t>0017000001A827aAAB</t>
  </si>
  <si>
    <t>Loudoun County</t>
  </si>
  <si>
    <t>0017000000q5KZeAAM</t>
  </si>
  <si>
    <t>Wm Morrison Supermarkets PLC</t>
  </si>
  <si>
    <t>0010g00001YJK3wAAH</t>
  </si>
  <si>
    <t>Life Miles Corporation</t>
  </si>
  <si>
    <t>00170000016VACxAAO</t>
  </si>
  <si>
    <t>PUBLISHERS CLEARING HOUSE LLC</t>
  </si>
  <si>
    <t>0010g00001mq8iPAAQ</t>
  </si>
  <si>
    <t>Open Financial Technologies Private Limited</t>
  </si>
  <si>
    <t>0017000001BRSBNAA5</t>
  </si>
  <si>
    <t>Polaris Industries Inc.</t>
  </si>
  <si>
    <t>0017000000jtbLIAAY</t>
  </si>
  <si>
    <t>Ashurst Perkins Coie US LLP</t>
  </si>
  <si>
    <t>0014u000028ywEkAAI</t>
  </si>
  <si>
    <t>Veryon</t>
  </si>
  <si>
    <t>0017000001QYWrtAAH</t>
  </si>
  <si>
    <t>ISX Financial</t>
  </si>
  <si>
    <t>ANZ Commercial</t>
  </si>
  <si>
    <t>00170000018TRetAAG</t>
  </si>
  <si>
    <t>Kimley Horn and Associates</t>
  </si>
  <si>
    <t>0017000001VuhP6AAJ</t>
  </si>
  <si>
    <t>Money Services, Inc.</t>
  </si>
  <si>
    <t>0010g00001doTr0AAE</t>
  </si>
  <si>
    <t>N-Power Medicine, Inc.</t>
  </si>
  <si>
    <t>0017000000u3gJXAAY</t>
  </si>
  <si>
    <t>iQor US Inc.</t>
  </si>
  <si>
    <t>0017000001HoEPhAAN</t>
  </si>
  <si>
    <t>Banco Central De Reserva De El Salvador</t>
  </si>
  <si>
    <t>0017000001CLYZFAA5</t>
  </si>
  <si>
    <t>TrueMove H Universal Communication Co.,LTD</t>
  </si>
  <si>
    <t>0017000000qyVQrAAM</t>
  </si>
  <si>
    <t>Meridian Energy Limited</t>
  </si>
  <si>
    <t>0017000000zhdFiAAI</t>
  </si>
  <si>
    <t>Ho Chi Minh City Development Joint Stock Commercial Bank</t>
  </si>
  <si>
    <t>Vietnam</t>
  </si>
  <si>
    <t>0017000000dK1Y8AAK</t>
  </si>
  <si>
    <t>0017000000dJUmsAAG</t>
  </si>
  <si>
    <t>National Geographic Society Inc</t>
  </si>
  <si>
    <t>0010g00001aCVoDAAW</t>
  </si>
  <si>
    <t>KDDI iret, Inc.(Partner)</t>
  </si>
  <si>
    <t>00170000018SbvOAAS</t>
  </si>
  <si>
    <t>Spokane Teachers Credit Union</t>
  </si>
  <si>
    <t>0014u00001x8ibtAAA</t>
  </si>
  <si>
    <t>Simpar S/a</t>
  </si>
  <si>
    <t>0017000000kavFbAAI</t>
  </si>
  <si>
    <t>Monetary Authority of Singapore</t>
  </si>
  <si>
    <t>0017000001SxyTGAAZ</t>
  </si>
  <si>
    <t>Maire Tecnimont Spa</t>
  </si>
  <si>
    <t>0014u00001x8LKSAA2</t>
  </si>
  <si>
    <t>Poonawalla Fincorp Ltd</t>
  </si>
  <si>
    <t>0010g00001j4kbvAAA</t>
  </si>
  <si>
    <t>Rbl Bank Limited</t>
  </si>
  <si>
    <t>0017000001K3P5uAAF</t>
  </si>
  <si>
    <t>ADFORM LITHUANIA UAB</t>
  </si>
  <si>
    <t>0017000000xNHG0AAO</t>
  </si>
  <si>
    <t>Allina Health System</t>
  </si>
  <si>
    <t>0014u00001uDaF5AAK</t>
  </si>
  <si>
    <t>SI VALE MEXICO S.A. DE C.V.</t>
  </si>
  <si>
    <t>0017000000s5fDjAAI</t>
  </si>
  <si>
    <t>Southwire Company</t>
  </si>
  <si>
    <t>0014u000023uuYpAAI</t>
  </si>
  <si>
    <t>National Heavy Vehicle Regulator</t>
  </si>
  <si>
    <t>0017000000yOfJmAAK</t>
  </si>
  <si>
    <t>PriceShoes</t>
  </si>
  <si>
    <t>0014u00001zFdzdAAC</t>
  </si>
  <si>
    <t>Telefónica Innovacion Digital S.L</t>
  </si>
  <si>
    <t>0014u00001nxn6dAAA</t>
  </si>
  <si>
    <t>Moengage India Private Limited</t>
  </si>
  <si>
    <t>0017000001OujBBAAZ</t>
  </si>
  <si>
    <t>PT Bank Hibank Indonesia</t>
  </si>
  <si>
    <t>0010g00001Z4VMpAAN</t>
  </si>
  <si>
    <t>NTT DOCOMO BUSINESS, Inc.</t>
  </si>
  <si>
    <t>0014u00001x8o0gAAA</t>
  </si>
  <si>
    <t>Shiprocket</t>
  </si>
  <si>
    <t>00170000011tdaLAAQ</t>
  </si>
  <si>
    <t>FERRARI</t>
  </si>
  <si>
    <t>0017000001QXEeoAAH</t>
  </si>
  <si>
    <t>Ads Securities - Llc</t>
  </si>
  <si>
    <t>0014u00001x94THAAY</t>
  </si>
  <si>
    <t>Pt. Asuransi Jiwa Ifg</t>
  </si>
  <si>
    <t>0017000001NUBljAAH</t>
  </si>
  <si>
    <t>Max Life Insurance Company Limited</t>
  </si>
  <si>
    <t>0014u00002Aw6gSAAR</t>
  </si>
  <si>
    <t>DIGITAL TREASURES CENTER PTE. LTD.</t>
  </si>
  <si>
    <t>0017000001JLZfZAAX</t>
  </si>
  <si>
    <t>Its Logistics, LLC</t>
  </si>
  <si>
    <t>0017000001XRBObAAP</t>
  </si>
  <si>
    <t>Townebank</t>
  </si>
  <si>
    <t>0014u000028wdgSAAQ</t>
  </si>
  <si>
    <t>Theta Ray Ltd</t>
  </si>
  <si>
    <t>0010g00001j35OuAAI</t>
  </si>
  <si>
    <t>Veloe</t>
  </si>
  <si>
    <t>0017000000jveG6AAI</t>
  </si>
  <si>
    <t>CMH Services, Inc</t>
  </si>
  <si>
    <t>0010g00001byQafAAE</t>
  </si>
  <si>
    <t>Ci&amp;t Software S/a</t>
  </si>
  <si>
    <t>0017000000lBNl2AAG</t>
  </si>
  <si>
    <t>Banco de Credito Social Cooperativo</t>
  </si>
  <si>
    <t>0017000000tBpBMAA0</t>
  </si>
  <si>
    <t>Belfius Bank NV</t>
  </si>
  <si>
    <t>0017000000hcGn5AAE</t>
  </si>
  <si>
    <t>JR East Information Systems Company (JEIS)</t>
  </si>
  <si>
    <t>00170000010l7OsAAI</t>
  </si>
  <si>
    <t>Bank Syariah Indonesia</t>
  </si>
  <si>
    <t>0017000000jEbCaAAK</t>
  </si>
  <si>
    <t>Mount Sinai Medical Center</t>
  </si>
  <si>
    <t>0010g00001inHpNAAU</t>
  </si>
  <si>
    <t>Hi Bob Ltd</t>
  </si>
  <si>
    <t>0017000001Ouo7gAAB</t>
  </si>
  <si>
    <t>NCC Media</t>
  </si>
  <si>
    <t>0014u00002ADiG9AAL</t>
  </si>
  <si>
    <t>Reply Spa</t>
  </si>
  <si>
    <t>0017000001RF0rKAAT</t>
  </si>
  <si>
    <t>Wipro, Ltd. (RESELLER)</t>
  </si>
  <si>
    <t>0017000000vFcCvAAK</t>
  </si>
  <si>
    <t>South Carolina Department of Health and Human Services</t>
  </si>
  <si>
    <t>0017000001K2dy9AAB</t>
  </si>
  <si>
    <t>Corus Entertainment Inc</t>
  </si>
  <si>
    <t>0017000000bEJQkAAO</t>
  </si>
  <si>
    <t>PHOENIX Pharmahandel AG &amp; Co KG</t>
  </si>
  <si>
    <t>0017000000dvQL0AAM</t>
  </si>
  <si>
    <t>Reserve Bank of Australia</t>
  </si>
  <si>
    <t>0014u000028wW1XAAU</t>
  </si>
  <si>
    <t>Fed-Marigold14</t>
  </si>
  <si>
    <t>0017000001AdMVEAA3</t>
  </si>
  <si>
    <t>Tower Hill Insurance Group</t>
  </si>
  <si>
    <t>0017000001VtowgAAB</t>
  </si>
  <si>
    <t>Ministerul Public</t>
  </si>
  <si>
    <t>00170000011vHwOAAU</t>
  </si>
  <si>
    <t>ST. JAMES'S PLACE UK PLC</t>
  </si>
  <si>
    <t>0017000000cJ9RvAAK</t>
  </si>
  <si>
    <t>Raymond James Financial, Inc.</t>
  </si>
  <si>
    <t>0010g00001lQpG9AAK</t>
  </si>
  <si>
    <t>Puntos Colombia S A S</t>
  </si>
  <si>
    <t>0017000000u4N1GAAU</t>
  </si>
  <si>
    <t>Secure Waste Infrastructure Corp.</t>
  </si>
  <si>
    <t>0010g00001do8lmAAA</t>
  </si>
  <si>
    <t>Pacific Blue Cross</t>
  </si>
  <si>
    <t>0014u000027peJHAAY</t>
  </si>
  <si>
    <t>Richemont Commercial Co, Ltd.</t>
  </si>
  <si>
    <t>0017000001T0Ky4AAF</t>
  </si>
  <si>
    <t>PwC Strategy&amp; Do Brasil Consultoria Empresarial Ltda</t>
  </si>
  <si>
    <t>LATAM HQ</t>
  </si>
  <si>
    <t>Latam Partners</t>
  </si>
  <si>
    <t>0017000000tCIBCAA4</t>
  </si>
  <si>
    <t>Industrial And Commercial Bank Of China Argentina S.A.</t>
  </si>
  <si>
    <t>0017000000jEG7gAAG</t>
  </si>
  <si>
    <t>LG Household &amp; Health Care</t>
  </si>
  <si>
    <t>00170000018TpcbAAC</t>
  </si>
  <si>
    <t>0017000000oGuemAAC</t>
  </si>
  <si>
    <t>Dallas County</t>
  </si>
  <si>
    <t>SLED Central</t>
  </si>
  <si>
    <t>0017000001DcQ8yAAF</t>
  </si>
  <si>
    <t>Alsea, S.A.B. de C.V.</t>
  </si>
  <si>
    <t>0017000000mjR3pAAE</t>
  </si>
  <si>
    <t>Canadian Internet Registration Authority</t>
  </si>
  <si>
    <t>0017000001IUccWAAT</t>
  </si>
  <si>
    <t>Deloitte China</t>
  </si>
  <si>
    <t>0017000000serVlAAI</t>
  </si>
  <si>
    <t>MUREX SAS</t>
  </si>
  <si>
    <t>0017000000ndGawAAE</t>
  </si>
  <si>
    <t>Samsung SDS America, Inc.</t>
  </si>
  <si>
    <t>0017000000LEb4VAAT</t>
  </si>
  <si>
    <t>W. R. Berkley Corporation (Berkley Technologies)</t>
  </si>
  <si>
    <t>0017000001GFeaYAAT</t>
  </si>
  <si>
    <t>Recurly, Inc.</t>
  </si>
  <si>
    <t>0014u00001oxrA9AAI</t>
  </si>
  <si>
    <t>The Ascot Group Ltd</t>
  </si>
  <si>
    <t>00170000019L4CJAA0</t>
  </si>
  <si>
    <t>Supermercados Internacionales Heb, S.A. de C.V.</t>
  </si>
  <si>
    <t>0014u000029KHmUAAW</t>
  </si>
  <si>
    <t>Risk Management Foundation Of Harvard Medical Institutions</t>
  </si>
  <si>
    <t>0017000001Hq8K3AAJ</t>
  </si>
  <si>
    <t>BANCA TRANSILVANIA SA</t>
  </si>
  <si>
    <t>0017000001XPSKSAA5</t>
  </si>
  <si>
    <t>Roivant Sciences, Inc.</t>
  </si>
  <si>
    <t>0017000000SwsfPAAR</t>
  </si>
  <si>
    <t>Viasat</t>
  </si>
  <si>
    <t>0014u00001owAvZAAU</t>
  </si>
  <si>
    <t>Sony Pictures Networks India Private Limited</t>
  </si>
  <si>
    <t>0017000000p6beWAAQ</t>
  </si>
  <si>
    <t>Daiichi Sankyo Company, Limited</t>
  </si>
  <si>
    <t>0017000000y2MtoAAE</t>
  </si>
  <si>
    <t>Newgen Software Tech. Ltd</t>
  </si>
  <si>
    <t>0014u000027pnMtAAI</t>
  </si>
  <si>
    <t>Hanwha General Insurance</t>
  </si>
  <si>
    <t>0010g00001ZZARLAA5</t>
  </si>
  <si>
    <t>Department of Defence (Centralised Processing)</t>
  </si>
  <si>
    <t>0014u00002BHRXKAA5</t>
  </si>
  <si>
    <t>Fed-Sunflower27</t>
  </si>
  <si>
    <t>0017000000dwLYoAAM</t>
  </si>
  <si>
    <t>Cytokinetics, Inc.</t>
  </si>
  <si>
    <t>0017000000gFUcwAAG</t>
  </si>
  <si>
    <t>AENA</t>
  </si>
  <si>
    <t>0014u00001tEynrAAC</t>
  </si>
  <si>
    <t>Wealth Dynamics Limited</t>
  </si>
  <si>
    <t>UK Commercial</t>
  </si>
  <si>
    <t>0010g00001gLNT9AAO</t>
  </si>
  <si>
    <t>Cipherhealth Inc.</t>
  </si>
  <si>
    <t>0014u00001mrLtWAAU</t>
  </si>
  <si>
    <t>Ceská Televize</t>
  </si>
  <si>
    <t>0017000000gFoCLAA0</t>
  </si>
  <si>
    <t>Carrefour</t>
  </si>
  <si>
    <t>0017000000xLPzlAAG</t>
  </si>
  <si>
    <t>Tribunal de Justica do Parana (TJPR)</t>
  </si>
  <si>
    <t>0014u000026bVaEAAU</t>
  </si>
  <si>
    <t>Karius, Inc.</t>
  </si>
  <si>
    <t>0010g00001dmuApAAI</t>
  </si>
  <si>
    <t>Pepkor Lifestyle</t>
  </si>
  <si>
    <t>0017000000nyj9nAAA</t>
  </si>
  <si>
    <t>Digitex</t>
  </si>
  <si>
    <t>0017000000p5x4OAAQ</t>
  </si>
  <si>
    <t>International Business Machines Corporation</t>
  </si>
  <si>
    <t>0017000001QVz7TAAT</t>
  </si>
  <si>
    <t>KPMG Services Pte. Ltd.</t>
  </si>
  <si>
    <t>0017000000Mg7hjAAB</t>
  </si>
  <si>
    <t>Acuity</t>
  </si>
  <si>
    <t>0014u00001wlS72AAE</t>
  </si>
  <si>
    <t>Federated Wireless, Inc.</t>
  </si>
  <si>
    <t>0010g00001hnMLVAA2</t>
  </si>
  <si>
    <t>La Araucana</t>
  </si>
  <si>
    <t>0014u00001v8fRBAAY</t>
  </si>
  <si>
    <t>EUROPEAN SPACE AGENCY</t>
  </si>
  <si>
    <t>0017000001LQjN8AAL</t>
  </si>
  <si>
    <t>State of Wisconsin Department of Corrections</t>
  </si>
  <si>
    <t>0014u000024HKiyAAG</t>
  </si>
  <si>
    <t>FSY Florida</t>
  </si>
  <si>
    <t>0017000000mioRuAAI</t>
  </si>
  <si>
    <t>H. Lundbeck A/S</t>
  </si>
  <si>
    <t>0017000000f3lKnAAI</t>
  </si>
  <si>
    <t>Qatar National Bank</t>
  </si>
  <si>
    <t>0017000000nzPOlAAM</t>
  </si>
  <si>
    <t>Credit Andorra</t>
  </si>
  <si>
    <t>0017000000pdocaAAA</t>
  </si>
  <si>
    <t>IBM - System Integrator (NAM)</t>
  </si>
  <si>
    <t>0014u00001oxQNMAA2</t>
  </si>
  <si>
    <t>FS Technology</t>
  </si>
  <si>
    <t>0017000000lBK2zAAG</t>
  </si>
  <si>
    <t>Wings Financial Credit Union</t>
  </si>
  <si>
    <t>0017000000bGv0UAAS</t>
  </si>
  <si>
    <t>Swedbank Ab</t>
  </si>
  <si>
    <t>00170000018RWqMAAW</t>
  </si>
  <si>
    <t>ICICI SECURITIES LIMITED</t>
  </si>
  <si>
    <t>0017000000oGpgGAAS</t>
  </si>
  <si>
    <t>PTT Digital Solutions Company Limited</t>
  </si>
  <si>
    <t>0010g00001Z3xdjAAB</t>
  </si>
  <si>
    <t>Jr West It Solutions Company</t>
  </si>
  <si>
    <t>0017000001V4NrdAAF</t>
  </si>
  <si>
    <t>Inizio Healthcare Limited</t>
  </si>
  <si>
    <t>0017000001GgEpsAAF</t>
  </si>
  <si>
    <t>Penumbra, Inc.</t>
  </si>
  <si>
    <t>0017000000hbP6cAAE</t>
  </si>
  <si>
    <t>PT Bank Central Asia Tbk</t>
  </si>
  <si>
    <t>0017000001XQriOAAT</t>
  </si>
  <si>
    <t>Ankura Consulting Group, Llc</t>
  </si>
  <si>
    <t>0017000000neeZuAAI</t>
  </si>
  <si>
    <t>Sony Assurance Inc.</t>
  </si>
  <si>
    <t>0014u00001uknhXAAQ</t>
  </si>
  <si>
    <t>East Metropolitan Health Service</t>
  </si>
  <si>
    <t>0017000001SxA0UAAV</t>
  </si>
  <si>
    <t>Toyota-astra Motor, Pt</t>
  </si>
  <si>
    <t>0017000000qxzfcAAA</t>
  </si>
  <si>
    <t>Reserve Bank of New Zealand</t>
  </si>
  <si>
    <t>0017000000dv6K6AAI</t>
  </si>
  <si>
    <t>Kotak Securities Limited</t>
  </si>
  <si>
    <t>0017000001V37rcAAB</t>
  </si>
  <si>
    <t>Department for Education SA</t>
  </si>
  <si>
    <t>0017000000vIBP9AAO</t>
  </si>
  <si>
    <t>Fagbokforlaget Vigmostad &amp; Bjorke AS</t>
  </si>
  <si>
    <t>0017000000jvbpmAAA</t>
  </si>
  <si>
    <t>Seven &amp; I Holdings Co., Ltd.</t>
  </si>
  <si>
    <t>0014u00001oxR1CAAU</t>
  </si>
  <si>
    <t>AIA Life Insurance Co., Ltd.</t>
  </si>
  <si>
    <t>0017000000f2Gm6AAE</t>
  </si>
  <si>
    <t>TransCanada Corporation</t>
  </si>
  <si>
    <t>0017000000kbgJJAAY</t>
  </si>
  <si>
    <t>Global Logistics System</t>
  </si>
  <si>
    <t>0014u00001x8MZTAA2</t>
  </si>
  <si>
    <t>CACEIS Spain</t>
  </si>
  <si>
    <t>0017000001RLxAhAAL</t>
  </si>
  <si>
    <t>Almacenes Corona S A S</t>
  </si>
  <si>
    <t>0010g00001mr3ABAAY</t>
  </si>
  <si>
    <t>Citiustech Healthcare</t>
  </si>
  <si>
    <t>0017000001D43ekAAB</t>
  </si>
  <si>
    <t>AT HOME CO.,LTD.</t>
  </si>
  <si>
    <t>JP Enterprise</t>
  </si>
  <si>
    <t>0017000000nyWL1AAM</t>
  </si>
  <si>
    <t>Migros</t>
  </si>
  <si>
    <t>0010g00001Z4fWKAAZ</t>
  </si>
  <si>
    <t>Axtel, S.a.b. De C.v.</t>
  </si>
  <si>
    <t>0014u000028wSpxAAE</t>
  </si>
  <si>
    <t>Fed-Lilly7</t>
  </si>
  <si>
    <t>0010g00001j49Y9AAI</t>
  </si>
  <si>
    <t>Zact, Inc.</t>
  </si>
  <si>
    <t>0017000001QW9QdAAL</t>
  </si>
  <si>
    <t>Board Of Regents Of The University Of Nebraska</t>
  </si>
  <si>
    <t>0014u00001ukcz0AAA</t>
  </si>
  <si>
    <t>Ministry of Sports &amp; Youth</t>
  </si>
  <si>
    <t>0017000000m9qymAAA</t>
  </si>
  <si>
    <t>0017000001AdiLOAAZ</t>
  </si>
  <si>
    <t>Excellia</t>
  </si>
  <si>
    <t>0017000000jE9pCAAS</t>
  </si>
  <si>
    <t>Deloitte - System Integrator</t>
  </si>
  <si>
    <t>0017000001QVxlgAAD</t>
  </si>
  <si>
    <t>Banistmo S.a.</t>
  </si>
  <si>
    <t>0014u00001x8ec2AAA</t>
  </si>
  <si>
    <t>Ministry of Health</t>
  </si>
  <si>
    <t>0017000000qySn0AAE</t>
  </si>
  <si>
    <t>Hero Motocorp Limited</t>
  </si>
  <si>
    <t>0010g00001dn4SIAAY</t>
  </si>
  <si>
    <t>Michael &amp; Susan Dell Foundation</t>
  </si>
  <si>
    <t>00170000013qD9PAAU</t>
  </si>
  <si>
    <t>Zt Systems</t>
  </si>
  <si>
    <t>0017000000lBL4pAAG</t>
  </si>
  <si>
    <t>ICU Medical</t>
  </si>
  <si>
    <t>0017000000kbrslAAA</t>
  </si>
  <si>
    <t>Seguros Santalucia</t>
  </si>
  <si>
    <t>0017000001A8M4pAAF</t>
  </si>
  <si>
    <t>Sherwin Williams de CA</t>
  </si>
  <si>
    <t>0017000000dJO5rAAG</t>
  </si>
  <si>
    <t>Canara HSBC OBC Life Insurance Company Ltd</t>
  </si>
  <si>
    <t>0014u000027qYoAAAU</t>
  </si>
  <si>
    <t>Deko Pay</t>
  </si>
  <si>
    <t>0010g00001j4jHgAAI</t>
  </si>
  <si>
    <t>Gulf States Toyota, Inc.</t>
  </si>
  <si>
    <t>00170000010F2VRAA0</t>
  </si>
  <si>
    <t>Municipal Property Assessment Corporation</t>
  </si>
  <si>
    <t>0010g00001aEsPZAA0</t>
  </si>
  <si>
    <t>Navan, Inc</t>
  </si>
  <si>
    <t>0017000000oHRuhAAG</t>
  </si>
  <si>
    <t>First Tech Federal Credit Union</t>
  </si>
  <si>
    <t>0017000000qySkuAAE</t>
  </si>
  <si>
    <t>Enbridge Inc</t>
  </si>
  <si>
    <t>00170000015DOhLAAW</t>
  </si>
  <si>
    <t>Finanz Informatik Technologie Service GmbH &amp; Co. KG</t>
  </si>
  <si>
    <t>0017000000rZLv7AAG</t>
  </si>
  <si>
    <t>ACWA POWER HOLDING LIMITED</t>
  </si>
  <si>
    <t>0017000000nyj78AAA</t>
  </si>
  <si>
    <t>University Of Sydney</t>
  </si>
  <si>
    <t>0017000001RFBU0AAP</t>
  </si>
  <si>
    <t>0017000000yP3sxAAC</t>
  </si>
  <si>
    <t>Coras Iompair Eireann</t>
  </si>
  <si>
    <t>0014u00001ox9rPAAQ</t>
  </si>
  <si>
    <t>Resolution Life Services (US) Inc.</t>
  </si>
  <si>
    <t>0014u0000253w1xAAA</t>
  </si>
  <si>
    <t>Ifast Corporation, Ltd.</t>
  </si>
  <si>
    <t>0017000000kaMEuAAM</t>
  </si>
  <si>
    <t>Abu Dhabi Investment Council</t>
  </si>
  <si>
    <t>0017000000qySjyAAE</t>
  </si>
  <si>
    <t>Credit Saison Co., Ltd.</t>
  </si>
  <si>
    <t>0010g00001Z2XBRAA3</t>
  </si>
  <si>
    <t>Indian Oil Corporation Limited</t>
  </si>
  <si>
    <t>0010g00001bzd6RAAQ</t>
  </si>
  <si>
    <t>Banco Ctt, S.a.</t>
  </si>
  <si>
    <t>0010g00001hnp1XAAQ</t>
  </si>
  <si>
    <t>Christus Muguerza Sistemas Hospitalarios, S.a. De C.v.</t>
  </si>
  <si>
    <t>0017000000ljnHJAAY</t>
  </si>
  <si>
    <t>D2C Inc.</t>
  </si>
  <si>
    <t>00170000014LIwrAAG</t>
  </si>
  <si>
    <t>FRACTAL ANALYTICS LIMITED</t>
  </si>
  <si>
    <t>0017000000vmBt2AAE</t>
  </si>
  <si>
    <t>0010g00001gMMG9AAO</t>
  </si>
  <si>
    <t>NTT DATA eCommerce Solutions Sdn. Bhd.</t>
  </si>
  <si>
    <t>0010g00001bxxsfAAA</t>
  </si>
  <si>
    <t>Arcus Biosciences, Inc.</t>
  </si>
  <si>
    <t>0017000000cJHqlAAG</t>
  </si>
  <si>
    <t>Navex Global, Inc.</t>
  </si>
  <si>
    <t>0010g00001hoKKOAA2</t>
  </si>
  <si>
    <t>Abbott Laboratories Trading (shanghai) Co., Ltd.</t>
  </si>
  <si>
    <t>0017000000p7MT1AAM</t>
  </si>
  <si>
    <t>BANK OF JERUSALEM LTD.</t>
  </si>
  <si>
    <t>0017000001RMkuJAAT</t>
  </si>
  <si>
    <t>Techmatrix Corporation</t>
  </si>
  <si>
    <t>0017000001CJ9JUAA1</t>
  </si>
  <si>
    <t>CAREWISE HEALTH INC</t>
  </si>
  <si>
    <t>0017000000zggOkAAI</t>
  </si>
  <si>
    <t>South China Morning Post Publishers Limited</t>
  </si>
  <si>
    <t>00170000011u3gBAAQ</t>
  </si>
  <si>
    <t>APOLLO TYRES LIMITED</t>
  </si>
  <si>
    <t>0017000000bDcFPAA0</t>
  </si>
  <si>
    <t>Land Transport Authority</t>
  </si>
  <si>
    <t>0010g00001dphNhAAI</t>
  </si>
  <si>
    <t>Minsur S.a.</t>
  </si>
  <si>
    <t>0017000000uktNcAAI</t>
  </si>
  <si>
    <t>BANCO DE LA REPUBLICA</t>
  </si>
  <si>
    <t>0017000001Hp8PDAAZ</t>
  </si>
  <si>
    <t>RAKUTEN SECURITIES,INC.</t>
  </si>
  <si>
    <t>0017000001HpnsFAAR</t>
  </si>
  <si>
    <t>ABU DHABI GLOBAL MARKET</t>
  </si>
  <si>
    <t>0010g00001j3zOqAAI</t>
  </si>
  <si>
    <t>Unimed Seguros Saude S/A</t>
  </si>
  <si>
    <t>0014u000027qYHTAA2</t>
  </si>
  <si>
    <t>Nfq Advisory, Solutions, Outsourcing</t>
  </si>
  <si>
    <t>0017000001OwTNyAAN</t>
  </si>
  <si>
    <t>Saretec France</t>
  </si>
  <si>
    <t>0014u000028RArmAAG</t>
  </si>
  <si>
    <t>Scm Biogroup</t>
  </si>
  <si>
    <t>00170000013tsSnAAI</t>
  </si>
  <si>
    <t>UNIVERSITA' COMMERCIALE LUIGI BOCCONI</t>
  </si>
  <si>
    <t>0017000000y2A8xAAE</t>
  </si>
  <si>
    <t>ASPEN MEDICAL PTY LIMITED</t>
  </si>
  <si>
    <t>0014u00001nyQWCAA2</t>
  </si>
  <si>
    <t>eVisit, Inc.</t>
  </si>
  <si>
    <t>0017000000gFZyAAAW</t>
  </si>
  <si>
    <t>Subaru Corporation</t>
  </si>
  <si>
    <t>0017000000bFkl9AAC</t>
  </si>
  <si>
    <t>National Diet Library</t>
  </si>
  <si>
    <t>0014u000023wA37AAE</t>
  </si>
  <si>
    <t>Cred-system Administracao E Processamento De Cartoes Ltda.</t>
  </si>
  <si>
    <t>0017000001Sf2t9AAB</t>
  </si>
  <si>
    <t>Ncs Pte. Ltd.</t>
  </si>
  <si>
    <t>0014u000027pdWiAAI</t>
  </si>
  <si>
    <t>Xtalpi, Inc.</t>
  </si>
  <si>
    <t>0010g00001ZYNxtAAH</t>
  </si>
  <si>
    <t>John Swire &amp; Sons (h.k.) Limited</t>
  </si>
  <si>
    <t>0014u00001uumHxAAI</t>
  </si>
  <si>
    <t>Telefonica Cybersecurity &amp; Cloud Tech Sl.</t>
  </si>
  <si>
    <t>0017000000ljQU0AAM</t>
  </si>
  <si>
    <t>Gestamp</t>
  </si>
  <si>
    <t>0017000001JOhgJAAT</t>
  </si>
  <si>
    <t>CIMB THAI BANK PUBLIC COMPANY LIMITED</t>
  </si>
  <si>
    <t>00170000012O4i5AAC</t>
  </si>
  <si>
    <t>iconectiv</t>
  </si>
  <si>
    <t>0017000000rXzdHAAS</t>
  </si>
  <si>
    <t>ON2IT Netherlands</t>
  </si>
  <si>
    <t>Benelux Partners</t>
  </si>
  <si>
    <t>0017000001SyY2IAAV</t>
  </si>
  <si>
    <t>Union Andina De Cementos S.a.a. - Unacem S.a.a.</t>
  </si>
  <si>
    <t>0017000000Q4jlJAAR</t>
  </si>
  <si>
    <t>University of Florida Health</t>
  </si>
  <si>
    <t>0014u000026c0UxAAI</t>
  </si>
  <si>
    <t>EUROBIC</t>
  </si>
  <si>
    <t>0017000001RLwTqAAL</t>
  </si>
  <si>
    <t>Gravie, Inc.</t>
  </si>
  <si>
    <t>0017000000rWvmJAAS</t>
  </si>
  <si>
    <t>GREATER BANK</t>
  </si>
  <si>
    <t>0017000000s7WUQAA2</t>
  </si>
  <si>
    <t>ACI INFORMATICA SPA</t>
  </si>
  <si>
    <t>0017000001RKWR3AAP</t>
  </si>
  <si>
    <t>Cactus Communications Private Limited</t>
  </si>
  <si>
    <t>0010g00001j6V5nAAE</t>
  </si>
  <si>
    <t>Yseop</t>
  </si>
  <si>
    <t>00170000013plqLAAQ</t>
  </si>
  <si>
    <t>Billy Graham Evangelistic Association</t>
  </si>
  <si>
    <t>0017000001VrlIiAAJ</t>
  </si>
  <si>
    <t>Fubon Life Insurance Co., Ltd.</t>
  </si>
  <si>
    <t>0010g00001gBoxsAAC</t>
  </si>
  <si>
    <t>Polaris Bank Plc</t>
  </si>
  <si>
    <t>0017000000jFWAgAAO</t>
  </si>
  <si>
    <t>YF Life Insurance International Ltd.</t>
  </si>
  <si>
    <t>00170000011vbxBAAQ</t>
  </si>
  <si>
    <t>JOINT STOCK COMMERCIAL BANK FOR FOREIGN TRADE OF VIETNAM (Vietcombank)</t>
  </si>
  <si>
    <t>0017000000qwImgAAE</t>
  </si>
  <si>
    <t>Redeban Multicolor S.A.</t>
  </si>
  <si>
    <t>0017000000xOR6iAAG</t>
  </si>
  <si>
    <t>Aerovias de Mexico, S.A. de C.V.</t>
  </si>
  <si>
    <t>0014u00002ADlBdAAL</t>
  </si>
  <si>
    <t>Fiant.io</t>
  </si>
  <si>
    <t>0017000001SfMrrAAF</t>
  </si>
  <si>
    <t>Smu S.a.</t>
  </si>
  <si>
    <t>0017000001RKetTAAT</t>
  </si>
  <si>
    <t>Enaire</t>
  </si>
  <si>
    <t>0014u00001ukVM7AAM</t>
  </si>
  <si>
    <t>Gea Process Engineering China Limited.</t>
  </si>
  <si>
    <t>0017000001ISloSAAT</t>
  </si>
  <si>
    <t>LIBERTY SEGUROS S A</t>
  </si>
  <si>
    <t>0010g00001c01EYAAY</t>
  </si>
  <si>
    <t>Octopus Lab Limited</t>
  </si>
  <si>
    <t>0017000000cJmXuAAK</t>
  </si>
  <si>
    <t>Sunrise Banks</t>
  </si>
  <si>
    <t>0017000000YwC85AAF</t>
  </si>
  <si>
    <t>KPMG LLP (UK)</t>
  </si>
  <si>
    <t>0014u0000200x9KAAQ</t>
  </si>
  <si>
    <t>Olympic Channel Services S.l.</t>
  </si>
  <si>
    <t>0014u0000236aqKAAQ</t>
  </si>
  <si>
    <t>Grunenthal Financial Services, Unipessoal, Lda</t>
  </si>
  <si>
    <t>0017000001JLV8fAAH</t>
  </si>
  <si>
    <t>TOMMY BAHAMA GROUP, INC.</t>
  </si>
  <si>
    <t>0010g00001gLjuZAAS</t>
  </si>
  <si>
    <t>Real Madrid Club De Futbol</t>
  </si>
  <si>
    <t>0017000000seXdXAAU</t>
  </si>
  <si>
    <t>First Canadian Title Company Limited</t>
  </si>
  <si>
    <t>0010g00001j5atdAAA</t>
  </si>
  <si>
    <t>Credit Agricole Cariparma Spa</t>
  </si>
  <si>
    <t>0017000000lAMVAAA4</t>
  </si>
  <si>
    <t>NTT DOCOMO, INC.</t>
  </si>
  <si>
    <t>0017000000mlmaOAAQ</t>
  </si>
  <si>
    <t>KiK Textilien und Non-Food GmbH</t>
  </si>
  <si>
    <t>0017000001JMJY8AAP</t>
  </si>
  <si>
    <t>Femsa Comercio, S.A. de C.V</t>
  </si>
  <si>
    <t>0017000000lhYaDAAU</t>
  </si>
  <si>
    <t>Bank of Thailand</t>
  </si>
  <si>
    <t>0017000000kZrvCAAS</t>
  </si>
  <si>
    <t>Merit Network</t>
  </si>
  <si>
    <t>001700000137YvWAAU</t>
  </si>
  <si>
    <t>EDELWEISS FINANCIAL SERVICES LIMITED</t>
  </si>
  <si>
    <t>0014u00002BGoIyAAL</t>
  </si>
  <si>
    <t>Fed-Tulip36</t>
  </si>
  <si>
    <t>0017000000qvo8aAAA</t>
  </si>
  <si>
    <t>Bluecross Blueshield Of Tennessee, Inc.</t>
  </si>
  <si>
    <t>0017000000neljZAAQ</t>
  </si>
  <si>
    <t>MediaTek Inc. Hsinchu (HQ)</t>
  </si>
  <si>
    <t>0017000001RFNmjAAH</t>
  </si>
  <si>
    <t>Banco Bolivariano C.a.</t>
  </si>
  <si>
    <t>0017000001RLuoFAAT</t>
  </si>
  <si>
    <t>Aaon, Inc.</t>
  </si>
  <si>
    <t>0014u000028xUsSAAU</t>
  </si>
  <si>
    <t>Fed-Tulip21</t>
  </si>
  <si>
    <t>0014u00001x9EbbAAE</t>
  </si>
  <si>
    <t>Edelweiss Private Wealth</t>
  </si>
  <si>
    <t>0017000001GgCP1AAN</t>
  </si>
  <si>
    <t>BANQUE EDEL SNC</t>
  </si>
  <si>
    <t>0010g00001mq57FAAQ</t>
  </si>
  <si>
    <t>Acuity Knowledge Partners (uk) Limited</t>
  </si>
  <si>
    <t>0014u000025y0waAAA</t>
  </si>
  <si>
    <t>PRAEMIA REIM</t>
  </si>
  <si>
    <t>0017000000jvrRXAAY</t>
  </si>
  <si>
    <t>SHIFT SECURITY Inc.(Partner)</t>
  </si>
  <si>
    <t>00170000012MXK8AAO</t>
  </si>
  <si>
    <t>CGI Technologies and Solutions Inc.</t>
  </si>
  <si>
    <t>00170000014JMVyAAO</t>
  </si>
  <si>
    <t>Dogus Teknoloji</t>
  </si>
  <si>
    <t>0017000001XRKzbAAH</t>
  </si>
  <si>
    <t>Integratel Perú S.A.A.</t>
  </si>
  <si>
    <t>0010g00001ZYVbgAAH</t>
  </si>
  <si>
    <t>Washington Health Benefit Exchange</t>
  </si>
  <si>
    <t>0017000001OuQ0XAAV</t>
  </si>
  <si>
    <t>Aramis Group</t>
  </si>
  <si>
    <t>0010g00001lQodxAAC</t>
  </si>
  <si>
    <t>Fontainebleau Las Vegas</t>
  </si>
  <si>
    <t>0017000000nzQteAAE</t>
  </si>
  <si>
    <t>Aboitiz Power Corporation</t>
  </si>
  <si>
    <t>0014u00001mrVNTAA2</t>
  </si>
  <si>
    <t>Northern Arc Capital Limited</t>
  </si>
  <si>
    <t>0017000000ZKCVBAA5</t>
  </si>
  <si>
    <t>Capita Plc</t>
  </si>
  <si>
    <t>0017000000qySgSAAU</t>
  </si>
  <si>
    <t>Alpha Bank</t>
  </si>
  <si>
    <t>Greece</t>
  </si>
  <si>
    <t>0014u00001vvLPbAAM</t>
  </si>
  <si>
    <t>Blumar S.a.</t>
  </si>
  <si>
    <t>0017000000p5MiwAAE</t>
  </si>
  <si>
    <t>Solvinity</t>
  </si>
  <si>
    <t>0014u000028wUJiAAM</t>
  </si>
  <si>
    <t>Unibeam Ltd</t>
  </si>
  <si>
    <t>0017000001MTgv4AAD</t>
  </si>
  <si>
    <t>Davidson Kempner Capital Management LP</t>
  </si>
  <si>
    <t>0017000000rYmpEAAS</t>
  </si>
  <si>
    <t>Daido Life Insurance Company</t>
  </si>
  <si>
    <t>0010g00001doKW6AAM</t>
  </si>
  <si>
    <t>Resurs Bank Ab</t>
  </si>
  <si>
    <t>0017000000haVqpAAE</t>
  </si>
  <si>
    <t>Daiwa Capital Markets Hong Kong Limited</t>
  </si>
  <si>
    <t>0010g00001YJ0VzAAL</t>
  </si>
  <si>
    <t>Boehringer Ingelheim (china) Investment Co., Ltd.</t>
  </si>
  <si>
    <t>0017000000rZWOFAA4</t>
  </si>
  <si>
    <t>BCLP</t>
  </si>
  <si>
    <t>0017000000Lfh3NAAR</t>
  </si>
  <si>
    <t>Western &amp; Southern Life Insurance Company</t>
  </si>
  <si>
    <t>001700000137XJkAAM</t>
  </si>
  <si>
    <t>0017000000qySpZAAU</t>
  </si>
  <si>
    <t>The Lubrizol Corporation</t>
  </si>
  <si>
    <t>0017000001OWZzPAAX</t>
  </si>
  <si>
    <t>PEPCO POLAND SP Z O O</t>
  </si>
  <si>
    <t>00170000010DciBAAS</t>
  </si>
  <si>
    <t>LIBRARY COUNCIL OF NSW</t>
  </si>
  <si>
    <t>0010g00001dnisVAAQ</t>
  </si>
  <si>
    <t>Colombiana De Comercio S A</t>
  </si>
  <si>
    <t>0014u00002382IHAAY</t>
  </si>
  <si>
    <t>VS Management (Shanghai) Company Limited</t>
  </si>
  <si>
    <t>0014u00002A5awQAAR</t>
  </si>
  <si>
    <t>Versana</t>
  </si>
  <si>
    <t>0017000001Ow0oMAAR</t>
  </si>
  <si>
    <t>Kakao Bank</t>
  </si>
  <si>
    <t>00170000010inQ5AAI</t>
  </si>
  <si>
    <t>AAA NCNU CLUB</t>
  </si>
  <si>
    <t>0014u00001owGqKAAU</t>
  </si>
  <si>
    <t>Mettel, Inc.</t>
  </si>
  <si>
    <t>0010g00001Z3iReAAJ</t>
  </si>
  <si>
    <t>Boyne Resorts</t>
  </si>
  <si>
    <t>0014u00001ujv9IAAQ</t>
  </si>
  <si>
    <t>Imagius Japan K.k.</t>
  </si>
  <si>
    <t>0017000000qK2NtAAK</t>
  </si>
  <si>
    <t>PAREXEL International Corporation</t>
  </si>
  <si>
    <t>0017000000n88yEAAQ</t>
  </si>
  <si>
    <t>Hcl Technologies Limited</t>
  </si>
  <si>
    <t>0017000000hbN9NAAU</t>
  </si>
  <si>
    <t>KeHE Distributors, LLC</t>
  </si>
  <si>
    <t>00170000012P0OtAAK</t>
  </si>
  <si>
    <t>CJ Logistics</t>
  </si>
  <si>
    <t>00170000012MuiSAAS</t>
  </si>
  <si>
    <t>Samsung Securities Co., Ltd.</t>
  </si>
  <si>
    <t>0017000001Oue8TAAR</t>
  </si>
  <si>
    <t>The Unite Group Plc</t>
  </si>
  <si>
    <t>0017000001H6ClEAAV</t>
  </si>
  <si>
    <t>Hong Kong Express Airways Limited</t>
  </si>
  <si>
    <t>0014u00001x8ivmAAA</t>
  </si>
  <si>
    <t>Mlmic Insurance Company</t>
  </si>
  <si>
    <t>0017000001SwvEEAAZ</t>
  </si>
  <si>
    <t>Sappi Ltd</t>
  </si>
  <si>
    <t>0017000000yNbqRAAS</t>
  </si>
  <si>
    <t>Grands Chais de France</t>
  </si>
  <si>
    <t>0017000000T16R7AAJ</t>
  </si>
  <si>
    <t>Honeywell International Inc.</t>
  </si>
  <si>
    <t>0014u00001mrMFhAAM</t>
  </si>
  <si>
    <t>Servicios Electrónicos Globales, S.a. De C.v.</t>
  </si>
  <si>
    <t>0014u00001yg9SfAAI</t>
  </si>
  <si>
    <t>Promigas S A E S P</t>
  </si>
  <si>
    <t>0017000001OWSDDAA5</t>
  </si>
  <si>
    <t>DELTA GALIL INDUSTRIES LTD.</t>
  </si>
  <si>
    <t>0017000001Ae8CpAAJ</t>
  </si>
  <si>
    <t>ADELAIDE BRIGHTON CEMENT LIMITED</t>
  </si>
  <si>
    <t>0014u000027r2JlAAI</t>
  </si>
  <si>
    <t>Travelgate Sl.</t>
  </si>
  <si>
    <t>001700000136IZdAAM</t>
  </si>
  <si>
    <t>Sophos Limited</t>
  </si>
  <si>
    <t>0017000000mlm5TAAQ</t>
  </si>
  <si>
    <t>Hyundai Card/Capital</t>
  </si>
  <si>
    <t>0017000000qwxI1AAI</t>
  </si>
  <si>
    <t>Colgate-Palmolive Company</t>
  </si>
  <si>
    <t>0017000000cIUpwAAG</t>
  </si>
  <si>
    <t>National Center for High-Performance Computing</t>
  </si>
  <si>
    <t>0010g00001aBkBkAAK</t>
  </si>
  <si>
    <t>The Movember Group Pty Limited</t>
  </si>
  <si>
    <t>0017000001MUEdcAAH</t>
  </si>
  <si>
    <t>Deep Instinct</t>
  </si>
  <si>
    <t>0010g00001bx9IwAAI</t>
  </si>
  <si>
    <t>3-Gis, LLC</t>
  </si>
  <si>
    <t>0017000001SxQ1qAAF</t>
  </si>
  <si>
    <t>National Healthcare Systems Company Limited</t>
  </si>
  <si>
    <t>0017000000ymDOlAAM</t>
  </si>
  <si>
    <t>Electric Reliability Council of Texas, Inc. (ERCOT)</t>
  </si>
  <si>
    <t>0017000000xN2z5AAC</t>
  </si>
  <si>
    <t>FINANCIAL SOFTWARE AND SYSTEMS PRIVATE LIMITED</t>
  </si>
  <si>
    <t>0014u000024GO9AAAW</t>
  </si>
  <si>
    <t>Ministerul Justitiei</t>
  </si>
  <si>
    <t>00170000013qigeAAA</t>
  </si>
  <si>
    <t>Westlake Chemical Corporation</t>
  </si>
  <si>
    <t>0017000000mkH4yAAE</t>
  </si>
  <si>
    <t>Ayudhya Capital Services Company Limited</t>
  </si>
  <si>
    <t>0017000001Gg1tfAAB</t>
  </si>
  <si>
    <t>SOC COMERCIAL FARMACEUTICA SA</t>
  </si>
  <si>
    <t>0017000000WcdGeAAJ</t>
  </si>
  <si>
    <t>Carilion Health System</t>
  </si>
  <si>
    <t>0014u00001yJoyyAAC</t>
  </si>
  <si>
    <t>LOTTE FINANCE CO.,LTD</t>
  </si>
  <si>
    <t>0014u000028xPGJAA2</t>
  </si>
  <si>
    <t>Fed-Tulip19</t>
  </si>
  <si>
    <t>0017000000vFfS0AAK</t>
  </si>
  <si>
    <t>Alliance Construction Materials Limited</t>
  </si>
  <si>
    <t>0014u000027qeaBAAQ</t>
  </si>
  <si>
    <t>Fed-POPPY5</t>
  </si>
  <si>
    <t>0010g00001bxgWgAAI</t>
  </si>
  <si>
    <t>Henderson Real Estate Agency Limited</t>
  </si>
  <si>
    <t>0014u000023YIA5AAO</t>
  </si>
  <si>
    <t>African Export-import Bank</t>
  </si>
  <si>
    <t>0017000000hd8CzAAI</t>
  </si>
  <si>
    <t>Brooks Running</t>
  </si>
  <si>
    <t>0010g00001inHcTAAU</t>
  </si>
  <si>
    <t>Impresa SA</t>
  </si>
  <si>
    <t>0017000000s7p0BAAQ</t>
  </si>
  <si>
    <t>Cornerstone Research Inc.</t>
  </si>
  <si>
    <t>0017000000dqzmZAAQ</t>
  </si>
  <si>
    <t>Benefit One</t>
  </si>
  <si>
    <t>0014u00001toV2XAAU</t>
  </si>
  <si>
    <t>Costa Farms, Llc</t>
  </si>
  <si>
    <t>0010g00001dmHF0AAM</t>
  </si>
  <si>
    <t>Telefonica Brasil S.A</t>
  </si>
  <si>
    <t>0014u00001yiwECAAY</t>
  </si>
  <si>
    <t>Pantera Capital Management LP</t>
  </si>
  <si>
    <t>00170000016VLMNAA4</t>
  </si>
  <si>
    <t>HDFC ASSET MANAGEMENT COMPANY LIMITED</t>
  </si>
  <si>
    <t>0017000000nyWLaAAM</t>
  </si>
  <si>
    <t>Yapi Kredi Bank</t>
  </si>
  <si>
    <t>0017000000ZMaSWAA1</t>
  </si>
  <si>
    <t>University of Texas Health Science Center At Houston</t>
  </si>
  <si>
    <t>0017000000qySmUAAU</t>
  </si>
  <si>
    <t>PT Gudang Garam Tbk</t>
  </si>
  <si>
    <t>0017000001OV6IQAA1</t>
  </si>
  <si>
    <t>Vietnam Prosperity Joint Stock Commercial Bank</t>
  </si>
  <si>
    <t>0017000000dvLYaAAM</t>
  </si>
  <si>
    <t>US DOE - Office of Scientific and Technical Information</t>
  </si>
  <si>
    <t>00170000015FJsYAAW</t>
  </si>
  <si>
    <t>SK Broadband Co., Ltd.</t>
  </si>
  <si>
    <t>0017000000uhKeHAAU</t>
  </si>
  <si>
    <t>Viewpost, LLC</t>
  </si>
  <si>
    <t>0017000001Ov0iHAAR</t>
  </si>
  <si>
    <t>MAX HEALTHCARE INSTITUTE LIMITED</t>
  </si>
  <si>
    <t>0014u00001ukLO8AAM</t>
  </si>
  <si>
    <t>Cordis US Corp.</t>
  </si>
  <si>
    <t>0017000001OXTSDAA5</t>
  </si>
  <si>
    <t>Icici Prudential Life Insurance Company Limited</t>
  </si>
  <si>
    <t>0014u00001vwQhqAAE</t>
  </si>
  <si>
    <t>Nordiska Investeringsbanken, Pohjoismaiden Investointipankki Nib, Nordic Investment Bank</t>
  </si>
  <si>
    <t>00170000011txdeAAA</t>
  </si>
  <si>
    <t>Ochsner Health System</t>
  </si>
  <si>
    <t>0014u00001nxrUMAAY</t>
  </si>
  <si>
    <t>Bsecure Medellin</t>
  </si>
  <si>
    <t>0017000000orKJtAAM</t>
  </si>
  <si>
    <t>Schroders plc</t>
  </si>
  <si>
    <t>0017000000VfBeTAAV</t>
  </si>
  <si>
    <t>0017000000ZNZOgAAP</t>
  </si>
  <si>
    <t>Wilmar International Limited</t>
  </si>
  <si>
    <t>0014u000021G0AxAAK</t>
  </si>
  <si>
    <t>Mtn Ghana</t>
  </si>
  <si>
    <t>00170000010ErfnAAC</t>
  </si>
  <si>
    <t>Lotte Data Communication</t>
  </si>
  <si>
    <t>0017000001RKxpjAAD</t>
  </si>
  <si>
    <t>Betagro Public Company Limited</t>
  </si>
  <si>
    <t>0010g00001j39rPAAQ</t>
  </si>
  <si>
    <t>OrderMyGear LLC</t>
  </si>
  <si>
    <t>0017000000VguixAAB</t>
  </si>
  <si>
    <t>American Institutes for Research</t>
  </si>
  <si>
    <t>0014u0000220ny2AAA</t>
  </si>
  <si>
    <t>Epifi Technologies Private Limited</t>
  </si>
  <si>
    <t>0010g00001hnZW6AAM</t>
  </si>
  <si>
    <t>Eastdil Secured</t>
  </si>
  <si>
    <t>0017000000qySupAAE</t>
  </si>
  <si>
    <t>Swire Pacific Limited</t>
  </si>
  <si>
    <t>0010g00001Z3YT8AAN</t>
  </si>
  <si>
    <t>Verizon Australia Pty Limited</t>
  </si>
  <si>
    <t>0010g00001ZYGZOAA5</t>
  </si>
  <si>
    <t>HashiCorp, Inc.</t>
  </si>
  <si>
    <t>0017000000yOzvzAAC</t>
  </si>
  <si>
    <t>Assuta Medical Center</t>
  </si>
  <si>
    <t>0017000000p7ZHEAA2</t>
  </si>
  <si>
    <t>PASONA GROUP INC.</t>
  </si>
  <si>
    <t>0010g00001j6GvfAAE</t>
  </si>
  <si>
    <t>Domino Data Lab, Inc.</t>
  </si>
  <si>
    <t>001Ki000006tNY7IAM</t>
  </si>
  <si>
    <t>Appro Onboarding Solutions FZ-LLC</t>
  </si>
  <si>
    <t>0017000000qyShKAAU</t>
  </si>
  <si>
    <t>Bank Negara Indonesia (Persero), Pt Tbk</t>
  </si>
  <si>
    <t>0017000000cJiePAAS</t>
  </si>
  <si>
    <t>Caixa-Enginyers</t>
  </si>
  <si>
    <t>0017000001MCC4tAAH</t>
  </si>
  <si>
    <t>Los Angeles Capital Management and Equity Research, Inc.</t>
  </si>
  <si>
    <t>0017000001Ae8CkAAJ</t>
  </si>
  <si>
    <t>NATIONAL PHARMACIES AUSTRALIA PTY LTD</t>
  </si>
  <si>
    <t>0010g00001gC042AAC</t>
  </si>
  <si>
    <t>Capri Global Capital Limited</t>
  </si>
  <si>
    <t>0014u00001yJSSZAA4</t>
  </si>
  <si>
    <t>Hilton Enterprise Management (shanghai) Co., Ltd.</t>
  </si>
  <si>
    <t>0017000000qxXZDAA2</t>
  </si>
  <si>
    <t>Trividia Health, Inc.</t>
  </si>
  <si>
    <t>0014u000027pUbhAAE</t>
  </si>
  <si>
    <t>Odaseva Technologies</t>
  </si>
  <si>
    <t>0017000001IUy6oAAD</t>
  </si>
  <si>
    <t>Construction Industry Council</t>
  </si>
  <si>
    <t>00170000018SFbDAAW</t>
  </si>
  <si>
    <t>First Community Credit Union</t>
  </si>
  <si>
    <t>0017000000rY1EJAA0</t>
  </si>
  <si>
    <t>IBM UK - International Business Machines</t>
  </si>
  <si>
    <t>00170000019NkrRAAS</t>
  </si>
  <si>
    <t>KPMG INDIA PRIVATE LIMITED</t>
  </si>
  <si>
    <t>0017000000dIxo1AAC</t>
  </si>
  <si>
    <t>Bank of Guam</t>
  </si>
  <si>
    <t>0010g00001j3mW0AAI</t>
  </si>
  <si>
    <t>Yile Technology Co., Ltd.</t>
  </si>
  <si>
    <t>0017000000n8ylsAAA</t>
  </si>
  <si>
    <t>Infotimes Corporation</t>
  </si>
  <si>
    <t>0014u0000254npWAAQ</t>
  </si>
  <si>
    <t>0017000001EoQyAAAV</t>
  </si>
  <si>
    <t>Capitaland China Holdings Pte Ltd</t>
  </si>
  <si>
    <t>0017000000tC8peAAC</t>
  </si>
  <si>
    <t>The Fresh Market, Inc.</t>
  </si>
  <si>
    <t>0010g00001aCGTxAAO</t>
  </si>
  <si>
    <t>Shoppers Stop Limited</t>
  </si>
  <si>
    <t>00170000015FYMcAAO</t>
  </si>
  <si>
    <t>New Era Technology</t>
  </si>
  <si>
    <t>0014u00001yJsbuAAC</t>
  </si>
  <si>
    <t>Totem France</t>
  </si>
  <si>
    <t>0010g00001holRXAAY</t>
  </si>
  <si>
    <t>Libretto.io</t>
  </si>
  <si>
    <t>0010g00001bxA32AAE</t>
  </si>
  <si>
    <t>Kentucky Employers' Mutual Insurance Authority</t>
  </si>
  <si>
    <t>0014u000021IkE9AAK</t>
  </si>
  <si>
    <t>Dsigner</t>
  </si>
  <si>
    <t>0017000001OulydAAB</t>
  </si>
  <si>
    <t>GODFREY PHILIPS INDIA LIMITED</t>
  </si>
  <si>
    <t>0017000000u30r0AAA</t>
  </si>
  <si>
    <t>Global Security Experts K.K.</t>
  </si>
  <si>
    <t>0017000001OvoUyAAJ</t>
  </si>
  <si>
    <t>MTN Cote D'Ivoire</t>
  </si>
  <si>
    <t>Rest of MENA</t>
  </si>
  <si>
    <t>0014u000027pxjoAAA</t>
  </si>
  <si>
    <t>Xcloud Game Co., Ltd.</t>
  </si>
  <si>
    <t>0017000000mjROcAAM</t>
  </si>
  <si>
    <t>Glacier Bancorp</t>
  </si>
  <si>
    <t>0017000000lAknyAAC</t>
  </si>
  <si>
    <t>Grange Insurance</t>
  </si>
  <si>
    <t>0010g00001frzZ5AAI</t>
  </si>
  <si>
    <t>Legal &amp; General Retirement</t>
  </si>
  <si>
    <t>00170000016XJHbAAO</t>
  </si>
  <si>
    <t>Nuvizz Inc.</t>
  </si>
  <si>
    <t>0014u00001ow6X5AAI</t>
  </si>
  <si>
    <t>Motrex, LLC</t>
  </si>
  <si>
    <t>0017000000nxv8NAAQ</t>
  </si>
  <si>
    <t>Muriel Siebert &amp; Co., Inc.</t>
  </si>
  <si>
    <t>0017000000oHlJ2AAK</t>
  </si>
  <si>
    <t>Bed Bath and Beyond</t>
  </si>
  <si>
    <t>0017000000ZMPyYAAX</t>
  </si>
  <si>
    <t>Airport Authority</t>
  </si>
  <si>
    <t>0017000000qySjkAAE</t>
  </si>
  <si>
    <t>Conagra Brands, Inc</t>
  </si>
  <si>
    <t>0017000000vlOzXAAU</t>
  </si>
  <si>
    <t>Universita' Degli Studi Di Milano - Bicocca</t>
  </si>
  <si>
    <t>0014u00002010IEAAY</t>
  </si>
  <si>
    <t>Équité Association</t>
  </si>
  <si>
    <t>0014u0000236mYUAAY</t>
  </si>
  <si>
    <t>Rakuten Symphony Singapore Pte. Ltd.</t>
  </si>
  <si>
    <t>00170000011vlpKAAQ</t>
  </si>
  <si>
    <t>Centerbridge Partners, L.P.</t>
  </si>
  <si>
    <t>0017000000jtdP2AAI</t>
  </si>
  <si>
    <t>Perforce Software</t>
  </si>
  <si>
    <t>0010g00001byjpXAAQ</t>
  </si>
  <si>
    <t>Aje Group</t>
  </si>
  <si>
    <t>0017000000zfHU0AAM</t>
  </si>
  <si>
    <t>DTS CORPORATION</t>
  </si>
  <si>
    <t>0014u00001tDe5pAAC</t>
  </si>
  <si>
    <t>Facilities Management And Maintenance Company W.l.l</t>
  </si>
  <si>
    <t>00170000013rMeTAAU</t>
  </si>
  <si>
    <t>Groupe Clarins</t>
  </si>
  <si>
    <t>0014u00001nyetsAAA</t>
  </si>
  <si>
    <t>Harness Inc</t>
  </si>
  <si>
    <t>0017000001AeK6DAAV</t>
  </si>
  <si>
    <t>Bender Industries GmbH &amp; Co. KG</t>
  </si>
  <si>
    <t>0017000000gGDAeAAO</t>
  </si>
  <si>
    <t>Memorial Hermann Health System</t>
  </si>
  <si>
    <t>0017000000xKyrGAAS</t>
  </si>
  <si>
    <t>Telus Corporation</t>
  </si>
  <si>
    <t>0014u00001tDCI7AAO</t>
  </si>
  <si>
    <t>Deloitte LLP (UK-MSSP)</t>
  </si>
  <si>
    <t>0014u00001zgvxPAAQ</t>
  </si>
  <si>
    <t>Kushki Colombia S A S</t>
  </si>
  <si>
    <t>0017000001RLyAPAA1</t>
  </si>
  <si>
    <t>PGT Industries, Inc.</t>
  </si>
  <si>
    <t>0010g00001aBQXrAAO</t>
  </si>
  <si>
    <t>Hph Corporate Services Limited</t>
  </si>
  <si>
    <t>0017000000WdIznAAF</t>
  </si>
  <si>
    <t>Eiffage SA</t>
  </si>
  <si>
    <t>0017000000fSygZAAS</t>
  </si>
  <si>
    <t>ICICI Prudential Asset Management Company Limuted</t>
  </si>
  <si>
    <t>0010g00001ZYZfKAAX</t>
  </si>
  <si>
    <t>Internet Initiative Japan Inc.</t>
  </si>
  <si>
    <t>001Ki00000CC3xCIAT</t>
  </si>
  <si>
    <t>Macnica Solutions Corp.</t>
  </si>
  <si>
    <t>0014u000024HMfiAAG</t>
  </si>
  <si>
    <t>Mizuho Bank MGCP</t>
  </si>
  <si>
    <t>0017000000cJLnwAAG</t>
  </si>
  <si>
    <t>NEC Security, Ltd.</t>
  </si>
  <si>
    <t>0017000000p5ChjAAE</t>
  </si>
  <si>
    <t>0017000001IW28KAAT</t>
  </si>
  <si>
    <t>SONY LIFE INSURANCE CO.,LTD.</t>
  </si>
  <si>
    <t>00170000018R7OgAAK</t>
  </si>
  <si>
    <t>MAJOR LEAGUE SOCCER, L.L.C.</t>
  </si>
  <si>
    <t>0017000001XQUgXAAX</t>
  </si>
  <si>
    <t>Lanvera Ltd</t>
  </si>
  <si>
    <t>0010g00001holQmAAI</t>
  </si>
  <si>
    <t>MENORA MIVTACHIM INSURANCE LTD</t>
  </si>
  <si>
    <t>00170000018ShCtAAK</t>
  </si>
  <si>
    <t>Throughtek Co., Ltd</t>
  </si>
  <si>
    <t>0017000000orR9PAAU</t>
  </si>
  <si>
    <t>SUMITOMO LIFE INSURANCE COMPANY</t>
  </si>
  <si>
    <t>0014u000024Ga3EAAS</t>
  </si>
  <si>
    <t>LUX MED SP ZOO</t>
  </si>
  <si>
    <t>0017000000fSnNPAA0</t>
  </si>
  <si>
    <t>Qatar Fertilizers</t>
  </si>
  <si>
    <t>0014u000024Gb4WAAS</t>
  </si>
  <si>
    <t>Onicore.io</t>
  </si>
  <si>
    <t>0017000000gGSHZAA4</t>
  </si>
  <si>
    <t>RENFE</t>
  </si>
  <si>
    <t>0010g00001mqV9pAAE</t>
  </si>
  <si>
    <t>OP Osuuskunta</t>
  </si>
  <si>
    <t>0014u000026cBZhAAM</t>
  </si>
  <si>
    <t>Solvd GmbH</t>
  </si>
  <si>
    <t>00170000019MboCAAS</t>
  </si>
  <si>
    <t>BROADRIDGE FINANCIAL SOLUTIONS LTD</t>
  </si>
  <si>
    <t>0010g00001dpLVSAA2</t>
  </si>
  <si>
    <t>Mavenir Systems Private Limited</t>
  </si>
  <si>
    <t>0014u000028Tw0KAAS</t>
  </si>
  <si>
    <t>Icex España Exportacion E Inversiones Epemp</t>
  </si>
  <si>
    <t>0017000000nyW9EAAU</t>
  </si>
  <si>
    <t>Sacyr Vallehermoso, S.A.</t>
  </si>
  <si>
    <t>0017000000n7wJ6AAI</t>
  </si>
  <si>
    <t>Thai Oil Public Company Limited</t>
  </si>
  <si>
    <t>0014u000028eLxBAAU</t>
  </si>
  <si>
    <t>Scania Production (china) Co. Ltd.</t>
  </si>
  <si>
    <t>0014u00001tDWyWAAW</t>
  </si>
  <si>
    <t>Transcarent</t>
  </si>
  <si>
    <t>0017000000fRR22AAG</t>
  </si>
  <si>
    <t>Valeo SA</t>
  </si>
  <si>
    <t>0014u000027pXueAAE</t>
  </si>
  <si>
    <t>Flexr Limited</t>
  </si>
  <si>
    <t>0010g00001dpOVUAA2</t>
  </si>
  <si>
    <t>Minera Exar S.a.</t>
  </si>
  <si>
    <t>0017000000dK0spAAC</t>
  </si>
  <si>
    <t>Agencia de Transformación Digital de Castilla la Mancha</t>
  </si>
  <si>
    <t>0017000001DQzpEAAT</t>
  </si>
  <si>
    <t>Roku Inc.</t>
  </si>
  <si>
    <t>0014u00002BH5wzAAD</t>
  </si>
  <si>
    <t>SOP Limited</t>
  </si>
  <si>
    <t>0017000000sdeXuAAI</t>
  </si>
  <si>
    <t>CATHAY UNITED BANK CO., LTD.</t>
  </si>
  <si>
    <t>0014u000026cOnfAAE</t>
  </si>
  <si>
    <t>Formosa Energy Management Corporation</t>
  </si>
  <si>
    <t>001Ki00000AjN4yIAF</t>
  </si>
  <si>
    <t>Gallagher Insurance Brokers (Beijing) Limited</t>
  </si>
  <si>
    <t>0017000001Ovm6dAAB</t>
  </si>
  <si>
    <t>Apex Companies, Llc</t>
  </si>
  <si>
    <t>0014u000026c0LbAAI</t>
  </si>
  <si>
    <t>Tyson (Shanghai) Enterprise Management Co., Ltd</t>
  </si>
  <si>
    <t>0017000000tBUwJAAW</t>
  </si>
  <si>
    <t>Extended Stay America</t>
  </si>
  <si>
    <t>0017000000tC98vAAC</t>
  </si>
  <si>
    <t>Boardwalk Real Estate Investment Trust</t>
  </si>
  <si>
    <t>0010g00001j5ElQAAU</t>
  </si>
  <si>
    <t>Workllama Inc</t>
  </si>
  <si>
    <t>0014u000021G08IAAS</t>
  </si>
  <si>
    <t>Mtn Benin</t>
  </si>
  <si>
    <t>0014u00001oy47vAAA</t>
  </si>
  <si>
    <t>U-NEXT HOLDINGS Co.,Ltd.</t>
  </si>
  <si>
    <t>0017000000wq7gOAAQ</t>
  </si>
  <si>
    <t>0014u00001yJ4nhAAC</t>
  </si>
  <si>
    <t>Mahindra First Choice Services Limited</t>
  </si>
  <si>
    <t>0017000000bFnqOAAS</t>
  </si>
  <si>
    <t>Government Pension Fund (GPF)</t>
  </si>
  <si>
    <t>0014u000025xMNrAAM</t>
  </si>
  <si>
    <t>Mahindra Holidays &amp; Resorts India Limited</t>
  </si>
  <si>
    <t>0017000001D49ziAAB</t>
  </si>
  <si>
    <t>Axway Inc.</t>
  </si>
  <si>
    <t>0017000000qySqNAAU</t>
  </si>
  <si>
    <t>Mizuho Financial Group, Inc.</t>
  </si>
  <si>
    <t>00170000011N8znAAC</t>
  </si>
  <si>
    <t>SOLOMON MANAGEMENT LLC</t>
  </si>
  <si>
    <t>0010g00001aEjDZAA0</t>
  </si>
  <si>
    <t>NTT Security K.K.</t>
  </si>
  <si>
    <t>0017000001KsnBSAAZ</t>
  </si>
  <si>
    <t>THE ASHIKAGA BANK, LTD.</t>
  </si>
  <si>
    <t>00170000011siTaAAI</t>
  </si>
  <si>
    <t>Bombay Stock Exchange Limited</t>
  </si>
  <si>
    <t>0010g00001hnWxLAAU</t>
  </si>
  <si>
    <t>Mobileum (india) Private Limited</t>
  </si>
  <si>
    <t>0014u00001xtwKSAAY</t>
  </si>
  <si>
    <t>Humano Seguros S A</t>
  </si>
  <si>
    <t>0010g00001hn3vmAAA</t>
  </si>
  <si>
    <t>Aviatrix Systems, Inc.</t>
  </si>
  <si>
    <t>0017000001RLbqqAAD</t>
  </si>
  <si>
    <t>00170000018SSPUAA4</t>
  </si>
  <si>
    <t>Herschend Entertainment Company, Llc</t>
  </si>
  <si>
    <t>0017000000nyWH1AAM</t>
  </si>
  <si>
    <t>JC Decaux</t>
  </si>
  <si>
    <t>0014u000024ncJtAAI</t>
  </si>
  <si>
    <t>IAG Cargo</t>
  </si>
  <si>
    <t>0017000000dK0wwAAC</t>
  </si>
  <si>
    <t>Defensor del Pueblo</t>
  </si>
  <si>
    <t>00170000016XH38AAG</t>
  </si>
  <si>
    <t>SCSK CORPORATION</t>
  </si>
  <si>
    <t>0014u000028Tnb3AAC</t>
  </si>
  <si>
    <t>Kaczmarski Inkasso Malgorzata Kaczmarski</t>
  </si>
  <si>
    <t>0017000001LSBPJAA5</t>
  </si>
  <si>
    <t>Siteone Landscape Supply, Llc</t>
  </si>
  <si>
    <t>0017000001RFMW9AAP</t>
  </si>
  <si>
    <t>Distribuidores Automaticos De Bebidas Y Alimentos Sa</t>
  </si>
  <si>
    <t>0017000001OvqrpAAB</t>
  </si>
  <si>
    <t>Trinidad/Benham Corp.</t>
  </si>
  <si>
    <t>0017000001BS777AAD</t>
  </si>
  <si>
    <t>Supreme Committee for Delivery Legacy</t>
  </si>
  <si>
    <t>0017000001Sx08oAAB</t>
  </si>
  <si>
    <t>Dansk Erhverv</t>
  </si>
  <si>
    <t>0010g00001bzJRSAA2</t>
  </si>
  <si>
    <t>Pen-air Federal Credit Union (inc)</t>
  </si>
  <si>
    <t>00170000015DNh0AAG</t>
  </si>
  <si>
    <t>TIEN PHONG COMMERCIAL JOINT STOCK BANK</t>
  </si>
  <si>
    <t>0010g00001YhOjoAAF</t>
  </si>
  <si>
    <t>Compugen Ltd.</t>
  </si>
  <si>
    <t>0017000000dxRl1AAE</t>
  </si>
  <si>
    <t>Ross Dress For Less</t>
  </si>
  <si>
    <t>0014u00001wjpAaAAI</t>
  </si>
  <si>
    <t>Ecommbx Limited</t>
  </si>
  <si>
    <t>0017000000MgJwyAAF</t>
  </si>
  <si>
    <t>Net One Systems</t>
  </si>
  <si>
    <t>0014u0000254fYjAAI</t>
  </si>
  <si>
    <t>Innoways Limited</t>
  </si>
  <si>
    <t>0010g00001lQwtTAAS</t>
  </si>
  <si>
    <t>Conseil Des Ecoles Catholiques De Langue Francaise Du Centre-est</t>
  </si>
  <si>
    <t>0017000000UzTfzAAF</t>
  </si>
  <si>
    <t>Aichi Prefecture</t>
  </si>
  <si>
    <t>0010g00001ZYO9GAAX</t>
  </si>
  <si>
    <t>Toyota Del Peru S.a.</t>
  </si>
  <si>
    <t>0014u00001vvLVnAAM</t>
  </si>
  <si>
    <t>Quidax technologies</t>
  </si>
  <si>
    <t>0014u00002AE3aeAAD</t>
  </si>
  <si>
    <t>SUXXEED Sales for your Success GmbH</t>
  </si>
  <si>
    <t>0017000000bGZryAAG</t>
  </si>
  <si>
    <t>ORANGE CYBERDEFENSE BELGIUM NV</t>
  </si>
  <si>
    <t>Benelux Partners Region</t>
  </si>
  <si>
    <t>0017000001OVWg1AAH</t>
  </si>
  <si>
    <t>ISRAIR AIRLINES &amp; TOURISM LTD.</t>
  </si>
  <si>
    <t>0014u000021lzbyAAA</t>
  </si>
  <si>
    <t>Akrivia Automation Private Limited</t>
  </si>
  <si>
    <t>0017000001Syh4UAAR</t>
  </si>
  <si>
    <t>0014u00001wl2PhAAI</t>
  </si>
  <si>
    <t>0010g00001hlel8AAA</t>
  </si>
  <si>
    <t>0017000000qvyl6AAA</t>
  </si>
  <si>
    <t>0010g00001lQJZDAA4</t>
  </si>
  <si>
    <t>0017000000n7XQ4AAM</t>
  </si>
  <si>
    <t>0017000000ukLv1AAE</t>
  </si>
  <si>
    <t>0017000001A97KTAAZ</t>
  </si>
  <si>
    <t>NIPPON LIFE INSURANCE COMPANY</t>
  </si>
  <si>
    <t>0017000001JMljZAAT</t>
  </si>
  <si>
    <t>ORIX BANK CORPORATION</t>
  </si>
  <si>
    <t>0014u000024Giz6AAC</t>
  </si>
  <si>
    <t>Sony Financial Group Inc.</t>
  </si>
  <si>
    <t>00170000014JL7xAAG</t>
  </si>
  <si>
    <t>THE KIYO BANK, LTD.,</t>
  </si>
  <si>
    <t>0014u000029KJEwAAO</t>
  </si>
  <si>
    <t>Timee, Inc.</t>
  </si>
  <si>
    <t>0017000000jvbQmAAI</t>
  </si>
  <si>
    <t>Tsubakimoto Chain Corporation</t>
  </si>
  <si>
    <t>0017000001OVHquAAH</t>
  </si>
  <si>
    <t>Banco de la Nacion del Peru</t>
  </si>
  <si>
    <t>0017000001XPd4ZAAT</t>
  </si>
  <si>
    <t>0017000000bGB8bAAG</t>
  </si>
  <si>
    <t>0017000000XWkekAAD</t>
  </si>
  <si>
    <t>North Carolina's Electric Cooperatives (NCEMC)</t>
  </si>
  <si>
    <t>0010g00001j3A16AAE</t>
  </si>
  <si>
    <t>ThinkReservations</t>
  </si>
  <si>
    <t>0014u000027qsyPAAQ</t>
  </si>
  <si>
    <t>Acceldata Technology Private Limited</t>
  </si>
  <si>
    <t>0014u000021G0DwAAK</t>
  </si>
  <si>
    <t>MTN Eswatini</t>
  </si>
  <si>
    <t>0014u00001uv2FaAAI</t>
  </si>
  <si>
    <t>Sun Hung Kai Real Estate Agency Limited</t>
  </si>
  <si>
    <t>0014u000029qL7hAAE</t>
  </si>
  <si>
    <t>Great Gray Trust Company, Llc</t>
  </si>
  <si>
    <t>0010g00001j5KOlAAM</t>
  </si>
  <si>
    <t>Mtn (u) Ltd</t>
  </si>
  <si>
    <t>0017000000qySqFAAU</t>
  </si>
  <si>
    <t>Mitsubishi Ufj Financial Group, Inc.</t>
  </si>
  <si>
    <t>0017000000dqqHkAAI</t>
  </si>
  <si>
    <t>Sodastream Israel Ltd</t>
  </si>
  <si>
    <t>0017000000hd2qFAAQ</t>
  </si>
  <si>
    <t>NTT DOCOMO SOLUTIONS, Inc.</t>
  </si>
  <si>
    <t>0017000001JMZiYAAX</t>
  </si>
  <si>
    <t>FE Credit - VPBank Finance Company Limited</t>
  </si>
  <si>
    <t>0014u0000254M3xAAE</t>
  </si>
  <si>
    <t>Tetrate.io, Inc.</t>
  </si>
  <si>
    <t>0010g00001bzZWtAAM</t>
  </si>
  <si>
    <t>Codefresh Inc.</t>
  </si>
  <si>
    <t>0014u000027qqPOAAY</t>
  </si>
  <si>
    <t>0017000000nyjTKAAY</t>
  </si>
  <si>
    <t>Politecnico di Milano</t>
  </si>
  <si>
    <t>0014u00001ux7hVAAQ</t>
  </si>
  <si>
    <t>Datametica Solutions Private Limited</t>
  </si>
  <si>
    <t>00170000018T5rvAAC</t>
  </si>
  <si>
    <t>GLEN EIRA CITY COUNCIL</t>
  </si>
  <si>
    <t>0017000000juju9AAA</t>
  </si>
  <si>
    <t>AE Business Solutions</t>
  </si>
  <si>
    <t>0017000000dv940AAA</t>
  </si>
  <si>
    <t>Ahnlab, Inc.</t>
  </si>
  <si>
    <t>0017000001VtykNAAR</t>
  </si>
  <si>
    <t>Atg Americas Trading Group S A</t>
  </si>
  <si>
    <t>0014u000028eOZ1AAM</t>
  </si>
  <si>
    <t>Blue Cycle Llc</t>
  </si>
  <si>
    <t>0014u000027rJVRAA2</t>
  </si>
  <si>
    <t>LeeHanNS Corp.</t>
  </si>
  <si>
    <t>0014u0000235sRrAAI</t>
  </si>
  <si>
    <t>Leena Ai India Private Limited</t>
  </si>
  <si>
    <t>001Ki00000BgDamIAF</t>
  </si>
  <si>
    <t>Omowei Automotive Systems (Shanghai) Co., Ltd.</t>
  </si>
  <si>
    <t>0014u00001uj5ySAAQ</t>
  </si>
  <si>
    <t>Rafay Systems, Inc.</t>
  </si>
  <si>
    <t>00170000010jgxHAAQ</t>
  </si>
  <si>
    <t>SARA ASSICURAZIONI SPA ASSICURATRICE UFFICIALE DELL'AUTOMOBILE CLUB D'ITALIA</t>
  </si>
  <si>
    <t>0010g00001YhFAkAAN</t>
  </si>
  <si>
    <t>Sentinel Technologies, Inc.</t>
  </si>
  <si>
    <t>0017000000Wc2PKAAZ</t>
  </si>
  <si>
    <t>Transition Systems and Networks (Thailand) Co., Ltd.</t>
  </si>
  <si>
    <t>0010g00001bx6b8AAA</t>
  </si>
  <si>
    <t>Emptor</t>
  </si>
  <si>
    <t>0014u00001wl84GAAQ</t>
  </si>
  <si>
    <t>BANCA CF+</t>
  </si>
  <si>
    <t>0014u000023ub9DAAQ</t>
  </si>
  <si>
    <t>Aspida Holdings Ltd.</t>
  </si>
  <si>
    <t>0014u00001tDAS0AAO</t>
  </si>
  <si>
    <t>Viatris Healthcare Inc. China</t>
  </si>
  <si>
    <t>0010g00001c0aIUAAY</t>
  </si>
  <si>
    <t>Man Latin America Industria E Comercio De Veiculos Ltda.</t>
  </si>
  <si>
    <t>0017000001ISULCAA5</t>
  </si>
  <si>
    <t>Goods and Service Tax Network (GSTN)</t>
  </si>
  <si>
    <t>0014u00001vy4T6AAI</t>
  </si>
  <si>
    <t>Empresas Lipigas S.a.</t>
  </si>
  <si>
    <t>0010g00001Z4VMkAAN</t>
  </si>
  <si>
    <t>NRI SecureTechnologies, Ltd.</t>
  </si>
  <si>
    <t>0010g00001bAonQAAS</t>
  </si>
  <si>
    <t>Banco Bai Europa, S.a.</t>
  </si>
  <si>
    <t>001Ki00000DnxmxIAB</t>
  </si>
  <si>
    <t>Dalian Dhl Group Co., Ltd.</t>
  </si>
  <si>
    <t>00170000015CXr2AAG</t>
  </si>
  <si>
    <t>ACOM Co., Ltd.</t>
  </si>
  <si>
    <t>0017000000lCqmzAAC</t>
  </si>
  <si>
    <t>Innolux Corporation</t>
  </si>
  <si>
    <t>0010g00001hmrxSAAQ</t>
  </si>
  <si>
    <t>Cholamandalam Investment &amp; Finance Company Limited</t>
  </si>
  <si>
    <t>0017000000wN2XVAA0</t>
  </si>
  <si>
    <t>SABA APARCAMIENTOS, SA</t>
  </si>
  <si>
    <t>0014u00001tDaDvAAK</t>
  </si>
  <si>
    <t>Elbit AI</t>
  </si>
  <si>
    <t>0010g00001lQOVUAA4</t>
  </si>
  <si>
    <t>Galenicum Health Sl</t>
  </si>
  <si>
    <t>0010g00001aCPhdAAG</t>
  </si>
  <si>
    <t>Poltrona Frau Spa</t>
  </si>
  <si>
    <t>0014u00001ukhoPAAQ</t>
  </si>
  <si>
    <t>Alector, Inc.</t>
  </si>
  <si>
    <t>0017000000mZx9SAAS</t>
  </si>
  <si>
    <t>001700000137WsZAAU</t>
  </si>
  <si>
    <t>Hyundai Commercial Inc.</t>
  </si>
  <si>
    <t>0014u0000236vg2AAA</t>
  </si>
  <si>
    <t>Continental Consulting Limited Company</t>
  </si>
  <si>
    <t>0017000001NW3WQAA1</t>
  </si>
  <si>
    <t>VERSPIEREN</t>
  </si>
  <si>
    <t>0010g00001inKyXAAU</t>
  </si>
  <si>
    <t>The Federal Bank Limited</t>
  </si>
  <si>
    <t>0014u000026d91WAAQ</t>
  </si>
  <si>
    <t>Viajes De Autor Sl.</t>
  </si>
  <si>
    <t>0014u00001mrb7rAAA</t>
  </si>
  <si>
    <t>Blue Insurance Limited</t>
  </si>
  <si>
    <t>0010g00001dnjtaAAA</t>
  </si>
  <si>
    <t>Primed Management Consulting Services, Inc.</t>
  </si>
  <si>
    <t>0017000000jFN1VAAW</t>
  </si>
  <si>
    <t>Nicklaus Children's Hospital</t>
  </si>
  <si>
    <t>0014u000027ptJ0AAI</t>
  </si>
  <si>
    <t>Toro Data Labs, Inc</t>
  </si>
  <si>
    <t>0017000000sdcqtAAA</t>
  </si>
  <si>
    <t>Engie Services U.S. Inc.</t>
  </si>
  <si>
    <t>0014u00001yJDC0AAO</t>
  </si>
  <si>
    <t>TSUZUKI DENKI CO.,LTD.</t>
  </si>
  <si>
    <t>0017000000tBLw1AAG</t>
  </si>
  <si>
    <t>FAAC SPA</t>
  </si>
  <si>
    <t>0014u00001yK0tJAAS</t>
  </si>
  <si>
    <t>Root.io</t>
  </si>
  <si>
    <t>0010g00001dn57AAAQ</t>
  </si>
  <si>
    <t>Ceribell, Inc.</t>
  </si>
  <si>
    <t>0017000000cInDtAAK</t>
  </si>
  <si>
    <t>First Commercial Bank, Ltd.</t>
  </si>
  <si>
    <t>0017000000qySoUAAU</t>
  </si>
  <si>
    <t>Jsw Steel Limited</t>
  </si>
  <si>
    <t>0014u000021G0EVAA0</t>
  </si>
  <si>
    <t>Mtn (zambia) Limited</t>
  </si>
  <si>
    <t>001700000137MFaAAM</t>
  </si>
  <si>
    <t>LAMINAM SPA</t>
  </si>
  <si>
    <t>0014u000028xmKoAAI</t>
  </si>
  <si>
    <t>Bajaj Finserv Asset Management Ltd</t>
  </si>
  <si>
    <t>0017000001MBW6MAAX</t>
  </si>
  <si>
    <t>Traxys</t>
  </si>
  <si>
    <t>0017000001AdBt7AAF</t>
  </si>
  <si>
    <t>Colgate-Palmolive (China) Co.,Ltd</t>
  </si>
  <si>
    <t>0014u000021G08cAAC</t>
  </si>
  <si>
    <t>Mtn Cameroon</t>
  </si>
  <si>
    <t>0017000001VtMKCAA3</t>
  </si>
  <si>
    <t>Europa Worldwide Logistics Ltd</t>
  </si>
  <si>
    <t>00170000014MbTlAAK</t>
  </si>
  <si>
    <t>IKEA (China) Investment Co., Ltd.</t>
  </si>
  <si>
    <t>0014u000026MKS1AAO</t>
  </si>
  <si>
    <t>Supreme Council for Defence</t>
  </si>
  <si>
    <t>Saudi LBS</t>
  </si>
  <si>
    <t>0014u0000254HJpAAM</t>
  </si>
  <si>
    <t>Fano Labs Limited</t>
  </si>
  <si>
    <t>0014u00002AE3wBAAT</t>
  </si>
  <si>
    <t>IdealRoute Consulting Inc.</t>
  </si>
  <si>
    <t>0014u00002A5X5RAAV</t>
  </si>
  <si>
    <t>Privado AI</t>
  </si>
  <si>
    <t>0017000001QXH2RAAX</t>
  </si>
  <si>
    <t>Richard Fleischman &amp; Associates Inc.</t>
  </si>
  <si>
    <t>0014u000022XqN3AAK</t>
  </si>
  <si>
    <t>SHBank Finance Company Limited</t>
  </si>
  <si>
    <t>0017000000fT3KuAAK</t>
  </si>
  <si>
    <t>Fisher Investments</t>
  </si>
  <si>
    <t>0014u00002Ax17ZAAR</t>
  </si>
  <si>
    <t>Mtn South Sudan Limited</t>
  </si>
  <si>
    <t>0014u000028UYiLAAW</t>
  </si>
  <si>
    <t>Adani Capital Private Limited</t>
  </si>
  <si>
    <t>0017000000rWLf7AAG</t>
  </si>
  <si>
    <t>Onespan</t>
  </si>
  <si>
    <t>0017000001OV6SSAA1</t>
  </si>
  <si>
    <t>Prosperity and Growth Commercial Joint Stock Bank (PGBank)</t>
  </si>
  <si>
    <t>0014u00001mrDruAAE</t>
  </si>
  <si>
    <t>Hdb Financial Services Limited</t>
  </si>
  <si>
    <t>0014u00001ukNKsAAM</t>
  </si>
  <si>
    <t>Integrated Finance</t>
  </si>
  <si>
    <t>0014u00002ADx2gAAD</t>
  </si>
  <si>
    <t>Shinsegae Express Bus Terminal</t>
  </si>
  <si>
    <t>0014u000027r6xgAAA</t>
  </si>
  <si>
    <t>Fed-Chrysanthemum2</t>
  </si>
  <si>
    <t>0014u000024nv3mAAA</t>
  </si>
  <si>
    <t>Akeyless Security Ltd</t>
  </si>
  <si>
    <t>0017000001OXTnsAAH</t>
  </si>
  <si>
    <t>ASAHI INTECC CO., LTD.</t>
  </si>
  <si>
    <t>00170000015ELa8AAG</t>
  </si>
  <si>
    <t>Brentwood Bank</t>
  </si>
  <si>
    <t>0010g00001bB5ncAAC</t>
  </si>
  <si>
    <t>Fidelidade - Companhia De Seguros, S.a.</t>
  </si>
  <si>
    <t>0014u00002AoKDMAA3</t>
  </si>
  <si>
    <t>Barigui Veiculos Ltda</t>
  </si>
  <si>
    <t>0014u000027qjWPAAY</t>
  </si>
  <si>
    <t>Lamda Computing Pvt Ltd</t>
  </si>
  <si>
    <t>0010g00001hohKdAAI</t>
  </si>
  <si>
    <t>Reybanpac Rey Banano Del Pacifico C.a.</t>
  </si>
  <si>
    <t>0017000001BRtDKAA1</t>
  </si>
  <si>
    <t>Metlife China</t>
  </si>
  <si>
    <t>0017000000u1mgGAAQ</t>
  </si>
  <si>
    <t>RCN TELEVISION S A</t>
  </si>
  <si>
    <t>0017000000t9jnoAAA</t>
  </si>
  <si>
    <t>DBS Bank Ltd</t>
  </si>
  <si>
    <t>00170000019K6tyAAC</t>
  </si>
  <si>
    <t>ZUCCHETTI SPA</t>
  </si>
  <si>
    <t>0017000001HoCckAAF</t>
  </si>
  <si>
    <t>Tecnologia Bancaria S/A.</t>
  </si>
  <si>
    <t>0010g00001j67uZAAQ</t>
  </si>
  <si>
    <t>4prime Sp Z O O</t>
  </si>
  <si>
    <t>CEE Partners</t>
  </si>
  <si>
    <t>0014u00001nz0lSAAQ</t>
  </si>
  <si>
    <t>Essen Vision Software Pvt Ltd</t>
  </si>
  <si>
    <t>India Partners</t>
  </si>
  <si>
    <t>0010g00001j3wNiAAI</t>
  </si>
  <si>
    <t>Ingram Micro Hong Kong (holding) Limited</t>
  </si>
  <si>
    <t>0010g00001fs7bLAAQ</t>
  </si>
  <si>
    <t>0014u000027qHjIAAU</t>
  </si>
  <si>
    <t>Plgrim Co., Ltd.</t>
  </si>
  <si>
    <t>0014u00001nyC2ZAAU</t>
  </si>
  <si>
    <t>Privacera</t>
  </si>
  <si>
    <t>0017000000RHxAJAA1</t>
  </si>
  <si>
    <t>Stony Brook Medicine</t>
  </si>
  <si>
    <t>0017000001SyPcKAAV</t>
  </si>
  <si>
    <t>Ach Colombia Sa</t>
  </si>
  <si>
    <t>0017000000ncoAOAAY</t>
  </si>
  <si>
    <t>Bangkok Bank Public Company Limited</t>
  </si>
  <si>
    <t>0017000001Vr9PgAAJ</t>
  </si>
  <si>
    <t>Nova Measuring Instruments Ltd</t>
  </si>
  <si>
    <t>0014u000027qLWrAAM</t>
  </si>
  <si>
    <t>Hot Card Ltd</t>
  </si>
  <si>
    <t>0014u000028xXIpAAM</t>
  </si>
  <si>
    <t>Cresa-Retail S.AS</t>
  </si>
  <si>
    <t>0010g00001byBmRAAU</t>
  </si>
  <si>
    <t>Comercializadora Farmaceutica De Chiapas, S.a.p.i. De C.v.</t>
  </si>
  <si>
    <t>0014u000025484dAAA</t>
  </si>
  <si>
    <t>Chargie Llc</t>
  </si>
  <si>
    <t>0014u00002011ZDAAY</t>
  </si>
  <si>
    <t>Global Payments Asia-pacific (hong Kong) Limited Taiwan Branch</t>
  </si>
  <si>
    <t>0014u00001oyLF7AAM</t>
  </si>
  <si>
    <t>Empark Aparcamientos Y Servicios Sa</t>
  </si>
  <si>
    <t>0017000000qySkCAAU</t>
  </si>
  <si>
    <t>Daikin Industries, Ltd.</t>
  </si>
  <si>
    <t>0017000000qvDeIAAU</t>
  </si>
  <si>
    <t>Canadian Payments Association</t>
  </si>
  <si>
    <t>0014u0000236WUAAA2</t>
  </si>
  <si>
    <t>Ci&amp;t China, Inc.</t>
  </si>
  <si>
    <t>0017000000dMQ1OAAW</t>
  </si>
  <si>
    <t>Net One Partners Co., Ltd.</t>
  </si>
  <si>
    <t>0014u000024HE7TAAW</t>
  </si>
  <si>
    <t>GOLDMAN SACHS (BEIJING) ENTERPRISE MANAGEMENT CO. LTD</t>
  </si>
  <si>
    <t>0014u00002Ao4m9AAB</t>
  </si>
  <si>
    <t>Techcom Insurance</t>
  </si>
  <si>
    <t>0017000001OW8bfAAD</t>
  </si>
  <si>
    <t>WOBI INSURANCE AGENCY LTD</t>
  </si>
  <si>
    <t>0017000000qySydAAE</t>
  </si>
  <si>
    <t>Cenovus Energy Inc.</t>
  </si>
  <si>
    <t>001Ki000006tKH3IAM</t>
  </si>
  <si>
    <t>TCLife</t>
  </si>
  <si>
    <t>0017000001OwZlJAAV</t>
  </si>
  <si>
    <t>Airbus (china) Enterprises Management And Services Co.,ltd.</t>
  </si>
  <si>
    <t>0017000000qMbXgAAK</t>
  </si>
  <si>
    <t>Weil, Gotshal &amp; Manges LLP</t>
  </si>
  <si>
    <t>0014u000027q97HAAQ</t>
  </si>
  <si>
    <t>Roma Capitale – Dipartimento Cybersecurity e Sicurezza Urbana</t>
  </si>
  <si>
    <t>0017000000qvbpIAAQ</t>
  </si>
  <si>
    <t>Telefonica Mexico</t>
  </si>
  <si>
    <t>0014u000026f19OAAQ</t>
  </si>
  <si>
    <t>Kasikorn X Company Limited</t>
  </si>
  <si>
    <t>0010g00001fsSdCAAU</t>
  </si>
  <si>
    <t>Segra</t>
  </si>
  <si>
    <t>0017000001RJxFPAA1</t>
  </si>
  <si>
    <t>Enterprise Fleet Management Inc.</t>
  </si>
  <si>
    <t>0014u00001yJ7z7AAC</t>
  </si>
  <si>
    <t>Prezero Iberia Sl.</t>
  </si>
  <si>
    <t>0014u00001x9VSkAAM</t>
  </si>
  <si>
    <t>Madrileña Red De Gas Sau</t>
  </si>
  <si>
    <t>0017000001VullYAAR</t>
  </si>
  <si>
    <t>Hero Fincorp Limited</t>
  </si>
  <si>
    <t>0017000000ylPBhAAM</t>
  </si>
  <si>
    <t>FRANCE TELEVISIONS</t>
  </si>
  <si>
    <t>00170000012M2rMAAS</t>
  </si>
  <si>
    <t>SETUR SERVIS TURISTIK A S</t>
  </si>
  <si>
    <t>0017000000SwK7JAAV</t>
  </si>
  <si>
    <t>Rady Children's Health</t>
  </si>
  <si>
    <t>0017000001MCNkHAAX</t>
  </si>
  <si>
    <t>Toyota Boshoku Asia Co., Ltd.</t>
  </si>
  <si>
    <t>0010g00001YIC1OAAX</t>
  </si>
  <si>
    <t>Edgeverve Systems Limited</t>
  </si>
  <si>
    <t>0010g00001gC6zhAAC</t>
  </si>
  <si>
    <t>Welab Bank Limited</t>
  </si>
  <si>
    <t>0014u00002BH402AAD</t>
  </si>
  <si>
    <t>Fed-Tulip45</t>
  </si>
  <si>
    <t>0014u00002Axk5VAAR</t>
  </si>
  <si>
    <t>Dh Business Services (shanghai) Co., Ltd.</t>
  </si>
  <si>
    <t>0014u00002AvzUlAAJ</t>
  </si>
  <si>
    <t>It Unisoft Group, Mas Uliyati Cheklangan Jamiyati</t>
  </si>
  <si>
    <t>0010g00001YhFC2AAN</t>
  </si>
  <si>
    <t>NEC Security, Ltd. (Partner)</t>
  </si>
  <si>
    <t>0017000000ljxDCAAY</t>
  </si>
  <si>
    <t>Canvas Credit Union</t>
  </si>
  <si>
    <t>0014u000027qppVAAQ</t>
  </si>
  <si>
    <t>Hdfc Pension Management Company Limited</t>
  </si>
  <si>
    <t>0017000000zfYwEAAU</t>
  </si>
  <si>
    <t>ING BANK SLASKI S A</t>
  </si>
  <si>
    <t>0014u000027qYrOAAU</t>
  </si>
  <si>
    <t>Ransa Comercial S.a.</t>
  </si>
  <si>
    <t>0017000000u2rlnAAA</t>
  </si>
  <si>
    <t>Netdata Cybersecurity Colombia</t>
  </si>
  <si>
    <t>0017000000s3qnNAAQ</t>
  </si>
  <si>
    <t>Telefonica, S.A.</t>
  </si>
  <si>
    <t>0017000000quiDnAAI</t>
  </si>
  <si>
    <t>Telefonica Moviles Chile S.A.</t>
  </si>
  <si>
    <t>0017000000ui8aRAAQ</t>
  </si>
  <si>
    <t>Vitalant</t>
  </si>
  <si>
    <t>0010g00001YhPZgAAN</t>
  </si>
  <si>
    <t>Swisscom Enterprise Solutions Ag</t>
  </si>
  <si>
    <t>0017000000nyW8hAAE</t>
  </si>
  <si>
    <t>Enagas</t>
  </si>
  <si>
    <t>0017000000nyWLPAA2</t>
  </si>
  <si>
    <t>Tupras</t>
  </si>
  <si>
    <t>0017000000bDzSmAAK</t>
  </si>
  <si>
    <t>Caixabank, S.A.</t>
  </si>
  <si>
    <t>0017000001Ouq9SAAR</t>
  </si>
  <si>
    <t>National Payment Corporation of Vietnam (NAPAS)</t>
  </si>
  <si>
    <t>0017000000osA9JAAU</t>
  </si>
  <si>
    <t>Toyota Motor Corporation</t>
  </si>
  <si>
    <t>0017000000l9z4NAAQ</t>
  </si>
  <si>
    <t>Toyota Systems Co., Ltd.</t>
  </si>
  <si>
    <t>0010g00001hooEiAAI</t>
  </si>
  <si>
    <t>Paytm Payments Bank Limited</t>
  </si>
  <si>
    <t>0014u00002AE2f7AAD</t>
  </si>
  <si>
    <t>Epsilon Carbon Pvt Ltd</t>
  </si>
  <si>
    <t>0014u000021G0ATAA0</t>
  </si>
  <si>
    <t>Mtn Congo S.a</t>
  </si>
  <si>
    <t>0010g00001hoBU3AAM</t>
  </si>
  <si>
    <t>Telefonica Global</t>
  </si>
  <si>
    <t>0010g00001gCXzWAAW</t>
  </si>
  <si>
    <t>SpotIT BVBA</t>
  </si>
  <si>
    <t>0010g00001hn2C3AAI</t>
  </si>
  <si>
    <t>Telefonica Global Solutions</t>
  </si>
  <si>
    <t>0010g00001dpRg3AAE</t>
  </si>
  <si>
    <t>Sanofi (china) Investment Co., Ltd. Shanghai Branch</t>
  </si>
  <si>
    <t>0014u000021m1jqAAA</t>
  </si>
  <si>
    <t>Ibi Trust Management</t>
  </si>
  <si>
    <t>0017000000bFXjVAAW</t>
  </si>
  <si>
    <t>HKUST - Hong Kong University of Science and Technology</t>
  </si>
  <si>
    <t>0014u00001tDPLjAAO</t>
  </si>
  <si>
    <t>Cordis (shanghai) Medical Devices Co., Ltd.</t>
  </si>
  <si>
    <t>0014u00001yi5PpAAI</t>
  </si>
  <si>
    <t>Baycare Health System, Inc.</t>
  </si>
  <si>
    <t>00170000011tqZAAAY</t>
  </si>
  <si>
    <t>SCAN Health Plan</t>
  </si>
  <si>
    <t>0017000000dN0hPAAS</t>
  </si>
  <si>
    <t>Palo Alto Networks (TEST ACCT)</t>
  </si>
  <si>
    <t>0017000001KquIqAAJ</t>
  </si>
  <si>
    <t>0017000000gEI6PAAW</t>
  </si>
  <si>
    <t>Health Care Service Corporation (HCSC)</t>
  </si>
  <si>
    <t>0017000000jCYBsAAO</t>
  </si>
  <si>
    <t>Airports of Thailand Public Co.,Ltd</t>
  </si>
  <si>
    <t>0017000000jve5hAAA</t>
  </si>
  <si>
    <t>An Binh Commercial Joint Stock Bank</t>
  </si>
  <si>
    <t>0017000001SfXqvAAF</t>
  </si>
  <si>
    <t>Asgard System, Inc.</t>
  </si>
  <si>
    <t>0017000000dJLjTAAW</t>
  </si>
  <si>
    <t>Atresmedia</t>
  </si>
  <si>
    <t>0017000000YNmZmAAL</t>
  </si>
  <si>
    <t>Atrium Health</t>
  </si>
  <si>
    <t>0017000000rZ03xAAC</t>
  </si>
  <si>
    <t>Banco Comercial Portugues, S.A.</t>
  </si>
  <si>
    <t>0017000000viF6RAAU</t>
  </si>
  <si>
    <t>Concentra Health Services, Inc.</t>
  </si>
  <si>
    <t>0017000000mkAKlAAM</t>
  </si>
  <si>
    <t>Department of Lands (DOL)</t>
  </si>
  <si>
    <t>0017000001A9fMHAAZ</t>
  </si>
  <si>
    <t>Dyson China</t>
  </si>
  <si>
    <t>0017000001ISeU0AAL</t>
  </si>
  <si>
    <t>Ford Motor (China) Limited</t>
  </si>
  <si>
    <t>0010g00001frzqXAAQ</t>
  </si>
  <si>
    <t>Hitachi Digital Services LLC</t>
  </si>
  <si>
    <t>001Ki00000EuGE4IAN</t>
  </si>
  <si>
    <t>Honeywell Aerospace Us Llc</t>
  </si>
  <si>
    <t>0017000000tBHhYAAW</t>
  </si>
  <si>
    <t>Krungthai Card Public  Company Limited</t>
  </si>
  <si>
    <t>0010g00001Z584IAAR</t>
  </si>
  <si>
    <t>Members 1st Federal Credit Union</t>
  </si>
  <si>
    <t>0017000000s7EJtAAM</t>
  </si>
  <si>
    <t>Orient Commercial Joint Stock Bank</t>
  </si>
  <si>
    <t>0017000000kaB2kAAE</t>
  </si>
  <si>
    <t>RingCentral</t>
  </si>
  <si>
    <t>0014u00001yJEpyAAG</t>
  </si>
  <si>
    <t>Solace Corporation</t>
  </si>
  <si>
    <t>0017000000vHqXRAA0</t>
  </si>
  <si>
    <t>Sony (China) Ltd.</t>
  </si>
  <si>
    <t>0014u0000201fs7AAA</t>
  </si>
  <si>
    <t>Vg Estonia Ou</t>
  </si>
  <si>
    <t>0017000000wKQrjAAG</t>
  </si>
  <si>
    <t>Vietnam Joint Stock Commercial Bank for Industry and Trade (VietinBank)</t>
  </si>
  <si>
    <t>0017000000gEwDKAA0</t>
  </si>
  <si>
    <t>Vietnam Technological and Commercial Joint Stock Bank</t>
  </si>
  <si>
    <t>0010g00001mqI2FAAU</t>
  </si>
  <si>
    <t>Vps Securities</t>
  </si>
  <si>
    <t>0017000000ZM5iIAAT</t>
  </si>
  <si>
    <t>WestJet Airlines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</si>
</sst>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M;[Red]$(0.0,,\M);&quot;-&quot;"/>
    <numFmt numFmtId="165" formatCode="mm/dd/yyyy"/>
    <numFmt numFmtId="166" formatCode="yyyy-mm-dd"/>
    <numFmt numFmtId="167" formatCode="mmm yyyy"/>
    <numFmt numFmtId="168" formatCode="m/d/yyyy"/>
  </numFmts>
  <fonts count="12">
    <font>
      <sz val="11.0"/>
      <color theme="1"/>
      <name val="Calibri"/>
      <scheme val="minor"/>
    </font>
    <font>
      <b/>
      <sz val="14.0"/>
      <color theme="1"/>
      <name val="Arial"/>
    </font>
    <font>
      <b/>
      <sz val="10.0"/>
      <color rgb="FFFFFFFF"/>
      <name val="Arial"/>
    </font>
    <font>
      <i/>
      <sz val="9.0"/>
      <color rgb="FF808080"/>
      <name val="Arial"/>
    </font>
    <font>
      <b/>
      <sz val="11.0"/>
      <color rgb="FF007A55"/>
      <name val="Arial"/>
    </font>
    <font>
      <sz val="10.0"/>
      <color theme="1"/>
      <name val="Arial"/>
    </font>
    <font>
      <i/>
      <sz val="10.0"/>
      <color rgb="FF808080"/>
      <name val="Arial"/>
    </font>
    <font>
      <color theme="1"/>
      <name val="Arial"/>
    </font>
    <font>
      <sz val="11.0"/>
      <color theme="1"/>
      <name val="Calibri"/>
    </font>
    <font>
      <color theme="1"/>
      <name val="Calibri"/>
      <scheme val="minor"/>
    </font>
    <font>
      <sz val="11.0"/>
      <color theme="1"/>
      <name val="Arial"/>
    </font>
    <font>
      <u/>
      <sz val="11.0"/>
      <color rgb="FF0000FF"/>
      <name val="Calibri"/>
    </font>
  </fonts>
  <fills count="5">
    <fill>
      <patternFill patternType="none"/>
    </fill>
    <fill>
      <patternFill patternType="lightGray"/>
    </fill>
    <fill>
      <patternFill patternType="solid">
        <fgColor rgb="FF007A55"/>
        <bgColor rgb="FF007A55"/>
      </patternFill>
    </fill>
    <fill>
      <patternFill patternType="solid">
        <fgColor rgb="FFF2F2F2"/>
        <bgColor rgb="FFF2F2F2"/>
      </patternFill>
    </fill>
    <fill>
      <patternFill patternType="solid">
        <fgColor rgb="FFFFF2CC"/>
        <bgColor rgb="FFFFF2CC"/>
      </patternFill>
    </fill>
  </fills>
  <borders count="4">
    <border/>
    <border>
      <left/>
      <right/>
      <top/>
      <bottom/>
    </border>
    <border>
      <bottom style="thin">
        <color rgb="FFD9D9D9"/>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shrinkToFit="0" vertical="center" wrapText="1"/>
    </xf>
    <xf borderId="0" fillId="0" fontId="3" numFmtId="0" xfId="0" applyFont="1"/>
    <xf borderId="1" fillId="2" fontId="2" numFmtId="0" xfId="0" applyAlignment="1" applyBorder="1" applyFill="1" applyFont="1">
      <alignment shrinkToFit="0" vertical="center" wrapText="1"/>
    </xf>
    <xf borderId="0" fillId="0" fontId="4" numFmtId="0" xfId="0" applyFont="1"/>
    <xf borderId="0" fillId="0" fontId="4" numFmtId="0" xfId="0" applyAlignment="1" applyFont="1">
      <alignment shrinkToFit="0" vertical="top" wrapText="1"/>
    </xf>
    <xf borderId="0" fillId="0" fontId="5" numFmtId="0" xfId="0" applyFont="1"/>
    <xf borderId="0" fillId="0" fontId="5" numFmtId="0" xfId="0" applyAlignment="1" applyFont="1">
      <alignment shrinkToFit="0" vertical="top" wrapText="1"/>
    </xf>
    <xf borderId="1" fillId="2" fontId="2" numFmtId="0" xfId="0" applyAlignment="1" applyBorder="1" applyFill="1" applyFont="1">
      <alignment readingOrder="0" shrinkToFit="0" vertical="center" wrapText="1"/>
    </xf>
    <xf borderId="0" fillId="0" fontId="5" numFmtId="0" xfId="0" applyAlignment="1" applyFont="1">
      <alignment readingOrder="0" shrinkToFit="0" vertical="top" wrapText="1"/>
    </xf>
    <xf borderId="1" fillId="2" fontId="2" numFmtId="164" xfId="0" applyAlignment="1" applyBorder="1" applyFill="1" applyFont="1" applyNumberFormat="1">
      <alignment shrinkToFit="0" vertical="center" wrapText="1"/>
    </xf>
    <xf borderId="2" fillId="0" fontId="6" numFmtId="0" xfId="0" applyAlignment="1" applyBorder="1" applyFont="1">
      <alignment readingOrder="0" shrinkToFit="0" vertical="top" wrapText="1"/>
    </xf>
    <xf borderId="0" fillId="0" fontId="7" numFmtId="0" xfId="0" applyAlignment="1" applyFont="1">
      <alignment readingOrder="0" vertical="bottom"/>
    </xf>
    <xf borderId="0" fillId="0" fontId="7" numFmtId="164" xfId="0" applyAlignment="1" applyFont="1" applyNumberFormat="1">
      <alignment horizontal="right" readingOrder="0" vertical="bottom"/>
    </xf>
    <xf borderId="0" fillId="0" fontId="7" numFmtId="0" xfId="0" applyAlignment="1" applyFont="1">
      <alignment vertical="bottom"/>
    </xf>
    <xf borderId="2" fillId="0" fontId="5" numFmtId="0" xfId="0" applyAlignment="1" applyBorder="1" applyFont="1">
      <alignment shrinkToFit="0" vertical="top" wrapText="1"/>
    </xf>
    <xf borderId="1" fillId="3" fontId="5" numFmtId="0" xfId="0" applyBorder="1" applyFill="1" applyFont="1"/>
    <xf borderId="2" fillId="0" fontId="5" numFmtId="0" xfId="0" applyAlignment="1" applyBorder="1" applyFont="1">
      <alignment readingOrder="0" shrinkToFit="0" vertical="top" wrapText="1"/>
    </xf>
    <xf borderId="2" fillId="0" fontId="5" numFmtId="165" xfId="0" applyAlignment="1" applyBorder="1" applyFont="1" applyNumberFormat="1">
      <alignment readingOrder="0" shrinkToFit="0" vertical="top" wrapText="1"/>
    </xf>
    <xf borderId="2" fillId="3" fontId="5" numFmtId="0" xfId="0" applyAlignment="1" applyBorder="1" applyFill="1" applyFont="1">
      <alignment shrinkToFit="0" vertical="top" wrapText="1"/>
    </xf>
    <xf borderId="1" fillId="3" fontId="5" numFmtId="9" xfId="0" applyBorder="1" applyFill="1" applyFont="1" applyNumberFormat="1"/>
    <xf borderId="1" fillId="2" fontId="2" numFmtId="0" xfId="0" applyBorder="1" applyFill="1" applyFont="1"/>
    <xf borderId="1" fillId="3" fontId="5" numFmtId="164" xfId="0" applyBorder="1" applyFill="1" applyFont="1" applyNumberFormat="1"/>
    <xf borderId="2" fillId="0" fontId="5" numFmtId="165" xfId="0" applyAlignment="1" applyBorder="1" applyFont="1" applyNumberFormat="1">
      <alignment shrinkToFit="0" vertical="top" wrapText="1"/>
    </xf>
    <xf borderId="0" fillId="0" fontId="5" numFmtId="164" xfId="0" applyAlignment="1" applyFont="1" applyNumberFormat="1">
      <alignment readingOrder="0" shrinkToFit="0" vertical="top" wrapText="1"/>
    </xf>
    <xf borderId="2" fillId="3" fontId="6" numFmtId="0" xfId="0" applyAlignment="1" applyBorder="1" applyFill="1" applyFont="1">
      <alignment shrinkToFit="0" vertical="top" wrapText="1"/>
    </xf>
    <xf borderId="2" fillId="0" fontId="6" numFmtId="0" xfId="0" applyAlignment="1" applyBorder="1" applyFont="1">
      <alignment shrinkToFit="0" vertical="top" wrapText="1"/>
    </xf>
    <xf borderId="2" fillId="0" fontId="6" numFmtId="165" xfId="0" applyAlignment="1" applyBorder="1" applyFont="1" applyNumberFormat="1">
      <alignment shrinkToFit="0" vertical="top" wrapText="1"/>
    </xf>
    <xf borderId="2" fillId="3" fontId="5" numFmtId="0" xfId="0" applyAlignment="1" applyBorder="1" applyFill="1" applyFont="1">
      <alignment readingOrder="0" shrinkToFit="0" vertical="top" wrapText="1"/>
    </xf>
    <xf borderId="1" fillId="4" fontId="7" numFmtId="0" xfId="0" applyAlignment="1" applyBorder="1" applyFill="1" applyFont="1">
      <alignment shrinkToFit="0" vertical="top" wrapText="1"/>
    </xf>
    <xf borderId="1" fillId="4" fontId="7" numFmtId="0" xfId="0" applyAlignment="1" applyBorder="1" applyFill="1" applyFont="1">
      <alignment shrinkToFit="0" vertical="top" wrapText="1"/>
    </xf>
    <xf borderId="1" fillId="4" fontId="8" numFmtId="0" xfId="0" applyAlignment="1" applyBorder="1" applyFill="1" applyFont="1">
      <alignment vertical="top"/>
    </xf>
    <xf borderId="1" fillId="4" fontId="7" numFmtId="166" xfId="0" applyAlignment="1" applyBorder="1" applyFill="1" applyFont="1" applyNumberFormat="1">
      <alignment horizontal="right" shrinkToFit="0" vertical="top" wrapText="1"/>
    </xf>
    <xf borderId="1" fillId="4" fontId="7" numFmtId="165" xfId="0" applyAlignment="1" applyBorder="1" applyFill="1" applyFont="1" applyNumberFormat="1">
      <alignment shrinkToFit="0" vertical="top" wrapText="1"/>
    </xf>
    <xf borderId="0" fillId="0" fontId="8" numFmtId="0" xfId="0" applyAlignment="1" applyFont="1">
      <alignment vertical="bottom"/>
    </xf>
    <xf borderId="1" fillId="4" fontId="7" numFmtId="0" xfId="0" applyAlignment="1" applyBorder="1" applyFill="1" applyFont="1">
      <alignment shrinkToFit="0" vertical="top" wrapText="1"/>
    </xf>
    <xf borderId="0" fillId="0" fontId="5" numFmtId="164" xfId="0" applyAlignment="1" applyFont="1" applyNumberFormat="1">
      <alignment shrinkToFit="0" vertical="top" wrapText="1"/>
    </xf>
    <xf borderId="1" fillId="4" fontId="8" numFmtId="0" xfId="0" applyAlignment="1" applyBorder="1" applyFill="1" applyFont="1">
      <alignment vertical="top"/>
    </xf>
    <xf borderId="0" fillId="0" fontId="9" numFmtId="0" xfId="0" applyFont="1"/>
    <xf borderId="2" fillId="0" fontId="5" numFmtId="164" xfId="0" applyAlignment="1" applyBorder="1" applyFont="1" applyNumberFormat="1">
      <alignment readingOrder="0" shrinkToFit="0" vertical="top" wrapText="1"/>
    </xf>
    <xf borderId="2" fillId="0" fontId="7" numFmtId="164" xfId="0" applyAlignment="1" applyBorder="1" applyFont="1" applyNumberFormat="1">
      <alignment horizontal="right" readingOrder="0" vertical="bottom"/>
    </xf>
    <xf borderId="2" fillId="0" fontId="5" numFmtId="167" xfId="0" applyAlignment="1" applyBorder="1" applyFont="1" applyNumberFormat="1">
      <alignment horizontal="left" readingOrder="0" shrinkToFit="0" vertical="top" wrapText="1"/>
    </xf>
    <xf borderId="1" fillId="4" fontId="7" numFmtId="0" xfId="0" applyAlignment="1" applyBorder="1" applyFill="1" applyFont="1">
      <alignment vertical="bottom"/>
    </xf>
    <xf borderId="1" fillId="4" fontId="7" numFmtId="0" xfId="0" applyAlignment="1" applyBorder="1" applyFill="1" applyFont="1">
      <alignment shrinkToFit="0" vertical="bottom" wrapText="1"/>
    </xf>
    <xf borderId="1" fillId="4" fontId="8" numFmtId="0" xfId="0" applyAlignment="1" applyBorder="1" applyFill="1" applyFont="1">
      <alignment vertical="bottom"/>
    </xf>
    <xf borderId="0" fillId="0" fontId="7" numFmtId="0" xfId="0" applyAlignment="1" applyFont="1">
      <alignment readingOrder="0" shrinkToFit="0" vertical="top" wrapText="1"/>
    </xf>
    <xf borderId="0" fillId="0" fontId="8" numFmtId="0" xfId="0" applyAlignment="1" applyFont="1">
      <alignment readingOrder="0" vertical="bottom"/>
    </xf>
    <xf borderId="0" fillId="0" fontId="8" numFmtId="0" xfId="0" applyAlignment="1" applyFont="1">
      <alignment vertical="bottom"/>
    </xf>
    <xf borderId="0" fillId="0" fontId="8" numFmtId="0" xfId="0" applyAlignment="1" applyFont="1">
      <alignment readingOrder="0" shrinkToFit="0" vertical="bottom" wrapText="1"/>
    </xf>
    <xf borderId="0" fillId="0" fontId="8" numFmtId="0" xfId="0" applyAlignment="1" applyFont="1">
      <alignment shrinkToFit="0" vertical="bottom" wrapText="1"/>
    </xf>
    <xf borderId="0" fillId="0" fontId="8" numFmtId="167" xfId="0" applyAlignment="1" applyFont="1" applyNumberFormat="1">
      <alignment readingOrder="0" vertical="bottom"/>
    </xf>
    <xf borderId="0" fillId="0" fontId="10" numFmtId="0" xfId="0" applyAlignment="1" applyFont="1">
      <alignment shrinkToFit="0" vertical="top" wrapText="1"/>
    </xf>
    <xf borderId="0" fillId="0" fontId="10" numFmtId="0" xfId="0" applyAlignment="1" applyFont="1">
      <alignment readingOrder="0" shrinkToFit="0" vertical="top" wrapText="1"/>
    </xf>
    <xf borderId="0" fillId="0" fontId="10" numFmtId="165" xfId="0" applyAlignment="1" applyFont="1" applyNumberFormat="1">
      <alignment shrinkToFit="0" vertical="top" wrapText="1"/>
    </xf>
    <xf borderId="0" fillId="0" fontId="10" numFmtId="0" xfId="0" applyAlignment="1" applyFont="1">
      <alignment shrinkToFit="0" vertical="top" wrapText="1"/>
    </xf>
    <xf borderId="0" fillId="0" fontId="7" numFmtId="0" xfId="0" applyAlignment="1" applyFont="1">
      <alignment shrinkToFit="0" vertical="top" wrapText="1"/>
    </xf>
    <xf borderId="3" fillId="0" fontId="7" numFmtId="0" xfId="0" applyAlignment="1" applyBorder="1" applyFont="1">
      <alignment readingOrder="0" shrinkToFit="0" vertical="top" wrapText="1"/>
    </xf>
    <xf borderId="0" fillId="0" fontId="8"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vertical="top"/>
    </xf>
    <xf borderId="0" fillId="0" fontId="8" numFmtId="166" xfId="0" applyAlignment="1" applyFont="1" applyNumberFormat="1">
      <alignment horizontal="right" shrinkToFit="0" vertical="top" wrapText="1"/>
    </xf>
    <xf borderId="0" fillId="0" fontId="8" numFmtId="166" xfId="0" applyAlignment="1" applyFont="1" applyNumberFormat="1">
      <alignment vertical="top"/>
    </xf>
    <xf borderId="0" fillId="0" fontId="9" numFmtId="0" xfId="0" applyAlignment="1" applyFont="1">
      <alignment readingOrder="0"/>
    </xf>
    <xf borderId="2" fillId="0" fontId="9" numFmtId="164" xfId="0" applyAlignment="1" applyBorder="1" applyFont="1" applyNumberFormat="1">
      <alignment readingOrder="0"/>
    </xf>
    <xf borderId="0" fillId="0" fontId="7" numFmtId="0" xfId="0" applyAlignment="1" applyFont="1">
      <alignment vertical="bottom"/>
    </xf>
    <xf borderId="2" fillId="0" fontId="9" numFmtId="0" xfId="0" applyBorder="1" applyFont="1"/>
    <xf borderId="2" fillId="0" fontId="7" numFmtId="0" xfId="0" applyAlignment="1" applyBorder="1" applyFont="1">
      <alignment readingOrder="0" vertical="bottom"/>
    </xf>
    <xf borderId="2" fillId="0" fontId="5" numFmtId="164" xfId="0" applyAlignment="1" applyBorder="1" applyFont="1" applyNumberFormat="1">
      <alignment shrinkToFit="0" vertical="top" wrapText="1"/>
    </xf>
    <xf borderId="2" fillId="0" fontId="9" numFmtId="0" xfId="0" applyAlignment="1" applyBorder="1" applyFont="1">
      <alignment readingOrder="0"/>
    </xf>
    <xf borderId="2" fillId="0" fontId="9" numFmtId="164" xfId="0" applyAlignment="1" applyBorder="1" applyFont="1" applyNumberFormat="1">
      <alignment horizontal="right" readingOrder="0"/>
    </xf>
    <xf borderId="0" fillId="0" fontId="9" numFmtId="164" xfId="0" applyAlignment="1" applyFont="1" applyNumberFormat="1">
      <alignment readingOrder="0"/>
    </xf>
    <xf borderId="0" fillId="0" fontId="5" numFmtId="165" xfId="0" applyAlignment="1" applyFont="1" applyNumberFormat="1">
      <alignment shrinkToFit="0" vertical="top" wrapText="1"/>
    </xf>
    <xf borderId="0" fillId="0" fontId="8" numFmtId="166" xfId="0" applyAlignment="1" applyFont="1" applyNumberFormat="1">
      <alignment vertical="bottom"/>
    </xf>
    <xf borderId="0" fillId="0" fontId="8" numFmtId="166" xfId="0" applyAlignment="1" applyFont="1" applyNumberFormat="1">
      <alignment horizontal="right" readingOrder="0" shrinkToFit="0" vertical="top" wrapText="1"/>
    </xf>
    <xf borderId="0" fillId="0" fontId="8" numFmtId="165" xfId="0" applyAlignment="1" applyFont="1" applyNumberFormat="1">
      <alignment vertical="bottom"/>
    </xf>
    <xf borderId="0" fillId="0" fontId="8" numFmtId="164" xfId="0" applyAlignment="1" applyFont="1" applyNumberFormat="1">
      <alignment horizontal="right" vertical="bottom"/>
    </xf>
    <xf borderId="0" fillId="0" fontId="9" numFmtId="168" xfId="0" applyAlignment="1" applyFont="1" applyNumberFormat="1">
      <alignment readingOrder="0"/>
    </xf>
    <xf borderId="0" fillId="0" fontId="11" numFmtId="0" xfId="0" applyAlignment="1" applyFont="1">
      <alignment vertical="bottom"/>
    </xf>
    <xf borderId="0" fillId="0" fontId="8" numFmtId="164" xfId="0" applyAlignment="1" applyFont="1" applyNumberFormat="1">
      <alignment vertical="bottom"/>
    </xf>
  </cellXfs>
  <cellStyles count="1">
    <cellStyle xfId="0" name="Normal" builtinId="0"/>
  </cellStyles>
  <dxfs count="2">
    <dxf>
      <font>
        <b/>
        <color rgb="FFB4522B"/>
      </font>
      <fill>
        <patternFill patternType="solid">
          <fgColor rgb="FFFBF0E5"/>
          <bgColor rgb="FFFBF0E5"/>
        </patternFill>
      </fill>
      <border/>
    </dxf>
    <dxf>
      <font>
        <b/>
        <color rgb="FF007A55"/>
      </font>
      <fill>
        <patternFill patternType="solid">
          <fgColor rgb="FFE8F5F0"/>
          <bgColor rgb="FFE8F5F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fiant.io" TargetMode="External"/><Relationship Id="rId2" Type="http://schemas.openxmlformats.org/officeDocument/2006/relationships/hyperlink" Target="http://libretto.io" TargetMode="External"/><Relationship Id="rId3" Type="http://schemas.openxmlformats.org/officeDocument/2006/relationships/hyperlink" Target="http://onicore.io" TargetMode="External"/><Relationship Id="rId4" Type="http://schemas.openxmlformats.org/officeDocument/2006/relationships/hyperlink" Target="http://root.io"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10.0"/>
    <col customWidth="1" min="3" max="6" width="8.71"/>
  </cols>
  <sheetData>
    <row r="1">
      <c r="B1" s="1" t="s">
        <v>3</v>
      </c>
    </row>
    <row r="3">
      <c r="B3" s="6" t="s">
        <v>6</v>
      </c>
    </row>
    <row r="4">
      <c r="B4" s="8" t="s">
        <v>8</v>
      </c>
    </row>
    <row r="6">
      <c r="B6" s="6" t="s">
        <v>9</v>
      </c>
    </row>
    <row r="7">
      <c r="B7" s="8" t="s">
        <v>12</v>
      </c>
    </row>
    <row r="8">
      <c r="B8" s="10" t="s">
        <v>22</v>
      </c>
    </row>
    <row r="9">
      <c r="B9" s="8" t="s">
        <v>26</v>
      </c>
    </row>
    <row r="10">
      <c r="B10" s="8" t="s">
        <v>28</v>
      </c>
    </row>
    <row r="11">
      <c r="B11" s="8" t="s">
        <v>30</v>
      </c>
    </row>
    <row r="13">
      <c r="B13" s="6" t="s">
        <v>32</v>
      </c>
    </row>
    <row r="14">
      <c r="B14" s="8" t="s">
        <v>34</v>
      </c>
    </row>
    <row r="15">
      <c r="B15" s="8" t="s">
        <v>35</v>
      </c>
    </row>
    <row r="16">
      <c r="B16" s="8" t="s">
        <v>37</v>
      </c>
    </row>
    <row r="17">
      <c r="B17" s="8" t="s">
        <v>39</v>
      </c>
    </row>
    <row r="19">
      <c r="B19" s="6" t="s">
        <v>41</v>
      </c>
    </row>
    <row r="20">
      <c r="B20" s="8" t="s">
        <v>44</v>
      </c>
    </row>
    <row r="21" ht="15.75" customHeight="1">
      <c r="B21" s="8" t="s">
        <v>46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5" width="16.0"/>
    <col customWidth="1" min="6" max="6" width="8.71"/>
  </cols>
  <sheetData>
    <row r="1">
      <c r="A1" s="1" t="s">
        <v>1</v>
      </c>
    </row>
    <row r="2">
      <c r="A2" s="3" t="s">
        <v>4</v>
      </c>
    </row>
    <row r="4">
      <c r="A4" s="5" t="s">
        <v>5</v>
      </c>
      <c r="B4" s="7"/>
      <c r="C4" s="7"/>
      <c r="D4" s="7"/>
    </row>
    <row r="5">
      <c r="A5" s="7" t="s">
        <v>10</v>
      </c>
      <c r="B5" s="17">
        <f>COUNTA(Accounts!$B:$B)</f>
        <v>1368</v>
      </c>
      <c r="C5" s="7"/>
      <c r="D5" s="7"/>
    </row>
    <row r="6">
      <c r="A6" s="7" t="s">
        <v>64</v>
      </c>
      <c r="B6" s="17">
        <f>COUNTIF(Accounts!$K$2:$K$161,"Complete")</f>
        <v>15</v>
      </c>
      <c r="C6" s="7"/>
      <c r="D6" s="7"/>
    </row>
    <row r="7">
      <c r="A7" s="7" t="s">
        <v>65</v>
      </c>
      <c r="B7" s="21">
        <f>IF(B5=0,0,B6/B5)</f>
        <v>0.01096491228</v>
      </c>
      <c r="C7" s="7"/>
      <c r="D7" s="7"/>
    </row>
    <row r="8">
      <c r="A8" s="7"/>
      <c r="B8" s="7"/>
      <c r="C8" s="7"/>
      <c r="D8" s="7"/>
    </row>
    <row r="9">
      <c r="A9" s="5" t="s">
        <v>66</v>
      </c>
      <c r="B9" s="7"/>
      <c r="C9" s="7"/>
      <c r="D9" s="7"/>
    </row>
    <row r="10">
      <c r="A10" s="22" t="s">
        <v>67</v>
      </c>
      <c r="B10" s="22" t="s">
        <v>68</v>
      </c>
      <c r="C10" s="22" t="s">
        <v>24</v>
      </c>
      <c r="D10" s="22" t="s">
        <v>69</v>
      </c>
    </row>
    <row r="11">
      <c r="A11" s="7" t="s">
        <v>70</v>
      </c>
      <c r="B11" s="17">
        <f>COUNTIF(Accounts!$Q:$Q,$A11)</f>
        <v>15</v>
      </c>
      <c r="C11" s="23">
        <f>SUMIFS(Accounts!$H:$H,Accounts!$Q:$Q,$A11)</f>
        <v>22194564</v>
      </c>
      <c r="D11" s="21">
        <f t="shared" ref="D11:D15" si="1">IF($B$6=0,0,B11/$B$6)</f>
        <v>1</v>
      </c>
    </row>
    <row r="12">
      <c r="A12" s="7" t="s">
        <v>71</v>
      </c>
      <c r="B12" s="17">
        <f>COUNTIF(Accounts!$Q:$Q,$A12)</f>
        <v>0</v>
      </c>
      <c r="C12" s="23">
        <f>SUMIFS(Accounts!$H:$H,Accounts!$Q:$Q,$A12)</f>
        <v>0</v>
      </c>
      <c r="D12" s="21">
        <f t="shared" si="1"/>
        <v>0</v>
      </c>
    </row>
    <row r="13">
      <c r="A13" s="7" t="s">
        <v>72</v>
      </c>
      <c r="B13" s="17">
        <f>COUNTIF(Accounts!$Q:$Q,$A13)</f>
        <v>0</v>
      </c>
      <c r="C13" s="23">
        <f>SUMIFS(Accounts!$H:$H,Accounts!$Q:$Q,$A13)</f>
        <v>0</v>
      </c>
      <c r="D13" s="21">
        <f t="shared" si="1"/>
        <v>0</v>
      </c>
    </row>
    <row r="14">
      <c r="A14" s="7" t="s">
        <v>75</v>
      </c>
      <c r="B14" s="17">
        <f>COUNTIF(Accounts!$Q:$Q,$A14)</f>
        <v>0</v>
      </c>
      <c r="C14" s="23">
        <f>SUMIFS(Accounts!$H:$H,Accounts!$Q:$Q,$A14)</f>
        <v>0</v>
      </c>
      <c r="D14" s="21">
        <f t="shared" si="1"/>
        <v>0</v>
      </c>
    </row>
    <row r="15">
      <c r="A15" s="7" t="s">
        <v>79</v>
      </c>
      <c r="B15" s="17">
        <f>COUNTIF(Accounts!$Q:$Q,$A15)</f>
        <v>0</v>
      </c>
      <c r="C15" s="23">
        <f>SUMIFS(Accounts!$H:$H,Accounts!$Q:$Q,$A15)</f>
        <v>0</v>
      </c>
      <c r="D15" s="21">
        <f t="shared" si="1"/>
        <v>0</v>
      </c>
    </row>
    <row r="16">
      <c r="A16" s="7" t="s">
        <v>85</v>
      </c>
      <c r="B16" s="17">
        <f>COUNTIF(Accounts!$Q:$Q,$A16)</f>
        <v>1351</v>
      </c>
      <c r="C16" s="23">
        <f>SUMIFS(Accounts!$H:$H,Accounts!$Q:$Q,$A16)</f>
        <v>265893694</v>
      </c>
      <c r="D16" s="21"/>
    </row>
    <row r="17">
      <c r="A17" s="7"/>
      <c r="B17" s="7"/>
      <c r="C17" s="7"/>
      <c r="D17" s="7"/>
    </row>
    <row r="18">
      <c r="A18" s="5" t="s">
        <v>95</v>
      </c>
      <c r="B18" s="7"/>
      <c r="C18" s="7"/>
      <c r="D18" s="7"/>
    </row>
    <row r="19">
      <c r="A19" s="7" t="s">
        <v>96</v>
      </c>
      <c r="B19" s="17">
        <f>COUNTIF('Blocker log'!$G:$G,"Hard blocker")</f>
        <v>12</v>
      </c>
      <c r="C19" s="7"/>
      <c r="D19" s="7"/>
    </row>
    <row r="20">
      <c r="A20" s="7" t="s">
        <v>97</v>
      </c>
      <c r="B20" s="17">
        <f>COUNTIF('Blocker log'!$M:$M,"Yes")</f>
        <v>0</v>
      </c>
      <c r="C20" s="7"/>
      <c r="D20" s="7"/>
    </row>
    <row r="21" ht="15.75" customHeight="1">
      <c r="A21" s="7" t="s">
        <v>98</v>
      </c>
      <c r="B21" s="17">
        <f>COUNTIF(Accounts!$O$2:$O$161,"&gt;0")</f>
        <v>0</v>
      </c>
      <c r="C21" s="7"/>
      <c r="D21" s="7"/>
    </row>
    <row r="22" ht="15.75" customHeight="1">
      <c r="A22" s="7" t="s">
        <v>103</v>
      </c>
      <c r="B22" s="17">
        <f>COUNTIF('Blocker log'!$G:$G,"Workaround accepted")</f>
        <v>5</v>
      </c>
      <c r="C22" s="7"/>
      <c r="D22" s="7"/>
    </row>
    <row r="23" ht="15.75" customHeight="1">
      <c r="A23" s="7" t="s">
        <v>110</v>
      </c>
      <c r="B23" s="17">
        <f>COUNTIFS('Blocker log'!$B:$B,"Other (not on gap list)",'Blocker log'!$G:$G,"Hard blocker")</f>
        <v>0</v>
      </c>
      <c r="C23" s="7"/>
      <c r="D23" s="7"/>
    </row>
    <row r="24" ht="15.75" customHeight="1">
      <c r="A24" s="7" t="s">
        <v>117</v>
      </c>
      <c r="B24" s="17">
        <f>COUNTIF('Blocker log'!$J:$J,"No, *")</f>
        <v>2</v>
      </c>
      <c r="C24" s="7"/>
      <c r="D24" s="7"/>
    </row>
    <row r="25" ht="15.75" customHeight="1">
      <c r="A25" s="7"/>
      <c r="B25" s="7"/>
      <c r="C25" s="7"/>
      <c r="D25" s="7"/>
    </row>
    <row r="26" ht="15.75" customHeight="1">
      <c r="A26" s="3" t="s">
        <v>118</v>
      </c>
      <c r="B26" s="7"/>
      <c r="C26" s="7"/>
      <c r="D26" s="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0.0"/>
    <col customWidth="1" min="2" max="2" width="55.43"/>
    <col customWidth="1" min="3" max="3" width="16.43"/>
    <col customWidth="1" min="4" max="6" width="26.86"/>
    <col customWidth="1" min="7" max="7" width="84.0"/>
    <col customWidth="1" min="8" max="8" width="22.86"/>
    <col customWidth="1" min="9" max="9" width="27.29"/>
    <col customWidth="1" hidden="1" min="10" max="10" width="18.0"/>
    <col customWidth="1" min="11" max="11" width="19.14"/>
    <col customWidth="1" min="12" max="12" width="17.29"/>
    <col customWidth="1" min="13" max="16" width="28.71"/>
    <col customWidth="1" min="17" max="17" width="24.0"/>
    <col customWidth="1" min="18" max="18" width="30.86"/>
    <col customWidth="1" min="19" max="19" width="23.14"/>
    <col customWidth="1" min="20" max="20" width="30.0"/>
    <col customWidth="1" min="21" max="21" width="36.0"/>
  </cols>
  <sheetData>
    <row r="1" ht="30.0" customHeight="1">
      <c r="A1" s="2" t="s">
        <v>0</v>
      </c>
      <c r="B1" s="4" t="s">
        <v>2</v>
      </c>
      <c r="C1" s="4" t="s">
        <v>11</v>
      </c>
      <c r="D1" s="9" t="s">
        <v>14</v>
      </c>
      <c r="E1" s="4"/>
      <c r="F1" s="4"/>
      <c r="G1" s="4" t="s">
        <v>19</v>
      </c>
      <c r="H1" s="11" t="s">
        <v>24</v>
      </c>
      <c r="I1" s="4" t="s">
        <v>38</v>
      </c>
      <c r="J1" s="4" t="s">
        <v>40</v>
      </c>
      <c r="K1" s="4" t="s">
        <v>42</v>
      </c>
      <c r="L1" s="4" t="s">
        <v>45</v>
      </c>
      <c r="M1" s="4" t="s">
        <v>47</v>
      </c>
      <c r="N1" s="4" t="s">
        <v>48</v>
      </c>
      <c r="O1" s="4" t="s">
        <v>49</v>
      </c>
      <c r="P1" s="4" t="s">
        <v>50</v>
      </c>
      <c r="Q1" s="4" t="s">
        <v>51</v>
      </c>
      <c r="R1" s="4" t="s">
        <v>52</v>
      </c>
      <c r="S1" s="4" t="s">
        <v>53</v>
      </c>
      <c r="T1" s="4" t="s">
        <v>54</v>
      </c>
      <c r="U1" s="4" t="s">
        <v>33</v>
      </c>
    </row>
    <row r="2">
      <c r="A2" s="13" t="s">
        <v>55</v>
      </c>
      <c r="B2" s="13" t="s">
        <v>56</v>
      </c>
      <c r="C2" s="13" t="s">
        <v>57</v>
      </c>
      <c r="D2" s="13" t="s">
        <v>58</v>
      </c>
      <c r="E2" s="13" t="s">
        <v>59</v>
      </c>
      <c r="F2" s="13" t="s">
        <v>60</v>
      </c>
      <c r="G2" s="13" t="s">
        <v>61</v>
      </c>
      <c r="H2" s="14">
        <v>3387281.0</v>
      </c>
      <c r="I2" s="15" t="s">
        <v>62</v>
      </c>
      <c r="J2" s="16"/>
      <c r="K2" s="18" t="s">
        <v>63</v>
      </c>
      <c r="L2" s="19">
        <v>46315.0</v>
      </c>
      <c r="M2" s="20">
        <f>IF($B2="","",COUNTIFS('Blocker log'!$A:$A,$B2,'Blocker log'!$G:$G,"&lt;&gt;"))</f>
        <v>0</v>
      </c>
      <c r="N2" s="20">
        <f>IF($B2="","",COUNTIFS('Blocker log'!$A:$A,$B2,'Blocker log'!$G:$G,"Hard blocker"))</f>
        <v>0</v>
      </c>
      <c r="O2" s="20">
        <f>IF($B2="","",COUNTIFS('Blocker log'!$A:$A,$B2,'Blocker log'!$G:$G,"Hard blocker",'Blocker log'!$L:$L,9))</f>
        <v>0</v>
      </c>
      <c r="P2" s="20">
        <f>IF($B2="","",MAXIFS('Blocker log'!$L:$L,'Blocker log'!$A:$A,$B2,'Blocker log'!$G:$G,"Hard blocker"))</f>
        <v>0</v>
      </c>
      <c r="Q2" s="20" t="str">
        <f>IF($B2="","",IF($K2&lt;&gt;"Complete","Assessment pending",IF($N2=0,"Ready now",VLOOKUP($P2,Lists!$D$2:$E$5,2,FALSE))))</f>
        <v>Ready now</v>
      </c>
      <c r="R2" s="24"/>
      <c r="S2" s="16"/>
      <c r="T2" s="16"/>
      <c r="U2" s="16"/>
    </row>
    <row r="3">
      <c r="A3" s="13" t="s">
        <v>73</v>
      </c>
      <c r="B3" s="13" t="s">
        <v>74</v>
      </c>
      <c r="C3" s="13" t="s">
        <v>76</v>
      </c>
      <c r="D3" s="13" t="s">
        <v>58</v>
      </c>
      <c r="E3" s="13" t="s">
        <v>59</v>
      </c>
      <c r="F3" s="13" t="s">
        <v>77</v>
      </c>
      <c r="G3" s="13" t="s">
        <v>61</v>
      </c>
      <c r="H3" s="25">
        <v>333600.0</v>
      </c>
      <c r="I3" s="15" t="s">
        <v>62</v>
      </c>
      <c r="J3" s="16"/>
      <c r="K3" s="18" t="s">
        <v>78</v>
      </c>
      <c r="L3" s="24"/>
      <c r="M3" s="20">
        <f>IF($B3="","",COUNTIFS('Blocker log'!$A:$A,$B3,'Blocker log'!$G:$G,"&lt;&gt;"))</f>
        <v>0</v>
      </c>
      <c r="N3" s="20">
        <f>IF($B3="","",COUNTIFS('Blocker log'!$A:$A,$B3,'Blocker log'!$G:$G,"Hard blocker"))</f>
        <v>0</v>
      </c>
      <c r="O3" s="20">
        <f>IF($B3="","",COUNTIFS('Blocker log'!$A:$A,$B3,'Blocker log'!$G:$G,"Hard blocker",'Blocker log'!$L:$L,9))</f>
        <v>0</v>
      </c>
      <c r="P3" s="20">
        <f>IF($B3="","",MAXIFS('Blocker log'!$L:$L,'Blocker log'!$A:$A,$B3,'Blocker log'!$G:$G,"Hard blocker"))</f>
        <v>0</v>
      </c>
      <c r="Q3" s="20" t="str">
        <f>IF($B3="","",IF($K3&lt;&gt;"Complete","Assessment pending",IF($N3=0,"Ready now",VLOOKUP($P3,Lists!$D$2:$E$5,2,FALSE))))</f>
        <v>Assessment pending</v>
      </c>
      <c r="R3" s="24"/>
      <c r="S3" s="16"/>
      <c r="T3" s="16"/>
      <c r="U3" s="16"/>
    </row>
    <row r="4">
      <c r="A4" s="13" t="s">
        <v>92</v>
      </c>
      <c r="B4" s="13" t="s">
        <v>93</v>
      </c>
      <c r="C4" s="13" t="s">
        <v>76</v>
      </c>
      <c r="D4" s="13" t="s">
        <v>58</v>
      </c>
      <c r="E4" s="13" t="s">
        <v>94</v>
      </c>
      <c r="F4" s="13" t="s">
        <v>94</v>
      </c>
      <c r="G4" s="13" t="s">
        <v>61</v>
      </c>
      <c r="H4" s="25">
        <v>33192.0</v>
      </c>
      <c r="I4" s="15" t="s">
        <v>62</v>
      </c>
      <c r="J4" s="16"/>
      <c r="K4" s="18" t="s">
        <v>78</v>
      </c>
      <c r="L4" s="24"/>
      <c r="M4" s="20">
        <f>IF($B4="","",COUNTIFS('Blocker log'!$A:$A,$B4,'Blocker log'!$G:$G,"&lt;&gt;"))</f>
        <v>0</v>
      </c>
      <c r="N4" s="20">
        <f>IF($B4="","",COUNTIFS('Blocker log'!$A:$A,$B4,'Blocker log'!$G:$G,"Hard blocker"))</f>
        <v>0</v>
      </c>
      <c r="O4" s="20">
        <f>IF($B4="","",COUNTIFS('Blocker log'!$A:$A,$B4,'Blocker log'!$G:$G,"Hard blocker",'Blocker log'!$L:$L,9))</f>
        <v>0</v>
      </c>
      <c r="P4" s="20">
        <f>IF($B4="","",MAXIFS('Blocker log'!$L:$L,'Blocker log'!$A:$A,$B4,'Blocker log'!$G:$G,"Hard blocker"))</f>
        <v>0</v>
      </c>
      <c r="Q4" s="20" t="str">
        <f>IF($B4="","",IF($K4&lt;&gt;"Complete","Assessment pending",IF($N4=0,"Ready now",VLOOKUP($P4,Lists!$D$2:$E$5,2,FALSE))))</f>
        <v>Assessment pending</v>
      </c>
      <c r="R4" s="24"/>
      <c r="S4" s="16"/>
      <c r="T4" s="16"/>
      <c r="U4" s="16"/>
    </row>
    <row r="5">
      <c r="A5" s="10" t="s">
        <v>99</v>
      </c>
      <c r="B5" s="10" t="s">
        <v>100</v>
      </c>
      <c r="C5" s="10" t="s">
        <v>76</v>
      </c>
      <c r="D5" s="10" t="s">
        <v>58</v>
      </c>
      <c r="E5" s="10" t="s">
        <v>101</v>
      </c>
      <c r="F5" s="10" t="s">
        <v>102</v>
      </c>
      <c r="G5" s="13" t="s">
        <v>61</v>
      </c>
      <c r="H5" s="25">
        <v>123584.0</v>
      </c>
      <c r="I5" s="15" t="s">
        <v>62</v>
      </c>
      <c r="J5" s="16"/>
      <c r="K5" s="18" t="s">
        <v>78</v>
      </c>
      <c r="L5" s="24"/>
      <c r="M5" s="20">
        <f>IF($B5="","",COUNTIFS('Blocker log'!$A:$A,$B5,'Blocker log'!$G:$G,"&lt;&gt;"))</f>
        <v>0</v>
      </c>
      <c r="N5" s="20">
        <f>IF($B5="","",COUNTIFS('Blocker log'!$A:$A,$B5,'Blocker log'!$G:$G,"Hard blocker"))</f>
        <v>0</v>
      </c>
      <c r="O5" s="20">
        <f>IF($B5="","",COUNTIFS('Blocker log'!$A:$A,$B5,'Blocker log'!$G:$G,"Hard blocker",'Blocker log'!$L:$L,9))</f>
        <v>0</v>
      </c>
      <c r="P5" s="20">
        <f>IF($B5="","",MAXIFS('Blocker log'!$L:$L,'Blocker log'!$A:$A,$B5,'Blocker log'!$G:$G,"Hard blocker"))</f>
        <v>0</v>
      </c>
      <c r="Q5" s="20" t="str">
        <f>IF($B5="","",IF($K5&lt;&gt;"Complete","Assessment pending",IF($N5=0,"Ready now",VLOOKUP($P5,Lists!$D$2:$E$5,2,FALSE))))</f>
        <v>Assessment pending</v>
      </c>
      <c r="R5" s="24"/>
      <c r="S5" s="16"/>
      <c r="T5" s="16"/>
      <c r="U5" s="16"/>
    </row>
    <row r="6">
      <c r="A6" s="10" t="s">
        <v>114</v>
      </c>
      <c r="B6" s="10" t="s">
        <v>115</v>
      </c>
      <c r="C6" s="10" t="s">
        <v>76</v>
      </c>
      <c r="D6" s="10" t="s">
        <v>58</v>
      </c>
      <c r="E6" s="10" t="s">
        <v>101</v>
      </c>
      <c r="F6" s="10" t="s">
        <v>116</v>
      </c>
      <c r="G6" s="13" t="s">
        <v>61</v>
      </c>
      <c r="H6" s="25">
        <v>112962.0</v>
      </c>
      <c r="I6" s="15" t="s">
        <v>62</v>
      </c>
      <c r="J6" s="16"/>
      <c r="K6" s="18" t="s">
        <v>78</v>
      </c>
      <c r="L6" s="24"/>
      <c r="M6" s="20">
        <f>IF($B6="","",COUNTIFS('Blocker log'!$A:$A,$B6,'Blocker log'!$G:$G,"&lt;&gt;"))</f>
        <v>0</v>
      </c>
      <c r="N6" s="20">
        <f>IF($B6="","",COUNTIFS('Blocker log'!$A:$A,$B6,'Blocker log'!$G:$G,"Hard blocker"))</f>
        <v>0</v>
      </c>
      <c r="O6" s="20">
        <f>IF($B6="","",COUNTIFS('Blocker log'!$A:$A,$B6,'Blocker log'!$G:$G,"Hard blocker",'Blocker log'!$L:$L,9))</f>
        <v>0</v>
      </c>
      <c r="P6" s="20">
        <f>IF($B6="","",MAXIFS('Blocker log'!$L:$L,'Blocker log'!$A:$A,$B6,'Blocker log'!$G:$G,"Hard blocker"))</f>
        <v>0</v>
      </c>
      <c r="Q6" s="20" t="str">
        <f>IF($B6="","",IF($K6&lt;&gt;"Complete","Assessment pending",IF($N6=0,"Ready now",VLOOKUP($P6,Lists!$D$2:$E$5,2,FALSE))))</f>
        <v>Assessment pending</v>
      </c>
      <c r="R6" s="24"/>
      <c r="S6" s="16"/>
      <c r="T6" s="16"/>
      <c r="U6" s="16"/>
    </row>
    <row r="7">
      <c r="A7" s="13" t="s">
        <v>122</v>
      </c>
      <c r="B7" s="13" t="s">
        <v>123</v>
      </c>
      <c r="C7" s="13" t="s">
        <v>57</v>
      </c>
      <c r="D7" s="13" t="s">
        <v>58</v>
      </c>
      <c r="E7" s="13" t="s">
        <v>59</v>
      </c>
      <c r="F7" s="13" t="s">
        <v>124</v>
      </c>
      <c r="G7" s="13" t="s">
        <v>61</v>
      </c>
      <c r="H7" s="14">
        <v>2191200.0</v>
      </c>
      <c r="I7" s="15" t="s">
        <v>125</v>
      </c>
      <c r="J7" s="16"/>
      <c r="K7" s="18" t="s">
        <v>63</v>
      </c>
      <c r="L7" s="19">
        <v>46316.0</v>
      </c>
      <c r="M7" s="20">
        <f>IF($B7="","",COUNTIFS('Blocker log'!$A:$A,$B7,'Blocker log'!$G:$G,"&lt;&gt;"))</f>
        <v>0</v>
      </c>
      <c r="N7" s="20">
        <f>IF($B7="","",COUNTIFS('Blocker log'!$A:$A,$B7,'Blocker log'!$G:$G,"Hard blocker"))</f>
        <v>0</v>
      </c>
      <c r="O7" s="20">
        <f>IF($B7="","",COUNTIFS('Blocker log'!$A:$A,$B7,'Blocker log'!$G:$G,"Hard blocker",'Blocker log'!$L:$L,9))</f>
        <v>0</v>
      </c>
      <c r="P7" s="20">
        <f>IF($B7="","",MAXIFS('Blocker log'!$L:$L,'Blocker log'!$A:$A,$B7,'Blocker log'!$G:$G,"Hard blocker"))</f>
        <v>0</v>
      </c>
      <c r="Q7" s="20" t="str">
        <f>IF($B7="","",IF($K7&lt;&gt;"Complete","Assessment pending",IF($N7=0,"Ready now",VLOOKUP($P7,Lists!$D$2:$E$5,2,FALSE))))</f>
        <v>Ready now</v>
      </c>
      <c r="R7" s="24"/>
      <c r="S7" s="16"/>
      <c r="T7" s="16"/>
      <c r="U7" s="16"/>
    </row>
    <row r="8">
      <c r="A8" s="13" t="s">
        <v>130</v>
      </c>
      <c r="B8" s="13" t="s">
        <v>131</v>
      </c>
      <c r="C8" s="13" t="s">
        <v>57</v>
      </c>
      <c r="D8" s="13" t="s">
        <v>58</v>
      </c>
      <c r="E8" s="13" t="s">
        <v>132</v>
      </c>
      <c r="F8" s="13" t="s">
        <v>133</v>
      </c>
      <c r="G8" s="13" t="s">
        <v>61</v>
      </c>
      <c r="H8" s="14">
        <v>2415715.0</v>
      </c>
      <c r="I8" s="15"/>
      <c r="J8" s="16"/>
      <c r="K8" s="16"/>
      <c r="L8" s="24"/>
      <c r="M8" s="20">
        <f>IF($B8="","",COUNTIFS('Blocker log'!$A:$A,$B8,'Blocker log'!$G:$G,"&lt;&gt;"))</f>
        <v>0</v>
      </c>
      <c r="N8" s="20">
        <f>IF($B8="","",COUNTIFS('Blocker log'!$A:$A,$B8,'Blocker log'!$G:$G,"Hard blocker"))</f>
        <v>0</v>
      </c>
      <c r="O8" s="20">
        <f>IF($B8="","",COUNTIFS('Blocker log'!$A:$A,$B8,'Blocker log'!$G:$G,"Hard blocker",'Blocker log'!$L:$L,9))</f>
        <v>0</v>
      </c>
      <c r="P8" s="20">
        <f>IF($B8="","",MAXIFS('Blocker log'!$L:$L,'Blocker log'!$A:$A,$B8,'Blocker log'!$G:$G,"Hard blocker"))</f>
        <v>0</v>
      </c>
      <c r="Q8" s="20" t="str">
        <f>IF($B8="","",IF($K8&lt;&gt;"Complete","Assessment pending",IF($N8=0,"Ready now",VLOOKUP($P8,Lists!$D$2:$E$5,2,FALSE))))</f>
        <v>Assessment pending</v>
      </c>
      <c r="R8" s="24"/>
      <c r="S8" s="16"/>
      <c r="T8" s="16"/>
      <c r="U8" s="16"/>
    </row>
    <row r="9">
      <c r="A9" s="13" t="s">
        <v>138</v>
      </c>
      <c r="B9" s="13" t="s">
        <v>139</v>
      </c>
      <c r="C9" s="13" t="s">
        <v>57</v>
      </c>
      <c r="D9" s="13" t="s">
        <v>58</v>
      </c>
      <c r="E9" s="13" t="s">
        <v>140</v>
      </c>
      <c r="F9" s="13" t="s">
        <v>141</v>
      </c>
      <c r="G9" s="13" t="s">
        <v>61</v>
      </c>
      <c r="H9" s="14">
        <v>955532.0</v>
      </c>
      <c r="I9" s="15" t="s">
        <v>125</v>
      </c>
      <c r="J9" s="16"/>
      <c r="K9" s="18" t="s">
        <v>63</v>
      </c>
      <c r="L9" s="19">
        <v>46316.0</v>
      </c>
      <c r="M9" s="20">
        <f>IF($B9="","",COUNTIFS('Blocker log'!$A:$A,$B9,'Blocker log'!$G:$G,"&lt;&gt;"))</f>
        <v>0</v>
      </c>
      <c r="N9" s="20">
        <f>IF($B9="","",COUNTIFS('Blocker log'!$A:$A,$B9,'Blocker log'!$G:$G,"Hard blocker"))</f>
        <v>0</v>
      </c>
      <c r="O9" s="20">
        <f>IF($B9="","",COUNTIFS('Blocker log'!$A:$A,$B9,'Blocker log'!$G:$G,"Hard blocker",'Blocker log'!$L:$L,9))</f>
        <v>0</v>
      </c>
      <c r="P9" s="20">
        <f>IF($B9="","",MAXIFS('Blocker log'!$L:$L,'Blocker log'!$A:$A,$B9,'Blocker log'!$G:$G,"Hard blocker"))</f>
        <v>0</v>
      </c>
      <c r="Q9" s="20" t="str">
        <f>IF($B9="","",IF($K9&lt;&gt;"Complete","Assessment pending",IF($N9=0,"Ready now",VLOOKUP($P9,Lists!$D$2:$E$5,2,FALSE))))</f>
        <v>Ready now</v>
      </c>
      <c r="R9" s="24"/>
      <c r="S9" s="16"/>
      <c r="T9" s="16"/>
      <c r="U9" s="16"/>
    </row>
    <row r="10">
      <c r="A10" s="13" t="s">
        <v>146</v>
      </c>
      <c r="B10" s="13" t="s">
        <v>147</v>
      </c>
      <c r="C10" s="13" t="s">
        <v>76</v>
      </c>
      <c r="D10" s="13" t="s">
        <v>58</v>
      </c>
      <c r="E10" s="13" t="s">
        <v>101</v>
      </c>
      <c r="F10" s="13" t="s">
        <v>116</v>
      </c>
      <c r="G10" s="13" t="s">
        <v>61</v>
      </c>
      <c r="H10" s="14">
        <v>376301.0</v>
      </c>
      <c r="I10" s="15" t="s">
        <v>125</v>
      </c>
      <c r="J10" s="16"/>
      <c r="K10" s="18" t="s">
        <v>63</v>
      </c>
      <c r="L10" s="19">
        <v>46316.0</v>
      </c>
      <c r="M10" s="20">
        <f>IF($B10="","",COUNTIFS('Blocker log'!$A:$A,$B10,'Blocker log'!$G:$G,"&lt;&gt;"))</f>
        <v>0</v>
      </c>
      <c r="N10" s="20">
        <f>IF($B10="","",COUNTIFS('Blocker log'!$A:$A,$B10,'Blocker log'!$G:$G,"Hard blocker"))</f>
        <v>0</v>
      </c>
      <c r="O10" s="20">
        <f>IF($B10="","",COUNTIFS('Blocker log'!$A:$A,$B10,'Blocker log'!$G:$G,"Hard blocker",'Blocker log'!$L:$L,9))</f>
        <v>0</v>
      </c>
      <c r="P10" s="20">
        <f>IF($B10="","",MAXIFS('Blocker log'!$L:$L,'Blocker log'!$A:$A,$B10,'Blocker log'!$G:$G,"Hard blocker"))</f>
        <v>0</v>
      </c>
      <c r="Q10" s="20" t="str">
        <f>IF($B10="","",IF($K10&lt;&gt;"Complete","Assessment pending",IF($N10=0,"Ready now",VLOOKUP($P10,Lists!$D$2:$E$5,2,FALSE))))</f>
        <v>Ready now</v>
      </c>
      <c r="R10" s="24"/>
      <c r="S10" s="16"/>
      <c r="T10" s="16"/>
      <c r="U10" s="16"/>
    </row>
    <row r="11">
      <c r="A11" s="13" t="s">
        <v>153</v>
      </c>
      <c r="B11" s="13" t="s">
        <v>154</v>
      </c>
      <c r="C11" s="13" t="s">
        <v>76</v>
      </c>
      <c r="D11" s="13" t="s">
        <v>58</v>
      </c>
      <c r="E11" s="13" t="s">
        <v>140</v>
      </c>
      <c r="F11" s="13" t="s">
        <v>156</v>
      </c>
      <c r="G11" s="13" t="s">
        <v>61</v>
      </c>
      <c r="H11" s="25">
        <v>210260.0</v>
      </c>
      <c r="I11" s="15" t="s">
        <v>125</v>
      </c>
      <c r="J11" s="16"/>
      <c r="K11" s="18" t="s">
        <v>63</v>
      </c>
      <c r="L11" s="19">
        <v>46316.0</v>
      </c>
      <c r="M11" s="20">
        <f>IF($B11="","",COUNTIFS('Blocker log'!$A:$A,$B11,'Blocker log'!$G:$G,"&lt;&gt;"))</f>
        <v>0</v>
      </c>
      <c r="N11" s="20">
        <f>IF($B11="","",COUNTIFS('Blocker log'!$A:$A,$B11,'Blocker log'!$G:$G,"Hard blocker"))</f>
        <v>0</v>
      </c>
      <c r="O11" s="20">
        <f>IF($B11="","",COUNTIFS('Blocker log'!$A:$A,$B11,'Blocker log'!$G:$G,"Hard blocker",'Blocker log'!$L:$L,9))</f>
        <v>0</v>
      </c>
      <c r="P11" s="20">
        <f>IF($B11="","",MAXIFS('Blocker log'!$L:$L,'Blocker log'!$A:$A,$B11,'Blocker log'!$G:$G,"Hard blocker"))</f>
        <v>0</v>
      </c>
      <c r="Q11" s="20" t="str">
        <f>IF($B11="","",IF($K11&lt;&gt;"Complete","Assessment pending",IF($N11=0,"Ready now",VLOOKUP($P11,Lists!$D$2:$E$5,2,FALSE))))</f>
        <v>Ready now</v>
      </c>
      <c r="R11" s="24"/>
      <c r="S11" s="16"/>
      <c r="T11" s="16"/>
      <c r="U11" s="16"/>
    </row>
    <row r="12">
      <c r="A12" s="13" t="s">
        <v>163</v>
      </c>
      <c r="B12" s="13" t="s">
        <v>164</v>
      </c>
      <c r="C12" s="13" t="s">
        <v>76</v>
      </c>
      <c r="D12" s="13" t="s">
        <v>58</v>
      </c>
      <c r="E12" s="13" t="s">
        <v>140</v>
      </c>
      <c r="F12" s="13" t="s">
        <v>156</v>
      </c>
      <c r="G12" s="13" t="s">
        <v>61</v>
      </c>
      <c r="H12" s="25">
        <v>189000.0</v>
      </c>
      <c r="I12" s="15" t="s">
        <v>125</v>
      </c>
      <c r="J12" s="16"/>
      <c r="K12" s="18" t="s">
        <v>63</v>
      </c>
      <c r="L12" s="19">
        <v>46316.0</v>
      </c>
      <c r="M12" s="20">
        <f>IF($B12="","",COUNTIFS('Blocker log'!$A:$A,$B12,'Blocker log'!$G:$G,"&lt;&gt;"))</f>
        <v>0</v>
      </c>
      <c r="N12" s="20">
        <f>IF($B12="","",COUNTIFS('Blocker log'!$A:$A,$B12,'Blocker log'!$G:$G,"Hard blocker"))</f>
        <v>0</v>
      </c>
      <c r="O12" s="20">
        <f>IF($B12="","",COUNTIFS('Blocker log'!$A:$A,$B12,'Blocker log'!$G:$G,"Hard blocker",'Blocker log'!$L:$L,9))</f>
        <v>0</v>
      </c>
      <c r="P12" s="20">
        <f>IF($B12="","",MAXIFS('Blocker log'!$L:$L,'Blocker log'!$A:$A,$B12,'Blocker log'!$G:$G,"Hard blocker"))</f>
        <v>0</v>
      </c>
      <c r="Q12" s="20" t="str">
        <f>IF($B12="","",IF($K12&lt;&gt;"Complete","Assessment pending",IF($N12=0,"Ready now",VLOOKUP($P12,Lists!$D$2:$E$5,2,FALSE))))</f>
        <v>Ready now</v>
      </c>
      <c r="R12" s="24"/>
      <c r="S12" s="16"/>
      <c r="T12" s="16"/>
      <c r="U12" s="16"/>
    </row>
    <row r="13">
      <c r="A13" s="13" t="s">
        <v>169</v>
      </c>
      <c r="B13" s="13" t="s">
        <v>170</v>
      </c>
      <c r="C13" s="13" t="s">
        <v>57</v>
      </c>
      <c r="D13" s="13" t="s">
        <v>171</v>
      </c>
      <c r="E13" s="13" t="s">
        <v>172</v>
      </c>
      <c r="F13" s="13" t="s">
        <v>173</v>
      </c>
      <c r="G13" s="13" t="s">
        <v>61</v>
      </c>
      <c r="H13" s="14">
        <v>1131332.0</v>
      </c>
      <c r="I13" s="15" t="s">
        <v>174</v>
      </c>
      <c r="J13" s="16"/>
      <c r="K13" s="18" t="s">
        <v>78</v>
      </c>
      <c r="L13" s="24"/>
      <c r="M13" s="20">
        <f>IF($B13="","",COUNTIFS('Blocker log'!$A:$A,$B13,'Blocker log'!$G:$G,"&lt;&gt;"))</f>
        <v>0</v>
      </c>
      <c r="N13" s="29">
        <v>0.0</v>
      </c>
      <c r="O13" s="20">
        <f>IF($B13="","",COUNTIFS('Blocker log'!$A:$A,$B13,'Blocker log'!$G:$G,"Hard blocker",'Blocker log'!$L:$L,9))</f>
        <v>0</v>
      </c>
      <c r="P13" s="20">
        <f>IF($B13="","",MAXIFS('Blocker log'!$L:$L,'Blocker log'!$A:$A,$B13,'Blocker log'!$G:$G,"Hard blocker"))</f>
        <v>0</v>
      </c>
      <c r="Q13" s="20" t="str">
        <f>IF($B13="","",IF($K13&lt;&gt;"Complete","Assessment pending",IF($N13=0,"Ready now",VLOOKUP($P13,Lists!$D$2:$E$5,2,FALSE))))</f>
        <v>Assessment pending</v>
      </c>
      <c r="R13" s="24"/>
      <c r="S13" s="16"/>
      <c r="T13" s="16"/>
      <c r="U13" s="16"/>
    </row>
    <row r="14">
      <c r="A14" s="13" t="s">
        <v>179</v>
      </c>
      <c r="B14" s="13" t="s">
        <v>180</v>
      </c>
      <c r="C14" s="13" t="s">
        <v>76</v>
      </c>
      <c r="D14" s="13" t="s">
        <v>58</v>
      </c>
      <c r="E14" s="13" t="s">
        <v>181</v>
      </c>
      <c r="F14" s="13" t="s">
        <v>182</v>
      </c>
      <c r="G14" s="13" t="s">
        <v>61</v>
      </c>
      <c r="H14" s="14">
        <v>638281.0</v>
      </c>
      <c r="I14" s="15" t="s">
        <v>183</v>
      </c>
      <c r="J14" s="16"/>
      <c r="K14" s="18" t="s">
        <v>63</v>
      </c>
      <c r="L14" s="19">
        <v>46315.0</v>
      </c>
      <c r="M14" s="20">
        <f>IF($B14="","",COUNTIFS('Blocker log'!$A:$A,$B14,'Blocker log'!$G:$G,"&lt;&gt;"))</f>
        <v>0</v>
      </c>
      <c r="N14" s="20">
        <f>IF($B14="","",COUNTIFS('Blocker log'!$A:$A,$B14,'Blocker log'!$G:$G,"Hard blocker"))</f>
        <v>0</v>
      </c>
      <c r="O14" s="20">
        <f>IF($B14="","",COUNTIFS('Blocker log'!$A:$A,$B14,'Blocker log'!$G:$G,"Hard blocker",'Blocker log'!$L:$L,9))</f>
        <v>0</v>
      </c>
      <c r="P14" s="20">
        <f>IF($B14="","",MAXIFS('Blocker log'!$L:$L,'Blocker log'!$A:$A,$B14,'Blocker log'!$G:$G,"Hard blocker"))</f>
        <v>0</v>
      </c>
      <c r="Q14" s="20" t="str">
        <f>IF($B14="","",IF($K14&lt;&gt;"Complete","Assessment pending",IF($N14=0,"Ready now",VLOOKUP($P14,Lists!$D$2:$E$5,2,FALSE))))</f>
        <v>Ready now</v>
      </c>
      <c r="R14" s="24"/>
      <c r="S14" s="16"/>
      <c r="T14" s="16"/>
      <c r="U14" s="16"/>
    </row>
    <row r="15">
      <c r="A15" s="13" t="s">
        <v>188</v>
      </c>
      <c r="B15" s="13" t="s">
        <v>189</v>
      </c>
      <c r="C15" s="13" t="s">
        <v>76</v>
      </c>
      <c r="D15" s="13" t="s">
        <v>58</v>
      </c>
      <c r="E15" s="13" t="s">
        <v>181</v>
      </c>
      <c r="F15" s="13" t="s">
        <v>190</v>
      </c>
      <c r="G15" s="13" t="s">
        <v>61</v>
      </c>
      <c r="H15" s="25">
        <v>379749.0</v>
      </c>
      <c r="I15" s="15" t="s">
        <v>183</v>
      </c>
      <c r="J15" s="16"/>
      <c r="K15" s="18" t="s">
        <v>63</v>
      </c>
      <c r="L15" s="19">
        <v>46315.0</v>
      </c>
      <c r="M15" s="20">
        <f>IF($B15="","",COUNTIFS('Blocker log'!$A:$A,$B15,'Blocker log'!$G:$G,"&lt;&gt;"))</f>
        <v>0</v>
      </c>
      <c r="N15" s="20">
        <f>IF($B15="","",COUNTIFS('Blocker log'!$A:$A,$B15,'Blocker log'!$G:$G,"Hard blocker"))</f>
        <v>0</v>
      </c>
      <c r="O15" s="20">
        <f>IF($B15="","",COUNTIFS('Blocker log'!$A:$A,$B15,'Blocker log'!$G:$G,"Hard blocker",'Blocker log'!$L:$L,9))</f>
        <v>0</v>
      </c>
      <c r="P15" s="20">
        <f>IF($B15="","",MAXIFS('Blocker log'!$L:$L,'Blocker log'!$A:$A,$B15,'Blocker log'!$G:$G,"Hard blocker"))</f>
        <v>0</v>
      </c>
      <c r="Q15" s="20" t="str">
        <f>IF($B15="","",IF($K15&lt;&gt;"Complete","Assessment pending",IF($N15=0,"Ready now",VLOOKUP($P15,Lists!$D$2:$E$5,2,FALSE))))</f>
        <v>Ready now</v>
      </c>
      <c r="R15" s="24"/>
      <c r="S15" s="16"/>
      <c r="T15" s="16"/>
      <c r="U15" s="16"/>
    </row>
    <row r="16">
      <c r="A16" s="13" t="s">
        <v>198</v>
      </c>
      <c r="B16" s="13" t="s">
        <v>199</v>
      </c>
      <c r="C16" s="13" t="s">
        <v>76</v>
      </c>
      <c r="D16" s="13" t="s">
        <v>58</v>
      </c>
      <c r="E16" s="13" t="s">
        <v>140</v>
      </c>
      <c r="F16" s="13" t="s">
        <v>200</v>
      </c>
      <c r="G16" s="13" t="s">
        <v>61</v>
      </c>
      <c r="H16" s="25">
        <v>144767.0</v>
      </c>
      <c r="I16" s="15" t="s">
        <v>183</v>
      </c>
      <c r="J16" s="16"/>
      <c r="K16" s="18" t="s">
        <v>63</v>
      </c>
      <c r="L16" s="19">
        <v>46315.0</v>
      </c>
      <c r="M16" s="20">
        <f>IF($B16="","",COUNTIFS('Blocker log'!$A:$A,$B16,'Blocker log'!$G:$G,"&lt;&gt;"))</f>
        <v>0</v>
      </c>
      <c r="N16" s="20">
        <f>IF($B16="","",COUNTIFS('Blocker log'!$A:$A,$B16,'Blocker log'!$G:$G,"Hard blocker"))</f>
        <v>0</v>
      </c>
      <c r="O16" s="20">
        <f>IF($B16="","",COUNTIFS('Blocker log'!$A:$A,$B16,'Blocker log'!$G:$G,"Hard blocker",'Blocker log'!$L:$L,9))</f>
        <v>0</v>
      </c>
      <c r="P16" s="20">
        <f>IF($B16="","",MAXIFS('Blocker log'!$L:$L,'Blocker log'!$A:$A,$B16,'Blocker log'!$G:$G,"Hard blocker"))</f>
        <v>0</v>
      </c>
      <c r="Q16" s="20" t="str">
        <f>IF($B16="","",IF($K16&lt;&gt;"Complete","Assessment pending",IF($N16=0,"Ready now",VLOOKUP($P16,Lists!$D$2:$E$5,2,FALSE))))</f>
        <v>Ready now</v>
      </c>
      <c r="R16" s="24"/>
      <c r="S16" s="16"/>
      <c r="T16" s="16"/>
      <c r="U16" s="16"/>
    </row>
    <row r="17">
      <c r="A17" s="13" t="s">
        <v>203</v>
      </c>
      <c r="B17" s="13" t="s">
        <v>204</v>
      </c>
      <c r="C17" s="13" t="s">
        <v>57</v>
      </c>
      <c r="D17" s="13" t="s">
        <v>171</v>
      </c>
      <c r="E17" s="13" t="s">
        <v>205</v>
      </c>
      <c r="F17" s="13" t="s">
        <v>206</v>
      </c>
      <c r="G17" s="13" t="s">
        <v>61</v>
      </c>
      <c r="H17" s="14">
        <v>1602702.0</v>
      </c>
      <c r="I17" s="15" t="s">
        <v>207</v>
      </c>
      <c r="J17" s="16"/>
      <c r="K17" s="18" t="s">
        <v>78</v>
      </c>
      <c r="L17" s="24"/>
      <c r="M17" s="20">
        <f>IF($B17="","",COUNTIFS('Blocker log'!$A:$A,$B17,'Blocker log'!$G:$G,"&lt;&gt;"))</f>
        <v>0</v>
      </c>
      <c r="N17" s="20">
        <f>IF($B17="","",COUNTIFS('Blocker log'!$A:$A,$B17,'Blocker log'!$G:$G,"Hard blocker"))</f>
        <v>0</v>
      </c>
      <c r="O17" s="20">
        <f>IF($B17="","",COUNTIFS('Blocker log'!$A:$A,$B17,'Blocker log'!$G:$G,"Hard blocker",'Blocker log'!$L:$L,9))</f>
        <v>0</v>
      </c>
      <c r="P17" s="20">
        <f>IF($B17="","",MAXIFS('Blocker log'!$L:$L,'Blocker log'!$A:$A,$B17,'Blocker log'!$G:$G,"Hard blocker"))</f>
        <v>0</v>
      </c>
      <c r="Q17" s="20" t="str">
        <f>IF($B17="","",IF($K17&lt;&gt;"Complete","Assessment pending",IF($N17=0,"Ready now",VLOOKUP($P17,Lists!$D$2:$E$5,2,FALSE))))</f>
        <v>Assessment pending</v>
      </c>
      <c r="R17" s="24"/>
      <c r="S17" s="16"/>
      <c r="T17" s="16"/>
      <c r="U17" s="16"/>
    </row>
    <row r="18">
      <c r="A18" s="13" t="s">
        <v>211</v>
      </c>
      <c r="B18" s="13" t="s">
        <v>212</v>
      </c>
      <c r="C18" s="13" t="s">
        <v>57</v>
      </c>
      <c r="D18" s="13" t="s">
        <v>171</v>
      </c>
      <c r="E18" s="13" t="s">
        <v>205</v>
      </c>
      <c r="F18" s="13" t="s">
        <v>206</v>
      </c>
      <c r="G18" s="13" t="s">
        <v>61</v>
      </c>
      <c r="H18" s="14">
        <v>467026.0</v>
      </c>
      <c r="I18" s="15" t="s">
        <v>213</v>
      </c>
      <c r="J18" s="16"/>
      <c r="K18" s="18" t="s">
        <v>78</v>
      </c>
      <c r="L18" s="24"/>
      <c r="M18" s="20">
        <f>IF($B18="","",COUNTIFS('Blocker log'!$A:$A,$B18,'Blocker log'!$G:$G,"&lt;&gt;"))</f>
        <v>0</v>
      </c>
      <c r="N18" s="20">
        <f>IF($B18="","",COUNTIFS('Blocker log'!$A:$A,$B18,'Blocker log'!$G:$G,"Hard blocker"))</f>
        <v>0</v>
      </c>
      <c r="O18" s="20">
        <f>IF($B18="","",COUNTIFS('Blocker log'!$A:$A,$B18,'Blocker log'!$G:$G,"Hard blocker",'Blocker log'!$L:$L,9))</f>
        <v>0</v>
      </c>
      <c r="P18" s="20">
        <f>IF($B18="","",MAXIFS('Blocker log'!$L:$L,'Blocker log'!$A:$A,$B18,'Blocker log'!$G:$G,"Hard blocker"))</f>
        <v>0</v>
      </c>
      <c r="Q18" s="20" t="str">
        <f>IF($B18="","",IF($K18&lt;&gt;"Complete","Assessment pending",IF($N18=0,"Ready now",VLOOKUP($P18,Lists!$D$2:$E$5,2,FALSE))))</f>
        <v>Assessment pending</v>
      </c>
      <c r="R18" s="24"/>
      <c r="S18" s="16"/>
      <c r="T18" s="16"/>
      <c r="U18" s="16"/>
    </row>
    <row r="19">
      <c r="A19" s="13" t="s">
        <v>215</v>
      </c>
      <c r="B19" s="13" t="s">
        <v>216</v>
      </c>
      <c r="C19" s="13" t="s">
        <v>57</v>
      </c>
      <c r="D19" s="13" t="s">
        <v>58</v>
      </c>
      <c r="E19" s="13" t="s">
        <v>181</v>
      </c>
      <c r="F19" s="13" t="s">
        <v>217</v>
      </c>
      <c r="G19" s="13" t="s">
        <v>61</v>
      </c>
      <c r="H19" s="14">
        <v>1751558.0</v>
      </c>
      <c r="I19" s="15" t="s">
        <v>218</v>
      </c>
      <c r="J19" s="16"/>
      <c r="K19" s="18" t="s">
        <v>78</v>
      </c>
      <c r="L19" s="24"/>
      <c r="M19" s="20">
        <f>IF($B19="","",COUNTIFS('Blocker log'!$A:$A,$B19,'Blocker log'!$G:$G,"&lt;&gt;"))</f>
        <v>0</v>
      </c>
      <c r="N19" s="20">
        <f>IF($B19="","",COUNTIFS('Blocker log'!$A:$A,$B19,'Blocker log'!$G:$G,"Hard blocker"))</f>
        <v>0</v>
      </c>
      <c r="O19" s="20">
        <f>IF($B19="","",COUNTIFS('Blocker log'!$A:$A,$B19,'Blocker log'!$G:$G,"Hard blocker",'Blocker log'!$L:$L,9))</f>
        <v>0</v>
      </c>
      <c r="P19" s="20">
        <f>IF($B19="","",MAXIFS('Blocker log'!$L:$L,'Blocker log'!$A:$A,$B19,'Blocker log'!$G:$G,"Hard blocker"))</f>
        <v>0</v>
      </c>
      <c r="Q19" s="20" t="str">
        <f>IF($B19="","",IF($K19&lt;&gt;"Complete","Assessment pending",IF($N19=0,"Ready now",VLOOKUP($P19,Lists!$D$2:$E$5,2,FALSE))))</f>
        <v>Assessment pending</v>
      </c>
      <c r="R19" s="24"/>
      <c r="S19" s="16"/>
      <c r="T19" s="16"/>
      <c r="U19" s="16"/>
    </row>
    <row r="20">
      <c r="A20" s="13" t="s">
        <v>223</v>
      </c>
      <c r="B20" s="13" t="s">
        <v>224</v>
      </c>
      <c r="C20" s="13" t="s">
        <v>57</v>
      </c>
      <c r="D20" s="13" t="s">
        <v>58</v>
      </c>
      <c r="E20" s="13" t="s">
        <v>59</v>
      </c>
      <c r="F20" s="13" t="s">
        <v>225</v>
      </c>
      <c r="G20" s="13" t="s">
        <v>61</v>
      </c>
      <c r="H20" s="14">
        <v>1247274.0</v>
      </c>
      <c r="I20" s="15"/>
      <c r="J20" s="16"/>
      <c r="K20" s="16"/>
      <c r="L20" s="24"/>
      <c r="M20" s="20">
        <f>IF($B20="","",COUNTIFS('Blocker log'!$A:$A,$B20,'Blocker log'!$G:$G,"&lt;&gt;"))</f>
        <v>0</v>
      </c>
      <c r="N20" s="20">
        <f>IF($B20="","",COUNTIFS('Blocker log'!$A:$A,$B20,'Blocker log'!$G:$G,"Hard blocker"))</f>
        <v>0</v>
      </c>
      <c r="O20" s="20">
        <f>IF($B20="","",COUNTIFS('Blocker log'!$A:$A,$B20,'Blocker log'!$G:$G,"Hard blocker",'Blocker log'!$L:$L,9))</f>
        <v>0</v>
      </c>
      <c r="P20" s="20">
        <f>IF($B20="","",MAXIFS('Blocker log'!$L:$L,'Blocker log'!$A:$A,$B20,'Blocker log'!$G:$G,"Hard blocker"))</f>
        <v>0</v>
      </c>
      <c r="Q20" s="20" t="str">
        <f>IF($B20="","",IF($K20&lt;&gt;"Complete","Assessment pending",IF($N20=0,"Ready now",VLOOKUP($P20,Lists!$D$2:$E$5,2,FALSE))))</f>
        <v>Assessment pending</v>
      </c>
      <c r="R20" s="24"/>
      <c r="S20" s="16"/>
      <c r="T20" s="16"/>
      <c r="U20" s="16"/>
    </row>
    <row r="21" ht="15.75" customHeight="1">
      <c r="A21" s="13" t="s">
        <v>231</v>
      </c>
      <c r="B21" s="13" t="s">
        <v>232</v>
      </c>
      <c r="C21" s="13" t="s">
        <v>76</v>
      </c>
      <c r="D21" s="13" t="s">
        <v>58</v>
      </c>
      <c r="E21" s="13" t="s">
        <v>140</v>
      </c>
      <c r="F21" s="13" t="s">
        <v>200</v>
      </c>
      <c r="G21" s="13" t="s">
        <v>61</v>
      </c>
      <c r="H21" s="25">
        <v>190663.0</v>
      </c>
      <c r="I21" s="15" t="s">
        <v>218</v>
      </c>
      <c r="J21" s="16"/>
      <c r="K21" s="18" t="s">
        <v>78</v>
      </c>
      <c r="L21" s="24"/>
      <c r="M21" s="20">
        <f>IF($B21="","",COUNTIFS('Blocker log'!$A:$A,$B21,'Blocker log'!$G:$G,"&lt;&gt;"))</f>
        <v>0</v>
      </c>
      <c r="N21" s="20">
        <f>IF($B21="","",COUNTIFS('Blocker log'!$A:$A,$B21,'Blocker log'!$G:$G,"Hard blocker"))</f>
        <v>0</v>
      </c>
      <c r="O21" s="20">
        <f>IF($B21="","",COUNTIFS('Blocker log'!$A:$A,$B21,'Blocker log'!$G:$G,"Hard blocker",'Blocker log'!$L:$L,9))</f>
        <v>0</v>
      </c>
      <c r="P21" s="20">
        <f>IF($B21="","",MAXIFS('Blocker log'!$L:$L,'Blocker log'!$A:$A,$B21,'Blocker log'!$G:$G,"Hard blocker"))</f>
        <v>0</v>
      </c>
      <c r="Q21" s="20" t="str">
        <f>IF($B21="","",IF($K21&lt;&gt;"Complete","Assessment pending",IF($N21=0,"Ready now",VLOOKUP($P21,Lists!$D$2:$E$5,2,FALSE))))</f>
        <v>Assessment pending</v>
      </c>
      <c r="R21" s="24"/>
      <c r="S21" s="16"/>
      <c r="T21" s="16"/>
      <c r="U21" s="16"/>
    </row>
    <row r="22" ht="15.75" customHeight="1">
      <c r="A22" s="10" t="s">
        <v>236</v>
      </c>
      <c r="B22" s="10" t="s">
        <v>237</v>
      </c>
      <c r="C22" s="10" t="s">
        <v>76</v>
      </c>
      <c r="D22" s="10" t="s">
        <v>58</v>
      </c>
      <c r="E22" s="10" t="s">
        <v>181</v>
      </c>
      <c r="F22" s="10" t="s">
        <v>190</v>
      </c>
      <c r="G22" s="13" t="s">
        <v>61</v>
      </c>
      <c r="H22" s="25">
        <v>137721.0</v>
      </c>
      <c r="I22" s="15" t="s">
        <v>218</v>
      </c>
      <c r="J22" s="16"/>
      <c r="K22" s="18" t="s">
        <v>78</v>
      </c>
      <c r="L22" s="24"/>
      <c r="M22" s="20">
        <f>IF($B22="","",COUNTIFS('Blocker log'!$A:$A,$B22,'Blocker log'!$G:$G,"&lt;&gt;"))</f>
        <v>0</v>
      </c>
      <c r="N22" s="20">
        <f>IF($B22="","",COUNTIFS('Blocker log'!$A:$A,$B22,'Blocker log'!$G:$G,"Hard blocker"))</f>
        <v>0</v>
      </c>
      <c r="O22" s="20">
        <f>IF($B22="","",COUNTIFS('Blocker log'!$A:$A,$B22,'Blocker log'!$G:$G,"Hard blocker",'Blocker log'!$L:$L,9))</f>
        <v>0</v>
      </c>
      <c r="P22" s="20">
        <f>IF($B22="","",MAXIFS('Blocker log'!$L:$L,'Blocker log'!$A:$A,$B22,'Blocker log'!$G:$G,"Hard blocker"))</f>
        <v>0</v>
      </c>
      <c r="Q22" s="20" t="str">
        <f>IF($B22="","",IF($K22&lt;&gt;"Complete","Assessment pending",IF($N22=0,"Ready now",VLOOKUP($P22,Lists!$D$2:$E$5,2,FALSE))))</f>
        <v>Assessment pending</v>
      </c>
      <c r="R22" s="24"/>
      <c r="S22" s="16"/>
      <c r="T22" s="16"/>
      <c r="U22" s="16"/>
    </row>
    <row r="23" ht="15.75" customHeight="1">
      <c r="A23" s="10" t="s">
        <v>244</v>
      </c>
      <c r="B23" s="10" t="s">
        <v>245</v>
      </c>
      <c r="C23" s="10" t="s">
        <v>76</v>
      </c>
      <c r="D23" s="10" t="s">
        <v>58</v>
      </c>
      <c r="E23" s="10" t="s">
        <v>140</v>
      </c>
      <c r="F23" s="10" t="s">
        <v>246</v>
      </c>
      <c r="G23" s="13" t="s">
        <v>61</v>
      </c>
      <c r="H23" s="25">
        <v>161409.0</v>
      </c>
      <c r="I23" s="15" t="s">
        <v>218</v>
      </c>
      <c r="J23" s="16"/>
      <c r="K23" s="18" t="s">
        <v>78</v>
      </c>
      <c r="L23" s="24"/>
      <c r="M23" s="20">
        <f>IF($B23="","",COUNTIFS('Blocker log'!$A:$A,$B23,'Blocker log'!$G:$G,"&lt;&gt;"))</f>
        <v>0</v>
      </c>
      <c r="N23" s="20">
        <f>IF($B23="","",COUNTIFS('Blocker log'!$A:$A,$B23,'Blocker log'!$G:$G,"Hard blocker"))</f>
        <v>0</v>
      </c>
      <c r="O23" s="20">
        <f>IF($B23="","",COUNTIFS('Blocker log'!$A:$A,$B23,'Blocker log'!$G:$G,"Hard blocker",'Blocker log'!$L:$L,9))</f>
        <v>0</v>
      </c>
      <c r="P23" s="20">
        <f>IF($B23="","",MAXIFS('Blocker log'!$L:$L,'Blocker log'!$A:$A,$B23,'Blocker log'!$G:$G,"Hard blocker"))</f>
        <v>0</v>
      </c>
      <c r="Q23" s="20" t="str">
        <f>IF($B23="","",IF($K23&lt;&gt;"Complete","Assessment pending",IF($N23=0,"Ready now",VLOOKUP($P23,Lists!$D$2:$E$5,2,FALSE))))</f>
        <v>Assessment pending</v>
      </c>
      <c r="R23" s="24"/>
      <c r="S23" s="16"/>
      <c r="T23" s="16"/>
      <c r="U23" s="16"/>
    </row>
    <row r="24" ht="15.75" customHeight="1">
      <c r="A24" s="10" t="s">
        <v>253</v>
      </c>
      <c r="B24" s="10" t="s">
        <v>254</v>
      </c>
      <c r="C24" s="10" t="s">
        <v>76</v>
      </c>
      <c r="D24" s="10" t="s">
        <v>58</v>
      </c>
      <c r="E24" s="10" t="s">
        <v>181</v>
      </c>
      <c r="F24" s="10" t="s">
        <v>217</v>
      </c>
      <c r="G24" s="13" t="s">
        <v>61</v>
      </c>
      <c r="H24" s="25">
        <v>148120.0</v>
      </c>
      <c r="I24" s="15" t="s">
        <v>218</v>
      </c>
      <c r="J24" s="16"/>
      <c r="K24" s="18" t="s">
        <v>78</v>
      </c>
      <c r="L24" s="24"/>
      <c r="M24" s="20">
        <f>IF($B24="","",COUNTIFS('Blocker log'!$A:$A,$B24,'Blocker log'!$G:$G,"&lt;&gt;"))</f>
        <v>0</v>
      </c>
      <c r="N24" s="20">
        <f>IF($B24="","",COUNTIFS('Blocker log'!$A:$A,$B24,'Blocker log'!$G:$G,"Hard blocker"))</f>
        <v>0</v>
      </c>
      <c r="O24" s="20">
        <f>IF($B24="","",COUNTIFS('Blocker log'!$A:$A,$B24,'Blocker log'!$G:$G,"Hard blocker",'Blocker log'!$L:$L,9))</f>
        <v>0</v>
      </c>
      <c r="P24" s="20">
        <f>IF($B24="","",MAXIFS('Blocker log'!$L:$L,'Blocker log'!$A:$A,$B24,'Blocker log'!$G:$G,"Hard blocker"))</f>
        <v>0</v>
      </c>
      <c r="Q24" s="20" t="str">
        <f>IF($B24="","",IF($K24&lt;&gt;"Complete","Assessment pending",IF($N24=0,"Ready now",VLOOKUP($P24,Lists!$D$2:$E$5,2,FALSE))))</f>
        <v>Assessment pending</v>
      </c>
      <c r="R24" s="24"/>
      <c r="S24" s="16"/>
      <c r="T24" s="16"/>
      <c r="U24" s="16"/>
    </row>
    <row r="25" ht="15.75" customHeight="1">
      <c r="A25" s="13" t="s">
        <v>258</v>
      </c>
      <c r="B25" s="13" t="s">
        <v>259</v>
      </c>
      <c r="C25" s="13" t="s">
        <v>57</v>
      </c>
      <c r="D25" s="13" t="s">
        <v>260</v>
      </c>
      <c r="E25" s="13" t="s">
        <v>261</v>
      </c>
      <c r="F25" s="13" t="s">
        <v>261</v>
      </c>
      <c r="G25" s="13" t="s">
        <v>61</v>
      </c>
      <c r="H25" s="14">
        <v>755874.0</v>
      </c>
      <c r="I25" s="15" t="s">
        <v>262</v>
      </c>
      <c r="J25" s="16"/>
      <c r="K25" s="18" t="s">
        <v>78</v>
      </c>
      <c r="L25" s="24"/>
      <c r="M25" s="20">
        <f>IF($B25="","",COUNTIFS('Blocker log'!$A:$A,$B25,'Blocker log'!$G:$G,"&lt;&gt;"))</f>
        <v>0</v>
      </c>
      <c r="N25" s="20">
        <f>IF($B25="","",COUNTIFS('Blocker log'!$A:$A,$B25,'Blocker log'!$G:$G,"Hard blocker"))</f>
        <v>0</v>
      </c>
      <c r="O25" s="20">
        <f>IF($B25="","",COUNTIFS('Blocker log'!$A:$A,$B25,'Blocker log'!$G:$G,"Hard blocker",'Blocker log'!$L:$L,9))</f>
        <v>0</v>
      </c>
      <c r="P25" s="20">
        <f>IF($B25="","",MAXIFS('Blocker log'!$L:$L,'Blocker log'!$A:$A,$B25,'Blocker log'!$G:$G,"Hard blocker"))</f>
        <v>0</v>
      </c>
      <c r="Q25" s="20" t="str">
        <f>IF($B25="","",IF($K25&lt;&gt;"Complete","Assessment pending",IF($N25=0,"Ready now",VLOOKUP($P25,Lists!$D$2:$E$5,2,FALSE))))</f>
        <v>Assessment pending</v>
      </c>
      <c r="R25" s="24"/>
      <c r="S25" s="16"/>
      <c r="T25" s="16"/>
      <c r="U25" s="16"/>
    </row>
    <row r="26" ht="15.75" customHeight="1">
      <c r="A26" s="13" t="s">
        <v>266</v>
      </c>
      <c r="B26" s="13" t="s">
        <v>267</v>
      </c>
      <c r="C26" s="13" t="s">
        <v>57</v>
      </c>
      <c r="D26" s="13" t="s">
        <v>58</v>
      </c>
      <c r="E26" s="13" t="s">
        <v>140</v>
      </c>
      <c r="F26" s="13" t="s">
        <v>141</v>
      </c>
      <c r="G26" s="13" t="s">
        <v>61</v>
      </c>
      <c r="H26" s="14">
        <v>1.3604812E7</v>
      </c>
      <c r="I26" s="15" t="s">
        <v>269</v>
      </c>
      <c r="J26" s="16"/>
      <c r="K26" s="18" t="s">
        <v>78</v>
      </c>
      <c r="L26" s="24"/>
      <c r="M26" s="20">
        <f>IF($B26="","",COUNTIFS('Blocker log'!$A:$A,$B26,'Blocker log'!$G:$G,"&lt;&gt;"))</f>
        <v>0</v>
      </c>
      <c r="N26" s="20">
        <f>IF($B26="","",COUNTIFS('Blocker log'!$A:$A,$B26,'Blocker log'!$G:$G,"Hard blocker"))</f>
        <v>0</v>
      </c>
      <c r="O26" s="20">
        <f>IF($B26="","",COUNTIFS('Blocker log'!$A:$A,$B26,'Blocker log'!$G:$G,"Hard blocker",'Blocker log'!$L:$L,9))</f>
        <v>0</v>
      </c>
      <c r="P26" s="20">
        <f>IF($B26="","",MAXIFS('Blocker log'!$L:$L,'Blocker log'!$A:$A,$B26,'Blocker log'!$G:$G,"Hard blocker"))</f>
        <v>0</v>
      </c>
      <c r="Q26" s="20" t="str">
        <f>IF($B26="","",IF($K26&lt;&gt;"Complete","Assessment pending",IF($N26=0,"Ready now",VLOOKUP($P26,Lists!$D$2:$E$5,2,FALSE))))</f>
        <v>Assessment pending</v>
      </c>
      <c r="R26" s="24"/>
      <c r="S26" s="16"/>
      <c r="T26" s="16"/>
      <c r="U26" s="16"/>
    </row>
    <row r="27" ht="15.75" customHeight="1">
      <c r="A27" s="13" t="s">
        <v>276</v>
      </c>
      <c r="B27" s="13" t="s">
        <v>277</v>
      </c>
      <c r="C27" s="13" t="s">
        <v>57</v>
      </c>
      <c r="D27" s="13" t="s">
        <v>58</v>
      </c>
      <c r="E27" s="13" t="s">
        <v>59</v>
      </c>
      <c r="F27" s="13" t="s">
        <v>278</v>
      </c>
      <c r="G27" s="13" t="s">
        <v>61</v>
      </c>
      <c r="H27" s="14">
        <v>1159779.0</v>
      </c>
      <c r="I27" s="15" t="s">
        <v>269</v>
      </c>
      <c r="J27" s="16"/>
      <c r="K27" s="18" t="s">
        <v>78</v>
      </c>
      <c r="L27" s="24"/>
      <c r="M27" s="20">
        <f>IF($B27="","",COUNTIFS('Blocker log'!$A:$A,$B27,'Blocker log'!$G:$G,"&lt;&gt;"))</f>
        <v>0</v>
      </c>
      <c r="N27" s="20">
        <f>IF($B27="","",COUNTIFS('Blocker log'!$A:$A,$B27,'Blocker log'!$G:$G,"Hard blocker"))</f>
        <v>0</v>
      </c>
      <c r="O27" s="20">
        <f>IF($B27="","",COUNTIFS('Blocker log'!$A:$A,$B27,'Blocker log'!$G:$G,"Hard blocker",'Blocker log'!$L:$L,9))</f>
        <v>0</v>
      </c>
      <c r="P27" s="20">
        <f>IF($B27="","",MAXIFS('Blocker log'!$L:$L,'Blocker log'!$A:$A,$B27,'Blocker log'!$G:$G,"Hard blocker"))</f>
        <v>0</v>
      </c>
      <c r="Q27" s="20" t="str">
        <f>IF($B27="","",IF($K27&lt;&gt;"Complete","Assessment pending",IF($N27=0,"Ready now",VLOOKUP($P27,Lists!$D$2:$E$5,2,FALSE))))</f>
        <v>Assessment pending</v>
      </c>
      <c r="R27" s="24"/>
      <c r="S27" s="16"/>
      <c r="T27" s="16"/>
      <c r="U27" s="16"/>
    </row>
    <row r="28" ht="15.75" customHeight="1">
      <c r="A28" s="13" t="s">
        <v>282</v>
      </c>
      <c r="B28" s="13" t="s">
        <v>283</v>
      </c>
      <c r="C28" s="13" t="s">
        <v>57</v>
      </c>
      <c r="D28" s="13" t="s">
        <v>58</v>
      </c>
      <c r="E28" s="13" t="s">
        <v>59</v>
      </c>
      <c r="F28" s="13" t="s">
        <v>77</v>
      </c>
      <c r="G28" s="13" t="s">
        <v>61</v>
      </c>
      <c r="H28" s="14">
        <v>773.0</v>
      </c>
      <c r="I28" s="15" t="s">
        <v>269</v>
      </c>
      <c r="J28" s="16"/>
      <c r="K28" s="18" t="s">
        <v>78</v>
      </c>
      <c r="L28" s="24"/>
      <c r="M28" s="20">
        <f>IF($B28="","",COUNTIFS('Blocker log'!$A:$A,$B28,'Blocker log'!$G:$G,"&lt;&gt;"))</f>
        <v>0</v>
      </c>
      <c r="N28" s="20">
        <f>IF($B28="","",COUNTIFS('Blocker log'!$A:$A,$B28,'Blocker log'!$G:$G,"Hard blocker"))</f>
        <v>0</v>
      </c>
      <c r="O28" s="20">
        <f>IF($B28="","",COUNTIFS('Blocker log'!$A:$A,$B28,'Blocker log'!$G:$G,"Hard blocker",'Blocker log'!$L:$L,9))</f>
        <v>0</v>
      </c>
      <c r="P28" s="20">
        <f>IF($B28="","",MAXIFS('Blocker log'!$L:$L,'Blocker log'!$A:$A,$B28,'Blocker log'!$G:$G,"Hard blocker"))</f>
        <v>0</v>
      </c>
      <c r="Q28" s="20" t="str">
        <f>IF($B28="","",IF($K28&lt;&gt;"Complete","Assessment pending",IF($N28=0,"Ready now",VLOOKUP($P28,Lists!$D$2:$E$5,2,FALSE))))</f>
        <v>Assessment pending</v>
      </c>
      <c r="R28" s="24"/>
      <c r="S28" s="16"/>
      <c r="T28" s="16"/>
      <c r="U28" s="16"/>
    </row>
    <row r="29" ht="15.75" customHeight="1">
      <c r="A29" s="13" t="s">
        <v>287</v>
      </c>
      <c r="B29" s="13" t="s">
        <v>288</v>
      </c>
      <c r="C29" s="13" t="s">
        <v>76</v>
      </c>
      <c r="D29" s="13" t="s">
        <v>58</v>
      </c>
      <c r="E29" s="13" t="s">
        <v>59</v>
      </c>
      <c r="F29" s="13" t="s">
        <v>225</v>
      </c>
      <c r="G29" s="13" t="s">
        <v>61</v>
      </c>
      <c r="H29" s="25">
        <v>191798.0</v>
      </c>
      <c r="I29" s="15" t="s">
        <v>269</v>
      </c>
      <c r="J29" s="16"/>
      <c r="K29" s="18" t="s">
        <v>78</v>
      </c>
      <c r="L29" s="24"/>
      <c r="M29" s="20">
        <f>IF($B29="","",COUNTIFS('Blocker log'!$A:$A,$B29,'Blocker log'!$G:$G,"&lt;&gt;"))</f>
        <v>0</v>
      </c>
      <c r="N29" s="20">
        <f>IF($B29="","",COUNTIFS('Blocker log'!$A:$A,$B29,'Blocker log'!$G:$G,"Hard blocker"))</f>
        <v>0</v>
      </c>
      <c r="O29" s="20">
        <f>IF($B29="","",COUNTIFS('Blocker log'!$A:$A,$B29,'Blocker log'!$G:$G,"Hard blocker",'Blocker log'!$L:$L,9))</f>
        <v>0</v>
      </c>
      <c r="P29" s="20">
        <f>IF($B29="","",MAXIFS('Blocker log'!$L:$L,'Blocker log'!$A:$A,$B29,'Blocker log'!$G:$G,"Hard blocker"))</f>
        <v>0</v>
      </c>
      <c r="Q29" s="20" t="str">
        <f>IF($B29="","",IF($K29&lt;&gt;"Complete","Assessment pending",IF($N29=0,"Ready now",VLOOKUP($P29,Lists!$D$2:$E$5,2,FALSE))))</f>
        <v>Assessment pending</v>
      </c>
      <c r="R29" s="24"/>
      <c r="S29" s="16"/>
      <c r="T29" s="16"/>
      <c r="U29" s="16"/>
    </row>
    <row r="30" ht="15.75" customHeight="1">
      <c r="A30" s="10" t="s">
        <v>305</v>
      </c>
      <c r="B30" s="10" t="s">
        <v>306</v>
      </c>
      <c r="C30" s="10" t="s">
        <v>76</v>
      </c>
      <c r="D30" s="10" t="s">
        <v>58</v>
      </c>
      <c r="E30" s="10" t="s">
        <v>59</v>
      </c>
      <c r="F30" s="10" t="s">
        <v>77</v>
      </c>
      <c r="G30" s="13" t="s">
        <v>61</v>
      </c>
      <c r="H30" s="37"/>
      <c r="I30" s="15" t="s">
        <v>269</v>
      </c>
      <c r="J30" s="16"/>
      <c r="K30" s="18" t="s">
        <v>78</v>
      </c>
      <c r="L30" s="24"/>
      <c r="M30" s="20">
        <f>IF($B30="","",COUNTIFS('Blocker log'!$A:$A,$B30,'Blocker log'!$G:$G,"&lt;&gt;"))</f>
        <v>0</v>
      </c>
      <c r="N30" s="20">
        <f>IF($B30="","",COUNTIFS('Blocker log'!$A:$A,$B30,'Blocker log'!$G:$G,"Hard blocker"))</f>
        <v>0</v>
      </c>
      <c r="O30" s="20">
        <f>IF($B30="","",COUNTIFS('Blocker log'!$A:$A,$B30,'Blocker log'!$G:$G,"Hard blocker",'Blocker log'!$L:$L,9))</f>
        <v>0</v>
      </c>
      <c r="P30" s="20">
        <f>IF($B30="","",MAXIFS('Blocker log'!$L:$L,'Blocker log'!$A:$A,$B30,'Blocker log'!$G:$G,"Hard blocker"))</f>
        <v>0</v>
      </c>
      <c r="Q30" s="20" t="str">
        <f>IF($B30="","",IF($K30&lt;&gt;"Complete","Assessment pending",IF($N30=0,"Ready now",VLOOKUP($P30,Lists!$D$2:$E$5,2,FALSE))))</f>
        <v>Assessment pending</v>
      </c>
      <c r="R30" s="24"/>
      <c r="S30" s="16"/>
      <c r="T30" s="16"/>
      <c r="U30" s="16"/>
    </row>
    <row r="31" ht="15.75" customHeight="1">
      <c r="A31" s="13" t="s">
        <v>316</v>
      </c>
      <c r="B31" s="13" t="s">
        <v>317</v>
      </c>
      <c r="C31" s="13" t="s">
        <v>57</v>
      </c>
      <c r="D31" s="13" t="s">
        <v>58</v>
      </c>
      <c r="E31" s="13" t="s">
        <v>59</v>
      </c>
      <c r="F31" s="13" t="s">
        <v>60</v>
      </c>
      <c r="G31" s="13" t="s">
        <v>61</v>
      </c>
      <c r="H31" s="14">
        <v>55880.0</v>
      </c>
      <c r="I31" s="15" t="s">
        <v>318</v>
      </c>
      <c r="J31" s="16"/>
      <c r="K31" s="18" t="s">
        <v>78</v>
      </c>
      <c r="L31" s="24"/>
      <c r="M31" s="20">
        <f>IF($B31="","",COUNTIFS('Blocker log'!$A:$A,$B31,'Blocker log'!$G:$G,"&lt;&gt;"))</f>
        <v>0</v>
      </c>
      <c r="N31" s="20">
        <f>IF($B31="","",COUNTIFS('Blocker log'!$A:$A,$B31,'Blocker log'!$G:$G,"Hard blocker"))</f>
        <v>0</v>
      </c>
      <c r="O31" s="20">
        <f>IF($B31="","",COUNTIFS('Blocker log'!$A:$A,$B31,'Blocker log'!$G:$G,"Hard blocker",'Blocker log'!$L:$L,9))</f>
        <v>0</v>
      </c>
      <c r="P31" s="20">
        <f>IF($B31="","",MAXIFS('Blocker log'!$L:$L,'Blocker log'!$A:$A,$B31,'Blocker log'!$G:$G,"Hard blocker"))</f>
        <v>0</v>
      </c>
      <c r="Q31" s="20" t="str">
        <f>IF($B31="","",IF($K31&lt;&gt;"Complete","Assessment pending",IF($N31=0,"Ready now",VLOOKUP($P31,Lists!$D$2:$E$5,2,FALSE))))</f>
        <v>Assessment pending</v>
      </c>
      <c r="R31" s="24"/>
      <c r="S31" s="16"/>
      <c r="T31" s="16"/>
      <c r="U31" s="16"/>
    </row>
    <row r="32" ht="15.75" customHeight="1">
      <c r="A32" s="13" t="s">
        <v>325</v>
      </c>
      <c r="B32" s="13" t="s">
        <v>326</v>
      </c>
      <c r="C32" s="13" t="s">
        <v>57</v>
      </c>
      <c r="D32" s="13" t="s">
        <v>58</v>
      </c>
      <c r="E32" s="13" t="s">
        <v>59</v>
      </c>
      <c r="F32" s="13" t="s">
        <v>225</v>
      </c>
      <c r="G32" s="13" t="s">
        <v>61</v>
      </c>
      <c r="H32" s="14">
        <v>807516.0</v>
      </c>
      <c r="I32" s="15" t="s">
        <v>318</v>
      </c>
      <c r="J32" s="16"/>
      <c r="K32" s="18" t="s">
        <v>78</v>
      </c>
      <c r="L32" s="24"/>
      <c r="M32" s="20">
        <f>IF($B32="","",COUNTIFS('Blocker log'!$A:$A,$B32,'Blocker log'!$G:$G,"&lt;&gt;"))</f>
        <v>0</v>
      </c>
      <c r="N32" s="20">
        <f>IF($B32="","",COUNTIFS('Blocker log'!$A:$A,$B32,'Blocker log'!$G:$G,"Hard blocker"))</f>
        <v>0</v>
      </c>
      <c r="O32" s="20">
        <f>IF($B32="","",COUNTIFS('Blocker log'!$A:$A,$B32,'Blocker log'!$G:$G,"Hard blocker",'Blocker log'!$L:$L,9))</f>
        <v>0</v>
      </c>
      <c r="P32" s="20">
        <f>IF($B32="","",MAXIFS('Blocker log'!$L:$L,'Blocker log'!$A:$A,$B32,'Blocker log'!$G:$G,"Hard blocker"))</f>
        <v>0</v>
      </c>
      <c r="Q32" s="20" t="str">
        <f>IF($B32="","",IF($K32&lt;&gt;"Complete","Assessment pending",IF($N32=0,"Ready now",VLOOKUP($P32,Lists!$D$2:$E$5,2,FALSE))))</f>
        <v>Assessment pending</v>
      </c>
      <c r="R32" s="24"/>
      <c r="S32" s="16"/>
      <c r="T32" s="16"/>
      <c r="U32" s="16"/>
    </row>
    <row r="33" ht="15.75" customHeight="1">
      <c r="A33" s="13" t="s">
        <v>332</v>
      </c>
      <c r="B33" s="13" t="s">
        <v>333</v>
      </c>
      <c r="C33" s="13" t="s">
        <v>76</v>
      </c>
      <c r="D33" s="13" t="s">
        <v>58</v>
      </c>
      <c r="E33" s="13" t="s">
        <v>101</v>
      </c>
      <c r="F33" s="13" t="s">
        <v>102</v>
      </c>
      <c r="G33" s="13" t="s">
        <v>61</v>
      </c>
      <c r="H33" s="14">
        <v>63515.0</v>
      </c>
      <c r="I33" s="15" t="s">
        <v>318</v>
      </c>
      <c r="J33" s="16"/>
      <c r="K33" s="18" t="s">
        <v>78</v>
      </c>
      <c r="L33" s="24"/>
      <c r="M33" s="20">
        <f>IF($B33="","",COUNTIFS('Blocker log'!$A:$A,$B33,'Blocker log'!$G:$G,"&lt;&gt;"))</f>
        <v>0</v>
      </c>
      <c r="N33" s="20">
        <f>IF($B33="","",COUNTIFS('Blocker log'!$A:$A,$B33,'Blocker log'!$G:$G,"Hard blocker"))</f>
        <v>0</v>
      </c>
      <c r="O33" s="20">
        <f>IF($B33="","",COUNTIFS('Blocker log'!$A:$A,$B33,'Blocker log'!$G:$G,"Hard blocker",'Blocker log'!$L:$L,9))</f>
        <v>0</v>
      </c>
      <c r="P33" s="20">
        <f>IF($B33="","",MAXIFS('Blocker log'!$L:$L,'Blocker log'!$A:$A,$B33,'Blocker log'!$G:$G,"Hard blocker"))</f>
        <v>0</v>
      </c>
      <c r="Q33" s="20" t="str">
        <f>IF($B33="","",IF($K33&lt;&gt;"Complete","Assessment pending",IF($N33=0,"Ready now",VLOOKUP($P33,Lists!$D$2:$E$5,2,FALSE))))</f>
        <v>Assessment pending</v>
      </c>
      <c r="R33" s="24"/>
      <c r="S33" s="16"/>
      <c r="T33" s="16"/>
      <c r="U33" s="16"/>
    </row>
    <row r="34" ht="15.75" customHeight="1">
      <c r="A34" s="13" t="s">
        <v>337</v>
      </c>
      <c r="B34" s="13" t="s">
        <v>338</v>
      </c>
      <c r="C34" s="13" t="s">
        <v>76</v>
      </c>
      <c r="D34" s="13" t="s">
        <v>58</v>
      </c>
      <c r="E34" s="13" t="s">
        <v>140</v>
      </c>
      <c r="F34" s="13" t="s">
        <v>246</v>
      </c>
      <c r="G34" s="13" t="s">
        <v>61</v>
      </c>
      <c r="H34" s="25">
        <v>223497.0</v>
      </c>
      <c r="I34" s="15" t="s">
        <v>318</v>
      </c>
      <c r="J34" s="16"/>
      <c r="K34" s="18" t="s">
        <v>78</v>
      </c>
      <c r="L34" s="24"/>
      <c r="M34" s="20">
        <f>IF($B34="","",COUNTIFS('Blocker log'!$A:$A,$B34,'Blocker log'!$G:$G,"&lt;&gt;"))</f>
        <v>0</v>
      </c>
      <c r="N34" s="20">
        <f>IF($B34="","",COUNTIFS('Blocker log'!$A:$A,$B34,'Blocker log'!$G:$G,"Hard blocker"))</f>
        <v>0</v>
      </c>
      <c r="O34" s="20">
        <f>IF($B34="","",COUNTIFS('Blocker log'!$A:$A,$B34,'Blocker log'!$G:$G,"Hard blocker",'Blocker log'!$L:$L,9))</f>
        <v>0</v>
      </c>
      <c r="P34" s="20">
        <f>IF($B34="","",MAXIFS('Blocker log'!$L:$L,'Blocker log'!$A:$A,$B34,'Blocker log'!$G:$G,"Hard blocker"))</f>
        <v>0</v>
      </c>
      <c r="Q34" s="20" t="str">
        <f>IF($B34="","",IF($K34&lt;&gt;"Complete","Assessment pending",IF($N34=0,"Ready now",VLOOKUP($P34,Lists!$D$2:$E$5,2,FALSE))))</f>
        <v>Assessment pending</v>
      </c>
      <c r="R34" s="24"/>
      <c r="S34" s="16"/>
      <c r="T34" s="16"/>
      <c r="U34" s="16"/>
    </row>
    <row r="35" ht="15.75" customHeight="1">
      <c r="A35" s="13" t="s">
        <v>341</v>
      </c>
      <c r="B35" s="13" t="s">
        <v>342</v>
      </c>
      <c r="C35" s="13" t="s">
        <v>57</v>
      </c>
      <c r="D35" s="13" t="s">
        <v>58</v>
      </c>
      <c r="E35" s="13" t="s">
        <v>59</v>
      </c>
      <c r="F35" s="13" t="s">
        <v>124</v>
      </c>
      <c r="G35" s="13" t="s">
        <v>61</v>
      </c>
      <c r="H35" s="14">
        <v>36000.0</v>
      </c>
      <c r="I35" s="15"/>
      <c r="J35" s="16"/>
      <c r="K35" s="16"/>
      <c r="L35" s="24"/>
      <c r="M35" s="20">
        <f>IF($B35="","",COUNTIFS('Blocker log'!$A:$A,$B35,'Blocker log'!$G:$G,"&lt;&gt;"))</f>
        <v>0</v>
      </c>
      <c r="N35" s="20">
        <f>IF($B35="","",COUNTIFS('Blocker log'!$A:$A,$B35,'Blocker log'!$G:$G,"Hard blocker"))</f>
        <v>0</v>
      </c>
      <c r="O35" s="20">
        <f>IF($B35="","",COUNTIFS('Blocker log'!$A:$A,$B35,'Blocker log'!$G:$G,"Hard blocker",'Blocker log'!$L:$L,9))</f>
        <v>0</v>
      </c>
      <c r="P35" s="20">
        <f>IF($B35="","",MAXIFS('Blocker log'!$L:$L,'Blocker log'!$A:$A,$B35,'Blocker log'!$G:$G,"Hard blocker"))</f>
        <v>0</v>
      </c>
      <c r="Q35" s="20" t="str">
        <f>IF($B35="","",IF($K35&lt;&gt;"Complete","Assessment pending",IF($N35=0,"Ready now",VLOOKUP($P35,Lists!$D$2:$E$5,2,FALSE))))</f>
        <v>Assessment pending</v>
      </c>
      <c r="R35" s="24"/>
      <c r="S35" s="16"/>
      <c r="T35" s="16"/>
      <c r="U35" s="16"/>
    </row>
    <row r="36" ht="15.75" customHeight="1">
      <c r="A36" s="13" t="s">
        <v>349</v>
      </c>
      <c r="B36" s="13" t="s">
        <v>350</v>
      </c>
      <c r="C36" s="13" t="s">
        <v>57</v>
      </c>
      <c r="D36" s="13" t="s">
        <v>260</v>
      </c>
      <c r="E36" s="13" t="s">
        <v>351</v>
      </c>
      <c r="F36" s="13" t="s">
        <v>352</v>
      </c>
      <c r="G36" s="13" t="s">
        <v>61</v>
      </c>
      <c r="H36" s="14">
        <v>325882.0</v>
      </c>
      <c r="I36" s="15"/>
      <c r="J36" s="16"/>
      <c r="K36" s="16"/>
      <c r="L36" s="24"/>
      <c r="M36" s="20">
        <f>IF($B36="","",COUNTIFS('Blocker log'!$A:$A,$B36,'Blocker log'!$G:$G,"&lt;&gt;"))</f>
        <v>0</v>
      </c>
      <c r="N36" s="20">
        <f>IF($B36="","",COUNTIFS('Blocker log'!$A:$A,$B36,'Blocker log'!$G:$G,"Hard blocker"))</f>
        <v>0</v>
      </c>
      <c r="O36" s="20">
        <f>IF($B36="","",COUNTIFS('Blocker log'!$A:$A,$B36,'Blocker log'!$G:$G,"Hard blocker",'Blocker log'!$L:$L,9))</f>
        <v>0</v>
      </c>
      <c r="P36" s="20">
        <f>IF($B36="","",MAXIFS('Blocker log'!$L:$L,'Blocker log'!$A:$A,$B36,'Blocker log'!$G:$G,"Hard blocker"))</f>
        <v>0</v>
      </c>
      <c r="Q36" s="20" t="str">
        <f>IF($B36="","",IF($K36&lt;&gt;"Complete","Assessment pending",IF($N36=0,"Ready now",VLOOKUP($P36,Lists!$D$2:$E$5,2,FALSE))))</f>
        <v>Assessment pending</v>
      </c>
      <c r="R36" s="24"/>
      <c r="S36" s="16"/>
      <c r="T36" s="16"/>
      <c r="U36" s="16"/>
    </row>
    <row r="37" ht="15.75" customHeight="1">
      <c r="A37" s="13" t="s">
        <v>355</v>
      </c>
      <c r="B37" s="13" t="s">
        <v>356</v>
      </c>
      <c r="C37" s="13" t="s">
        <v>57</v>
      </c>
      <c r="D37" s="13" t="s">
        <v>58</v>
      </c>
      <c r="E37" s="13" t="s">
        <v>59</v>
      </c>
      <c r="F37" s="13" t="s">
        <v>124</v>
      </c>
      <c r="G37" s="13" t="s">
        <v>61</v>
      </c>
      <c r="H37" s="14">
        <v>735868.0</v>
      </c>
      <c r="I37" s="15"/>
      <c r="J37" s="16"/>
      <c r="K37" s="16"/>
      <c r="L37" s="24"/>
      <c r="M37" s="20">
        <f>IF($B37="","",COUNTIFS('Blocker log'!$A:$A,$B37,'Blocker log'!$G:$G,"&lt;&gt;"))</f>
        <v>0</v>
      </c>
      <c r="N37" s="20">
        <f>IF($B37="","",COUNTIFS('Blocker log'!$A:$A,$B37,'Blocker log'!$G:$G,"Hard blocker"))</f>
        <v>0</v>
      </c>
      <c r="O37" s="20">
        <f>IF($B37="","",COUNTIFS('Blocker log'!$A:$A,$B37,'Blocker log'!$G:$G,"Hard blocker",'Blocker log'!$L:$L,9))</f>
        <v>0</v>
      </c>
      <c r="P37" s="20">
        <f>IF($B37="","",MAXIFS('Blocker log'!$L:$L,'Blocker log'!$A:$A,$B37,'Blocker log'!$G:$G,"Hard blocker"))</f>
        <v>0</v>
      </c>
      <c r="Q37" s="20" t="str">
        <f>IF($B37="","",IF($K37&lt;&gt;"Complete","Assessment pending",IF($N37=0,"Ready now",VLOOKUP($P37,Lists!$D$2:$E$5,2,FALSE))))</f>
        <v>Assessment pending</v>
      </c>
      <c r="R37" s="24"/>
      <c r="S37" s="16"/>
      <c r="T37" s="16"/>
      <c r="U37" s="16"/>
    </row>
    <row r="38" ht="15.75" customHeight="1">
      <c r="A38" s="10" t="s">
        <v>358</v>
      </c>
      <c r="B38" s="10" t="s">
        <v>359</v>
      </c>
      <c r="C38" s="10" t="s">
        <v>76</v>
      </c>
      <c r="D38" s="10" t="s">
        <v>58</v>
      </c>
      <c r="E38" s="10" t="s">
        <v>101</v>
      </c>
      <c r="F38" s="10" t="s">
        <v>102</v>
      </c>
      <c r="G38" s="13" t="s">
        <v>61</v>
      </c>
      <c r="H38" s="25">
        <v>155635.0</v>
      </c>
      <c r="I38" s="15" t="s">
        <v>318</v>
      </c>
      <c r="J38" s="16"/>
      <c r="K38" s="18" t="s">
        <v>78</v>
      </c>
      <c r="L38" s="24"/>
      <c r="M38" s="20">
        <f>IF($B38="","",COUNTIFS('Blocker log'!$A:$A,$B38,'Blocker log'!$G:$G,"&lt;&gt;"))</f>
        <v>0</v>
      </c>
      <c r="N38" s="20">
        <f>IF($B38="","",COUNTIFS('Blocker log'!$A:$A,$B38,'Blocker log'!$G:$G,"Hard blocker"))</f>
        <v>0</v>
      </c>
      <c r="O38" s="20">
        <f>IF($B38="","",COUNTIFS('Blocker log'!$A:$A,$B38,'Blocker log'!$G:$G,"Hard blocker",'Blocker log'!$L:$L,9))</f>
        <v>0</v>
      </c>
      <c r="P38" s="20">
        <f>IF($B38="","",MAXIFS('Blocker log'!$L:$L,'Blocker log'!$A:$A,$B38,'Blocker log'!$G:$G,"Hard blocker"))</f>
        <v>0</v>
      </c>
      <c r="Q38" s="20" t="str">
        <f>IF($B38="","",IF($K38&lt;&gt;"Complete","Assessment pending",IF($N38=0,"Ready now",VLOOKUP($P38,Lists!$D$2:$E$5,2,FALSE))))</f>
        <v>Assessment pending</v>
      </c>
      <c r="R38" s="24"/>
      <c r="S38" s="16"/>
      <c r="T38" s="16"/>
      <c r="U38" s="16"/>
    </row>
    <row r="39" ht="15.75" customHeight="1">
      <c r="A39" s="13" t="s">
        <v>362</v>
      </c>
      <c r="B39" s="13" t="s">
        <v>363</v>
      </c>
      <c r="C39" s="13" t="s">
        <v>57</v>
      </c>
      <c r="D39" s="13" t="s">
        <v>58</v>
      </c>
      <c r="E39" s="13" t="s">
        <v>140</v>
      </c>
      <c r="F39" s="13" t="s">
        <v>156</v>
      </c>
      <c r="G39" s="13" t="s">
        <v>61</v>
      </c>
      <c r="H39" s="14">
        <v>1872802.0</v>
      </c>
      <c r="I39" s="15" t="s">
        <v>365</v>
      </c>
      <c r="J39" s="16"/>
      <c r="K39" s="18" t="s">
        <v>78</v>
      </c>
      <c r="L39" s="24"/>
      <c r="M39" s="20">
        <f>IF($B39="","",COUNTIFS('Blocker log'!$A:$A,$B39,'Blocker log'!$G:$G,"&lt;&gt;"))</f>
        <v>0</v>
      </c>
      <c r="N39" s="20">
        <f>IF($B39="","",COUNTIFS('Blocker log'!$A:$A,$B39,'Blocker log'!$G:$G,"Hard blocker"))</f>
        <v>0</v>
      </c>
      <c r="O39" s="20">
        <f>IF($B39="","",COUNTIFS('Blocker log'!$A:$A,$B39,'Blocker log'!$G:$G,"Hard blocker",'Blocker log'!$L:$L,9))</f>
        <v>0</v>
      </c>
      <c r="P39" s="20">
        <f>IF($B39="","",MAXIFS('Blocker log'!$L:$L,'Blocker log'!$A:$A,$B39,'Blocker log'!$G:$G,"Hard blocker"))</f>
        <v>0</v>
      </c>
      <c r="Q39" s="20" t="str">
        <f>IF($B39="","",IF($K39&lt;&gt;"Complete","Assessment pending",IF($N39=0,"Ready now",VLOOKUP($P39,Lists!$D$2:$E$5,2,FALSE))))</f>
        <v>Assessment pending</v>
      </c>
      <c r="R39" s="24"/>
      <c r="S39" s="16"/>
      <c r="T39" s="16"/>
      <c r="U39" s="16"/>
    </row>
    <row r="40" ht="15.75" customHeight="1">
      <c r="A40" s="13" t="s">
        <v>368</v>
      </c>
      <c r="B40" s="13" t="s">
        <v>369</v>
      </c>
      <c r="C40" s="13" t="s">
        <v>76</v>
      </c>
      <c r="D40" s="13" t="s">
        <v>58</v>
      </c>
      <c r="E40" s="13" t="s">
        <v>140</v>
      </c>
      <c r="F40" s="13" t="s">
        <v>370</v>
      </c>
      <c r="G40" s="13" t="s">
        <v>61</v>
      </c>
      <c r="H40" s="14">
        <v>667543.0</v>
      </c>
      <c r="I40" s="15" t="s">
        <v>365</v>
      </c>
      <c r="J40" s="16"/>
      <c r="K40" s="18" t="s">
        <v>78</v>
      </c>
      <c r="L40" s="24"/>
      <c r="M40" s="20">
        <f>IF($B40="","",COUNTIFS('Blocker log'!$A:$A,$B40,'Blocker log'!$G:$G,"&lt;&gt;"))</f>
        <v>0</v>
      </c>
      <c r="N40" s="20">
        <f>IF($B40="","",COUNTIFS('Blocker log'!$A:$A,$B40,'Blocker log'!$G:$G,"Hard blocker"))</f>
        <v>0</v>
      </c>
      <c r="O40" s="20">
        <f>IF($B40="","",COUNTIFS('Blocker log'!$A:$A,$B40,'Blocker log'!$G:$G,"Hard blocker",'Blocker log'!$L:$L,9))</f>
        <v>0</v>
      </c>
      <c r="P40" s="20">
        <f>IF($B40="","",MAXIFS('Blocker log'!$L:$L,'Blocker log'!$A:$A,$B40,'Blocker log'!$G:$G,"Hard blocker"))</f>
        <v>0</v>
      </c>
      <c r="Q40" s="20" t="str">
        <f>IF($B40="","",IF($K40&lt;&gt;"Complete","Assessment pending",IF($N40=0,"Ready now",VLOOKUP($P40,Lists!$D$2:$E$5,2,FALSE))))</f>
        <v>Assessment pending</v>
      </c>
      <c r="R40" s="24"/>
      <c r="S40" s="16"/>
      <c r="T40" s="16"/>
      <c r="U40" s="16"/>
    </row>
    <row r="41" ht="15.75" customHeight="1">
      <c r="A41" s="13" t="s">
        <v>376</v>
      </c>
      <c r="B41" s="13" t="s">
        <v>377</v>
      </c>
      <c r="C41" s="13" t="s">
        <v>57</v>
      </c>
      <c r="D41" s="13" t="s">
        <v>58</v>
      </c>
      <c r="E41" s="13" t="s">
        <v>140</v>
      </c>
      <c r="F41" s="13" t="s">
        <v>200</v>
      </c>
      <c r="G41" s="13" t="s">
        <v>61</v>
      </c>
      <c r="H41" s="14">
        <v>93655.0</v>
      </c>
      <c r="I41" s="15" t="s">
        <v>378</v>
      </c>
      <c r="J41" s="16"/>
      <c r="K41" s="18" t="s">
        <v>63</v>
      </c>
      <c r="L41" s="19">
        <v>46316.0</v>
      </c>
      <c r="M41" s="20">
        <f>IF($B41="","",COUNTIFS('Blocker log'!$A:$A,$B41,'Blocker log'!$G:$G,"&lt;&gt;"))</f>
        <v>3</v>
      </c>
      <c r="N41" s="20">
        <f>IF($B41="","",COUNTIFS('Blocker log'!$A:$A,$B41,'Blocker log'!$G:$G,"Hard blocker"))</f>
        <v>1</v>
      </c>
      <c r="O41" s="20">
        <f>IF($B41="","",COUNTIFS('Blocker log'!$A:$A,$B41,'Blocker log'!$G:$G,"Hard blocker",'Blocker log'!$L:$L,9))</f>
        <v>0</v>
      </c>
      <c r="P41" s="20">
        <f>IF($B41="","",MAXIFS('Blocker log'!$L:$L,'Blocker log'!$A:$A,$B41,'Blocker log'!$G:$G,"Hard blocker"))</f>
        <v>0</v>
      </c>
      <c r="Q41" s="20" t="str">
        <f>IF($B41="","",IF($K41&lt;&gt;"Complete","Assessment pending",IF($N41=0,"Ready now",VLOOKUP($P41,Lists!$D$2:$E$5,2,FALSE))))</f>
        <v>#N/A</v>
      </c>
      <c r="R41" s="24"/>
      <c r="S41" s="16"/>
      <c r="T41" s="16"/>
      <c r="U41" s="16"/>
    </row>
    <row r="42" ht="15.75" customHeight="1">
      <c r="A42" s="13" t="s">
        <v>385</v>
      </c>
      <c r="B42" s="13" t="s">
        <v>387</v>
      </c>
      <c r="C42" s="13" t="s">
        <v>76</v>
      </c>
      <c r="D42" s="13" t="s">
        <v>58</v>
      </c>
      <c r="E42" s="13" t="s">
        <v>140</v>
      </c>
      <c r="F42" s="13" t="s">
        <v>141</v>
      </c>
      <c r="G42" s="13" t="s">
        <v>61</v>
      </c>
      <c r="H42" s="25">
        <v>245751.0</v>
      </c>
      <c r="I42" s="15" t="s">
        <v>378</v>
      </c>
      <c r="J42" s="16"/>
      <c r="K42" s="18"/>
      <c r="L42" s="19"/>
      <c r="M42" s="20">
        <f>IF($B42="","",COUNTIFS('Blocker log'!$A:$A,$B42,'Blocker log'!$G:$G,"&lt;&gt;"))</f>
        <v>0</v>
      </c>
      <c r="N42" s="20">
        <f>IF($B42="","",COUNTIFS('Blocker log'!$A:$A,$B42,'Blocker log'!$G:$G,"Hard blocker"))</f>
        <v>0</v>
      </c>
      <c r="O42" s="20">
        <f>IF($B42="","",COUNTIFS('Blocker log'!$A:$A,$B42,'Blocker log'!$G:$G,"Hard blocker",'Blocker log'!$L:$L,9))</f>
        <v>0</v>
      </c>
      <c r="P42" s="20">
        <f>IF($B42="","",MAXIFS('Blocker log'!$L:$L,'Blocker log'!$A:$A,$B42,'Blocker log'!$G:$G,"Hard blocker"))</f>
        <v>0</v>
      </c>
      <c r="Q42" s="20" t="str">
        <f>IF($B42="","",IF($K42&lt;&gt;"Complete","Assessment pending",IF($N42=0,"Ready now",VLOOKUP($P42,Lists!$D$2:$E$5,2,FALSE))))</f>
        <v>Assessment pending</v>
      </c>
      <c r="R42" s="24"/>
      <c r="S42" s="16"/>
      <c r="T42" s="16"/>
      <c r="U42" s="16"/>
    </row>
    <row r="43" ht="15.75" customHeight="1">
      <c r="A43" s="10" t="s">
        <v>433</v>
      </c>
      <c r="B43" s="10" t="s">
        <v>434</v>
      </c>
      <c r="C43" s="10" t="s">
        <v>76</v>
      </c>
      <c r="D43" s="10" t="s">
        <v>58</v>
      </c>
      <c r="E43" s="10" t="s">
        <v>181</v>
      </c>
      <c r="F43" s="10" t="s">
        <v>190</v>
      </c>
      <c r="G43" s="13" t="s">
        <v>61</v>
      </c>
      <c r="H43" s="25">
        <v>421200.0</v>
      </c>
      <c r="I43" s="15" t="s">
        <v>378</v>
      </c>
      <c r="J43" s="16"/>
      <c r="K43" s="18" t="s">
        <v>63</v>
      </c>
      <c r="L43" s="19">
        <v>46321.0</v>
      </c>
      <c r="M43" s="20">
        <f>IF($B43="","",COUNTIFS('Blocker log'!$A:$A,$B43,'Blocker log'!$G:$G,"&lt;&gt;"))</f>
        <v>0</v>
      </c>
      <c r="N43" s="20">
        <f>IF($B43="","",COUNTIFS('Blocker log'!$A:$A,$B43,'Blocker log'!$G:$G,"Hard blocker"))</f>
        <v>0</v>
      </c>
      <c r="O43" s="20">
        <f>IF($B43="","",COUNTIFS('Blocker log'!$A:$A,$B43,'Blocker log'!$G:$G,"Hard blocker",'Blocker log'!$L:$L,9))</f>
        <v>0</v>
      </c>
      <c r="P43" s="20">
        <f>IF($B43="","",MAXIFS('Blocker log'!$L:$L,'Blocker log'!$A:$A,$B43,'Blocker log'!$G:$G,"Hard blocker"))</f>
        <v>0</v>
      </c>
      <c r="Q43" s="20" t="str">
        <f>IF($B43="","",IF($K43&lt;&gt;"Complete","Assessment pending",IF($N43=0,"Ready now",VLOOKUP($P43,Lists!$D$2:$E$5,2,FALSE))))</f>
        <v>Ready now</v>
      </c>
      <c r="R43" s="24"/>
      <c r="S43" s="16"/>
      <c r="T43" s="16"/>
      <c r="U43" s="16"/>
    </row>
    <row r="44" ht="15.75" customHeight="1">
      <c r="A44" s="13" t="s">
        <v>459</v>
      </c>
      <c r="B44" s="13" t="s">
        <v>460</v>
      </c>
      <c r="C44" s="13" t="s">
        <v>76</v>
      </c>
      <c r="D44" s="13" t="s">
        <v>171</v>
      </c>
      <c r="E44" s="13" t="s">
        <v>205</v>
      </c>
      <c r="F44" s="13" t="s">
        <v>206</v>
      </c>
      <c r="G44" s="13" t="s">
        <v>61</v>
      </c>
      <c r="H44" s="14">
        <v>556043.0</v>
      </c>
      <c r="I44" s="15"/>
      <c r="J44" s="16"/>
      <c r="K44" s="16"/>
      <c r="L44" s="24"/>
      <c r="M44" s="20">
        <f>IF($B44="","",COUNTIFS('Blocker log'!$A:$A,$B44,'Blocker log'!$G:$G,"&lt;&gt;"))</f>
        <v>0</v>
      </c>
      <c r="N44" s="20">
        <f>IF($B44="","",COUNTIFS('Blocker log'!$A:$A,$B44,'Blocker log'!$G:$G,"Hard blocker"))</f>
        <v>0</v>
      </c>
      <c r="O44" s="20">
        <f>IF($B44="","",COUNTIFS('Blocker log'!$A:$A,$B44,'Blocker log'!$G:$G,"Hard blocker",'Blocker log'!$L:$L,9))</f>
        <v>0</v>
      </c>
      <c r="P44" s="20">
        <f>IF($B44="","",MAXIFS('Blocker log'!$L:$L,'Blocker log'!$A:$A,$B44,'Blocker log'!$G:$G,"Hard blocker"))</f>
        <v>0</v>
      </c>
      <c r="Q44" s="20" t="str">
        <f>IF($B44="","",IF($K44&lt;&gt;"Complete","Assessment pending",IF($N44=0,"Ready now",VLOOKUP($P44,Lists!$D$2:$E$5,2,FALSE))))</f>
        <v>Assessment pending</v>
      </c>
      <c r="R44" s="24"/>
      <c r="S44" s="16"/>
      <c r="T44" s="16"/>
      <c r="U44" s="16"/>
    </row>
    <row r="45" ht="15.75" customHeight="1">
      <c r="A45" s="13" t="s">
        <v>465</v>
      </c>
      <c r="B45" s="13" t="s">
        <v>466</v>
      </c>
      <c r="C45" s="13" t="s">
        <v>76</v>
      </c>
      <c r="D45" s="13" t="s">
        <v>58</v>
      </c>
      <c r="E45" s="13" t="s">
        <v>181</v>
      </c>
      <c r="F45" s="13" t="s">
        <v>217</v>
      </c>
      <c r="G45" s="13" t="s">
        <v>61</v>
      </c>
      <c r="H45" s="14">
        <v>448318.0</v>
      </c>
      <c r="I45" s="15"/>
      <c r="J45" s="16"/>
      <c r="K45" s="16"/>
      <c r="L45" s="24"/>
      <c r="M45" s="20">
        <f>IF($B45="","",COUNTIFS('Blocker log'!$A:$A,$B45,'Blocker log'!$G:$G,"&lt;&gt;"))</f>
        <v>0</v>
      </c>
      <c r="N45" s="20">
        <f>IF($B45="","",COUNTIFS('Blocker log'!$A:$A,$B45,'Blocker log'!$G:$G,"Hard blocker"))</f>
        <v>0</v>
      </c>
      <c r="O45" s="20">
        <f>IF($B45="","",COUNTIFS('Blocker log'!$A:$A,$B45,'Blocker log'!$G:$G,"Hard blocker",'Blocker log'!$L:$L,9))</f>
        <v>0</v>
      </c>
      <c r="P45" s="20">
        <f>IF($B45="","",MAXIFS('Blocker log'!$L:$L,'Blocker log'!$A:$A,$B45,'Blocker log'!$G:$G,"Hard blocker"))</f>
        <v>0</v>
      </c>
      <c r="Q45" s="20" t="str">
        <f>IF($B45="","",IF($K45&lt;&gt;"Complete","Assessment pending",IF($N45=0,"Ready now",VLOOKUP($P45,Lists!$D$2:$E$5,2,FALSE))))</f>
        <v>Assessment pending</v>
      </c>
      <c r="R45" s="24"/>
      <c r="S45" s="16"/>
      <c r="T45" s="16"/>
      <c r="U45" s="16"/>
    </row>
    <row r="46" ht="15.75" customHeight="1">
      <c r="A46" s="13" t="s">
        <v>467</v>
      </c>
      <c r="B46" s="13" t="s">
        <v>468</v>
      </c>
      <c r="C46" s="13" t="s">
        <v>76</v>
      </c>
      <c r="D46" s="13" t="s">
        <v>58</v>
      </c>
      <c r="E46" s="13" t="s">
        <v>59</v>
      </c>
      <c r="F46" s="13" t="s">
        <v>225</v>
      </c>
      <c r="G46" s="13" t="s">
        <v>61</v>
      </c>
      <c r="H46" s="14">
        <v>312371.0</v>
      </c>
      <c r="I46" s="15"/>
      <c r="J46" s="16"/>
      <c r="K46" s="16"/>
      <c r="L46" s="24"/>
      <c r="M46" s="20">
        <f>IF($B46="","",COUNTIFS('Blocker log'!$A:$A,$B46,'Blocker log'!$G:$G,"&lt;&gt;"))</f>
        <v>0</v>
      </c>
      <c r="N46" s="20">
        <f>IF($B46="","",COUNTIFS('Blocker log'!$A:$A,$B46,'Blocker log'!$G:$G,"Hard blocker"))</f>
        <v>0</v>
      </c>
      <c r="O46" s="20">
        <f>IF($B46="","",COUNTIFS('Blocker log'!$A:$A,$B46,'Blocker log'!$G:$G,"Hard blocker",'Blocker log'!$L:$L,9))</f>
        <v>0</v>
      </c>
      <c r="P46" s="20">
        <f>IF($B46="","",MAXIFS('Blocker log'!$L:$L,'Blocker log'!$A:$A,$B46,'Blocker log'!$G:$G,"Hard blocker"))</f>
        <v>0</v>
      </c>
      <c r="Q46" s="20" t="str">
        <f>IF($B46="","",IF($K46&lt;&gt;"Complete","Assessment pending",IF($N46=0,"Ready now",VLOOKUP($P46,Lists!$D$2:$E$5,2,FALSE))))</f>
        <v>Assessment pending</v>
      </c>
      <c r="R46" s="24"/>
      <c r="S46" s="16"/>
      <c r="T46" s="16"/>
      <c r="U46" s="16"/>
    </row>
    <row r="47" ht="15.75" customHeight="1">
      <c r="A47" s="13" t="s">
        <v>471</v>
      </c>
      <c r="B47" s="13" t="s">
        <v>472</v>
      </c>
      <c r="C47" s="13" t="s">
        <v>76</v>
      </c>
      <c r="D47" s="13" t="s">
        <v>58</v>
      </c>
      <c r="E47" s="13" t="s">
        <v>181</v>
      </c>
      <c r="F47" s="13" t="s">
        <v>182</v>
      </c>
      <c r="G47" s="13" t="s">
        <v>61</v>
      </c>
      <c r="H47" s="14">
        <v>536097.0</v>
      </c>
      <c r="I47" s="15"/>
      <c r="J47" s="16"/>
      <c r="K47" s="16"/>
      <c r="L47" s="24"/>
      <c r="M47" s="20">
        <f>IF($B47="","",COUNTIFS('Blocker log'!$A:$A,$B47,'Blocker log'!$G:$G,"&lt;&gt;"))</f>
        <v>0</v>
      </c>
      <c r="N47" s="20">
        <f>IF($B47="","",COUNTIFS('Blocker log'!$A:$A,$B47,'Blocker log'!$G:$G,"Hard blocker"))</f>
        <v>0</v>
      </c>
      <c r="O47" s="20">
        <f>IF($B47="","",COUNTIFS('Blocker log'!$A:$A,$B47,'Blocker log'!$G:$G,"Hard blocker",'Blocker log'!$L:$L,9))</f>
        <v>0</v>
      </c>
      <c r="P47" s="20">
        <f>IF($B47="","",MAXIFS('Blocker log'!$L:$L,'Blocker log'!$A:$A,$B47,'Blocker log'!$G:$G,"Hard blocker"))</f>
        <v>0</v>
      </c>
      <c r="Q47" s="20" t="str">
        <f>IF($B47="","",IF($K47&lt;&gt;"Complete","Assessment pending",IF($N47=0,"Ready now",VLOOKUP($P47,Lists!$D$2:$E$5,2,FALSE))))</f>
        <v>Assessment pending</v>
      </c>
      <c r="R47" s="24"/>
      <c r="S47" s="16"/>
      <c r="T47" s="16"/>
      <c r="U47" s="16"/>
    </row>
    <row r="48" ht="15.75" customHeight="1">
      <c r="A48" s="13" t="s">
        <v>477</v>
      </c>
      <c r="B48" s="13" t="s">
        <v>478</v>
      </c>
      <c r="C48" s="13" t="s">
        <v>76</v>
      </c>
      <c r="D48" s="13" t="s">
        <v>58</v>
      </c>
      <c r="E48" s="13" t="s">
        <v>140</v>
      </c>
      <c r="F48" s="13" t="s">
        <v>246</v>
      </c>
      <c r="G48" s="13" t="s">
        <v>61</v>
      </c>
      <c r="H48" s="14">
        <v>414399.0</v>
      </c>
      <c r="I48" s="15"/>
      <c r="J48" s="16"/>
      <c r="K48" s="16"/>
      <c r="L48" s="24"/>
      <c r="M48" s="20">
        <f>IF($B48="","",COUNTIFS('Blocker log'!$A:$A,$B48,'Blocker log'!$G:$G,"&lt;&gt;"))</f>
        <v>0</v>
      </c>
      <c r="N48" s="20">
        <f>IF($B48="","",COUNTIFS('Blocker log'!$A:$A,$B48,'Blocker log'!$G:$G,"Hard blocker"))</f>
        <v>0</v>
      </c>
      <c r="O48" s="20">
        <f>IF($B48="","",COUNTIFS('Blocker log'!$A:$A,$B48,'Blocker log'!$G:$G,"Hard blocker",'Blocker log'!$L:$L,9))</f>
        <v>0</v>
      </c>
      <c r="P48" s="20">
        <f>IF($B48="","",MAXIFS('Blocker log'!$L:$L,'Blocker log'!$A:$A,$B48,'Blocker log'!$G:$G,"Hard blocker"))</f>
        <v>0</v>
      </c>
      <c r="Q48" s="20" t="str">
        <f>IF($B48="","",IF($K48&lt;&gt;"Complete","Assessment pending",IF($N48=0,"Ready now",VLOOKUP($P48,Lists!$D$2:$E$5,2,FALSE))))</f>
        <v>Assessment pending</v>
      </c>
      <c r="R48" s="24"/>
      <c r="S48" s="16"/>
      <c r="T48" s="16"/>
      <c r="U48" s="16"/>
    </row>
    <row r="49" ht="15.75" customHeight="1">
      <c r="A49" s="13" t="s">
        <v>482</v>
      </c>
      <c r="B49" s="13" t="s">
        <v>483</v>
      </c>
      <c r="C49" s="13" t="s">
        <v>76</v>
      </c>
      <c r="D49" s="13" t="s">
        <v>301</v>
      </c>
      <c r="E49" s="13" t="s">
        <v>484</v>
      </c>
      <c r="F49" s="13" t="s">
        <v>484</v>
      </c>
      <c r="G49" s="13" t="s">
        <v>61</v>
      </c>
      <c r="H49" s="14">
        <v>521948.0</v>
      </c>
      <c r="I49" s="15"/>
      <c r="J49" s="16"/>
      <c r="K49" s="16"/>
      <c r="L49" s="24"/>
      <c r="M49" s="20">
        <f>IF($B49="","",COUNTIFS('Blocker log'!$A:$A,$B49,'Blocker log'!$G:$G,"&lt;&gt;"))</f>
        <v>0</v>
      </c>
      <c r="N49" s="20">
        <f>IF($B49="","",COUNTIFS('Blocker log'!$A:$A,$B49,'Blocker log'!$G:$G,"Hard blocker"))</f>
        <v>0</v>
      </c>
      <c r="O49" s="20">
        <f>IF($B49="","",COUNTIFS('Blocker log'!$A:$A,$B49,'Blocker log'!$G:$G,"Hard blocker",'Blocker log'!$L:$L,9))</f>
        <v>0</v>
      </c>
      <c r="P49" s="20">
        <f>IF($B49="","",MAXIFS('Blocker log'!$L:$L,'Blocker log'!$A:$A,$B49,'Blocker log'!$G:$G,"Hard blocker"))</f>
        <v>0</v>
      </c>
      <c r="Q49" s="20" t="str">
        <f>IF($B49="","",IF($K49&lt;&gt;"Complete","Assessment pending",IF($N49=0,"Ready now",VLOOKUP($P49,Lists!$D$2:$E$5,2,FALSE))))</f>
        <v>Assessment pending</v>
      </c>
      <c r="R49" s="24"/>
      <c r="S49" s="16"/>
      <c r="T49" s="16"/>
      <c r="U49" s="16"/>
    </row>
    <row r="50" ht="15.75" customHeight="1">
      <c r="A50" s="13" t="s">
        <v>485</v>
      </c>
      <c r="B50" s="13" t="s">
        <v>486</v>
      </c>
      <c r="C50" s="13" t="s">
        <v>76</v>
      </c>
      <c r="D50" s="13" t="s">
        <v>171</v>
      </c>
      <c r="E50" s="13" t="s">
        <v>205</v>
      </c>
      <c r="F50" s="13" t="s">
        <v>206</v>
      </c>
      <c r="G50" s="13" t="s">
        <v>61</v>
      </c>
      <c r="H50" s="14">
        <v>221649.0</v>
      </c>
      <c r="I50" s="15"/>
      <c r="J50" s="16"/>
      <c r="K50" s="16"/>
      <c r="L50" s="24"/>
      <c r="M50" s="20">
        <f>IF($B50="","",COUNTIFS('Blocker log'!$A:$A,$B50,'Blocker log'!$G:$G,"&lt;&gt;"))</f>
        <v>0</v>
      </c>
      <c r="N50" s="20">
        <f>IF($B50="","",COUNTIFS('Blocker log'!$A:$A,$B50,'Blocker log'!$G:$G,"Hard blocker"))</f>
        <v>0</v>
      </c>
      <c r="O50" s="20">
        <f>IF($B50="","",COUNTIFS('Blocker log'!$A:$A,$B50,'Blocker log'!$G:$G,"Hard blocker",'Blocker log'!$L:$L,9))</f>
        <v>0</v>
      </c>
      <c r="P50" s="20">
        <f>IF($B50="","",MAXIFS('Blocker log'!$L:$L,'Blocker log'!$A:$A,$B50,'Blocker log'!$G:$G,"Hard blocker"))</f>
        <v>0</v>
      </c>
      <c r="Q50" s="20" t="str">
        <f>IF($B50="","",IF($K50&lt;&gt;"Complete","Assessment pending",IF($N50=0,"Ready now",VLOOKUP($P50,Lists!$D$2:$E$5,2,FALSE))))</f>
        <v>Assessment pending</v>
      </c>
      <c r="R50" s="24"/>
      <c r="S50" s="16"/>
      <c r="T50" s="16"/>
      <c r="U50" s="16"/>
    </row>
    <row r="51" ht="15.75" customHeight="1">
      <c r="A51" s="13" t="s">
        <v>488</v>
      </c>
      <c r="B51" s="13" t="s">
        <v>489</v>
      </c>
      <c r="C51" s="13" t="s">
        <v>76</v>
      </c>
      <c r="D51" s="13" t="s">
        <v>301</v>
      </c>
      <c r="E51" s="13" t="s">
        <v>490</v>
      </c>
      <c r="F51" s="13" t="s">
        <v>490</v>
      </c>
      <c r="G51" s="13" t="s">
        <v>61</v>
      </c>
      <c r="H51" s="14">
        <v>216512.0</v>
      </c>
      <c r="I51" s="15"/>
      <c r="J51" s="16"/>
      <c r="K51" s="16"/>
      <c r="L51" s="24"/>
      <c r="M51" s="20">
        <f>IF($B51="","",COUNTIFS('Blocker log'!$A:$A,$B51,'Blocker log'!$G:$G,"&lt;&gt;"))</f>
        <v>0</v>
      </c>
      <c r="N51" s="20">
        <f>IF($B51="","",COUNTIFS('Blocker log'!$A:$A,$B51,'Blocker log'!$G:$G,"Hard blocker"))</f>
        <v>0</v>
      </c>
      <c r="O51" s="20">
        <f>IF($B51="","",COUNTIFS('Blocker log'!$A:$A,$B51,'Blocker log'!$G:$G,"Hard blocker",'Blocker log'!$L:$L,9))</f>
        <v>0</v>
      </c>
      <c r="P51" s="20">
        <f>IF($B51="","",MAXIFS('Blocker log'!$L:$L,'Blocker log'!$A:$A,$B51,'Blocker log'!$G:$G,"Hard blocker"))</f>
        <v>0</v>
      </c>
      <c r="Q51" s="20" t="str">
        <f>IF($B51="","",IF($K51&lt;&gt;"Complete","Assessment pending",IF($N51=0,"Ready now",VLOOKUP($P51,Lists!$D$2:$E$5,2,FALSE))))</f>
        <v>Assessment pending</v>
      </c>
      <c r="R51" s="24"/>
      <c r="S51" s="16"/>
      <c r="T51" s="16"/>
      <c r="U51" s="16"/>
    </row>
    <row r="52" ht="15.75" customHeight="1">
      <c r="A52" s="13" t="s">
        <v>492</v>
      </c>
      <c r="B52" s="13" t="s">
        <v>493</v>
      </c>
      <c r="C52" s="13" t="s">
        <v>76</v>
      </c>
      <c r="D52" s="13" t="s">
        <v>58</v>
      </c>
      <c r="E52" s="13" t="s">
        <v>494</v>
      </c>
      <c r="F52" s="13" t="s">
        <v>495</v>
      </c>
      <c r="G52" s="13" t="s">
        <v>61</v>
      </c>
      <c r="H52" s="14">
        <v>509056.0</v>
      </c>
      <c r="I52" s="15"/>
      <c r="J52" s="16"/>
      <c r="K52" s="16"/>
      <c r="L52" s="24"/>
      <c r="M52" s="20">
        <f>IF($B52="","",COUNTIFS('Blocker log'!$A:$A,$B52,'Blocker log'!$G:$G,"&lt;&gt;"))</f>
        <v>0</v>
      </c>
      <c r="N52" s="20">
        <f>IF($B52="","",COUNTIFS('Blocker log'!$A:$A,$B52,'Blocker log'!$G:$G,"Hard blocker"))</f>
        <v>0</v>
      </c>
      <c r="O52" s="20">
        <f>IF($B52="","",COUNTIFS('Blocker log'!$A:$A,$B52,'Blocker log'!$G:$G,"Hard blocker",'Blocker log'!$L:$L,9))</f>
        <v>0</v>
      </c>
      <c r="P52" s="20">
        <f>IF($B52="","",MAXIFS('Blocker log'!$L:$L,'Blocker log'!$A:$A,$B52,'Blocker log'!$G:$G,"Hard blocker"))</f>
        <v>0</v>
      </c>
      <c r="Q52" s="20" t="str">
        <f>IF($B52="","",IF($K52&lt;&gt;"Complete","Assessment pending",IF($N52=0,"Ready now",VLOOKUP($P52,Lists!$D$2:$E$5,2,FALSE))))</f>
        <v>Assessment pending</v>
      </c>
      <c r="R52" s="24"/>
      <c r="S52" s="16"/>
      <c r="T52" s="16"/>
      <c r="U52" s="16"/>
    </row>
    <row r="53" ht="15.75" customHeight="1">
      <c r="A53" s="10" t="s">
        <v>500</v>
      </c>
      <c r="B53" s="10" t="s">
        <v>501</v>
      </c>
      <c r="C53" s="10" t="s">
        <v>76</v>
      </c>
      <c r="D53" s="10" t="s">
        <v>58</v>
      </c>
      <c r="E53" s="10" t="s">
        <v>181</v>
      </c>
      <c r="F53" s="10" t="s">
        <v>190</v>
      </c>
      <c r="G53" s="13" t="s">
        <v>61</v>
      </c>
      <c r="H53" s="25">
        <v>113106.0</v>
      </c>
      <c r="I53" s="15" t="s">
        <v>378</v>
      </c>
      <c r="J53" s="16"/>
      <c r="K53" s="18"/>
      <c r="L53" s="19"/>
      <c r="M53" s="20">
        <f>IF($B53="","",COUNTIFS('Blocker log'!$A:$A,$B53,'Blocker log'!$G:$G,"&lt;&gt;"))</f>
        <v>0</v>
      </c>
      <c r="N53" s="20">
        <f>IF($B53="","",COUNTIFS('Blocker log'!$A:$A,$B53,'Blocker log'!$G:$G,"Hard blocker"))</f>
        <v>0</v>
      </c>
      <c r="O53" s="20">
        <f>IF($B53="","",COUNTIFS('Blocker log'!$A:$A,$B53,'Blocker log'!$G:$G,"Hard blocker",'Blocker log'!$L:$L,9))</f>
        <v>0</v>
      </c>
      <c r="P53" s="20">
        <f>IF($B53="","",MAXIFS('Blocker log'!$L:$L,'Blocker log'!$A:$A,$B53,'Blocker log'!$G:$G,"Hard blocker"))</f>
        <v>0</v>
      </c>
      <c r="Q53" s="20" t="str">
        <f>IF($B53="","",IF($K53&lt;&gt;"Complete","Assessment pending",IF($N53=0,"Ready now",VLOOKUP($P53,Lists!$D$2:$E$5,2,FALSE))))</f>
        <v>Assessment pending</v>
      </c>
      <c r="R53" s="24"/>
      <c r="S53" s="16"/>
      <c r="T53" s="16"/>
      <c r="U53" s="16"/>
    </row>
    <row r="54" ht="15.75" customHeight="1">
      <c r="A54" s="13" t="s">
        <v>504</v>
      </c>
      <c r="B54" s="13" t="s">
        <v>505</v>
      </c>
      <c r="C54" s="13" t="s">
        <v>76</v>
      </c>
      <c r="D54" s="13" t="s">
        <v>260</v>
      </c>
      <c r="E54" s="13" t="s">
        <v>506</v>
      </c>
      <c r="F54" s="13" t="s">
        <v>507</v>
      </c>
      <c r="G54" s="13" t="s">
        <v>61</v>
      </c>
      <c r="H54" s="14"/>
      <c r="I54" s="15"/>
      <c r="J54" s="16"/>
      <c r="K54" s="16"/>
      <c r="L54" s="24"/>
      <c r="M54" s="20">
        <f>IF($B54="","",COUNTIFS('Blocker log'!$A:$A,$B54,'Blocker log'!$G:$G,"&lt;&gt;"))</f>
        <v>0</v>
      </c>
      <c r="N54" s="20">
        <f>IF($B54="","",COUNTIFS('Blocker log'!$A:$A,$B54,'Blocker log'!$G:$G,"Hard blocker"))</f>
        <v>0</v>
      </c>
      <c r="O54" s="20">
        <f>IF($B54="","",COUNTIFS('Blocker log'!$A:$A,$B54,'Blocker log'!$G:$G,"Hard blocker",'Blocker log'!$L:$L,9))</f>
        <v>0</v>
      </c>
      <c r="P54" s="20">
        <f>IF($B54="","",MAXIFS('Blocker log'!$L:$L,'Blocker log'!$A:$A,$B54,'Blocker log'!$G:$G,"Hard blocker"))</f>
        <v>0</v>
      </c>
      <c r="Q54" s="20" t="str">
        <f>IF($B54="","",IF($K54&lt;&gt;"Complete","Assessment pending",IF($N54=0,"Ready now",VLOOKUP($P54,Lists!$D$2:$E$5,2,FALSE))))</f>
        <v>Assessment pending</v>
      </c>
      <c r="R54" s="24"/>
      <c r="S54" s="16"/>
      <c r="T54" s="16"/>
      <c r="U54" s="16"/>
    </row>
    <row r="55" ht="15.75" customHeight="1">
      <c r="A55" s="13" t="s">
        <v>510</v>
      </c>
      <c r="B55" s="13" t="s">
        <v>511</v>
      </c>
      <c r="C55" s="13" t="s">
        <v>57</v>
      </c>
      <c r="D55" s="13" t="s">
        <v>171</v>
      </c>
      <c r="E55" s="13" t="s">
        <v>512</v>
      </c>
      <c r="F55" s="13" t="s">
        <v>513</v>
      </c>
      <c r="G55" s="13" t="s">
        <v>61</v>
      </c>
      <c r="H55" s="14">
        <v>441946.0</v>
      </c>
      <c r="I55" s="15" t="s">
        <v>379</v>
      </c>
      <c r="J55" s="16"/>
      <c r="K55" s="18" t="s">
        <v>78</v>
      </c>
      <c r="L55" s="24"/>
      <c r="M55" s="20">
        <f>IF($B55="","",COUNTIFS('Blocker log'!$A:$A,$B55,'Blocker log'!$G:$G,"&lt;&gt;"))</f>
        <v>0</v>
      </c>
      <c r="N55" s="20">
        <f>IF($B55="","",COUNTIFS('Blocker log'!$A:$A,$B55,'Blocker log'!$G:$G,"Hard blocker"))</f>
        <v>0</v>
      </c>
      <c r="O55" s="20">
        <f>IF($B55="","",COUNTIFS('Blocker log'!$A:$A,$B55,'Blocker log'!$G:$G,"Hard blocker",'Blocker log'!$L:$L,9))</f>
        <v>0</v>
      </c>
      <c r="P55" s="20">
        <f>IF($B55="","",MAXIFS('Blocker log'!$L:$L,'Blocker log'!$A:$A,$B55,'Blocker log'!$G:$G,"Hard blocker"))</f>
        <v>0</v>
      </c>
      <c r="Q55" s="20" t="str">
        <f>IF($B55="","",IF($K55&lt;&gt;"Complete","Assessment pending",IF($N55=0,"Ready now",VLOOKUP($P55,Lists!$D$2:$E$5,2,FALSE))))</f>
        <v>Assessment pending</v>
      </c>
      <c r="R55" s="24"/>
      <c r="S55" s="16"/>
      <c r="T55" s="16"/>
      <c r="U55" s="16"/>
    </row>
    <row r="56" ht="15.75" customHeight="1">
      <c r="A56" s="13" t="s">
        <v>515</v>
      </c>
      <c r="B56" s="13" t="s">
        <v>516</v>
      </c>
      <c r="C56" s="13" t="s">
        <v>76</v>
      </c>
      <c r="D56" s="13" t="s">
        <v>260</v>
      </c>
      <c r="E56" s="13" t="s">
        <v>351</v>
      </c>
      <c r="F56" s="13" t="s">
        <v>352</v>
      </c>
      <c r="G56" s="13" t="s">
        <v>61</v>
      </c>
      <c r="H56" s="14">
        <v>214458.0</v>
      </c>
      <c r="I56" s="15"/>
      <c r="J56" s="16"/>
      <c r="K56" s="16"/>
      <c r="L56" s="24"/>
      <c r="M56" s="20">
        <f>IF($B56="","",COUNTIFS('Blocker log'!$A:$A,$B56,'Blocker log'!$G:$G,"&lt;&gt;"))</f>
        <v>0</v>
      </c>
      <c r="N56" s="20">
        <f>IF($B56="","",COUNTIFS('Blocker log'!$A:$A,$B56,'Blocker log'!$G:$G,"Hard blocker"))</f>
        <v>0</v>
      </c>
      <c r="O56" s="20">
        <f>IF($B56="","",COUNTIFS('Blocker log'!$A:$A,$B56,'Blocker log'!$G:$G,"Hard blocker",'Blocker log'!$L:$L,9))</f>
        <v>0</v>
      </c>
      <c r="P56" s="20">
        <f>IF($B56="","",MAXIFS('Blocker log'!$L:$L,'Blocker log'!$A:$A,$B56,'Blocker log'!$G:$G,"Hard blocker"))</f>
        <v>0</v>
      </c>
      <c r="Q56" s="20" t="str">
        <f>IF($B56="","",IF($K56&lt;&gt;"Complete","Assessment pending",IF($N56=0,"Ready now",VLOOKUP($P56,Lists!$D$2:$E$5,2,FALSE))))</f>
        <v>Assessment pending</v>
      </c>
      <c r="R56" s="24"/>
      <c r="S56" s="16"/>
      <c r="T56" s="16"/>
      <c r="U56" s="16"/>
    </row>
    <row r="57" ht="15.75" customHeight="1">
      <c r="A57" s="13" t="s">
        <v>522</v>
      </c>
      <c r="B57" s="13" t="s">
        <v>523</v>
      </c>
      <c r="C57" s="13" t="s">
        <v>57</v>
      </c>
      <c r="D57" s="13" t="s">
        <v>171</v>
      </c>
      <c r="E57" s="13" t="s">
        <v>524</v>
      </c>
      <c r="F57" s="13" t="s">
        <v>525</v>
      </c>
      <c r="G57" s="13" t="s">
        <v>61</v>
      </c>
      <c r="H57" s="14">
        <v>1794185.0</v>
      </c>
      <c r="I57" s="15" t="s">
        <v>380</v>
      </c>
      <c r="J57" s="16"/>
      <c r="K57" s="18" t="s">
        <v>78</v>
      </c>
      <c r="L57" s="24"/>
      <c r="M57" s="20">
        <f>IF($B57="","",COUNTIFS('Blocker log'!$A:$A,$B57,'Blocker log'!$G:$G,"&lt;&gt;"))</f>
        <v>0</v>
      </c>
      <c r="N57" s="20">
        <f>IF($B57="","",COUNTIFS('Blocker log'!$A:$A,$B57,'Blocker log'!$G:$G,"Hard blocker"))</f>
        <v>0</v>
      </c>
      <c r="O57" s="20">
        <f>IF($B57="","",COUNTIFS('Blocker log'!$A:$A,$B57,'Blocker log'!$G:$G,"Hard blocker",'Blocker log'!$L:$L,9))</f>
        <v>0</v>
      </c>
      <c r="P57" s="20">
        <f>IF($B57="","",MAXIFS('Blocker log'!$L:$L,'Blocker log'!$A:$A,$B57,'Blocker log'!$G:$G,"Hard blocker"))</f>
        <v>0</v>
      </c>
      <c r="Q57" s="20" t="str">
        <f>IF($B57="","",IF($K57&lt;&gt;"Complete","Assessment pending",IF($N57=0,"Ready now",VLOOKUP($P57,Lists!$D$2:$E$5,2,FALSE))))</f>
        <v>Assessment pending</v>
      </c>
      <c r="R57" s="24"/>
      <c r="S57" s="16"/>
      <c r="T57" s="16"/>
      <c r="U57" s="16"/>
    </row>
    <row r="58" ht="15.75" customHeight="1">
      <c r="A58" s="13" t="s">
        <v>528</v>
      </c>
      <c r="B58" s="13" t="s">
        <v>529</v>
      </c>
      <c r="C58" s="13" t="s">
        <v>76</v>
      </c>
      <c r="D58" s="13" t="s">
        <v>260</v>
      </c>
      <c r="E58" s="13" t="s">
        <v>530</v>
      </c>
      <c r="F58" s="13" t="s">
        <v>531</v>
      </c>
      <c r="G58" s="13" t="s">
        <v>61</v>
      </c>
      <c r="H58" s="14">
        <v>223538.0</v>
      </c>
      <c r="I58" s="15"/>
      <c r="J58" s="16"/>
      <c r="K58" s="16"/>
      <c r="L58" s="24"/>
      <c r="M58" s="20">
        <f>IF($B58="","",COUNTIFS('Blocker log'!$A:$A,$B58,'Blocker log'!$G:$G,"&lt;&gt;"))</f>
        <v>0</v>
      </c>
      <c r="N58" s="20">
        <f>IF($B58="","",COUNTIFS('Blocker log'!$A:$A,$B58,'Blocker log'!$G:$G,"Hard blocker"))</f>
        <v>0</v>
      </c>
      <c r="O58" s="20">
        <f>IF($B58="","",COUNTIFS('Blocker log'!$A:$A,$B58,'Blocker log'!$G:$G,"Hard blocker",'Blocker log'!$L:$L,9))</f>
        <v>0</v>
      </c>
      <c r="P58" s="20">
        <f>IF($B58="","",MAXIFS('Blocker log'!$L:$L,'Blocker log'!$A:$A,$B58,'Blocker log'!$G:$G,"Hard blocker"))</f>
        <v>0</v>
      </c>
      <c r="Q58" s="20" t="str">
        <f>IF($B58="","",IF($K58&lt;&gt;"Complete","Assessment pending",IF($N58=0,"Ready now",VLOOKUP($P58,Lists!$D$2:$E$5,2,FALSE))))</f>
        <v>Assessment pending</v>
      </c>
      <c r="R58" s="24"/>
      <c r="S58" s="16"/>
      <c r="T58" s="16"/>
      <c r="U58" s="16"/>
    </row>
    <row r="59" ht="15.75" customHeight="1">
      <c r="A59" s="13" t="s">
        <v>535</v>
      </c>
      <c r="B59" s="13" t="s">
        <v>536</v>
      </c>
      <c r="C59" s="13" t="s">
        <v>76</v>
      </c>
      <c r="D59" s="13" t="s">
        <v>171</v>
      </c>
      <c r="E59" s="13" t="s">
        <v>512</v>
      </c>
      <c r="F59" s="13" t="s">
        <v>537</v>
      </c>
      <c r="G59" s="13" t="s">
        <v>61</v>
      </c>
      <c r="H59" s="14">
        <v>432295.0</v>
      </c>
      <c r="I59" s="15"/>
      <c r="J59" s="16"/>
      <c r="K59" s="16"/>
      <c r="L59" s="24"/>
      <c r="M59" s="20">
        <f>IF($B59="","",COUNTIFS('Blocker log'!$A:$A,$B59,'Blocker log'!$G:$G,"&lt;&gt;"))</f>
        <v>0</v>
      </c>
      <c r="N59" s="20">
        <f>IF($B59="","",COUNTIFS('Blocker log'!$A:$A,$B59,'Blocker log'!$G:$G,"Hard blocker"))</f>
        <v>0</v>
      </c>
      <c r="O59" s="20">
        <f>IF($B59="","",COUNTIFS('Blocker log'!$A:$A,$B59,'Blocker log'!$G:$G,"Hard blocker",'Blocker log'!$L:$L,9))</f>
        <v>0</v>
      </c>
      <c r="P59" s="20">
        <f>IF($B59="","",MAXIFS('Blocker log'!$L:$L,'Blocker log'!$A:$A,$B59,'Blocker log'!$G:$G,"Hard blocker"))</f>
        <v>0</v>
      </c>
      <c r="Q59" s="20" t="str">
        <f>IF($B59="","",IF($K59&lt;&gt;"Complete","Assessment pending",IF($N59=0,"Ready now",VLOOKUP($P59,Lists!$D$2:$E$5,2,FALSE))))</f>
        <v>Assessment pending</v>
      </c>
      <c r="R59" s="24"/>
      <c r="S59" s="16"/>
      <c r="T59" s="16"/>
      <c r="U59" s="16"/>
    </row>
    <row r="60" ht="15.75" customHeight="1">
      <c r="A60" s="13" t="s">
        <v>540</v>
      </c>
      <c r="B60" s="13" t="s">
        <v>541</v>
      </c>
      <c r="C60" s="13" t="s">
        <v>76</v>
      </c>
      <c r="D60" s="13" t="s">
        <v>171</v>
      </c>
      <c r="E60" s="13" t="s">
        <v>542</v>
      </c>
      <c r="F60" s="13" t="s">
        <v>543</v>
      </c>
      <c r="G60" s="13" t="s">
        <v>61</v>
      </c>
      <c r="H60" s="14">
        <v>432414.0</v>
      </c>
      <c r="I60" s="15"/>
      <c r="J60" s="16"/>
      <c r="K60" s="16"/>
      <c r="L60" s="24"/>
      <c r="M60" s="20">
        <f>IF($B60="","",COUNTIFS('Blocker log'!$A:$A,$B60,'Blocker log'!$G:$G,"&lt;&gt;"))</f>
        <v>0</v>
      </c>
      <c r="N60" s="20">
        <f>IF($B60="","",COUNTIFS('Blocker log'!$A:$A,$B60,'Blocker log'!$G:$G,"Hard blocker"))</f>
        <v>0</v>
      </c>
      <c r="O60" s="20">
        <f>IF($B60="","",COUNTIFS('Blocker log'!$A:$A,$B60,'Blocker log'!$G:$G,"Hard blocker",'Blocker log'!$L:$L,9))</f>
        <v>0</v>
      </c>
      <c r="P60" s="20">
        <f>IF($B60="","",MAXIFS('Blocker log'!$L:$L,'Blocker log'!$A:$A,$B60,'Blocker log'!$G:$G,"Hard blocker"))</f>
        <v>0</v>
      </c>
      <c r="Q60" s="20" t="str">
        <f>IF($B60="","",IF($K60&lt;&gt;"Complete","Assessment pending",IF($N60=0,"Ready now",VLOOKUP($P60,Lists!$D$2:$E$5,2,FALSE))))</f>
        <v>Assessment pending</v>
      </c>
      <c r="R60" s="24"/>
      <c r="S60" s="16"/>
      <c r="T60" s="16"/>
      <c r="U60" s="16"/>
    </row>
    <row r="61" ht="15.75" customHeight="1">
      <c r="A61" s="13" t="s">
        <v>547</v>
      </c>
      <c r="B61" s="13" t="s">
        <v>548</v>
      </c>
      <c r="C61" s="13" t="s">
        <v>76</v>
      </c>
      <c r="D61" s="13" t="s">
        <v>171</v>
      </c>
      <c r="E61" s="13" t="s">
        <v>542</v>
      </c>
      <c r="F61" s="13" t="s">
        <v>549</v>
      </c>
      <c r="G61" s="13" t="s">
        <v>61</v>
      </c>
      <c r="H61" s="40">
        <v>227991.0</v>
      </c>
      <c r="I61" s="15"/>
      <c r="J61" s="16"/>
      <c r="K61" s="16"/>
      <c r="L61" s="24"/>
      <c r="M61" s="20">
        <f>IF($B61="","",COUNTIFS('Blocker log'!$A:$A,$B61,'Blocker log'!$G:$G,"&lt;&gt;"))</f>
        <v>0</v>
      </c>
      <c r="N61" s="20">
        <f>IF($B61="","",COUNTIFS('Blocker log'!$A:$A,$B61,'Blocker log'!$G:$G,"Hard blocker"))</f>
        <v>0</v>
      </c>
      <c r="O61" s="20">
        <f>IF($B61="","",COUNTIFS('Blocker log'!$A:$A,$B61,'Blocker log'!$G:$G,"Hard blocker",'Blocker log'!$L:$L,9))</f>
        <v>0</v>
      </c>
      <c r="P61" s="20">
        <f>IF($B61="","",MAXIFS('Blocker log'!$L:$L,'Blocker log'!$A:$A,$B61,'Blocker log'!$G:$G,"Hard blocker"))</f>
        <v>0</v>
      </c>
      <c r="Q61" s="20" t="str">
        <f>IF($B61="","",IF($K61&lt;&gt;"Complete","Assessment pending",IF($N61=0,"Ready now",VLOOKUP($P61,Lists!$D$2:$E$5,2,FALSE))))</f>
        <v>Assessment pending</v>
      </c>
      <c r="R61" s="24"/>
      <c r="S61" s="16"/>
      <c r="T61" s="16"/>
      <c r="U61" s="16"/>
    </row>
    <row r="62" ht="15.75" customHeight="1">
      <c r="A62" s="13" t="s">
        <v>552</v>
      </c>
      <c r="B62" s="13" t="s">
        <v>553</v>
      </c>
      <c r="C62" s="13" t="s">
        <v>76</v>
      </c>
      <c r="D62" s="13" t="s">
        <v>58</v>
      </c>
      <c r="E62" s="13" t="s">
        <v>101</v>
      </c>
      <c r="F62" s="13" t="s">
        <v>554</v>
      </c>
      <c r="G62" s="13" t="s">
        <v>61</v>
      </c>
      <c r="H62" s="40">
        <v>425742.0</v>
      </c>
      <c r="I62" s="15"/>
      <c r="J62" s="16"/>
      <c r="K62" s="16"/>
      <c r="L62" s="24"/>
      <c r="M62" s="20">
        <f>IF($B62="","",COUNTIFS('Blocker log'!$A:$A,$B62,'Blocker log'!$G:$G,"&lt;&gt;"))</f>
        <v>0</v>
      </c>
      <c r="N62" s="20">
        <f>IF($B62="","",COUNTIFS('Blocker log'!$A:$A,$B62,'Blocker log'!$G:$G,"Hard blocker"))</f>
        <v>0</v>
      </c>
      <c r="O62" s="20">
        <f>IF($B62="","",COUNTIFS('Blocker log'!$A:$A,$B62,'Blocker log'!$G:$G,"Hard blocker",'Blocker log'!$L:$L,9))</f>
        <v>0</v>
      </c>
      <c r="P62" s="20">
        <f>IF($B62="","",MAXIFS('Blocker log'!$L:$L,'Blocker log'!$A:$A,$B62,'Blocker log'!$G:$G,"Hard blocker"))</f>
        <v>0</v>
      </c>
      <c r="Q62" s="20" t="str">
        <f>IF($B62="","",IF($K62&lt;&gt;"Complete","Assessment pending",IF($N62=0,"Ready now",VLOOKUP($P62,Lists!$D$2:$E$5,2,FALSE))))</f>
        <v>Assessment pending</v>
      </c>
      <c r="R62" s="24"/>
      <c r="S62" s="16"/>
      <c r="T62" s="16"/>
      <c r="U62" s="16"/>
    </row>
    <row r="63" ht="15.75" customHeight="1">
      <c r="A63" s="13" t="s">
        <v>557</v>
      </c>
      <c r="B63" s="13" t="s">
        <v>558</v>
      </c>
      <c r="C63" s="13" t="s">
        <v>76</v>
      </c>
      <c r="D63" s="13" t="s">
        <v>58</v>
      </c>
      <c r="E63" s="13" t="s">
        <v>132</v>
      </c>
      <c r="F63" s="13" t="s">
        <v>559</v>
      </c>
      <c r="G63" s="13" t="s">
        <v>61</v>
      </c>
      <c r="H63" s="40">
        <v>421167.0</v>
      </c>
      <c r="I63" s="15"/>
      <c r="J63" s="16"/>
      <c r="K63" s="16"/>
      <c r="L63" s="24"/>
      <c r="M63" s="20">
        <f>IF($B63="","",COUNTIFS('Blocker log'!$A:$A,$B63,'Blocker log'!$G:$G,"&lt;&gt;"))</f>
        <v>0</v>
      </c>
      <c r="N63" s="20">
        <f>IF($B63="","",COUNTIFS('Blocker log'!$A:$A,$B63,'Blocker log'!$G:$G,"Hard blocker"))</f>
        <v>0</v>
      </c>
      <c r="O63" s="20">
        <f>IF($B63="","",COUNTIFS('Blocker log'!$A:$A,$B63,'Blocker log'!$G:$G,"Hard blocker",'Blocker log'!$L:$L,9))</f>
        <v>0</v>
      </c>
      <c r="P63" s="20">
        <f>IF($B63="","",MAXIFS('Blocker log'!$L:$L,'Blocker log'!$A:$A,$B63,'Blocker log'!$G:$G,"Hard blocker"))</f>
        <v>0</v>
      </c>
      <c r="Q63" s="20" t="str">
        <f>IF($B63="","",IF($K63&lt;&gt;"Complete","Assessment pending",IF($N63=0,"Ready now",VLOOKUP($P63,Lists!$D$2:$E$5,2,FALSE))))</f>
        <v>Assessment pending</v>
      </c>
      <c r="R63" s="24"/>
      <c r="S63" s="16"/>
      <c r="T63" s="16"/>
      <c r="U63" s="16"/>
    </row>
    <row r="64" ht="15.75" customHeight="1">
      <c r="A64" s="13" t="s">
        <v>563</v>
      </c>
      <c r="B64" s="13" t="s">
        <v>564</v>
      </c>
      <c r="C64" s="13" t="s">
        <v>57</v>
      </c>
      <c r="D64" s="13" t="s">
        <v>58</v>
      </c>
      <c r="E64" s="13" t="s">
        <v>59</v>
      </c>
      <c r="F64" s="13" t="s">
        <v>278</v>
      </c>
      <c r="G64" s="13" t="s">
        <v>61</v>
      </c>
      <c r="H64" s="41">
        <v>107136.0</v>
      </c>
      <c r="I64" s="15" t="s">
        <v>381</v>
      </c>
      <c r="J64" s="16"/>
      <c r="K64" s="18" t="s">
        <v>78</v>
      </c>
      <c r="L64" s="24"/>
      <c r="M64" s="20">
        <f>IF($B64="","",COUNTIFS('Blocker log'!$A:$A,$B64,'Blocker log'!$G:$G,"&lt;&gt;"))</f>
        <v>0</v>
      </c>
      <c r="N64" s="20">
        <f>IF($B64="","",COUNTIFS('Blocker log'!$A:$A,$B64,'Blocker log'!$G:$G,"Hard blocker"))</f>
        <v>0</v>
      </c>
      <c r="O64" s="20">
        <f>IF($B64="","",COUNTIFS('Blocker log'!$A:$A,$B64,'Blocker log'!$G:$G,"Hard blocker",'Blocker log'!$L:$L,9))</f>
        <v>0</v>
      </c>
      <c r="P64" s="20">
        <f>IF($B64="","",MAXIFS('Blocker log'!$L:$L,'Blocker log'!$A:$A,$B64,'Blocker log'!$G:$G,"Hard blocker"))</f>
        <v>0</v>
      </c>
      <c r="Q64" s="20" t="str">
        <f>IF($B64="","",IF($K64&lt;&gt;"Complete","Assessment pending",IF($N64=0,"Ready now",VLOOKUP($P64,Lists!$D$2:$E$5,2,FALSE))))</f>
        <v>Assessment pending</v>
      </c>
      <c r="R64" s="24"/>
      <c r="S64" s="16"/>
      <c r="T64" s="16"/>
      <c r="U64" s="16"/>
    </row>
    <row r="65" ht="15.75" customHeight="1">
      <c r="A65" s="13" t="s">
        <v>569</v>
      </c>
      <c r="B65" s="13" t="s">
        <v>570</v>
      </c>
      <c r="C65" s="13" t="s">
        <v>76</v>
      </c>
      <c r="D65" s="13" t="s">
        <v>171</v>
      </c>
      <c r="E65" s="13" t="s">
        <v>512</v>
      </c>
      <c r="F65" s="13" t="s">
        <v>537</v>
      </c>
      <c r="G65" s="13" t="s">
        <v>61</v>
      </c>
      <c r="H65" s="40">
        <v>413281.0</v>
      </c>
      <c r="I65" s="15"/>
      <c r="J65" s="16"/>
      <c r="K65" s="16"/>
      <c r="L65" s="24"/>
      <c r="M65" s="20">
        <f>IF($B65="","",COUNTIFS('Blocker log'!$A:$A,$B65,'Blocker log'!$G:$G,"&lt;&gt;"))</f>
        <v>0</v>
      </c>
      <c r="N65" s="20">
        <f>IF($B65="","",COUNTIFS('Blocker log'!$A:$A,$B65,'Blocker log'!$G:$G,"Hard blocker"))</f>
        <v>0</v>
      </c>
      <c r="O65" s="20">
        <f>IF($B65="","",COUNTIFS('Blocker log'!$A:$A,$B65,'Blocker log'!$G:$G,"Hard blocker",'Blocker log'!$L:$L,9))</f>
        <v>0</v>
      </c>
      <c r="P65" s="20">
        <f>IF($B65="","",MAXIFS('Blocker log'!$L:$L,'Blocker log'!$A:$A,$B65,'Blocker log'!$G:$G,"Hard blocker"))</f>
        <v>0</v>
      </c>
      <c r="Q65" s="20" t="str">
        <f>IF($B65="","",IF($K65&lt;&gt;"Complete","Assessment pending",IF($N65=0,"Ready now",VLOOKUP($P65,Lists!$D$2:$E$5,2,FALSE))))</f>
        <v>Assessment pending</v>
      </c>
      <c r="R65" s="24"/>
      <c r="S65" s="16"/>
      <c r="T65" s="16"/>
      <c r="U65" s="16"/>
    </row>
    <row r="66" ht="15.75" customHeight="1">
      <c r="A66" s="13" t="s">
        <v>574</v>
      </c>
      <c r="B66" s="13" t="s">
        <v>575</v>
      </c>
      <c r="C66" s="13" t="s">
        <v>76</v>
      </c>
      <c r="D66" s="13" t="s">
        <v>260</v>
      </c>
      <c r="E66" s="13" t="s">
        <v>576</v>
      </c>
      <c r="F66" s="13" t="s">
        <v>577</v>
      </c>
      <c r="G66" s="13" t="s">
        <v>61</v>
      </c>
      <c r="H66" s="40">
        <v>206367.0</v>
      </c>
      <c r="I66" s="15"/>
      <c r="J66" s="16"/>
      <c r="K66" s="16"/>
      <c r="L66" s="24"/>
      <c r="M66" s="20">
        <f>IF($B66="","",COUNTIFS('Blocker log'!$A:$A,$B66,'Blocker log'!$G:$G,"&lt;&gt;"))</f>
        <v>0</v>
      </c>
      <c r="N66" s="20">
        <f>IF($B66="","",COUNTIFS('Blocker log'!$A:$A,$B66,'Blocker log'!$G:$G,"Hard blocker"))</f>
        <v>0</v>
      </c>
      <c r="O66" s="20">
        <f>IF($B66="","",COUNTIFS('Blocker log'!$A:$A,$B66,'Blocker log'!$G:$G,"Hard blocker",'Blocker log'!$L:$L,9))</f>
        <v>0</v>
      </c>
      <c r="P66" s="20">
        <f>IF($B66="","",MAXIFS('Blocker log'!$L:$L,'Blocker log'!$A:$A,$B66,'Blocker log'!$G:$G,"Hard blocker"))</f>
        <v>0</v>
      </c>
      <c r="Q66" s="20" t="str">
        <f>IF($B66="","",IF($K66&lt;&gt;"Complete","Assessment pending",IF($N66=0,"Ready now",VLOOKUP($P66,Lists!$D$2:$E$5,2,FALSE))))</f>
        <v>Assessment pending</v>
      </c>
      <c r="R66" s="24"/>
      <c r="S66" s="16"/>
      <c r="T66" s="16"/>
      <c r="U66" s="16"/>
    </row>
    <row r="67" ht="15.75" customHeight="1">
      <c r="A67" s="13" t="s">
        <v>582</v>
      </c>
      <c r="B67" s="13" t="s">
        <v>583</v>
      </c>
      <c r="C67" s="13" t="s">
        <v>76</v>
      </c>
      <c r="D67" s="13" t="s">
        <v>260</v>
      </c>
      <c r="E67" s="13" t="s">
        <v>351</v>
      </c>
      <c r="F67" s="13" t="s">
        <v>352</v>
      </c>
      <c r="G67" s="13" t="s">
        <v>61</v>
      </c>
      <c r="H67" s="40">
        <v>174291.0</v>
      </c>
      <c r="I67" s="15"/>
      <c r="J67" s="16"/>
      <c r="K67" s="16"/>
      <c r="L67" s="24"/>
      <c r="M67" s="20">
        <f>IF($B67="","",COUNTIFS('Blocker log'!$A:$A,$B67,'Blocker log'!$G:$G,"&lt;&gt;"))</f>
        <v>0</v>
      </c>
      <c r="N67" s="20">
        <f>IF($B67="","",COUNTIFS('Blocker log'!$A:$A,$B67,'Blocker log'!$G:$G,"Hard blocker"))</f>
        <v>0</v>
      </c>
      <c r="O67" s="20">
        <f>IF($B67="","",COUNTIFS('Blocker log'!$A:$A,$B67,'Blocker log'!$G:$G,"Hard blocker",'Blocker log'!$L:$L,9))</f>
        <v>0</v>
      </c>
      <c r="P67" s="20">
        <f>IF($B67="","",MAXIFS('Blocker log'!$L:$L,'Blocker log'!$A:$A,$B67,'Blocker log'!$G:$G,"Hard blocker"))</f>
        <v>0</v>
      </c>
      <c r="Q67" s="20" t="str">
        <f>IF($B67="","",IF($K67&lt;&gt;"Complete","Assessment pending",IF($N67=0,"Ready now",VLOOKUP($P67,Lists!$D$2:$E$5,2,FALSE))))</f>
        <v>Assessment pending</v>
      </c>
      <c r="R67" s="24"/>
      <c r="S67" s="16"/>
      <c r="T67" s="16"/>
      <c r="U67" s="16"/>
    </row>
    <row r="68" ht="15.75" customHeight="1">
      <c r="A68" s="13" t="s">
        <v>585</v>
      </c>
      <c r="B68" s="13" t="s">
        <v>586</v>
      </c>
      <c r="C68" s="13" t="s">
        <v>76</v>
      </c>
      <c r="D68" s="13" t="s">
        <v>171</v>
      </c>
      <c r="E68" s="13" t="s">
        <v>587</v>
      </c>
      <c r="F68" s="13" t="s">
        <v>588</v>
      </c>
      <c r="G68" s="13" t="s">
        <v>61</v>
      </c>
      <c r="H68" s="40">
        <v>20000.0</v>
      </c>
      <c r="I68" s="15"/>
      <c r="J68" s="16"/>
      <c r="K68" s="16"/>
      <c r="L68" s="24"/>
      <c r="M68" s="20">
        <f>IF($B68="","",COUNTIFS('Blocker log'!$A:$A,$B68,'Blocker log'!$G:$G,"&lt;&gt;"))</f>
        <v>0</v>
      </c>
      <c r="N68" s="20">
        <f>IF($B68="","",COUNTIFS('Blocker log'!$A:$A,$B68,'Blocker log'!$G:$G,"Hard blocker"))</f>
        <v>0</v>
      </c>
      <c r="O68" s="20">
        <f>IF($B68="","",COUNTIFS('Blocker log'!$A:$A,$B68,'Blocker log'!$G:$G,"Hard blocker",'Blocker log'!$L:$L,9))</f>
        <v>0</v>
      </c>
      <c r="P68" s="20">
        <f>IF($B68="","",MAXIFS('Blocker log'!$L:$L,'Blocker log'!$A:$A,$B68,'Blocker log'!$G:$G,"Hard blocker"))</f>
        <v>0</v>
      </c>
      <c r="Q68" s="20" t="str">
        <f>IF($B68="","",IF($K68&lt;&gt;"Complete","Assessment pending",IF($N68=0,"Ready now",VLOOKUP($P68,Lists!$D$2:$E$5,2,FALSE))))</f>
        <v>Assessment pending</v>
      </c>
      <c r="R68" s="24"/>
      <c r="S68" s="16"/>
      <c r="T68" s="16"/>
      <c r="U68" s="16"/>
    </row>
    <row r="69" ht="15.75" customHeight="1">
      <c r="A69" s="13" t="s">
        <v>591</v>
      </c>
      <c r="B69" s="13" t="s">
        <v>592</v>
      </c>
      <c r="C69" s="13" t="s">
        <v>76</v>
      </c>
      <c r="D69" s="13" t="s">
        <v>301</v>
      </c>
      <c r="E69" s="13" t="s">
        <v>593</v>
      </c>
      <c r="F69" s="13" t="s">
        <v>593</v>
      </c>
      <c r="G69" s="13" t="s">
        <v>61</v>
      </c>
      <c r="H69" s="40">
        <v>338356.0</v>
      </c>
      <c r="I69" s="15"/>
      <c r="J69" s="16"/>
      <c r="K69" s="16"/>
      <c r="L69" s="24"/>
      <c r="M69" s="20">
        <f>IF($B69="","",COUNTIFS('Blocker log'!$A:$A,$B69,'Blocker log'!$G:$G,"&lt;&gt;"))</f>
        <v>0</v>
      </c>
      <c r="N69" s="20">
        <f>IF($B69="","",COUNTIFS('Blocker log'!$A:$A,$B69,'Blocker log'!$G:$G,"Hard blocker"))</f>
        <v>0</v>
      </c>
      <c r="O69" s="20">
        <f>IF($B69="","",COUNTIFS('Blocker log'!$A:$A,$B69,'Blocker log'!$G:$G,"Hard blocker",'Blocker log'!$L:$L,9))</f>
        <v>0</v>
      </c>
      <c r="P69" s="20">
        <f>IF($B69="","",MAXIFS('Blocker log'!$L:$L,'Blocker log'!$A:$A,$B69,'Blocker log'!$G:$G,"Hard blocker"))</f>
        <v>0</v>
      </c>
      <c r="Q69" s="20" t="str">
        <f>IF($B69="","",IF($K69&lt;&gt;"Complete","Assessment pending",IF($N69=0,"Ready now",VLOOKUP($P69,Lists!$D$2:$E$5,2,FALSE))))</f>
        <v>Assessment pending</v>
      </c>
      <c r="R69" s="24"/>
      <c r="S69" s="16"/>
      <c r="T69" s="16"/>
      <c r="U69" s="16"/>
    </row>
    <row r="70" ht="15.75" customHeight="1">
      <c r="A70" s="13" t="s">
        <v>596</v>
      </c>
      <c r="B70" s="13" t="s">
        <v>597</v>
      </c>
      <c r="C70" s="13" t="s">
        <v>57</v>
      </c>
      <c r="D70" s="13" t="s">
        <v>58</v>
      </c>
      <c r="E70" s="13" t="s">
        <v>59</v>
      </c>
      <c r="F70" s="13" t="s">
        <v>598</v>
      </c>
      <c r="G70" s="13" t="s">
        <v>61</v>
      </c>
      <c r="H70" s="41">
        <v>1483675.0</v>
      </c>
      <c r="I70" s="15" t="s">
        <v>381</v>
      </c>
      <c r="J70" s="16"/>
      <c r="K70" s="18" t="s">
        <v>78</v>
      </c>
      <c r="L70" s="24"/>
      <c r="M70" s="20">
        <f>IF($B70="","",COUNTIFS('Blocker log'!$A:$A,$B70,'Blocker log'!$G:$G,"&lt;&gt;"))</f>
        <v>0</v>
      </c>
      <c r="N70" s="20">
        <f>IF($B70="","",COUNTIFS('Blocker log'!$A:$A,$B70,'Blocker log'!$G:$G,"Hard blocker"))</f>
        <v>0</v>
      </c>
      <c r="O70" s="20">
        <f>IF($B70="","",COUNTIFS('Blocker log'!$A:$A,$B70,'Blocker log'!$G:$G,"Hard blocker",'Blocker log'!$L:$L,9))</f>
        <v>0</v>
      </c>
      <c r="P70" s="20">
        <f>IF($B70="","",MAXIFS('Blocker log'!$L:$L,'Blocker log'!$A:$A,$B70,'Blocker log'!$G:$G,"Hard blocker"))</f>
        <v>0</v>
      </c>
      <c r="Q70" s="20" t="str">
        <f>IF($B70="","",IF($K70&lt;&gt;"Complete","Assessment pending",IF($N70=0,"Ready now",VLOOKUP($P70,Lists!$D$2:$E$5,2,FALSE))))</f>
        <v>Assessment pending</v>
      </c>
      <c r="R70" s="24"/>
      <c r="S70" s="16"/>
      <c r="T70" s="16"/>
      <c r="U70" s="16"/>
    </row>
    <row r="71" ht="15.75" customHeight="1">
      <c r="A71" s="13" t="s">
        <v>601</v>
      </c>
      <c r="B71" s="13" t="s">
        <v>602</v>
      </c>
      <c r="C71" s="13" t="s">
        <v>76</v>
      </c>
      <c r="D71" s="13" t="s">
        <v>171</v>
      </c>
      <c r="E71" s="13" t="s">
        <v>205</v>
      </c>
      <c r="F71" s="13" t="s">
        <v>206</v>
      </c>
      <c r="G71" s="13" t="s">
        <v>61</v>
      </c>
      <c r="H71" s="40">
        <v>388943.0</v>
      </c>
      <c r="I71" s="15"/>
      <c r="J71" s="16"/>
      <c r="K71" s="16"/>
      <c r="L71" s="24"/>
      <c r="M71" s="20">
        <f>IF($B71="","",COUNTIFS('Blocker log'!$A:$A,$B71,'Blocker log'!$G:$G,"&lt;&gt;"))</f>
        <v>0</v>
      </c>
      <c r="N71" s="20">
        <f>IF($B71="","",COUNTIFS('Blocker log'!$A:$A,$B71,'Blocker log'!$G:$G,"Hard blocker"))</f>
        <v>0</v>
      </c>
      <c r="O71" s="20">
        <f>IF($B71="","",COUNTIFS('Blocker log'!$A:$A,$B71,'Blocker log'!$G:$G,"Hard blocker",'Blocker log'!$L:$L,9))</f>
        <v>0</v>
      </c>
      <c r="P71" s="20">
        <f>IF($B71="","",MAXIFS('Blocker log'!$L:$L,'Blocker log'!$A:$A,$B71,'Blocker log'!$G:$G,"Hard blocker"))</f>
        <v>0</v>
      </c>
      <c r="Q71" s="20" t="str">
        <f>IF($B71="","",IF($K71&lt;&gt;"Complete","Assessment pending",IF($N71=0,"Ready now",VLOOKUP($P71,Lists!$D$2:$E$5,2,FALSE))))</f>
        <v>Assessment pending</v>
      </c>
      <c r="R71" s="24"/>
      <c r="S71" s="16"/>
      <c r="T71" s="16"/>
      <c r="U71" s="16"/>
    </row>
    <row r="72" ht="15.75" customHeight="1">
      <c r="A72" s="13" t="s">
        <v>607</v>
      </c>
      <c r="B72" s="13" t="s">
        <v>608</v>
      </c>
      <c r="C72" s="13" t="s">
        <v>76</v>
      </c>
      <c r="D72" s="13" t="s">
        <v>58</v>
      </c>
      <c r="E72" s="13" t="s">
        <v>101</v>
      </c>
      <c r="F72" s="13" t="s">
        <v>116</v>
      </c>
      <c r="G72" s="13" t="s">
        <v>61</v>
      </c>
      <c r="H72" s="40">
        <v>386259.0</v>
      </c>
      <c r="I72" s="15"/>
      <c r="J72" s="16"/>
      <c r="K72" s="16"/>
      <c r="L72" s="24"/>
      <c r="M72" s="20">
        <f>IF($B72="","",COUNTIFS('Blocker log'!$A:$A,$B72,'Blocker log'!$G:$G,"&lt;&gt;"))</f>
        <v>0</v>
      </c>
      <c r="N72" s="20">
        <f>IF($B72="","",COUNTIFS('Blocker log'!$A:$A,$B72,'Blocker log'!$G:$G,"Hard blocker"))</f>
        <v>0</v>
      </c>
      <c r="O72" s="20">
        <f>IF($B72="","",COUNTIFS('Blocker log'!$A:$A,$B72,'Blocker log'!$G:$G,"Hard blocker",'Blocker log'!$L:$L,9))</f>
        <v>0</v>
      </c>
      <c r="P72" s="20">
        <f>IF($B72="","",MAXIFS('Blocker log'!$L:$L,'Blocker log'!$A:$A,$B72,'Blocker log'!$G:$G,"Hard blocker"))</f>
        <v>0</v>
      </c>
      <c r="Q72" s="20" t="str">
        <f>IF($B72="","",IF($K72&lt;&gt;"Complete","Assessment pending",IF($N72=0,"Ready now",VLOOKUP($P72,Lists!$D$2:$E$5,2,FALSE))))</f>
        <v>Assessment pending</v>
      </c>
      <c r="R72" s="24"/>
      <c r="S72" s="16"/>
      <c r="T72" s="16"/>
      <c r="U72" s="16"/>
    </row>
    <row r="73" ht="15.75" customHeight="1">
      <c r="A73" s="13" t="s">
        <v>609</v>
      </c>
      <c r="B73" s="13" t="s">
        <v>610</v>
      </c>
      <c r="C73" s="13" t="s">
        <v>76</v>
      </c>
      <c r="D73" s="13" t="s">
        <v>58</v>
      </c>
      <c r="E73" s="13" t="s">
        <v>59</v>
      </c>
      <c r="F73" s="13" t="s">
        <v>60</v>
      </c>
      <c r="G73" s="13" t="s">
        <v>61</v>
      </c>
      <c r="H73" s="40">
        <v>382707.0</v>
      </c>
      <c r="I73" s="15"/>
      <c r="J73" s="16"/>
      <c r="K73" s="16"/>
      <c r="L73" s="24"/>
      <c r="M73" s="20">
        <f>IF($B73="","",COUNTIFS('Blocker log'!$A:$A,$B73,'Blocker log'!$G:$G,"&lt;&gt;"))</f>
        <v>0</v>
      </c>
      <c r="N73" s="20">
        <f>IF($B73="","",COUNTIFS('Blocker log'!$A:$A,$B73,'Blocker log'!$G:$G,"Hard blocker"))</f>
        <v>0</v>
      </c>
      <c r="O73" s="20">
        <f>IF($B73="","",COUNTIFS('Blocker log'!$A:$A,$B73,'Blocker log'!$G:$G,"Hard blocker",'Blocker log'!$L:$L,9))</f>
        <v>0</v>
      </c>
      <c r="P73" s="20">
        <f>IF($B73="","",MAXIFS('Blocker log'!$L:$L,'Blocker log'!$A:$A,$B73,'Blocker log'!$G:$G,"Hard blocker"))</f>
        <v>0</v>
      </c>
      <c r="Q73" s="20" t="str">
        <f>IF($B73="","",IF($K73&lt;&gt;"Complete","Assessment pending",IF($N73=0,"Ready now",VLOOKUP($P73,Lists!$D$2:$E$5,2,FALSE))))</f>
        <v>Assessment pending</v>
      </c>
      <c r="R73" s="24"/>
      <c r="S73" s="16"/>
      <c r="T73" s="16"/>
      <c r="U73" s="16"/>
    </row>
    <row r="74" ht="15.75" customHeight="1">
      <c r="A74" s="13" t="s">
        <v>611</v>
      </c>
      <c r="B74" s="13" t="s">
        <v>612</v>
      </c>
      <c r="C74" s="13" t="s">
        <v>57</v>
      </c>
      <c r="D74" s="13" t="s">
        <v>58</v>
      </c>
      <c r="E74" s="13" t="s">
        <v>181</v>
      </c>
      <c r="F74" s="13" t="s">
        <v>217</v>
      </c>
      <c r="G74" s="13" t="s">
        <v>61</v>
      </c>
      <c r="H74" s="41">
        <v>1069260.0</v>
      </c>
      <c r="I74" s="15" t="s">
        <v>381</v>
      </c>
      <c r="J74" s="16"/>
      <c r="K74" s="18" t="s">
        <v>78</v>
      </c>
      <c r="L74" s="24"/>
      <c r="M74" s="20">
        <f>IF($B74="","",COUNTIFS('Blocker log'!$A:$A,$B74,'Blocker log'!$G:$G,"&lt;&gt;"))</f>
        <v>0</v>
      </c>
      <c r="N74" s="20">
        <f>IF($B74="","",COUNTIFS('Blocker log'!$A:$A,$B74,'Blocker log'!$G:$G,"Hard blocker"))</f>
        <v>0</v>
      </c>
      <c r="O74" s="20">
        <f>IF($B74="","",COUNTIFS('Blocker log'!$A:$A,$B74,'Blocker log'!$G:$G,"Hard blocker",'Blocker log'!$L:$L,9))</f>
        <v>0</v>
      </c>
      <c r="P74" s="20">
        <f>IF($B74="","",MAXIFS('Blocker log'!$L:$L,'Blocker log'!$A:$A,$B74,'Blocker log'!$G:$G,"Hard blocker"))</f>
        <v>0</v>
      </c>
      <c r="Q74" s="20" t="str">
        <f>IF($B74="","",IF($K74&lt;&gt;"Complete","Assessment pending",IF($N74=0,"Ready now",VLOOKUP($P74,Lists!$D$2:$E$5,2,FALSE))))</f>
        <v>Assessment pending</v>
      </c>
      <c r="R74" s="24"/>
      <c r="S74" s="16"/>
      <c r="T74" s="16"/>
      <c r="U74" s="16"/>
    </row>
    <row r="75" ht="15.75" customHeight="1">
      <c r="A75" s="13" t="s">
        <v>619</v>
      </c>
      <c r="B75" s="13" t="s">
        <v>620</v>
      </c>
      <c r="C75" s="13" t="s">
        <v>76</v>
      </c>
      <c r="D75" s="13" t="s">
        <v>171</v>
      </c>
      <c r="E75" s="13" t="s">
        <v>512</v>
      </c>
      <c r="F75" s="13" t="s">
        <v>537</v>
      </c>
      <c r="G75" s="13" t="s">
        <v>61</v>
      </c>
      <c r="H75" s="40">
        <v>376770.0</v>
      </c>
      <c r="I75" s="15"/>
      <c r="J75" s="16"/>
      <c r="K75" s="16"/>
      <c r="L75" s="24"/>
      <c r="M75" s="20">
        <f>IF($B75="","",COUNTIFS('Blocker log'!$A:$A,$B75,'Blocker log'!$G:$G,"&lt;&gt;"))</f>
        <v>0</v>
      </c>
      <c r="N75" s="20">
        <f>IF($B75="","",COUNTIFS('Blocker log'!$A:$A,$B75,'Blocker log'!$G:$G,"Hard blocker"))</f>
        <v>0</v>
      </c>
      <c r="O75" s="20">
        <f>IF($B75="","",COUNTIFS('Blocker log'!$A:$A,$B75,'Blocker log'!$G:$G,"Hard blocker",'Blocker log'!$L:$L,9))</f>
        <v>0</v>
      </c>
      <c r="P75" s="20">
        <f>IF($B75="","",MAXIFS('Blocker log'!$L:$L,'Blocker log'!$A:$A,$B75,'Blocker log'!$G:$G,"Hard blocker"))</f>
        <v>0</v>
      </c>
      <c r="Q75" s="20" t="str">
        <f>IF($B75="","",IF($K75&lt;&gt;"Complete","Assessment pending",IF($N75=0,"Ready now",VLOOKUP($P75,Lists!$D$2:$E$5,2,FALSE))))</f>
        <v>Assessment pending</v>
      </c>
      <c r="R75" s="24"/>
      <c r="S75" s="16"/>
      <c r="T75" s="16"/>
      <c r="U75" s="16"/>
    </row>
    <row r="76" ht="15.75" customHeight="1">
      <c r="A76" s="13" t="s">
        <v>627</v>
      </c>
      <c r="B76" s="13" t="s">
        <v>628</v>
      </c>
      <c r="C76" s="13" t="s">
        <v>76</v>
      </c>
      <c r="D76" s="13" t="s">
        <v>58</v>
      </c>
      <c r="E76" s="13" t="s">
        <v>494</v>
      </c>
      <c r="F76" s="13" t="s">
        <v>629</v>
      </c>
      <c r="G76" s="13" t="s">
        <v>61</v>
      </c>
      <c r="H76" s="40">
        <v>443561.0</v>
      </c>
      <c r="I76" s="15"/>
      <c r="J76" s="16"/>
      <c r="K76" s="16"/>
      <c r="L76" s="24"/>
      <c r="M76" s="20">
        <f>IF($B76="","",COUNTIFS('Blocker log'!$A:$A,$B76,'Blocker log'!$G:$G,"&lt;&gt;"))</f>
        <v>0</v>
      </c>
      <c r="N76" s="20">
        <f>IF($B76="","",COUNTIFS('Blocker log'!$A:$A,$B76,'Blocker log'!$G:$G,"Hard blocker"))</f>
        <v>0</v>
      </c>
      <c r="O76" s="20">
        <f>IF($B76="","",COUNTIFS('Blocker log'!$A:$A,$B76,'Blocker log'!$G:$G,"Hard blocker",'Blocker log'!$L:$L,9))</f>
        <v>0</v>
      </c>
      <c r="P76" s="20">
        <f>IF($B76="","",MAXIFS('Blocker log'!$L:$L,'Blocker log'!$A:$A,$B76,'Blocker log'!$G:$G,"Hard blocker"))</f>
        <v>0</v>
      </c>
      <c r="Q76" s="20" t="str">
        <f>IF($B76="","",IF($K76&lt;&gt;"Complete","Assessment pending",IF($N76=0,"Ready now",VLOOKUP($P76,Lists!$D$2:$E$5,2,FALSE))))</f>
        <v>Assessment pending</v>
      </c>
      <c r="R76" s="24"/>
      <c r="S76" s="16"/>
      <c r="T76" s="16"/>
      <c r="U76" s="16"/>
    </row>
    <row r="77" ht="15.75" customHeight="1">
      <c r="A77" s="13" t="s">
        <v>639</v>
      </c>
      <c r="B77" s="13" t="s">
        <v>640</v>
      </c>
      <c r="C77" s="13" t="s">
        <v>76</v>
      </c>
      <c r="D77" s="13" t="s">
        <v>260</v>
      </c>
      <c r="E77" s="13" t="s">
        <v>351</v>
      </c>
      <c r="F77" s="13" t="s">
        <v>352</v>
      </c>
      <c r="G77" s="13" t="s">
        <v>61</v>
      </c>
      <c r="H77" s="40">
        <v>364573.0</v>
      </c>
      <c r="I77" s="15"/>
      <c r="J77" s="16"/>
      <c r="K77" s="16"/>
      <c r="L77" s="24"/>
      <c r="M77" s="20">
        <f>IF($B77="","",COUNTIFS('Blocker log'!$A:$A,$B77,'Blocker log'!$G:$G,"&lt;&gt;"))</f>
        <v>0</v>
      </c>
      <c r="N77" s="20">
        <f>IF($B77="","",COUNTIFS('Blocker log'!$A:$A,$B77,'Blocker log'!$G:$G,"Hard blocker"))</f>
        <v>0</v>
      </c>
      <c r="O77" s="20">
        <f>IF($B77="","",COUNTIFS('Blocker log'!$A:$A,$B77,'Blocker log'!$G:$G,"Hard blocker",'Blocker log'!$L:$L,9))</f>
        <v>0</v>
      </c>
      <c r="P77" s="20">
        <f>IF($B77="","",MAXIFS('Blocker log'!$L:$L,'Blocker log'!$A:$A,$B77,'Blocker log'!$G:$G,"Hard blocker"))</f>
        <v>0</v>
      </c>
      <c r="Q77" s="20" t="str">
        <f>IF($B77="","",IF($K77&lt;&gt;"Complete","Assessment pending",IF($N77=0,"Ready now",VLOOKUP($P77,Lists!$D$2:$E$5,2,FALSE))))</f>
        <v>Assessment pending</v>
      </c>
      <c r="R77" s="24"/>
      <c r="S77" s="16"/>
      <c r="T77" s="16"/>
      <c r="U77" s="16"/>
    </row>
    <row r="78" ht="15.75" customHeight="1">
      <c r="A78" s="13" t="s">
        <v>641</v>
      </c>
      <c r="B78" s="13" t="s">
        <v>642</v>
      </c>
      <c r="C78" s="13" t="s">
        <v>76</v>
      </c>
      <c r="D78" s="13" t="s">
        <v>171</v>
      </c>
      <c r="E78" s="13" t="s">
        <v>512</v>
      </c>
      <c r="F78" s="13" t="s">
        <v>537</v>
      </c>
      <c r="G78" s="13" t="s">
        <v>61</v>
      </c>
      <c r="H78" s="40">
        <v>366444.0</v>
      </c>
      <c r="I78" s="15"/>
      <c r="J78" s="16"/>
      <c r="K78" s="16"/>
      <c r="L78" s="24"/>
      <c r="M78" s="20">
        <f>IF($B78="","",COUNTIFS('Blocker log'!$A:$A,$B78,'Blocker log'!$G:$G,"&lt;&gt;"))</f>
        <v>0</v>
      </c>
      <c r="N78" s="20">
        <f>IF($B78="","",COUNTIFS('Blocker log'!$A:$A,$B78,'Blocker log'!$G:$G,"Hard blocker"))</f>
        <v>0</v>
      </c>
      <c r="O78" s="20">
        <f>IF($B78="","",COUNTIFS('Blocker log'!$A:$A,$B78,'Blocker log'!$G:$G,"Hard blocker",'Blocker log'!$L:$L,9))</f>
        <v>0</v>
      </c>
      <c r="P78" s="20">
        <f>IF($B78="","",MAXIFS('Blocker log'!$L:$L,'Blocker log'!$A:$A,$B78,'Blocker log'!$G:$G,"Hard blocker"))</f>
        <v>0</v>
      </c>
      <c r="Q78" s="20" t="str">
        <f>IF($B78="","",IF($K78&lt;&gt;"Complete","Assessment pending",IF($N78=0,"Ready now",VLOOKUP($P78,Lists!$D$2:$E$5,2,FALSE))))</f>
        <v>Assessment pending</v>
      </c>
      <c r="R78" s="24"/>
      <c r="S78" s="16"/>
      <c r="T78" s="16"/>
      <c r="U78" s="16"/>
    </row>
    <row r="79" ht="15.75" customHeight="1">
      <c r="A79" s="13" t="s">
        <v>644</v>
      </c>
      <c r="B79" s="13" t="s">
        <v>645</v>
      </c>
      <c r="C79" s="13" t="s">
        <v>76</v>
      </c>
      <c r="D79" s="13" t="s">
        <v>58</v>
      </c>
      <c r="E79" s="13" t="s">
        <v>59</v>
      </c>
      <c r="F79" s="13" t="s">
        <v>278</v>
      </c>
      <c r="G79" s="13" t="s">
        <v>61</v>
      </c>
      <c r="H79" s="40">
        <v>101660.0</v>
      </c>
      <c r="I79" s="15"/>
      <c r="J79" s="16"/>
      <c r="K79" s="16"/>
      <c r="L79" s="24"/>
      <c r="M79" s="20">
        <f>IF($B79="","",COUNTIFS('Blocker log'!$A:$A,$B79,'Blocker log'!$G:$G,"&lt;&gt;"))</f>
        <v>0</v>
      </c>
      <c r="N79" s="20">
        <f>IF($B79="","",COUNTIFS('Blocker log'!$A:$A,$B79,'Blocker log'!$G:$G,"Hard blocker"))</f>
        <v>0</v>
      </c>
      <c r="O79" s="20">
        <f>IF($B79="","",COUNTIFS('Blocker log'!$A:$A,$B79,'Blocker log'!$G:$G,"Hard blocker",'Blocker log'!$L:$L,9))</f>
        <v>0</v>
      </c>
      <c r="P79" s="20">
        <f>IF($B79="","",MAXIFS('Blocker log'!$L:$L,'Blocker log'!$A:$A,$B79,'Blocker log'!$G:$G,"Hard blocker"))</f>
        <v>0</v>
      </c>
      <c r="Q79" s="20" t="str">
        <f>IF($B79="","",IF($K79&lt;&gt;"Complete","Assessment pending",IF($N79=0,"Ready now",VLOOKUP($P79,Lists!$D$2:$E$5,2,FALSE))))</f>
        <v>Assessment pending</v>
      </c>
      <c r="R79" s="24"/>
      <c r="S79" s="16"/>
      <c r="T79" s="16"/>
      <c r="U79" s="16"/>
    </row>
    <row r="80" ht="15.75" customHeight="1">
      <c r="A80" s="13" t="s">
        <v>646</v>
      </c>
      <c r="B80" s="13" t="s">
        <v>647</v>
      </c>
      <c r="C80" s="13" t="s">
        <v>76</v>
      </c>
      <c r="D80" s="13" t="s">
        <v>58</v>
      </c>
      <c r="E80" s="13" t="s">
        <v>181</v>
      </c>
      <c r="F80" s="13" t="s">
        <v>182</v>
      </c>
      <c r="G80" s="13" t="s">
        <v>61</v>
      </c>
      <c r="H80" s="40">
        <v>353220.0</v>
      </c>
      <c r="I80" s="15"/>
      <c r="J80" s="16"/>
      <c r="K80" s="16"/>
      <c r="L80" s="24"/>
      <c r="M80" s="20">
        <f>IF($B80="","",COUNTIFS('Blocker log'!$A:$A,$B80,'Blocker log'!$G:$G,"&lt;&gt;"))</f>
        <v>0</v>
      </c>
      <c r="N80" s="20">
        <f>IF($B80="","",COUNTIFS('Blocker log'!$A:$A,$B80,'Blocker log'!$G:$G,"Hard blocker"))</f>
        <v>0</v>
      </c>
      <c r="O80" s="20">
        <f>IF($B80="","",COUNTIFS('Blocker log'!$A:$A,$B80,'Blocker log'!$G:$G,"Hard blocker",'Blocker log'!$L:$L,9))</f>
        <v>0</v>
      </c>
      <c r="P80" s="20">
        <f>IF($B80="","",MAXIFS('Blocker log'!$L:$L,'Blocker log'!$A:$A,$B80,'Blocker log'!$G:$G,"Hard blocker"))</f>
        <v>0</v>
      </c>
      <c r="Q80" s="20" t="str">
        <f>IF($B80="","",IF($K80&lt;&gt;"Complete","Assessment pending",IF($N80=0,"Ready now",VLOOKUP($P80,Lists!$D$2:$E$5,2,FALSE))))</f>
        <v>Assessment pending</v>
      </c>
      <c r="R80" s="24"/>
      <c r="S80" s="16"/>
      <c r="T80" s="16"/>
      <c r="U80" s="16"/>
    </row>
    <row r="81" ht="15.75" customHeight="1">
      <c r="A81" s="13" t="s">
        <v>648</v>
      </c>
      <c r="B81" s="13" t="s">
        <v>649</v>
      </c>
      <c r="C81" s="13" t="s">
        <v>76</v>
      </c>
      <c r="D81" s="13" t="s">
        <v>171</v>
      </c>
      <c r="E81" s="13" t="s">
        <v>205</v>
      </c>
      <c r="F81" s="13" t="s">
        <v>206</v>
      </c>
      <c r="G81" s="13" t="s">
        <v>61</v>
      </c>
      <c r="H81" s="40">
        <v>352512.0</v>
      </c>
      <c r="I81" s="15"/>
      <c r="J81" s="16"/>
      <c r="K81" s="16"/>
      <c r="L81" s="24"/>
      <c r="M81" s="20">
        <f>IF($B81="","",COUNTIFS('Blocker log'!$A:$A,$B81,'Blocker log'!$G:$G,"&lt;&gt;"))</f>
        <v>0</v>
      </c>
      <c r="N81" s="20">
        <f>IF($B81="","",COUNTIFS('Blocker log'!$A:$A,$B81,'Blocker log'!$G:$G,"Hard blocker"))</f>
        <v>0</v>
      </c>
      <c r="O81" s="20">
        <f>IF($B81="","",COUNTIFS('Blocker log'!$A:$A,$B81,'Blocker log'!$G:$G,"Hard blocker",'Blocker log'!$L:$L,9))</f>
        <v>0</v>
      </c>
      <c r="P81" s="20">
        <f>IF($B81="","",MAXIFS('Blocker log'!$L:$L,'Blocker log'!$A:$A,$B81,'Blocker log'!$G:$G,"Hard blocker"))</f>
        <v>0</v>
      </c>
      <c r="Q81" s="20" t="str">
        <f>IF($B81="","",IF($K81&lt;&gt;"Complete","Assessment pending",IF($N81=0,"Ready now",VLOOKUP($P81,Lists!$D$2:$E$5,2,FALSE))))</f>
        <v>Assessment pending</v>
      </c>
      <c r="R81" s="24"/>
      <c r="S81" s="16"/>
      <c r="T81" s="16"/>
      <c r="U81" s="16"/>
    </row>
    <row r="82" ht="15.75" customHeight="1">
      <c r="A82" s="13" t="s">
        <v>651</v>
      </c>
      <c r="B82" s="13" t="s">
        <v>652</v>
      </c>
      <c r="C82" s="13" t="s">
        <v>57</v>
      </c>
      <c r="D82" s="13" t="s">
        <v>58</v>
      </c>
      <c r="E82" s="13" t="s">
        <v>181</v>
      </c>
      <c r="F82" s="13" t="s">
        <v>653</v>
      </c>
      <c r="G82" s="13" t="s">
        <v>61</v>
      </c>
      <c r="H82" s="41">
        <v>203435.0</v>
      </c>
      <c r="I82" s="15" t="s">
        <v>381</v>
      </c>
      <c r="J82" s="16"/>
      <c r="K82" s="18" t="s">
        <v>78</v>
      </c>
      <c r="L82" s="24"/>
      <c r="M82" s="20">
        <f>IF($B82="","",COUNTIFS('Blocker log'!$A:$A,$B82,'Blocker log'!$G:$G,"&lt;&gt;"))</f>
        <v>0</v>
      </c>
      <c r="N82" s="20">
        <f>IF($B82="","",COUNTIFS('Blocker log'!$A:$A,$B82,'Blocker log'!$G:$G,"Hard blocker"))</f>
        <v>0</v>
      </c>
      <c r="O82" s="20">
        <f>IF($B82="","",COUNTIFS('Blocker log'!$A:$A,$B82,'Blocker log'!$G:$G,"Hard blocker",'Blocker log'!$L:$L,9))</f>
        <v>0</v>
      </c>
      <c r="P82" s="20">
        <f>IF($B82="","",MAXIFS('Blocker log'!$L:$L,'Blocker log'!$A:$A,$B82,'Blocker log'!$G:$G,"Hard blocker"))</f>
        <v>0</v>
      </c>
      <c r="Q82" s="20" t="str">
        <f>IF($B82="","",IF($K82&lt;&gt;"Complete","Assessment pending",IF($N82=0,"Ready now",VLOOKUP($P82,Lists!$D$2:$E$5,2,FALSE))))</f>
        <v>Assessment pending</v>
      </c>
      <c r="R82" s="24"/>
      <c r="S82" s="16"/>
      <c r="T82" s="16"/>
      <c r="U82" s="16"/>
    </row>
    <row r="83" ht="15.75" customHeight="1">
      <c r="A83" s="13" t="s">
        <v>656</v>
      </c>
      <c r="B83" s="13" t="s">
        <v>657</v>
      </c>
      <c r="C83" s="13" t="s">
        <v>76</v>
      </c>
      <c r="D83" s="13" t="s">
        <v>260</v>
      </c>
      <c r="E83" s="13" t="s">
        <v>576</v>
      </c>
      <c r="F83" s="13" t="s">
        <v>658</v>
      </c>
      <c r="G83" s="13" t="s">
        <v>61</v>
      </c>
      <c r="H83" s="40">
        <v>330494.0</v>
      </c>
      <c r="I83" s="15"/>
      <c r="J83" s="16"/>
      <c r="K83" s="16"/>
      <c r="L83" s="24"/>
      <c r="M83" s="20">
        <f>IF($B83="","",COUNTIFS('Blocker log'!$A:$A,$B83,'Blocker log'!$G:$G,"&lt;&gt;"))</f>
        <v>0</v>
      </c>
      <c r="N83" s="20">
        <f>IF($B83="","",COUNTIFS('Blocker log'!$A:$A,$B83,'Blocker log'!$G:$G,"Hard blocker"))</f>
        <v>0</v>
      </c>
      <c r="O83" s="20">
        <f>IF($B83="","",COUNTIFS('Blocker log'!$A:$A,$B83,'Blocker log'!$G:$G,"Hard blocker",'Blocker log'!$L:$L,9))</f>
        <v>0</v>
      </c>
      <c r="P83" s="20">
        <f>IF($B83="","",MAXIFS('Blocker log'!$L:$L,'Blocker log'!$A:$A,$B83,'Blocker log'!$G:$G,"Hard blocker"))</f>
        <v>0</v>
      </c>
      <c r="Q83" s="20" t="str">
        <f>IF($B83="","",IF($K83&lt;&gt;"Complete","Assessment pending",IF($N83=0,"Ready now",VLOOKUP($P83,Lists!$D$2:$E$5,2,FALSE))))</f>
        <v>Assessment pending</v>
      </c>
      <c r="R83" s="24"/>
      <c r="S83" s="16"/>
      <c r="T83" s="16"/>
      <c r="U83" s="16"/>
    </row>
    <row r="84" ht="15.75" customHeight="1">
      <c r="A84" s="13" t="s">
        <v>659</v>
      </c>
      <c r="B84" s="13" t="s">
        <v>660</v>
      </c>
      <c r="C84" s="13" t="s">
        <v>76</v>
      </c>
      <c r="D84" s="13" t="s">
        <v>301</v>
      </c>
      <c r="E84" s="13" t="s">
        <v>593</v>
      </c>
      <c r="F84" s="13" t="s">
        <v>593</v>
      </c>
      <c r="G84" s="13" t="s">
        <v>61</v>
      </c>
      <c r="H84" s="40">
        <v>318060.0</v>
      </c>
      <c r="I84" s="15"/>
      <c r="J84" s="16"/>
      <c r="K84" s="16"/>
      <c r="L84" s="24"/>
      <c r="M84" s="20">
        <f>IF($B84="","",COUNTIFS('Blocker log'!$A:$A,$B84,'Blocker log'!$G:$G,"&lt;&gt;"))</f>
        <v>0</v>
      </c>
      <c r="N84" s="20">
        <f>IF($B84="","",COUNTIFS('Blocker log'!$A:$A,$B84,'Blocker log'!$G:$G,"Hard blocker"))</f>
        <v>0</v>
      </c>
      <c r="O84" s="20">
        <f>IF($B84="","",COUNTIFS('Blocker log'!$A:$A,$B84,'Blocker log'!$G:$G,"Hard blocker",'Blocker log'!$L:$L,9))</f>
        <v>0</v>
      </c>
      <c r="P84" s="20">
        <f>IF($B84="","",MAXIFS('Blocker log'!$L:$L,'Blocker log'!$A:$A,$B84,'Blocker log'!$G:$G,"Hard blocker"))</f>
        <v>0</v>
      </c>
      <c r="Q84" s="20" t="str">
        <f>IF($B84="","",IF($K84&lt;&gt;"Complete","Assessment pending",IF($N84=0,"Ready now",VLOOKUP($P84,Lists!$D$2:$E$5,2,FALSE))))</f>
        <v>Assessment pending</v>
      </c>
      <c r="R84" s="24"/>
      <c r="S84" s="16"/>
      <c r="T84" s="16"/>
      <c r="U84" s="16"/>
    </row>
    <row r="85" ht="15.75" customHeight="1">
      <c r="A85" s="13" t="s">
        <v>661</v>
      </c>
      <c r="B85" s="13" t="s">
        <v>662</v>
      </c>
      <c r="C85" s="13" t="s">
        <v>76</v>
      </c>
      <c r="D85" s="13" t="s">
        <v>58</v>
      </c>
      <c r="E85" s="13" t="s">
        <v>140</v>
      </c>
      <c r="F85" s="13" t="s">
        <v>663</v>
      </c>
      <c r="G85" s="13" t="s">
        <v>61</v>
      </c>
      <c r="H85" s="40">
        <v>315725.0</v>
      </c>
      <c r="I85" s="15"/>
      <c r="J85" s="16"/>
      <c r="K85" s="16"/>
      <c r="L85" s="24"/>
      <c r="M85" s="20">
        <f>IF($B85="","",COUNTIFS('Blocker log'!$A:$A,$B85,'Blocker log'!$G:$G,"&lt;&gt;"))</f>
        <v>0</v>
      </c>
      <c r="N85" s="20">
        <f>IF($B85="","",COUNTIFS('Blocker log'!$A:$A,$B85,'Blocker log'!$G:$G,"Hard blocker"))</f>
        <v>0</v>
      </c>
      <c r="O85" s="20">
        <f>IF($B85="","",COUNTIFS('Blocker log'!$A:$A,$B85,'Blocker log'!$G:$G,"Hard blocker",'Blocker log'!$L:$L,9))</f>
        <v>0</v>
      </c>
      <c r="P85" s="20">
        <f>IF($B85="","",MAXIFS('Blocker log'!$L:$L,'Blocker log'!$A:$A,$B85,'Blocker log'!$G:$G,"Hard blocker"))</f>
        <v>0</v>
      </c>
      <c r="Q85" s="20" t="str">
        <f>IF($B85="","",IF($K85&lt;&gt;"Complete","Assessment pending",IF($N85=0,"Ready now",VLOOKUP($P85,Lists!$D$2:$E$5,2,FALSE))))</f>
        <v>Assessment pending</v>
      </c>
      <c r="R85" s="24"/>
      <c r="S85" s="16"/>
      <c r="T85" s="16"/>
      <c r="U85" s="16"/>
    </row>
    <row r="86" ht="15.75" customHeight="1">
      <c r="A86" s="13" t="s">
        <v>666</v>
      </c>
      <c r="B86" s="13" t="s">
        <v>667</v>
      </c>
      <c r="C86" s="13" t="s">
        <v>76</v>
      </c>
      <c r="D86" s="13" t="s">
        <v>171</v>
      </c>
      <c r="E86" s="13" t="s">
        <v>668</v>
      </c>
      <c r="F86" s="13" t="s">
        <v>669</v>
      </c>
      <c r="G86" s="13" t="s">
        <v>61</v>
      </c>
      <c r="H86" s="40">
        <v>315297.0</v>
      </c>
      <c r="I86" s="15"/>
      <c r="J86" s="16"/>
      <c r="K86" s="16"/>
      <c r="L86" s="24"/>
      <c r="M86" s="20">
        <f>IF($B86="","",COUNTIFS('Blocker log'!$A:$A,$B86,'Blocker log'!$G:$G,"&lt;&gt;"))</f>
        <v>0</v>
      </c>
      <c r="N86" s="20">
        <f>IF($B86="","",COUNTIFS('Blocker log'!$A:$A,$B86,'Blocker log'!$G:$G,"Hard blocker"))</f>
        <v>0</v>
      </c>
      <c r="O86" s="20">
        <f>IF($B86="","",COUNTIFS('Blocker log'!$A:$A,$B86,'Blocker log'!$G:$G,"Hard blocker",'Blocker log'!$L:$L,9))</f>
        <v>0</v>
      </c>
      <c r="P86" s="20">
        <f>IF($B86="","",MAXIFS('Blocker log'!$L:$L,'Blocker log'!$A:$A,$B86,'Blocker log'!$G:$G,"Hard blocker"))</f>
        <v>0</v>
      </c>
      <c r="Q86" s="20" t="str">
        <f>IF($B86="","",IF($K86&lt;&gt;"Complete","Assessment pending",IF($N86=0,"Ready now",VLOOKUP($P86,Lists!$D$2:$E$5,2,FALSE))))</f>
        <v>Assessment pending</v>
      </c>
      <c r="R86" s="24"/>
      <c r="S86" s="16"/>
      <c r="T86" s="16"/>
      <c r="U86" s="16"/>
    </row>
    <row r="87" ht="15.75" customHeight="1">
      <c r="A87" s="13" t="s">
        <v>672</v>
      </c>
      <c r="B87" s="13" t="s">
        <v>673</v>
      </c>
      <c r="C87" s="13" t="s">
        <v>76</v>
      </c>
      <c r="D87" s="13" t="s">
        <v>260</v>
      </c>
      <c r="E87" s="13" t="s">
        <v>506</v>
      </c>
      <c r="F87" s="13" t="s">
        <v>674</v>
      </c>
      <c r="G87" s="13" t="s">
        <v>61</v>
      </c>
      <c r="H87" s="40">
        <v>187210.0</v>
      </c>
      <c r="I87" s="15"/>
      <c r="J87" s="16"/>
      <c r="K87" s="16"/>
      <c r="L87" s="24"/>
      <c r="M87" s="20">
        <f>IF($B87="","",COUNTIFS('Blocker log'!$A:$A,$B87,'Blocker log'!$G:$G,"&lt;&gt;"))</f>
        <v>0</v>
      </c>
      <c r="N87" s="20">
        <f>IF($B87="","",COUNTIFS('Blocker log'!$A:$A,$B87,'Blocker log'!$G:$G,"Hard blocker"))</f>
        <v>0</v>
      </c>
      <c r="O87" s="20">
        <f>IF($B87="","",COUNTIFS('Blocker log'!$A:$A,$B87,'Blocker log'!$G:$G,"Hard blocker",'Blocker log'!$L:$L,9))</f>
        <v>0</v>
      </c>
      <c r="P87" s="20">
        <f>IF($B87="","",MAXIFS('Blocker log'!$L:$L,'Blocker log'!$A:$A,$B87,'Blocker log'!$G:$G,"Hard blocker"))</f>
        <v>0</v>
      </c>
      <c r="Q87" s="20" t="str">
        <f>IF($B87="","",IF($K87&lt;&gt;"Complete","Assessment pending",IF($N87=0,"Ready now",VLOOKUP($P87,Lists!$D$2:$E$5,2,FALSE))))</f>
        <v>Assessment pending</v>
      </c>
      <c r="R87" s="24"/>
      <c r="S87" s="16"/>
      <c r="T87" s="16"/>
      <c r="U87" s="16"/>
    </row>
    <row r="88" ht="15.75" customHeight="1">
      <c r="A88" s="13" t="s">
        <v>675</v>
      </c>
      <c r="B88" s="13" t="s">
        <v>676</v>
      </c>
      <c r="C88" s="13" t="s">
        <v>76</v>
      </c>
      <c r="D88" s="13" t="s">
        <v>171</v>
      </c>
      <c r="E88" s="13" t="s">
        <v>677</v>
      </c>
      <c r="F88" s="13" t="s">
        <v>678</v>
      </c>
      <c r="G88" s="13" t="s">
        <v>61</v>
      </c>
      <c r="H88" s="40">
        <v>311744.0</v>
      </c>
      <c r="I88" s="15"/>
      <c r="J88" s="16"/>
      <c r="K88" s="16"/>
      <c r="L88" s="24"/>
      <c r="M88" s="20">
        <f>IF($B88="","",COUNTIFS('Blocker log'!$A:$A,$B88,'Blocker log'!$G:$G,"&lt;&gt;"))</f>
        <v>0</v>
      </c>
      <c r="N88" s="20">
        <f>IF($B88="","",COUNTIFS('Blocker log'!$A:$A,$B88,'Blocker log'!$G:$G,"Hard blocker"))</f>
        <v>0</v>
      </c>
      <c r="O88" s="20">
        <f>IF($B88="","",COUNTIFS('Blocker log'!$A:$A,$B88,'Blocker log'!$G:$G,"Hard blocker",'Blocker log'!$L:$L,9))</f>
        <v>0</v>
      </c>
      <c r="P88" s="20">
        <f>IF($B88="","",MAXIFS('Blocker log'!$L:$L,'Blocker log'!$A:$A,$B88,'Blocker log'!$G:$G,"Hard blocker"))</f>
        <v>0</v>
      </c>
      <c r="Q88" s="20" t="str">
        <f>IF($B88="","",IF($K88&lt;&gt;"Complete","Assessment pending",IF($N88=0,"Ready now",VLOOKUP($P88,Lists!$D$2:$E$5,2,FALSE))))</f>
        <v>Assessment pending</v>
      </c>
      <c r="R88" s="24"/>
      <c r="S88" s="16"/>
      <c r="T88" s="16"/>
      <c r="U88" s="16"/>
    </row>
    <row r="89" ht="15.75" customHeight="1">
      <c r="A89" s="13" t="s">
        <v>679</v>
      </c>
      <c r="B89" s="13" t="s">
        <v>680</v>
      </c>
      <c r="C89" s="13" t="s">
        <v>76</v>
      </c>
      <c r="D89" s="13" t="s">
        <v>301</v>
      </c>
      <c r="E89" s="13" t="s">
        <v>490</v>
      </c>
      <c r="F89" s="13" t="s">
        <v>490</v>
      </c>
      <c r="G89" s="13" t="s">
        <v>61</v>
      </c>
      <c r="H89" s="40">
        <v>443998.0</v>
      </c>
      <c r="I89" s="15"/>
      <c r="J89" s="16"/>
      <c r="K89" s="16"/>
      <c r="L89" s="24"/>
      <c r="M89" s="20">
        <f>IF($B89="","",COUNTIFS('Blocker log'!$A:$A,$B89,'Blocker log'!$G:$G,"&lt;&gt;"))</f>
        <v>0</v>
      </c>
      <c r="N89" s="20">
        <f>IF($B89="","",COUNTIFS('Blocker log'!$A:$A,$B89,'Blocker log'!$G:$G,"Hard blocker"))</f>
        <v>0</v>
      </c>
      <c r="O89" s="20">
        <f>IF($B89="","",COUNTIFS('Blocker log'!$A:$A,$B89,'Blocker log'!$G:$G,"Hard blocker",'Blocker log'!$L:$L,9))</f>
        <v>0</v>
      </c>
      <c r="P89" s="20">
        <f>IF($B89="","",MAXIFS('Blocker log'!$L:$L,'Blocker log'!$A:$A,$B89,'Blocker log'!$G:$G,"Hard blocker"))</f>
        <v>0</v>
      </c>
      <c r="Q89" s="20" t="str">
        <f>IF($B89="","",IF($K89&lt;&gt;"Complete","Assessment pending",IF($N89=0,"Ready now",VLOOKUP($P89,Lists!$D$2:$E$5,2,FALSE))))</f>
        <v>Assessment pending</v>
      </c>
      <c r="R89" s="24"/>
      <c r="S89" s="16"/>
      <c r="T89" s="16"/>
      <c r="U89" s="16"/>
    </row>
    <row r="90" ht="15.75" customHeight="1">
      <c r="A90" s="13" t="s">
        <v>683</v>
      </c>
      <c r="B90" s="13" t="s">
        <v>684</v>
      </c>
      <c r="C90" s="13" t="s">
        <v>76</v>
      </c>
      <c r="D90" s="13" t="s">
        <v>260</v>
      </c>
      <c r="E90" s="13" t="s">
        <v>506</v>
      </c>
      <c r="F90" s="13" t="s">
        <v>685</v>
      </c>
      <c r="G90" s="13" t="s">
        <v>61</v>
      </c>
      <c r="H90" s="40">
        <v>97271.0</v>
      </c>
      <c r="I90" s="15"/>
      <c r="J90" s="16"/>
      <c r="K90" s="16"/>
      <c r="L90" s="24"/>
      <c r="M90" s="20">
        <f>IF($B90="","",COUNTIFS('Blocker log'!$A:$A,$B90,'Blocker log'!$G:$G,"&lt;&gt;"))</f>
        <v>0</v>
      </c>
      <c r="N90" s="20">
        <f>IF($B90="","",COUNTIFS('Blocker log'!$A:$A,$B90,'Blocker log'!$G:$G,"Hard blocker"))</f>
        <v>0</v>
      </c>
      <c r="O90" s="20">
        <f>IF($B90="","",COUNTIFS('Blocker log'!$A:$A,$B90,'Blocker log'!$G:$G,"Hard blocker",'Blocker log'!$L:$L,9))</f>
        <v>0</v>
      </c>
      <c r="P90" s="20">
        <f>IF($B90="","",MAXIFS('Blocker log'!$L:$L,'Blocker log'!$A:$A,$B90,'Blocker log'!$G:$G,"Hard blocker"))</f>
        <v>0</v>
      </c>
      <c r="Q90" s="20" t="str">
        <f>IF($B90="","",IF($K90&lt;&gt;"Complete","Assessment pending",IF($N90=0,"Ready now",VLOOKUP($P90,Lists!$D$2:$E$5,2,FALSE))))</f>
        <v>Assessment pending</v>
      </c>
      <c r="R90" s="24"/>
      <c r="S90" s="16"/>
      <c r="T90" s="16"/>
      <c r="U90" s="16"/>
    </row>
    <row r="91" ht="15.75" customHeight="1">
      <c r="A91" s="13" t="s">
        <v>688</v>
      </c>
      <c r="B91" s="13" t="s">
        <v>689</v>
      </c>
      <c r="C91" s="13" t="s">
        <v>76</v>
      </c>
      <c r="D91" s="13" t="s">
        <v>58</v>
      </c>
      <c r="E91" s="13" t="s">
        <v>494</v>
      </c>
      <c r="F91" s="13" t="s">
        <v>690</v>
      </c>
      <c r="G91" s="13" t="s">
        <v>61</v>
      </c>
      <c r="H91" s="40">
        <v>302500.0</v>
      </c>
      <c r="I91" s="15"/>
      <c r="J91" s="16"/>
      <c r="K91" s="16"/>
      <c r="L91" s="24"/>
      <c r="M91" s="20">
        <f>IF($B91="","",COUNTIFS('Blocker log'!$A:$A,$B91,'Blocker log'!$G:$G,"&lt;&gt;"))</f>
        <v>0</v>
      </c>
      <c r="N91" s="20">
        <f>IF($B91="","",COUNTIFS('Blocker log'!$A:$A,$B91,'Blocker log'!$G:$G,"Hard blocker"))</f>
        <v>0</v>
      </c>
      <c r="O91" s="20">
        <f>IF($B91="","",COUNTIFS('Blocker log'!$A:$A,$B91,'Blocker log'!$G:$G,"Hard blocker",'Blocker log'!$L:$L,9))</f>
        <v>0</v>
      </c>
      <c r="P91" s="20">
        <f>IF($B91="","",MAXIFS('Blocker log'!$L:$L,'Blocker log'!$A:$A,$B91,'Blocker log'!$G:$G,"Hard blocker"))</f>
        <v>0</v>
      </c>
      <c r="Q91" s="20" t="str">
        <f>IF($B91="","",IF($K91&lt;&gt;"Complete","Assessment pending",IF($N91=0,"Ready now",VLOOKUP($P91,Lists!$D$2:$E$5,2,FALSE))))</f>
        <v>Assessment pending</v>
      </c>
      <c r="R91" s="24"/>
      <c r="S91" s="16"/>
      <c r="T91" s="16"/>
      <c r="U91" s="16"/>
    </row>
    <row r="92" ht="15.75" customHeight="1">
      <c r="A92" s="13" t="s">
        <v>691</v>
      </c>
      <c r="B92" s="13" t="s">
        <v>692</v>
      </c>
      <c r="C92" s="13" t="s">
        <v>76</v>
      </c>
      <c r="D92" s="13" t="s">
        <v>58</v>
      </c>
      <c r="E92" s="13" t="s">
        <v>132</v>
      </c>
      <c r="F92" s="13" t="s">
        <v>693</v>
      </c>
      <c r="G92" s="13" t="s">
        <v>61</v>
      </c>
      <c r="H92" s="40">
        <v>292000.0</v>
      </c>
      <c r="I92" s="15"/>
      <c r="J92" s="16"/>
      <c r="K92" s="16"/>
      <c r="L92" s="24"/>
      <c r="M92" s="20">
        <f>IF($B92="","",COUNTIFS('Blocker log'!$A:$A,$B92,'Blocker log'!$G:$G,"&lt;&gt;"))</f>
        <v>0</v>
      </c>
      <c r="N92" s="20">
        <f>IF($B92="","",COUNTIFS('Blocker log'!$A:$A,$B92,'Blocker log'!$G:$G,"Hard blocker"))</f>
        <v>0</v>
      </c>
      <c r="O92" s="20">
        <f>IF($B92="","",COUNTIFS('Blocker log'!$A:$A,$B92,'Blocker log'!$G:$G,"Hard blocker",'Blocker log'!$L:$L,9))</f>
        <v>0</v>
      </c>
      <c r="P92" s="20">
        <f>IF($B92="","",MAXIFS('Blocker log'!$L:$L,'Blocker log'!$A:$A,$B92,'Blocker log'!$G:$G,"Hard blocker"))</f>
        <v>0</v>
      </c>
      <c r="Q92" s="20" t="str">
        <f>IF($B92="","",IF($K92&lt;&gt;"Complete","Assessment pending",IF($N92=0,"Ready now",VLOOKUP($P92,Lists!$D$2:$E$5,2,FALSE))))</f>
        <v>Assessment pending</v>
      </c>
      <c r="R92" s="24"/>
      <c r="S92" s="16"/>
      <c r="T92" s="16"/>
      <c r="U92" s="16"/>
    </row>
    <row r="93" ht="15.75" customHeight="1">
      <c r="A93" s="13" t="s">
        <v>694</v>
      </c>
      <c r="B93" s="13" t="s">
        <v>695</v>
      </c>
      <c r="C93" s="13" t="s">
        <v>57</v>
      </c>
      <c r="D93" s="13" t="s">
        <v>301</v>
      </c>
      <c r="E93" s="13" t="s">
        <v>490</v>
      </c>
      <c r="F93" s="13" t="s">
        <v>490</v>
      </c>
      <c r="G93" s="13" t="s">
        <v>61</v>
      </c>
      <c r="H93" s="40">
        <v>785724.0</v>
      </c>
      <c r="I93" s="15"/>
      <c r="J93" s="16"/>
      <c r="K93" s="16"/>
      <c r="L93" s="24"/>
      <c r="M93" s="20">
        <f>IF($B93="","",COUNTIFS('Blocker log'!$A:$A,$B93,'Blocker log'!$G:$G,"&lt;&gt;"))</f>
        <v>0</v>
      </c>
      <c r="N93" s="20">
        <f>IF($B93="","",COUNTIFS('Blocker log'!$A:$A,$B93,'Blocker log'!$G:$G,"Hard blocker"))</f>
        <v>0</v>
      </c>
      <c r="O93" s="20">
        <f>IF($B93="","",COUNTIFS('Blocker log'!$A:$A,$B93,'Blocker log'!$G:$G,"Hard blocker",'Blocker log'!$L:$L,9))</f>
        <v>0</v>
      </c>
      <c r="P93" s="20">
        <f>IF($B93="","",MAXIFS('Blocker log'!$L:$L,'Blocker log'!$A:$A,$B93,'Blocker log'!$G:$G,"Hard blocker"))</f>
        <v>0</v>
      </c>
      <c r="Q93" s="20" t="str">
        <f>IF($B93="","",IF($K93&lt;&gt;"Complete","Assessment pending",IF($N93=0,"Ready now",VLOOKUP($P93,Lists!$D$2:$E$5,2,FALSE))))</f>
        <v>Assessment pending</v>
      </c>
      <c r="R93" s="24"/>
      <c r="S93" s="16"/>
      <c r="T93" s="16"/>
      <c r="U93" s="16"/>
    </row>
    <row r="94" ht="15.75" customHeight="1">
      <c r="A94" s="13" t="s">
        <v>698</v>
      </c>
      <c r="B94" s="13" t="s">
        <v>699</v>
      </c>
      <c r="C94" s="13" t="s">
        <v>76</v>
      </c>
      <c r="D94" s="13" t="s">
        <v>58</v>
      </c>
      <c r="E94" s="13" t="s">
        <v>181</v>
      </c>
      <c r="F94" s="13" t="s">
        <v>190</v>
      </c>
      <c r="G94" s="13" t="s">
        <v>61</v>
      </c>
      <c r="H94" s="40">
        <v>34948.0</v>
      </c>
      <c r="I94" s="15"/>
      <c r="J94" s="16"/>
      <c r="K94" s="16"/>
      <c r="L94" s="24"/>
      <c r="M94" s="20">
        <f>IF($B94="","",COUNTIFS('Blocker log'!$A:$A,$B94,'Blocker log'!$G:$G,"&lt;&gt;"))</f>
        <v>0</v>
      </c>
      <c r="N94" s="20">
        <f>IF($B94="","",COUNTIFS('Blocker log'!$A:$A,$B94,'Blocker log'!$G:$G,"Hard blocker"))</f>
        <v>0</v>
      </c>
      <c r="O94" s="20">
        <f>IF($B94="","",COUNTIFS('Blocker log'!$A:$A,$B94,'Blocker log'!$G:$G,"Hard blocker",'Blocker log'!$L:$L,9))</f>
        <v>0</v>
      </c>
      <c r="P94" s="20">
        <f>IF($B94="","",MAXIFS('Blocker log'!$L:$L,'Blocker log'!$A:$A,$B94,'Blocker log'!$G:$G,"Hard blocker"))</f>
        <v>0</v>
      </c>
      <c r="Q94" s="20" t="str">
        <f>IF($B94="","",IF($K94&lt;&gt;"Complete","Assessment pending",IF($N94=0,"Ready now",VLOOKUP($P94,Lists!$D$2:$E$5,2,FALSE))))</f>
        <v>Assessment pending</v>
      </c>
      <c r="R94" s="24"/>
      <c r="S94" s="16"/>
      <c r="T94" s="16"/>
      <c r="U94" s="16"/>
    </row>
    <row r="95" ht="15.75" customHeight="1">
      <c r="A95" s="13" t="s">
        <v>701</v>
      </c>
      <c r="B95" s="13" t="s">
        <v>702</v>
      </c>
      <c r="C95" s="13" t="s">
        <v>57</v>
      </c>
      <c r="D95" s="13" t="s">
        <v>58</v>
      </c>
      <c r="E95" s="13" t="s">
        <v>181</v>
      </c>
      <c r="F95" s="13" t="s">
        <v>182</v>
      </c>
      <c r="G95" s="13" t="s">
        <v>61</v>
      </c>
      <c r="H95" s="41">
        <v>807369.0</v>
      </c>
      <c r="I95" s="15" t="s">
        <v>381</v>
      </c>
      <c r="J95" s="16"/>
      <c r="K95" s="18" t="s">
        <v>78</v>
      </c>
      <c r="L95" s="24"/>
      <c r="M95" s="20">
        <f>IF($B95="","",COUNTIFS('Blocker log'!$A:$A,$B95,'Blocker log'!$G:$G,"&lt;&gt;"))</f>
        <v>0</v>
      </c>
      <c r="N95" s="20">
        <f>IF($B95="","",COUNTIFS('Blocker log'!$A:$A,$B95,'Blocker log'!$G:$G,"Hard blocker"))</f>
        <v>0</v>
      </c>
      <c r="O95" s="20">
        <f>IF($B95="","",COUNTIFS('Blocker log'!$A:$A,$B95,'Blocker log'!$G:$G,"Hard blocker",'Blocker log'!$L:$L,9))</f>
        <v>0</v>
      </c>
      <c r="P95" s="20">
        <f>IF($B95="","",MAXIFS('Blocker log'!$L:$L,'Blocker log'!$A:$A,$B95,'Blocker log'!$G:$G,"Hard blocker"))</f>
        <v>0</v>
      </c>
      <c r="Q95" s="20" t="str">
        <f>IF($B95="","",IF($K95&lt;&gt;"Complete","Assessment pending",IF($N95=0,"Ready now",VLOOKUP($P95,Lists!$D$2:$E$5,2,FALSE))))</f>
        <v>Assessment pending</v>
      </c>
      <c r="R95" s="24"/>
      <c r="S95" s="16"/>
      <c r="T95" s="16"/>
      <c r="U95" s="16"/>
    </row>
    <row r="96" ht="15.75" customHeight="1">
      <c r="A96" s="13" t="s">
        <v>703</v>
      </c>
      <c r="B96" s="13" t="s">
        <v>704</v>
      </c>
      <c r="C96" s="13" t="s">
        <v>76</v>
      </c>
      <c r="D96" s="13" t="s">
        <v>171</v>
      </c>
      <c r="E96" s="13" t="s">
        <v>524</v>
      </c>
      <c r="F96" s="13" t="s">
        <v>705</v>
      </c>
      <c r="G96" s="13" t="s">
        <v>61</v>
      </c>
      <c r="H96" s="40"/>
      <c r="I96" s="15"/>
      <c r="J96" s="16"/>
      <c r="K96" s="16"/>
      <c r="L96" s="24"/>
      <c r="M96" s="20">
        <f>IF($B96="","",COUNTIFS('Blocker log'!$A:$A,$B96,'Blocker log'!$G:$G,"&lt;&gt;"))</f>
        <v>0</v>
      </c>
      <c r="N96" s="20">
        <f>IF($B96="","",COUNTIFS('Blocker log'!$A:$A,$B96,'Blocker log'!$G:$G,"Hard blocker"))</f>
        <v>0</v>
      </c>
      <c r="O96" s="20">
        <f>IF($B96="","",COUNTIFS('Blocker log'!$A:$A,$B96,'Blocker log'!$G:$G,"Hard blocker",'Blocker log'!$L:$L,9))</f>
        <v>0</v>
      </c>
      <c r="P96" s="20">
        <f>IF($B96="","",MAXIFS('Blocker log'!$L:$L,'Blocker log'!$A:$A,$B96,'Blocker log'!$G:$G,"Hard blocker"))</f>
        <v>0</v>
      </c>
      <c r="Q96" s="20" t="str">
        <f>IF($B96="","",IF($K96&lt;&gt;"Complete","Assessment pending",IF($N96=0,"Ready now",VLOOKUP($P96,Lists!$D$2:$E$5,2,FALSE))))</f>
        <v>Assessment pending</v>
      </c>
      <c r="R96" s="24"/>
      <c r="S96" s="16"/>
      <c r="T96" s="16"/>
      <c r="U96" s="16"/>
    </row>
    <row r="97" ht="15.75" customHeight="1">
      <c r="A97" s="13" t="s">
        <v>706</v>
      </c>
      <c r="B97" s="13" t="s">
        <v>707</v>
      </c>
      <c r="C97" s="13" t="s">
        <v>76</v>
      </c>
      <c r="D97" s="13" t="s">
        <v>260</v>
      </c>
      <c r="E97" s="13" t="s">
        <v>506</v>
      </c>
      <c r="F97" s="13" t="s">
        <v>708</v>
      </c>
      <c r="G97" s="13" t="s">
        <v>61</v>
      </c>
      <c r="H97" s="40">
        <v>169300.0</v>
      </c>
      <c r="I97" s="15"/>
      <c r="J97" s="16"/>
      <c r="K97" s="16"/>
      <c r="L97" s="24"/>
      <c r="M97" s="20">
        <f>IF($B97="","",COUNTIFS('Blocker log'!$A:$A,$B97,'Blocker log'!$G:$G,"&lt;&gt;"))</f>
        <v>0</v>
      </c>
      <c r="N97" s="20">
        <f>IF($B97="","",COUNTIFS('Blocker log'!$A:$A,$B97,'Blocker log'!$G:$G,"Hard blocker"))</f>
        <v>0</v>
      </c>
      <c r="O97" s="20">
        <f>IF($B97="","",COUNTIFS('Blocker log'!$A:$A,$B97,'Blocker log'!$G:$G,"Hard blocker",'Blocker log'!$L:$L,9))</f>
        <v>0</v>
      </c>
      <c r="P97" s="20">
        <f>IF($B97="","",MAXIFS('Blocker log'!$L:$L,'Blocker log'!$A:$A,$B97,'Blocker log'!$G:$G,"Hard blocker"))</f>
        <v>0</v>
      </c>
      <c r="Q97" s="20" t="str">
        <f>IF($B97="","",IF($K97&lt;&gt;"Complete","Assessment pending",IF($N97=0,"Ready now",VLOOKUP($P97,Lists!$D$2:$E$5,2,FALSE))))</f>
        <v>Assessment pending</v>
      </c>
      <c r="R97" s="24"/>
      <c r="S97" s="16"/>
      <c r="T97" s="16"/>
      <c r="U97" s="16"/>
    </row>
    <row r="98" ht="15.75" customHeight="1">
      <c r="A98" s="13" t="s">
        <v>711</v>
      </c>
      <c r="B98" s="13" t="s">
        <v>712</v>
      </c>
      <c r="C98" s="13" t="s">
        <v>76</v>
      </c>
      <c r="D98" s="13" t="s">
        <v>171</v>
      </c>
      <c r="E98" s="13" t="s">
        <v>713</v>
      </c>
      <c r="F98" s="13" t="s">
        <v>714</v>
      </c>
      <c r="G98" s="13" t="s">
        <v>61</v>
      </c>
      <c r="H98" s="40">
        <v>247812.0</v>
      </c>
      <c r="I98" s="15"/>
      <c r="J98" s="16"/>
      <c r="K98" s="16"/>
      <c r="L98" s="24"/>
      <c r="M98" s="20">
        <f>IF($B98="","",COUNTIFS('Blocker log'!$A:$A,$B98,'Blocker log'!$G:$G,"&lt;&gt;"))</f>
        <v>0</v>
      </c>
      <c r="N98" s="20">
        <f>IF($B98="","",COUNTIFS('Blocker log'!$A:$A,$B98,'Blocker log'!$G:$G,"Hard blocker"))</f>
        <v>0</v>
      </c>
      <c r="O98" s="20">
        <f>IF($B98="","",COUNTIFS('Blocker log'!$A:$A,$B98,'Blocker log'!$G:$G,"Hard blocker",'Blocker log'!$L:$L,9))</f>
        <v>0</v>
      </c>
      <c r="P98" s="20">
        <f>IF($B98="","",MAXIFS('Blocker log'!$L:$L,'Blocker log'!$A:$A,$B98,'Blocker log'!$G:$G,"Hard blocker"))</f>
        <v>0</v>
      </c>
      <c r="Q98" s="20" t="str">
        <f>IF($B98="","",IF($K98&lt;&gt;"Complete","Assessment pending",IF($N98=0,"Ready now",VLOOKUP($P98,Lists!$D$2:$E$5,2,FALSE))))</f>
        <v>Assessment pending</v>
      </c>
      <c r="R98" s="24"/>
      <c r="S98" s="16"/>
      <c r="T98" s="16"/>
      <c r="U98" s="16"/>
    </row>
    <row r="99" ht="15.75" customHeight="1">
      <c r="A99" s="13" t="s">
        <v>716</v>
      </c>
      <c r="B99" s="13" t="s">
        <v>717</v>
      </c>
      <c r="C99" s="13" t="s">
        <v>76</v>
      </c>
      <c r="D99" s="13" t="s">
        <v>171</v>
      </c>
      <c r="E99" s="13" t="s">
        <v>542</v>
      </c>
      <c r="F99" s="13" t="s">
        <v>543</v>
      </c>
      <c r="G99" s="13" t="s">
        <v>61</v>
      </c>
      <c r="H99" s="40">
        <v>244200.0</v>
      </c>
      <c r="I99" s="15"/>
      <c r="J99" s="16"/>
      <c r="K99" s="16"/>
      <c r="L99" s="24"/>
      <c r="M99" s="20">
        <f>IF($B99="","",COUNTIFS('Blocker log'!$A:$A,$B99,'Blocker log'!$G:$G,"&lt;&gt;"))</f>
        <v>0</v>
      </c>
      <c r="N99" s="20">
        <f>IF($B99="","",COUNTIFS('Blocker log'!$A:$A,$B99,'Blocker log'!$G:$G,"Hard blocker"))</f>
        <v>0</v>
      </c>
      <c r="O99" s="20">
        <f>IF($B99="","",COUNTIFS('Blocker log'!$A:$A,$B99,'Blocker log'!$G:$G,"Hard blocker",'Blocker log'!$L:$L,9))</f>
        <v>0</v>
      </c>
      <c r="P99" s="20">
        <f>IF($B99="","",MAXIFS('Blocker log'!$L:$L,'Blocker log'!$A:$A,$B99,'Blocker log'!$G:$G,"Hard blocker"))</f>
        <v>0</v>
      </c>
      <c r="Q99" s="20" t="str">
        <f>IF($B99="","",IF($K99&lt;&gt;"Complete","Assessment pending",IF($N99=0,"Ready now",VLOOKUP($P99,Lists!$D$2:$E$5,2,FALSE))))</f>
        <v>Assessment pending</v>
      </c>
      <c r="R99" s="24"/>
      <c r="S99" s="16"/>
      <c r="T99" s="16"/>
      <c r="U99" s="16"/>
    </row>
    <row r="100" ht="15.75" customHeight="1">
      <c r="A100" s="13" t="s">
        <v>718</v>
      </c>
      <c r="B100" s="13" t="s">
        <v>719</v>
      </c>
      <c r="C100" s="13" t="s">
        <v>76</v>
      </c>
      <c r="D100" s="13" t="s">
        <v>58</v>
      </c>
      <c r="E100" s="13" t="s">
        <v>140</v>
      </c>
      <c r="F100" s="13" t="s">
        <v>246</v>
      </c>
      <c r="G100" s="13" t="s">
        <v>61</v>
      </c>
      <c r="H100" s="40">
        <v>240106.0</v>
      </c>
      <c r="I100" s="15"/>
      <c r="J100" s="16"/>
      <c r="K100" s="16"/>
      <c r="L100" s="24"/>
      <c r="M100" s="20">
        <f>IF($B100="","",COUNTIFS('Blocker log'!$A:$A,$B100,'Blocker log'!$G:$G,"&lt;&gt;"))</f>
        <v>0</v>
      </c>
      <c r="N100" s="20">
        <f>IF($B100="","",COUNTIFS('Blocker log'!$A:$A,$B100,'Blocker log'!$G:$G,"Hard blocker"))</f>
        <v>0</v>
      </c>
      <c r="O100" s="20">
        <f>IF($B100="","",COUNTIFS('Blocker log'!$A:$A,$B100,'Blocker log'!$G:$G,"Hard blocker",'Blocker log'!$L:$L,9))</f>
        <v>0</v>
      </c>
      <c r="P100" s="20">
        <f>IF($B100="","",MAXIFS('Blocker log'!$L:$L,'Blocker log'!$A:$A,$B100,'Blocker log'!$G:$G,"Hard blocker"))</f>
        <v>0</v>
      </c>
      <c r="Q100" s="20" t="str">
        <f>IF($B100="","",IF($K100&lt;&gt;"Complete","Assessment pending",IF($N100=0,"Ready now",VLOOKUP($P100,Lists!$D$2:$E$5,2,FALSE))))</f>
        <v>Assessment pending</v>
      </c>
      <c r="R100" s="24"/>
      <c r="S100" s="16"/>
      <c r="T100" s="16"/>
      <c r="U100" s="16"/>
    </row>
    <row r="101" ht="15.75" customHeight="1">
      <c r="A101" s="13" t="s">
        <v>720</v>
      </c>
      <c r="B101" s="13" t="s">
        <v>721</v>
      </c>
      <c r="C101" s="13" t="s">
        <v>76</v>
      </c>
      <c r="D101" s="13" t="s">
        <v>58</v>
      </c>
      <c r="E101" s="13" t="s">
        <v>181</v>
      </c>
      <c r="F101" s="13" t="s">
        <v>653</v>
      </c>
      <c r="G101" s="13" t="s">
        <v>61</v>
      </c>
      <c r="H101" s="41">
        <v>591945.0</v>
      </c>
      <c r="I101" s="15" t="s">
        <v>381</v>
      </c>
      <c r="J101" s="16"/>
      <c r="K101" s="18" t="s">
        <v>78</v>
      </c>
      <c r="L101" s="24"/>
      <c r="M101" s="20">
        <f>IF($B101="","",COUNTIFS('Blocker log'!$A:$A,$B101,'Blocker log'!$G:$G,"&lt;&gt;"))</f>
        <v>0</v>
      </c>
      <c r="N101" s="20">
        <f>IF($B101="","",COUNTIFS('Blocker log'!$A:$A,$B101,'Blocker log'!$G:$G,"Hard blocker"))</f>
        <v>0</v>
      </c>
      <c r="O101" s="20">
        <f>IF($B101="","",COUNTIFS('Blocker log'!$A:$A,$B101,'Blocker log'!$G:$G,"Hard blocker",'Blocker log'!$L:$L,9))</f>
        <v>0</v>
      </c>
      <c r="P101" s="20">
        <f>IF($B101="","",MAXIFS('Blocker log'!$L:$L,'Blocker log'!$A:$A,$B101,'Blocker log'!$G:$G,"Hard blocker"))</f>
        <v>0</v>
      </c>
      <c r="Q101" s="20" t="str">
        <f>IF($B101="","",IF($K101&lt;&gt;"Complete","Assessment pending",IF($N101=0,"Ready now",VLOOKUP($P101,Lists!$D$2:$E$5,2,FALSE))))</f>
        <v>Assessment pending</v>
      </c>
      <c r="R101" s="24"/>
      <c r="S101" s="16"/>
      <c r="T101" s="16"/>
      <c r="U101" s="16"/>
    </row>
    <row r="102" ht="15.75" customHeight="1">
      <c r="A102" s="13" t="s">
        <v>722</v>
      </c>
      <c r="B102" s="13" t="s">
        <v>723</v>
      </c>
      <c r="C102" s="13" t="s">
        <v>76</v>
      </c>
      <c r="D102" s="13" t="s">
        <v>58</v>
      </c>
      <c r="E102" s="13" t="s">
        <v>181</v>
      </c>
      <c r="F102" s="13" t="s">
        <v>653</v>
      </c>
      <c r="G102" s="13" t="s">
        <v>61</v>
      </c>
      <c r="H102" s="40">
        <v>270864.0</v>
      </c>
      <c r="I102" s="15" t="s">
        <v>381</v>
      </c>
      <c r="J102" s="16"/>
      <c r="K102" s="18" t="s">
        <v>78</v>
      </c>
      <c r="L102" s="24"/>
      <c r="M102" s="20">
        <f>IF($B102="","",COUNTIFS('Blocker log'!$A:$A,$B102,'Blocker log'!$G:$G,"&lt;&gt;"))</f>
        <v>0</v>
      </c>
      <c r="N102" s="20">
        <f>IF($B102="","",COUNTIFS('Blocker log'!$A:$A,$B102,'Blocker log'!$G:$G,"Hard blocker"))</f>
        <v>0</v>
      </c>
      <c r="O102" s="20">
        <f>IF($B102="","",COUNTIFS('Blocker log'!$A:$A,$B102,'Blocker log'!$G:$G,"Hard blocker",'Blocker log'!$L:$L,9))</f>
        <v>0</v>
      </c>
      <c r="P102" s="20">
        <f>IF($B102="","",MAXIFS('Blocker log'!$L:$L,'Blocker log'!$A:$A,$B102,'Blocker log'!$G:$G,"Hard blocker"))</f>
        <v>0</v>
      </c>
      <c r="Q102" s="20" t="str">
        <f>IF($B102="","",IF($K102&lt;&gt;"Complete","Assessment pending",IF($N102=0,"Ready now",VLOOKUP($P102,Lists!$D$2:$E$5,2,FALSE))))</f>
        <v>Assessment pending</v>
      </c>
      <c r="R102" s="24"/>
      <c r="S102" s="16"/>
      <c r="T102" s="16"/>
      <c r="U102" s="16"/>
    </row>
    <row r="103" ht="15.75" customHeight="1">
      <c r="A103" s="13" t="s">
        <v>725</v>
      </c>
      <c r="B103" s="13" t="s">
        <v>726</v>
      </c>
      <c r="C103" s="13" t="s">
        <v>76</v>
      </c>
      <c r="D103" s="13" t="s">
        <v>171</v>
      </c>
      <c r="E103" s="13" t="s">
        <v>512</v>
      </c>
      <c r="F103" s="13" t="s">
        <v>537</v>
      </c>
      <c r="G103" s="13" t="s">
        <v>61</v>
      </c>
      <c r="H103" s="40">
        <v>234000.0</v>
      </c>
      <c r="I103" s="15"/>
      <c r="J103" s="16"/>
      <c r="K103" s="16"/>
      <c r="L103" s="24"/>
      <c r="M103" s="20">
        <f>IF($B103="","",COUNTIFS('Blocker log'!$A:$A,$B103,'Blocker log'!$G:$G,"&lt;&gt;"))</f>
        <v>0</v>
      </c>
      <c r="N103" s="20">
        <f>IF($B103="","",COUNTIFS('Blocker log'!$A:$A,$B103,'Blocker log'!$G:$G,"Hard blocker"))</f>
        <v>0</v>
      </c>
      <c r="O103" s="20">
        <f>IF($B103="","",COUNTIFS('Blocker log'!$A:$A,$B103,'Blocker log'!$G:$G,"Hard blocker",'Blocker log'!$L:$L,9))</f>
        <v>0</v>
      </c>
      <c r="P103" s="20">
        <f>IF($B103="","",MAXIFS('Blocker log'!$L:$L,'Blocker log'!$A:$A,$B103,'Blocker log'!$G:$G,"Hard blocker"))</f>
        <v>0</v>
      </c>
      <c r="Q103" s="20" t="str">
        <f>IF($B103="","",IF($K103&lt;&gt;"Complete","Assessment pending",IF($N103=0,"Ready now",VLOOKUP($P103,Lists!$D$2:$E$5,2,FALSE))))</f>
        <v>Assessment pending</v>
      </c>
      <c r="R103" s="24"/>
      <c r="S103" s="16"/>
      <c r="T103" s="16"/>
      <c r="U103" s="16"/>
    </row>
    <row r="104" ht="15.75" customHeight="1">
      <c r="A104" s="13" t="s">
        <v>728</v>
      </c>
      <c r="B104" s="13" t="s">
        <v>729</v>
      </c>
      <c r="C104" s="13" t="s">
        <v>76</v>
      </c>
      <c r="D104" s="13" t="s">
        <v>171</v>
      </c>
      <c r="E104" s="13" t="s">
        <v>677</v>
      </c>
      <c r="F104" s="13" t="s">
        <v>678</v>
      </c>
      <c r="G104" s="13" t="s">
        <v>61</v>
      </c>
      <c r="H104" s="40">
        <v>234000.0</v>
      </c>
      <c r="I104" s="15"/>
      <c r="J104" s="16"/>
      <c r="K104" s="16"/>
      <c r="L104" s="24"/>
      <c r="M104" s="20">
        <f>IF($B104="","",COUNTIFS('Blocker log'!$A:$A,$B104,'Blocker log'!$G:$G,"&lt;&gt;"))</f>
        <v>0</v>
      </c>
      <c r="N104" s="20">
        <f>IF($B104="","",COUNTIFS('Blocker log'!$A:$A,$B104,'Blocker log'!$G:$G,"Hard blocker"))</f>
        <v>0</v>
      </c>
      <c r="O104" s="20">
        <f>IF($B104="","",COUNTIFS('Blocker log'!$A:$A,$B104,'Blocker log'!$G:$G,"Hard blocker",'Blocker log'!$L:$L,9))</f>
        <v>0</v>
      </c>
      <c r="P104" s="20">
        <f>IF($B104="","",MAXIFS('Blocker log'!$L:$L,'Blocker log'!$A:$A,$B104,'Blocker log'!$G:$G,"Hard blocker"))</f>
        <v>0</v>
      </c>
      <c r="Q104" s="20" t="str">
        <f>IF($B104="","",IF($K104&lt;&gt;"Complete","Assessment pending",IF($N104=0,"Ready now",VLOOKUP($P104,Lists!$D$2:$E$5,2,FALSE))))</f>
        <v>Assessment pending</v>
      </c>
      <c r="R104" s="24"/>
      <c r="S104" s="16"/>
      <c r="T104" s="16"/>
      <c r="U104" s="16"/>
    </row>
    <row r="105" ht="15.75" customHeight="1">
      <c r="A105" s="13" t="s">
        <v>730</v>
      </c>
      <c r="B105" s="13" t="s">
        <v>731</v>
      </c>
      <c r="C105" s="13" t="s">
        <v>76</v>
      </c>
      <c r="D105" s="13" t="s">
        <v>58</v>
      </c>
      <c r="E105" s="13" t="s">
        <v>140</v>
      </c>
      <c r="F105" s="13" t="s">
        <v>246</v>
      </c>
      <c r="G105" s="13" t="s">
        <v>61</v>
      </c>
      <c r="H105" s="40">
        <v>66959.0</v>
      </c>
      <c r="I105" s="15"/>
      <c r="J105" s="16"/>
      <c r="K105" s="16"/>
      <c r="L105" s="24"/>
      <c r="M105" s="20">
        <f>IF($B105="","",COUNTIFS('Blocker log'!$A:$A,$B105,'Blocker log'!$G:$G,"&lt;&gt;"))</f>
        <v>0</v>
      </c>
      <c r="N105" s="20">
        <f>IF($B105="","",COUNTIFS('Blocker log'!$A:$A,$B105,'Blocker log'!$G:$G,"Hard blocker"))</f>
        <v>0</v>
      </c>
      <c r="O105" s="20">
        <f>IF($B105="","",COUNTIFS('Blocker log'!$A:$A,$B105,'Blocker log'!$G:$G,"Hard blocker",'Blocker log'!$L:$L,9))</f>
        <v>0</v>
      </c>
      <c r="P105" s="20">
        <f>IF($B105="","",MAXIFS('Blocker log'!$L:$L,'Blocker log'!$A:$A,$B105,'Blocker log'!$G:$G,"Hard blocker"))</f>
        <v>0</v>
      </c>
      <c r="Q105" s="20" t="str">
        <f>IF($B105="","",IF($K105&lt;&gt;"Complete","Assessment pending",IF($N105=0,"Ready now",VLOOKUP($P105,Lists!$D$2:$E$5,2,FALSE))))</f>
        <v>Assessment pending</v>
      </c>
      <c r="R105" s="24"/>
      <c r="S105" s="16"/>
      <c r="T105" s="16"/>
      <c r="U105" s="16"/>
    </row>
    <row r="106" ht="15.75" customHeight="1">
      <c r="A106" s="13" t="s">
        <v>733</v>
      </c>
      <c r="B106" s="13" t="s">
        <v>734</v>
      </c>
      <c r="C106" s="13" t="s">
        <v>76</v>
      </c>
      <c r="D106" s="13" t="s">
        <v>58</v>
      </c>
      <c r="E106" s="13" t="s">
        <v>59</v>
      </c>
      <c r="F106" s="13" t="s">
        <v>598</v>
      </c>
      <c r="G106" s="13" t="s">
        <v>61</v>
      </c>
      <c r="H106" s="40">
        <v>227460.0</v>
      </c>
      <c r="I106" s="15"/>
      <c r="J106" s="16"/>
      <c r="K106" s="16"/>
      <c r="L106" s="24"/>
      <c r="M106" s="20">
        <f>IF($B106="","",COUNTIFS('Blocker log'!$A:$A,$B106,'Blocker log'!$G:$G,"&lt;&gt;"))</f>
        <v>0</v>
      </c>
      <c r="N106" s="20">
        <f>IF($B106="","",COUNTIFS('Blocker log'!$A:$A,$B106,'Blocker log'!$G:$G,"Hard blocker"))</f>
        <v>0</v>
      </c>
      <c r="O106" s="20">
        <f>IF($B106="","",COUNTIFS('Blocker log'!$A:$A,$B106,'Blocker log'!$G:$G,"Hard blocker",'Blocker log'!$L:$L,9))</f>
        <v>0</v>
      </c>
      <c r="P106" s="20">
        <f>IF($B106="","",MAXIFS('Blocker log'!$L:$L,'Blocker log'!$A:$A,$B106,'Blocker log'!$G:$G,"Hard blocker"))</f>
        <v>0</v>
      </c>
      <c r="Q106" s="20" t="str">
        <f>IF($B106="","",IF($K106&lt;&gt;"Complete","Assessment pending",IF($N106=0,"Ready now",VLOOKUP($P106,Lists!$D$2:$E$5,2,FALSE))))</f>
        <v>Assessment pending</v>
      </c>
      <c r="R106" s="24"/>
      <c r="S106" s="16"/>
      <c r="T106" s="16"/>
      <c r="U106" s="16"/>
    </row>
    <row r="107" ht="15.75" customHeight="1">
      <c r="A107" s="10" t="s">
        <v>737</v>
      </c>
      <c r="B107" s="10" t="s">
        <v>738</v>
      </c>
      <c r="C107" s="10" t="s">
        <v>76</v>
      </c>
      <c r="D107" s="10" t="s">
        <v>58</v>
      </c>
      <c r="E107" s="10" t="s">
        <v>181</v>
      </c>
      <c r="F107" s="10" t="s">
        <v>190</v>
      </c>
      <c r="G107" s="13" t="s">
        <v>61</v>
      </c>
      <c r="H107" s="40">
        <v>133750.0</v>
      </c>
      <c r="I107" s="15" t="s">
        <v>381</v>
      </c>
      <c r="J107" s="16"/>
      <c r="K107" s="18" t="s">
        <v>78</v>
      </c>
      <c r="L107" s="24"/>
      <c r="M107" s="20">
        <f>IF($B107="","",COUNTIFS('Blocker log'!$A:$A,$B107,'Blocker log'!$G:$G,"&lt;&gt;"))</f>
        <v>0</v>
      </c>
      <c r="N107" s="20">
        <f>IF($B107="","",COUNTIFS('Blocker log'!$A:$A,$B107,'Blocker log'!$G:$G,"Hard blocker"))</f>
        <v>0</v>
      </c>
      <c r="O107" s="20">
        <f>IF($B107="","",COUNTIFS('Blocker log'!$A:$A,$B107,'Blocker log'!$G:$G,"Hard blocker",'Blocker log'!$L:$L,9))</f>
        <v>0</v>
      </c>
      <c r="P107" s="20">
        <f>IF($B107="","",MAXIFS('Blocker log'!$L:$L,'Blocker log'!$A:$A,$B107,'Blocker log'!$G:$G,"Hard blocker"))</f>
        <v>0</v>
      </c>
      <c r="Q107" s="20" t="str">
        <f>IF($B107="","",IF($K107&lt;&gt;"Complete","Assessment pending",IF($N107=0,"Ready now",VLOOKUP($P107,Lists!$D$2:$E$5,2,FALSE))))</f>
        <v>Assessment pending</v>
      </c>
      <c r="R107" s="24"/>
      <c r="S107" s="16"/>
      <c r="T107" s="16"/>
      <c r="U107" s="16"/>
    </row>
    <row r="108" ht="15.75" customHeight="1">
      <c r="A108" s="13" t="s">
        <v>739</v>
      </c>
      <c r="B108" s="13" t="s">
        <v>740</v>
      </c>
      <c r="C108" s="13" t="s">
        <v>76</v>
      </c>
      <c r="D108" s="13" t="s">
        <v>58</v>
      </c>
      <c r="E108" s="13" t="s">
        <v>59</v>
      </c>
      <c r="F108" s="13" t="s">
        <v>598</v>
      </c>
      <c r="G108" s="13" t="s">
        <v>61</v>
      </c>
      <c r="H108" s="40">
        <v>223480.0</v>
      </c>
      <c r="I108" s="15"/>
      <c r="J108" s="16"/>
      <c r="K108" s="16"/>
      <c r="L108" s="24"/>
      <c r="M108" s="20">
        <f>IF($B108="","",COUNTIFS('Blocker log'!$A:$A,$B108,'Blocker log'!$G:$G,"&lt;&gt;"))</f>
        <v>0</v>
      </c>
      <c r="N108" s="20">
        <f>IF($B108="","",COUNTIFS('Blocker log'!$A:$A,$B108,'Blocker log'!$G:$G,"Hard blocker"))</f>
        <v>0</v>
      </c>
      <c r="O108" s="20">
        <f>IF($B108="","",COUNTIFS('Blocker log'!$A:$A,$B108,'Blocker log'!$G:$G,"Hard blocker",'Blocker log'!$L:$L,9))</f>
        <v>0</v>
      </c>
      <c r="P108" s="20">
        <f>IF($B108="","",MAXIFS('Blocker log'!$L:$L,'Blocker log'!$A:$A,$B108,'Blocker log'!$G:$G,"Hard blocker"))</f>
        <v>0</v>
      </c>
      <c r="Q108" s="20" t="str">
        <f>IF($B108="","",IF($K108&lt;&gt;"Complete","Assessment pending",IF($N108=0,"Ready now",VLOOKUP($P108,Lists!$D$2:$E$5,2,FALSE))))</f>
        <v>Assessment pending</v>
      </c>
      <c r="R108" s="24"/>
      <c r="S108" s="16"/>
      <c r="T108" s="16"/>
      <c r="U108" s="16"/>
    </row>
    <row r="109" ht="15.75" customHeight="1">
      <c r="A109" s="13" t="s">
        <v>741</v>
      </c>
      <c r="B109" s="13" t="s">
        <v>742</v>
      </c>
      <c r="C109" s="13" t="s">
        <v>76</v>
      </c>
      <c r="D109" s="13" t="s">
        <v>58</v>
      </c>
      <c r="E109" s="13" t="s">
        <v>181</v>
      </c>
      <c r="F109" s="13" t="s">
        <v>190</v>
      </c>
      <c r="G109" s="13" t="s">
        <v>61</v>
      </c>
      <c r="H109" s="40">
        <v>145800.0</v>
      </c>
      <c r="I109" s="15"/>
      <c r="J109" s="16"/>
      <c r="K109" s="16"/>
      <c r="L109" s="24"/>
      <c r="M109" s="20">
        <f>IF($B109="","",COUNTIFS('Blocker log'!$A:$A,$B109,'Blocker log'!$G:$G,"&lt;&gt;"))</f>
        <v>0</v>
      </c>
      <c r="N109" s="20">
        <f>IF($B109="","",COUNTIFS('Blocker log'!$A:$A,$B109,'Blocker log'!$G:$G,"Hard blocker"))</f>
        <v>0</v>
      </c>
      <c r="O109" s="20">
        <f>IF($B109="","",COUNTIFS('Blocker log'!$A:$A,$B109,'Blocker log'!$G:$G,"Hard blocker",'Blocker log'!$L:$L,9))</f>
        <v>0</v>
      </c>
      <c r="P109" s="20">
        <f>IF($B109="","",MAXIFS('Blocker log'!$L:$L,'Blocker log'!$A:$A,$B109,'Blocker log'!$G:$G,"Hard blocker"))</f>
        <v>0</v>
      </c>
      <c r="Q109" s="20" t="str">
        <f>IF($B109="","",IF($K109&lt;&gt;"Complete","Assessment pending",IF($N109=0,"Ready now",VLOOKUP($P109,Lists!$D$2:$E$5,2,FALSE))))</f>
        <v>Assessment pending</v>
      </c>
      <c r="R109" s="24"/>
      <c r="S109" s="16"/>
      <c r="T109" s="16"/>
      <c r="U109" s="16"/>
    </row>
    <row r="110" ht="15.75" customHeight="1">
      <c r="A110" s="13" t="s">
        <v>743</v>
      </c>
      <c r="B110" s="13" t="s">
        <v>744</v>
      </c>
      <c r="C110" s="13" t="s">
        <v>76</v>
      </c>
      <c r="D110" s="13" t="s">
        <v>58</v>
      </c>
      <c r="E110" s="13" t="s">
        <v>59</v>
      </c>
      <c r="F110" s="13" t="s">
        <v>77</v>
      </c>
      <c r="G110" s="13" t="s">
        <v>61</v>
      </c>
      <c r="H110" s="40">
        <v>220104.0</v>
      </c>
      <c r="I110" s="15"/>
      <c r="J110" s="16"/>
      <c r="K110" s="16"/>
      <c r="L110" s="24"/>
      <c r="M110" s="20">
        <f>IF($B110="","",COUNTIFS('Blocker log'!$A:$A,$B110,'Blocker log'!$G:$G,"&lt;&gt;"))</f>
        <v>0</v>
      </c>
      <c r="N110" s="20">
        <f>IF($B110="","",COUNTIFS('Blocker log'!$A:$A,$B110,'Blocker log'!$G:$G,"Hard blocker"))</f>
        <v>0</v>
      </c>
      <c r="O110" s="20">
        <f>IF($B110="","",COUNTIFS('Blocker log'!$A:$A,$B110,'Blocker log'!$G:$G,"Hard blocker",'Blocker log'!$L:$L,9))</f>
        <v>0</v>
      </c>
      <c r="P110" s="20">
        <f>IF($B110="","",MAXIFS('Blocker log'!$L:$L,'Blocker log'!$A:$A,$B110,'Blocker log'!$G:$G,"Hard blocker"))</f>
        <v>0</v>
      </c>
      <c r="Q110" s="20" t="str">
        <f>IF($B110="","",IF($K110&lt;&gt;"Complete","Assessment pending",IF($N110=0,"Ready now",VLOOKUP($P110,Lists!$D$2:$E$5,2,FALSE))))</f>
        <v>Assessment pending</v>
      </c>
      <c r="R110" s="24"/>
      <c r="S110" s="16"/>
      <c r="T110" s="16"/>
      <c r="U110" s="16"/>
    </row>
    <row r="111" ht="15.75" customHeight="1">
      <c r="A111" s="13" t="s">
        <v>747</v>
      </c>
      <c r="B111" s="13" t="s">
        <v>748</v>
      </c>
      <c r="C111" s="13" t="s">
        <v>76</v>
      </c>
      <c r="D111" s="13" t="s">
        <v>171</v>
      </c>
      <c r="E111" s="13" t="s">
        <v>542</v>
      </c>
      <c r="F111" s="13" t="s">
        <v>543</v>
      </c>
      <c r="G111" s="13" t="s">
        <v>61</v>
      </c>
      <c r="H111" s="40">
        <v>15541.0</v>
      </c>
      <c r="I111" s="15"/>
      <c r="J111" s="16"/>
      <c r="K111" s="16"/>
      <c r="L111" s="24"/>
      <c r="M111" s="20">
        <f>IF($B111="","",COUNTIFS('Blocker log'!$A:$A,$B111,'Blocker log'!$G:$G,"&lt;&gt;"))</f>
        <v>0</v>
      </c>
      <c r="N111" s="20">
        <f>IF($B111="","",COUNTIFS('Blocker log'!$A:$A,$B111,'Blocker log'!$G:$G,"Hard blocker"))</f>
        <v>0</v>
      </c>
      <c r="O111" s="20">
        <f>IF($B111="","",COUNTIFS('Blocker log'!$A:$A,$B111,'Blocker log'!$G:$G,"Hard blocker",'Blocker log'!$L:$L,9))</f>
        <v>0</v>
      </c>
      <c r="P111" s="20">
        <f>IF($B111="","",MAXIFS('Blocker log'!$L:$L,'Blocker log'!$A:$A,$B111,'Blocker log'!$G:$G,"Hard blocker"))</f>
        <v>0</v>
      </c>
      <c r="Q111" s="20" t="str">
        <f>IF($B111="","",IF($K111&lt;&gt;"Complete","Assessment pending",IF($N111=0,"Ready now",VLOOKUP($P111,Lists!$D$2:$E$5,2,FALSE))))</f>
        <v>Assessment pending</v>
      </c>
      <c r="R111" s="24"/>
      <c r="S111" s="16"/>
      <c r="T111" s="16"/>
      <c r="U111" s="16"/>
    </row>
    <row r="112" ht="15.75" customHeight="1">
      <c r="A112" s="13" t="s">
        <v>749</v>
      </c>
      <c r="B112" s="13" t="s">
        <v>750</v>
      </c>
      <c r="C112" s="13" t="s">
        <v>76</v>
      </c>
      <c r="D112" s="13" t="s">
        <v>260</v>
      </c>
      <c r="E112" s="13" t="s">
        <v>351</v>
      </c>
      <c r="F112" s="13" t="s">
        <v>352</v>
      </c>
      <c r="G112" s="13" t="s">
        <v>61</v>
      </c>
      <c r="H112" s="40">
        <v>216801.0</v>
      </c>
      <c r="I112" s="15"/>
      <c r="J112" s="16"/>
      <c r="K112" s="16"/>
      <c r="L112" s="24"/>
      <c r="M112" s="20">
        <f>IF($B112="","",COUNTIFS('Blocker log'!$A:$A,$B112,'Blocker log'!$G:$G,"&lt;&gt;"))</f>
        <v>0</v>
      </c>
      <c r="N112" s="20">
        <f>IF($B112="","",COUNTIFS('Blocker log'!$A:$A,$B112,'Blocker log'!$G:$G,"Hard blocker"))</f>
        <v>0</v>
      </c>
      <c r="O112" s="20">
        <f>IF($B112="","",COUNTIFS('Blocker log'!$A:$A,$B112,'Blocker log'!$G:$G,"Hard blocker",'Blocker log'!$L:$L,9))</f>
        <v>0</v>
      </c>
      <c r="P112" s="20">
        <f>IF($B112="","",MAXIFS('Blocker log'!$L:$L,'Blocker log'!$A:$A,$B112,'Blocker log'!$G:$G,"Hard blocker"))</f>
        <v>0</v>
      </c>
      <c r="Q112" s="20" t="str">
        <f>IF($B112="","",IF($K112&lt;&gt;"Complete","Assessment pending",IF($N112=0,"Ready now",VLOOKUP($P112,Lists!$D$2:$E$5,2,FALSE))))</f>
        <v>Assessment pending</v>
      </c>
      <c r="R112" s="24"/>
      <c r="S112" s="16"/>
      <c r="T112" s="16"/>
      <c r="U112" s="16"/>
    </row>
    <row r="113" ht="15.75" customHeight="1">
      <c r="A113" s="13" t="s">
        <v>751</v>
      </c>
      <c r="B113" s="13" t="s">
        <v>752</v>
      </c>
      <c r="C113" s="13" t="s">
        <v>76</v>
      </c>
      <c r="D113" s="13" t="s">
        <v>58</v>
      </c>
      <c r="E113" s="13" t="s">
        <v>140</v>
      </c>
      <c r="F113" s="13" t="s">
        <v>141</v>
      </c>
      <c r="G113" s="13" t="s">
        <v>61</v>
      </c>
      <c r="H113" s="40">
        <v>215911.0</v>
      </c>
      <c r="I113" s="15"/>
      <c r="J113" s="16"/>
      <c r="K113" s="16"/>
      <c r="L113" s="24"/>
      <c r="M113" s="20">
        <f>IF($B113="","",COUNTIFS('Blocker log'!$A:$A,$B113,'Blocker log'!$G:$G,"&lt;&gt;"))</f>
        <v>0</v>
      </c>
      <c r="N113" s="20">
        <f>IF($B113="","",COUNTIFS('Blocker log'!$A:$A,$B113,'Blocker log'!$G:$G,"Hard blocker"))</f>
        <v>0</v>
      </c>
      <c r="O113" s="20">
        <f>IF($B113="","",COUNTIFS('Blocker log'!$A:$A,$B113,'Blocker log'!$G:$G,"Hard blocker",'Blocker log'!$L:$L,9))</f>
        <v>0</v>
      </c>
      <c r="P113" s="20">
        <f>IF($B113="","",MAXIFS('Blocker log'!$L:$L,'Blocker log'!$A:$A,$B113,'Blocker log'!$G:$G,"Hard blocker"))</f>
        <v>0</v>
      </c>
      <c r="Q113" s="20" t="str">
        <f>IF($B113="","",IF($K113&lt;&gt;"Complete","Assessment pending",IF($N113=0,"Ready now",VLOOKUP($P113,Lists!$D$2:$E$5,2,FALSE))))</f>
        <v>Assessment pending</v>
      </c>
      <c r="R113" s="24"/>
      <c r="S113" s="16"/>
      <c r="T113" s="16"/>
      <c r="U113" s="16"/>
    </row>
    <row r="114" ht="15.75" customHeight="1">
      <c r="A114" s="13" t="s">
        <v>753</v>
      </c>
      <c r="B114" s="13" t="s">
        <v>754</v>
      </c>
      <c r="C114" s="13" t="s">
        <v>76</v>
      </c>
      <c r="D114" s="13" t="s">
        <v>171</v>
      </c>
      <c r="E114" s="13" t="s">
        <v>755</v>
      </c>
      <c r="F114" s="13" t="s">
        <v>756</v>
      </c>
      <c r="G114" s="13" t="s">
        <v>61</v>
      </c>
      <c r="H114" s="40">
        <v>200059.0</v>
      </c>
      <c r="I114" s="15"/>
      <c r="J114" s="16"/>
      <c r="K114" s="16"/>
      <c r="L114" s="24"/>
      <c r="M114" s="20">
        <f>IF($B114="","",COUNTIFS('Blocker log'!$A:$A,$B114,'Blocker log'!$G:$G,"&lt;&gt;"))</f>
        <v>0</v>
      </c>
      <c r="N114" s="20">
        <f>IF($B114="","",COUNTIFS('Blocker log'!$A:$A,$B114,'Blocker log'!$G:$G,"Hard blocker"))</f>
        <v>0</v>
      </c>
      <c r="O114" s="20">
        <f>IF($B114="","",COUNTIFS('Blocker log'!$A:$A,$B114,'Blocker log'!$G:$G,"Hard blocker",'Blocker log'!$L:$L,9))</f>
        <v>0</v>
      </c>
      <c r="P114" s="20">
        <f>IF($B114="","",MAXIFS('Blocker log'!$L:$L,'Blocker log'!$A:$A,$B114,'Blocker log'!$G:$G,"Hard blocker"))</f>
        <v>0</v>
      </c>
      <c r="Q114" s="20" t="str">
        <f>IF($B114="","",IF($K114&lt;&gt;"Complete","Assessment pending",IF($N114=0,"Ready now",VLOOKUP($P114,Lists!$D$2:$E$5,2,FALSE))))</f>
        <v>Assessment pending</v>
      </c>
      <c r="R114" s="24"/>
      <c r="S114" s="16"/>
      <c r="T114" s="16"/>
      <c r="U114" s="16"/>
    </row>
    <row r="115" ht="15.75" customHeight="1">
      <c r="A115" s="13" t="s">
        <v>758</v>
      </c>
      <c r="B115" s="13" t="s">
        <v>759</v>
      </c>
      <c r="C115" s="13" t="s">
        <v>76</v>
      </c>
      <c r="D115" s="13" t="s">
        <v>171</v>
      </c>
      <c r="E115" s="13" t="s">
        <v>760</v>
      </c>
      <c r="F115" s="13" t="s">
        <v>761</v>
      </c>
      <c r="G115" s="13" t="s">
        <v>61</v>
      </c>
      <c r="H115" s="40">
        <v>214462.0</v>
      </c>
      <c r="I115" s="15"/>
      <c r="J115" s="16"/>
      <c r="K115" s="16"/>
      <c r="L115" s="24"/>
      <c r="M115" s="20">
        <f>IF($B115="","",COUNTIFS('Blocker log'!$A:$A,$B115,'Blocker log'!$G:$G,"&lt;&gt;"))</f>
        <v>0</v>
      </c>
      <c r="N115" s="20">
        <f>IF($B115="","",COUNTIFS('Blocker log'!$A:$A,$B115,'Blocker log'!$G:$G,"Hard blocker"))</f>
        <v>0</v>
      </c>
      <c r="O115" s="20">
        <f>IF($B115="","",COUNTIFS('Blocker log'!$A:$A,$B115,'Blocker log'!$G:$G,"Hard blocker",'Blocker log'!$L:$L,9))</f>
        <v>0</v>
      </c>
      <c r="P115" s="20">
        <f>IF($B115="","",MAXIFS('Blocker log'!$L:$L,'Blocker log'!$A:$A,$B115,'Blocker log'!$G:$G,"Hard blocker"))</f>
        <v>0</v>
      </c>
      <c r="Q115" s="20" t="str">
        <f>IF($B115="","",IF($K115&lt;&gt;"Complete","Assessment pending",IF($N115=0,"Ready now",VLOOKUP($P115,Lists!$D$2:$E$5,2,FALSE))))</f>
        <v>Assessment pending</v>
      </c>
      <c r="R115" s="24"/>
      <c r="S115" s="16"/>
      <c r="T115" s="16"/>
      <c r="U115" s="16"/>
    </row>
    <row r="116" ht="15.75" customHeight="1">
      <c r="A116" s="13" t="s">
        <v>763</v>
      </c>
      <c r="B116" s="13" t="s">
        <v>764</v>
      </c>
      <c r="C116" s="13" t="s">
        <v>76</v>
      </c>
      <c r="D116" s="13" t="s">
        <v>171</v>
      </c>
      <c r="E116" s="13" t="s">
        <v>542</v>
      </c>
      <c r="F116" s="13" t="s">
        <v>543</v>
      </c>
      <c r="G116" s="13" t="s">
        <v>61</v>
      </c>
      <c r="H116" s="40">
        <v>18320.0</v>
      </c>
      <c r="I116" s="15"/>
      <c r="J116" s="16"/>
      <c r="K116" s="16"/>
      <c r="L116" s="24"/>
      <c r="M116" s="20">
        <f>IF($B116="","",COUNTIFS('Blocker log'!$A:$A,$B116,'Blocker log'!$G:$G,"&lt;&gt;"))</f>
        <v>0</v>
      </c>
      <c r="N116" s="20">
        <f>IF($B116="","",COUNTIFS('Blocker log'!$A:$A,$B116,'Blocker log'!$G:$G,"Hard blocker"))</f>
        <v>0</v>
      </c>
      <c r="O116" s="20">
        <f>IF($B116="","",COUNTIFS('Blocker log'!$A:$A,$B116,'Blocker log'!$G:$G,"Hard blocker",'Blocker log'!$L:$L,9))</f>
        <v>0</v>
      </c>
      <c r="P116" s="20">
        <f>IF($B116="","",MAXIFS('Blocker log'!$L:$L,'Blocker log'!$A:$A,$B116,'Blocker log'!$G:$G,"Hard blocker"))</f>
        <v>0</v>
      </c>
      <c r="Q116" s="20" t="str">
        <f>IF($B116="","",IF($K116&lt;&gt;"Complete","Assessment pending",IF($N116=0,"Ready now",VLOOKUP($P116,Lists!$D$2:$E$5,2,FALSE))))</f>
        <v>Assessment pending</v>
      </c>
      <c r="R116" s="24"/>
      <c r="S116" s="16"/>
      <c r="T116" s="16"/>
      <c r="U116" s="16"/>
    </row>
    <row r="117" ht="15.75" customHeight="1">
      <c r="A117" s="13" t="s">
        <v>765</v>
      </c>
      <c r="B117" s="13" t="s">
        <v>766</v>
      </c>
      <c r="C117" s="13" t="s">
        <v>57</v>
      </c>
      <c r="D117" s="13" t="s">
        <v>171</v>
      </c>
      <c r="E117" s="13" t="s">
        <v>512</v>
      </c>
      <c r="F117" s="13" t="s">
        <v>537</v>
      </c>
      <c r="G117" s="13" t="s">
        <v>61</v>
      </c>
      <c r="H117" s="41">
        <v>678294.0</v>
      </c>
      <c r="I117" s="15" t="s">
        <v>382</v>
      </c>
      <c r="J117" s="16"/>
      <c r="K117" s="18" t="s">
        <v>78</v>
      </c>
      <c r="L117" s="24"/>
      <c r="M117" s="20">
        <f>IF($B117="","",COUNTIFS('Blocker log'!$A:$A,$B117,'Blocker log'!$G:$G,"&lt;&gt;"))</f>
        <v>0</v>
      </c>
      <c r="N117" s="20">
        <f>IF($B117="","",COUNTIFS('Blocker log'!$A:$A,$B117,'Blocker log'!$G:$G,"Hard blocker"))</f>
        <v>0</v>
      </c>
      <c r="O117" s="20">
        <f>IF($B117="","",COUNTIFS('Blocker log'!$A:$A,$B117,'Blocker log'!$G:$G,"Hard blocker",'Blocker log'!$L:$L,9))</f>
        <v>0</v>
      </c>
      <c r="P117" s="20">
        <f>IF($B117="","",MAXIFS('Blocker log'!$L:$L,'Blocker log'!$A:$A,$B117,'Blocker log'!$G:$G,"Hard blocker"))</f>
        <v>0</v>
      </c>
      <c r="Q117" s="20" t="str">
        <f>IF($B117="","",IF($K117&lt;&gt;"Complete","Assessment pending",IF($N117=0,"Ready now",VLOOKUP($P117,Lists!$D$2:$E$5,2,FALSE))))</f>
        <v>Assessment pending</v>
      </c>
      <c r="R117" s="24"/>
      <c r="S117" s="16"/>
      <c r="T117" s="16"/>
      <c r="U117" s="16"/>
    </row>
    <row r="118" ht="15.75" customHeight="1">
      <c r="A118" s="13" t="s">
        <v>767</v>
      </c>
      <c r="B118" s="13" t="s">
        <v>768</v>
      </c>
      <c r="C118" s="13" t="s">
        <v>76</v>
      </c>
      <c r="D118" s="13" t="s">
        <v>58</v>
      </c>
      <c r="E118" s="13" t="s">
        <v>181</v>
      </c>
      <c r="F118" s="13" t="s">
        <v>190</v>
      </c>
      <c r="G118" s="13" t="s">
        <v>61</v>
      </c>
      <c r="H118" s="40">
        <v>207000.0</v>
      </c>
      <c r="I118" s="15"/>
      <c r="J118" s="16"/>
      <c r="K118" s="16"/>
      <c r="L118" s="24"/>
      <c r="M118" s="20">
        <f>IF($B118="","",COUNTIFS('Blocker log'!$A:$A,$B118,'Blocker log'!$G:$G,"&lt;&gt;"))</f>
        <v>0</v>
      </c>
      <c r="N118" s="20">
        <f>IF($B118="","",COUNTIFS('Blocker log'!$A:$A,$B118,'Blocker log'!$G:$G,"Hard blocker"))</f>
        <v>0</v>
      </c>
      <c r="O118" s="20">
        <f>IF($B118="","",COUNTIFS('Blocker log'!$A:$A,$B118,'Blocker log'!$G:$G,"Hard blocker",'Blocker log'!$L:$L,9))</f>
        <v>0</v>
      </c>
      <c r="P118" s="20">
        <f>IF($B118="","",MAXIFS('Blocker log'!$L:$L,'Blocker log'!$A:$A,$B118,'Blocker log'!$G:$G,"Hard blocker"))</f>
        <v>0</v>
      </c>
      <c r="Q118" s="20" t="str">
        <f>IF($B118="","",IF($K118&lt;&gt;"Complete","Assessment pending",IF($N118=0,"Ready now",VLOOKUP($P118,Lists!$D$2:$E$5,2,FALSE))))</f>
        <v>Assessment pending</v>
      </c>
      <c r="R118" s="24"/>
      <c r="S118" s="16"/>
      <c r="T118" s="16"/>
      <c r="U118" s="16"/>
    </row>
    <row r="119" ht="15.75" customHeight="1">
      <c r="A119" s="13" t="s">
        <v>771</v>
      </c>
      <c r="B119" s="13" t="s">
        <v>772</v>
      </c>
      <c r="C119" s="13" t="s">
        <v>57</v>
      </c>
      <c r="D119" s="13" t="s">
        <v>171</v>
      </c>
      <c r="E119" s="13" t="s">
        <v>773</v>
      </c>
      <c r="F119" s="13" t="s">
        <v>774</v>
      </c>
      <c r="G119" s="13" t="s">
        <v>61</v>
      </c>
      <c r="H119" s="41">
        <v>651248.0</v>
      </c>
      <c r="I119" s="15" t="s">
        <v>382</v>
      </c>
      <c r="J119" s="16"/>
      <c r="K119" s="18" t="s">
        <v>78</v>
      </c>
      <c r="L119" s="24"/>
      <c r="M119" s="20">
        <f>IF($B119="","",COUNTIFS('Blocker log'!$A:$A,$B119,'Blocker log'!$G:$G,"&lt;&gt;"))</f>
        <v>0</v>
      </c>
      <c r="N119" s="20">
        <f>IF($B119="","",COUNTIFS('Blocker log'!$A:$A,$B119,'Blocker log'!$G:$G,"Hard blocker"))</f>
        <v>0</v>
      </c>
      <c r="O119" s="20">
        <f>IF($B119="","",COUNTIFS('Blocker log'!$A:$A,$B119,'Blocker log'!$G:$G,"Hard blocker",'Blocker log'!$L:$L,9))</f>
        <v>0</v>
      </c>
      <c r="P119" s="20">
        <f>IF($B119="","",MAXIFS('Blocker log'!$L:$L,'Blocker log'!$A:$A,$B119,'Blocker log'!$G:$G,"Hard blocker"))</f>
        <v>0</v>
      </c>
      <c r="Q119" s="20" t="str">
        <f>IF($B119="","",IF($K119&lt;&gt;"Complete","Assessment pending",IF($N119=0,"Ready now",VLOOKUP($P119,Lists!$D$2:$E$5,2,FALSE))))</f>
        <v>Assessment pending</v>
      </c>
      <c r="R119" s="24"/>
      <c r="S119" s="16"/>
      <c r="T119" s="16"/>
      <c r="U119" s="16"/>
    </row>
    <row r="120" ht="15.75" customHeight="1">
      <c r="A120" s="13" t="s">
        <v>775</v>
      </c>
      <c r="B120" s="13" t="s">
        <v>776</v>
      </c>
      <c r="C120" s="13" t="s">
        <v>76</v>
      </c>
      <c r="D120" s="13" t="s">
        <v>171</v>
      </c>
      <c r="E120" s="13" t="s">
        <v>677</v>
      </c>
      <c r="F120" s="13" t="s">
        <v>678</v>
      </c>
      <c r="G120" s="13" t="s">
        <v>61</v>
      </c>
      <c r="H120" s="40">
        <v>198244.0</v>
      </c>
      <c r="I120" s="15"/>
      <c r="J120" s="16"/>
      <c r="K120" s="16"/>
      <c r="L120" s="24"/>
      <c r="M120" s="20">
        <f>IF($B120="","",COUNTIFS('Blocker log'!$A:$A,$B120,'Blocker log'!$G:$G,"&lt;&gt;"))</f>
        <v>0</v>
      </c>
      <c r="N120" s="20">
        <f>IF($B120="","",COUNTIFS('Blocker log'!$A:$A,$B120,'Blocker log'!$G:$G,"Hard blocker"))</f>
        <v>0</v>
      </c>
      <c r="O120" s="20">
        <f>IF($B120="","",COUNTIFS('Blocker log'!$A:$A,$B120,'Blocker log'!$G:$G,"Hard blocker",'Blocker log'!$L:$L,9))</f>
        <v>0</v>
      </c>
      <c r="P120" s="20">
        <f>IF($B120="","",MAXIFS('Blocker log'!$L:$L,'Blocker log'!$A:$A,$B120,'Blocker log'!$G:$G,"Hard blocker"))</f>
        <v>0</v>
      </c>
      <c r="Q120" s="20" t="str">
        <f>IF($B120="","",IF($K120&lt;&gt;"Complete","Assessment pending",IF($N120=0,"Ready now",VLOOKUP($P120,Lists!$D$2:$E$5,2,FALSE))))</f>
        <v>Assessment pending</v>
      </c>
      <c r="R120" s="24"/>
      <c r="S120" s="16"/>
      <c r="T120" s="16"/>
      <c r="U120" s="16"/>
    </row>
    <row r="121" ht="15.75" customHeight="1">
      <c r="A121" s="13" t="s">
        <v>777</v>
      </c>
      <c r="B121" s="13" t="s">
        <v>778</v>
      </c>
      <c r="C121" s="13" t="s">
        <v>76</v>
      </c>
      <c r="D121" s="13" t="s">
        <v>260</v>
      </c>
      <c r="E121" s="13" t="s">
        <v>506</v>
      </c>
      <c r="F121" s="13" t="s">
        <v>507</v>
      </c>
      <c r="G121" s="13" t="s">
        <v>61</v>
      </c>
      <c r="H121" s="40">
        <v>195069.0</v>
      </c>
      <c r="I121" s="15"/>
      <c r="J121" s="16"/>
      <c r="K121" s="16"/>
      <c r="L121" s="24"/>
      <c r="M121" s="20">
        <f>IF($B121="","",COUNTIFS('Blocker log'!$A:$A,$B121,'Blocker log'!$G:$G,"&lt;&gt;"))</f>
        <v>0</v>
      </c>
      <c r="N121" s="20">
        <f>IF($B121="","",COUNTIFS('Blocker log'!$A:$A,$B121,'Blocker log'!$G:$G,"Hard blocker"))</f>
        <v>0</v>
      </c>
      <c r="O121" s="20">
        <f>IF($B121="","",COUNTIFS('Blocker log'!$A:$A,$B121,'Blocker log'!$G:$G,"Hard blocker",'Blocker log'!$L:$L,9))</f>
        <v>0</v>
      </c>
      <c r="P121" s="20">
        <f>IF($B121="","",MAXIFS('Blocker log'!$L:$L,'Blocker log'!$A:$A,$B121,'Blocker log'!$G:$G,"Hard blocker"))</f>
        <v>0</v>
      </c>
      <c r="Q121" s="20" t="str">
        <f>IF($B121="","",IF($K121&lt;&gt;"Complete","Assessment pending",IF($N121=0,"Ready now",VLOOKUP($P121,Lists!$D$2:$E$5,2,FALSE))))</f>
        <v>Assessment pending</v>
      </c>
      <c r="R121" s="24"/>
      <c r="S121" s="16"/>
      <c r="T121" s="16"/>
      <c r="U121" s="16"/>
    </row>
    <row r="122" ht="15.75" customHeight="1">
      <c r="A122" s="13" t="s">
        <v>780</v>
      </c>
      <c r="B122" s="13" t="s">
        <v>781</v>
      </c>
      <c r="C122" s="13" t="s">
        <v>57</v>
      </c>
      <c r="D122" s="13" t="s">
        <v>171</v>
      </c>
      <c r="E122" s="13" t="s">
        <v>512</v>
      </c>
      <c r="F122" s="13" t="s">
        <v>782</v>
      </c>
      <c r="G122" s="13" t="s">
        <v>61</v>
      </c>
      <c r="H122" s="41">
        <v>684959.0</v>
      </c>
      <c r="I122" s="15" t="s">
        <v>383</v>
      </c>
      <c r="J122" s="16"/>
      <c r="K122" s="18" t="s">
        <v>78</v>
      </c>
      <c r="L122" s="24"/>
      <c r="M122" s="20">
        <f>IF($B122="","",COUNTIFS('Blocker log'!$A:$A,$B122,'Blocker log'!$G:$G,"&lt;&gt;"))</f>
        <v>0</v>
      </c>
      <c r="N122" s="20">
        <f>IF($B122="","",COUNTIFS('Blocker log'!$A:$A,$B122,'Blocker log'!$G:$G,"Hard blocker"))</f>
        <v>0</v>
      </c>
      <c r="O122" s="20">
        <f>IF($B122="","",COUNTIFS('Blocker log'!$A:$A,$B122,'Blocker log'!$G:$G,"Hard blocker",'Blocker log'!$L:$L,9))</f>
        <v>0</v>
      </c>
      <c r="P122" s="20">
        <f>IF($B122="","",MAXIFS('Blocker log'!$L:$L,'Blocker log'!$A:$A,$B122,'Blocker log'!$G:$G,"Hard blocker"))</f>
        <v>0</v>
      </c>
      <c r="Q122" s="20" t="str">
        <f>IF($B122="","",IF($K122&lt;&gt;"Complete","Assessment pending",IF($N122=0,"Ready now",VLOOKUP($P122,Lists!$D$2:$E$5,2,FALSE))))</f>
        <v>Assessment pending</v>
      </c>
      <c r="R122" s="24"/>
      <c r="S122" s="16"/>
      <c r="T122" s="16"/>
      <c r="U122" s="16"/>
    </row>
    <row r="123" ht="15.75" customHeight="1">
      <c r="A123" s="13" t="s">
        <v>784</v>
      </c>
      <c r="B123" s="13" t="s">
        <v>785</v>
      </c>
      <c r="C123" s="13" t="s">
        <v>76</v>
      </c>
      <c r="D123" s="13" t="s">
        <v>58</v>
      </c>
      <c r="E123" s="13" t="s">
        <v>59</v>
      </c>
      <c r="F123" s="13" t="s">
        <v>598</v>
      </c>
      <c r="G123" s="13" t="s">
        <v>61</v>
      </c>
      <c r="H123" s="40">
        <v>190832.0</v>
      </c>
      <c r="I123" s="15"/>
      <c r="J123" s="16"/>
      <c r="K123" s="16"/>
      <c r="L123" s="24"/>
      <c r="M123" s="20">
        <f>IF($B123="","",COUNTIFS('Blocker log'!$A:$A,$B123,'Blocker log'!$G:$G,"&lt;&gt;"))</f>
        <v>0</v>
      </c>
      <c r="N123" s="20">
        <f>IF($B123="","",COUNTIFS('Blocker log'!$A:$A,$B123,'Blocker log'!$G:$G,"Hard blocker"))</f>
        <v>0</v>
      </c>
      <c r="O123" s="20">
        <f>IF($B123="","",COUNTIFS('Blocker log'!$A:$A,$B123,'Blocker log'!$G:$G,"Hard blocker",'Blocker log'!$L:$L,9))</f>
        <v>0</v>
      </c>
      <c r="P123" s="20">
        <f>IF($B123="","",MAXIFS('Blocker log'!$L:$L,'Blocker log'!$A:$A,$B123,'Blocker log'!$G:$G,"Hard blocker"))</f>
        <v>0</v>
      </c>
      <c r="Q123" s="20" t="str">
        <f>IF($B123="","",IF($K123&lt;&gt;"Complete","Assessment pending",IF($N123=0,"Ready now",VLOOKUP($P123,Lists!$D$2:$E$5,2,FALSE))))</f>
        <v>Assessment pending</v>
      </c>
      <c r="R123" s="24"/>
      <c r="S123" s="16"/>
      <c r="T123" s="16"/>
      <c r="U123" s="16"/>
    </row>
    <row r="124" ht="15.75" customHeight="1">
      <c r="A124" s="13" t="s">
        <v>786</v>
      </c>
      <c r="B124" s="13" t="s">
        <v>787</v>
      </c>
      <c r="C124" s="13" t="s">
        <v>57</v>
      </c>
      <c r="D124" s="13" t="s">
        <v>58</v>
      </c>
      <c r="E124" s="13" t="s">
        <v>59</v>
      </c>
      <c r="F124" s="13" t="s">
        <v>278</v>
      </c>
      <c r="G124" s="13" t="s">
        <v>61</v>
      </c>
      <c r="H124" s="41">
        <v>644000.0</v>
      </c>
      <c r="I124" s="15" t="s">
        <v>384</v>
      </c>
      <c r="J124" s="16"/>
      <c r="K124" s="18" t="s">
        <v>78</v>
      </c>
      <c r="L124" s="24"/>
      <c r="M124" s="20">
        <f>IF($B124="","",COUNTIFS('Blocker log'!$A:$A,$B124,'Blocker log'!$G:$G,"&lt;&gt;"))</f>
        <v>0</v>
      </c>
      <c r="N124" s="20">
        <f>IF($B124="","",COUNTIFS('Blocker log'!$A:$A,$B124,'Blocker log'!$G:$G,"Hard blocker"))</f>
        <v>0</v>
      </c>
      <c r="O124" s="20">
        <f>IF($B124="","",COUNTIFS('Blocker log'!$A:$A,$B124,'Blocker log'!$G:$G,"Hard blocker",'Blocker log'!$L:$L,9))</f>
        <v>0</v>
      </c>
      <c r="P124" s="20">
        <f>IF($B124="","",MAXIFS('Blocker log'!$L:$L,'Blocker log'!$A:$A,$B124,'Blocker log'!$G:$G,"Hard blocker"))</f>
        <v>0</v>
      </c>
      <c r="Q124" s="20" t="str">
        <f>IF($B124="","",IF($K124&lt;&gt;"Complete","Assessment pending",IF($N124=0,"Ready now",VLOOKUP($P124,Lists!$D$2:$E$5,2,FALSE))))</f>
        <v>Assessment pending</v>
      </c>
      <c r="R124" s="24"/>
      <c r="S124" s="16"/>
      <c r="T124" s="16"/>
      <c r="U124" s="16"/>
    </row>
    <row r="125" ht="15.75" customHeight="1">
      <c r="A125" s="13" t="s">
        <v>788</v>
      </c>
      <c r="B125" s="13" t="s">
        <v>789</v>
      </c>
      <c r="C125" s="13" t="s">
        <v>76</v>
      </c>
      <c r="D125" s="13" t="s">
        <v>171</v>
      </c>
      <c r="E125" s="13" t="s">
        <v>205</v>
      </c>
      <c r="F125" s="13" t="s">
        <v>206</v>
      </c>
      <c r="G125" s="13" t="s">
        <v>61</v>
      </c>
      <c r="H125" s="40">
        <v>180374.0</v>
      </c>
      <c r="I125" s="15"/>
      <c r="J125" s="16"/>
      <c r="K125" s="16"/>
      <c r="L125" s="24"/>
      <c r="M125" s="20">
        <f>IF($B125="","",COUNTIFS('Blocker log'!$A:$A,$B125,'Blocker log'!$G:$G,"&lt;&gt;"))</f>
        <v>0</v>
      </c>
      <c r="N125" s="20">
        <f>IF($B125="","",COUNTIFS('Blocker log'!$A:$A,$B125,'Blocker log'!$G:$G,"Hard blocker"))</f>
        <v>0</v>
      </c>
      <c r="O125" s="20">
        <f>IF($B125="","",COUNTIFS('Blocker log'!$A:$A,$B125,'Blocker log'!$G:$G,"Hard blocker",'Blocker log'!$L:$L,9))</f>
        <v>0</v>
      </c>
      <c r="P125" s="20">
        <f>IF($B125="","",MAXIFS('Blocker log'!$L:$L,'Blocker log'!$A:$A,$B125,'Blocker log'!$G:$G,"Hard blocker"))</f>
        <v>0</v>
      </c>
      <c r="Q125" s="20" t="str">
        <f>IF($B125="","",IF($K125&lt;&gt;"Complete","Assessment pending",IF($N125=0,"Ready now",VLOOKUP($P125,Lists!$D$2:$E$5,2,FALSE))))</f>
        <v>Assessment pending</v>
      </c>
      <c r="R125" s="24"/>
      <c r="S125" s="16"/>
      <c r="T125" s="16"/>
      <c r="U125" s="16"/>
    </row>
    <row r="126" ht="15.75" customHeight="1">
      <c r="A126" s="63" t="s">
        <v>791</v>
      </c>
      <c r="B126" s="63" t="s">
        <v>792</v>
      </c>
      <c r="C126" s="63" t="s">
        <v>57</v>
      </c>
      <c r="D126" s="63" t="s">
        <v>58</v>
      </c>
      <c r="E126" s="63" t="s">
        <v>494</v>
      </c>
      <c r="F126" s="63" t="s">
        <v>495</v>
      </c>
      <c r="G126" s="13" t="s">
        <v>61</v>
      </c>
      <c r="H126" s="64">
        <v>1008784.0</v>
      </c>
      <c r="I126" s="65" t="s">
        <v>384</v>
      </c>
      <c r="J126" s="66"/>
      <c r="K126" s="18" t="s">
        <v>78</v>
      </c>
      <c r="L126" s="66"/>
      <c r="M126" s="20">
        <f>IF($B126="","",COUNTIFS('Blocker log'!$A:$A,$B126,'Blocker log'!$G:$G,"&lt;&gt;"))</f>
        <v>0</v>
      </c>
      <c r="N126" s="20">
        <f>IF($B126="","",COUNTIFS('Blocker log'!$A:$A,$B126,'Blocker log'!$G:$G,"Hard blocker"))</f>
        <v>0</v>
      </c>
      <c r="O126" s="20">
        <f>IF($B126="","",COUNTIFS('Blocker log'!$A:$A,$B126,'Blocker log'!$G:$G,"Hard blocker",'Blocker log'!$L:$L,9))</f>
        <v>0</v>
      </c>
      <c r="P126" s="20">
        <f>IF($B126="","",MAXIFS('Blocker log'!$L:$L,'Blocker log'!$A:$A,$B126,'Blocker log'!$G:$G,"Hard blocker"))</f>
        <v>0</v>
      </c>
      <c r="Q126" s="20" t="str">
        <f>IF($B126="","",IF($K126&lt;&gt;"Complete","Assessment pending",IF($N126=0,"Ready now",VLOOKUP($P126,Lists!$D$2:$E$5,2,FALSE))))</f>
        <v>Assessment pending</v>
      </c>
      <c r="R126" s="66"/>
      <c r="S126" s="66"/>
      <c r="T126" s="66"/>
      <c r="U126" s="66"/>
    </row>
    <row r="127" ht="15.75" customHeight="1">
      <c r="A127" s="13" t="s">
        <v>793</v>
      </c>
      <c r="B127" s="13" t="s">
        <v>794</v>
      </c>
      <c r="C127" s="13" t="s">
        <v>76</v>
      </c>
      <c r="D127" s="13" t="s">
        <v>260</v>
      </c>
      <c r="E127" s="13" t="s">
        <v>530</v>
      </c>
      <c r="F127" s="13" t="s">
        <v>795</v>
      </c>
      <c r="G127" s="13" t="s">
        <v>61</v>
      </c>
      <c r="H127" s="40">
        <v>185329.0</v>
      </c>
      <c r="I127" s="15"/>
      <c r="J127" s="16"/>
      <c r="K127" s="16"/>
      <c r="L127" s="24"/>
      <c r="M127" s="20">
        <f>IF($B127="","",COUNTIFS('Blocker log'!$A:$A,$B127,'Blocker log'!$G:$G,"&lt;&gt;"))</f>
        <v>0</v>
      </c>
      <c r="N127" s="20">
        <f>IF($B127="","",COUNTIFS('Blocker log'!$A:$A,$B127,'Blocker log'!$G:$G,"Hard blocker"))</f>
        <v>0</v>
      </c>
      <c r="O127" s="20">
        <f>IF($B127="","",COUNTIFS('Blocker log'!$A:$A,$B127,'Blocker log'!$G:$G,"Hard blocker",'Blocker log'!$L:$L,9))</f>
        <v>0</v>
      </c>
      <c r="P127" s="20">
        <f>IF($B127="","",MAXIFS('Blocker log'!$L:$L,'Blocker log'!$A:$A,$B127,'Blocker log'!$G:$G,"Hard blocker"))</f>
        <v>0</v>
      </c>
      <c r="Q127" s="20" t="str">
        <f>IF($B127="","",IF($K127&lt;&gt;"Complete","Assessment pending",IF($N127=0,"Ready now",VLOOKUP($P127,Lists!$D$2:$E$5,2,FALSE))))</f>
        <v>Assessment pending</v>
      </c>
      <c r="R127" s="24"/>
      <c r="S127" s="16"/>
      <c r="T127" s="16"/>
      <c r="U127" s="16"/>
    </row>
    <row r="128" ht="15.75" customHeight="1">
      <c r="A128" s="13" t="s">
        <v>796</v>
      </c>
      <c r="B128" s="13" t="s">
        <v>797</v>
      </c>
      <c r="C128" s="13" t="s">
        <v>76</v>
      </c>
      <c r="D128" s="13" t="s">
        <v>260</v>
      </c>
      <c r="E128" s="13" t="s">
        <v>506</v>
      </c>
      <c r="F128" s="13" t="s">
        <v>798</v>
      </c>
      <c r="G128" s="13" t="s">
        <v>61</v>
      </c>
      <c r="H128" s="40">
        <v>178269.0</v>
      </c>
      <c r="I128" s="15"/>
      <c r="J128" s="16"/>
      <c r="K128" s="16"/>
      <c r="L128" s="24"/>
      <c r="M128" s="20">
        <f>IF($B128="","",COUNTIFS('Blocker log'!$A:$A,$B128,'Blocker log'!$G:$G,"&lt;&gt;"))</f>
        <v>0</v>
      </c>
      <c r="N128" s="20">
        <f>IF($B128="","",COUNTIFS('Blocker log'!$A:$A,$B128,'Blocker log'!$G:$G,"Hard blocker"))</f>
        <v>0</v>
      </c>
      <c r="O128" s="20">
        <f>IF($B128="","",COUNTIFS('Blocker log'!$A:$A,$B128,'Blocker log'!$G:$G,"Hard blocker",'Blocker log'!$L:$L,9))</f>
        <v>0</v>
      </c>
      <c r="P128" s="20">
        <f>IF($B128="","",MAXIFS('Blocker log'!$L:$L,'Blocker log'!$A:$A,$B128,'Blocker log'!$G:$G,"Hard blocker"))</f>
        <v>0</v>
      </c>
      <c r="Q128" s="20" t="str">
        <f>IF($B128="","",IF($K128&lt;&gt;"Complete","Assessment pending",IF($N128=0,"Ready now",VLOOKUP($P128,Lists!$D$2:$E$5,2,FALSE))))</f>
        <v>Assessment pending</v>
      </c>
      <c r="R128" s="24"/>
      <c r="S128" s="16"/>
      <c r="T128" s="16"/>
      <c r="U128" s="16"/>
    </row>
    <row r="129" ht="15.75" customHeight="1">
      <c r="A129" s="10" t="s">
        <v>799</v>
      </c>
      <c r="B129" s="18" t="s">
        <v>800</v>
      </c>
      <c r="C129" s="18" t="s">
        <v>76</v>
      </c>
      <c r="D129" s="18" t="s">
        <v>58</v>
      </c>
      <c r="E129" s="10" t="s">
        <v>59</v>
      </c>
      <c r="F129" s="10" t="s">
        <v>225</v>
      </c>
      <c r="G129" s="13" t="s">
        <v>61</v>
      </c>
      <c r="H129" s="40">
        <v>177768.0</v>
      </c>
      <c r="I129" s="15"/>
      <c r="J129" s="16"/>
      <c r="K129" s="16"/>
      <c r="L129" s="24"/>
      <c r="M129" s="20">
        <f>IF($B129="","",COUNTIFS('Blocker log'!$A:$A,$B129,'Blocker log'!$G:$G,"&lt;&gt;"))</f>
        <v>0</v>
      </c>
      <c r="N129" s="20">
        <f>IF($B129="","",COUNTIFS('Blocker log'!$A:$A,$B129,'Blocker log'!$G:$G,"Hard blocker"))</f>
        <v>0</v>
      </c>
      <c r="O129" s="20">
        <f>IF($B129="","",COUNTIFS('Blocker log'!$A:$A,$B129,'Blocker log'!$G:$G,"Hard blocker",'Blocker log'!$L:$L,9))</f>
        <v>0</v>
      </c>
      <c r="P129" s="20">
        <f>IF($B129="","",MAXIFS('Blocker log'!$L:$L,'Blocker log'!$A:$A,$B129,'Blocker log'!$G:$G,"Hard blocker"))</f>
        <v>0</v>
      </c>
      <c r="Q129" s="20" t="str">
        <f>IF($B129="","",IF($K129&lt;&gt;"Complete","Assessment pending",IF($N129=0,"Ready now",VLOOKUP($P129,Lists!$D$2:$E$5,2,FALSE))))</f>
        <v>Assessment pending</v>
      </c>
      <c r="R129" s="24"/>
      <c r="S129" s="16"/>
      <c r="T129" s="16"/>
      <c r="U129" s="16"/>
    </row>
    <row r="130" ht="15.75" customHeight="1">
      <c r="A130" s="10" t="s">
        <v>802</v>
      </c>
      <c r="B130" s="18" t="s">
        <v>803</v>
      </c>
      <c r="C130" s="18" t="s">
        <v>76</v>
      </c>
      <c r="D130" s="18" t="s">
        <v>260</v>
      </c>
      <c r="E130" s="10" t="s">
        <v>576</v>
      </c>
      <c r="F130" s="10" t="s">
        <v>804</v>
      </c>
      <c r="G130" s="13" t="s">
        <v>61</v>
      </c>
      <c r="H130" s="40">
        <v>173307.0</v>
      </c>
      <c r="I130" s="15"/>
      <c r="J130" s="16"/>
      <c r="K130" s="16"/>
      <c r="L130" s="24"/>
      <c r="M130" s="20">
        <f>IF($B130="","",COUNTIFS('Blocker log'!$A:$A,$B130,'Blocker log'!$G:$G,"&lt;&gt;"))</f>
        <v>0</v>
      </c>
      <c r="N130" s="20">
        <f>IF($B130="","",COUNTIFS('Blocker log'!$A:$A,$B130,'Blocker log'!$G:$G,"Hard blocker"))</f>
        <v>0</v>
      </c>
      <c r="O130" s="20">
        <f>IF($B130="","",COUNTIFS('Blocker log'!$A:$A,$B130,'Blocker log'!$G:$G,"Hard blocker",'Blocker log'!$L:$L,9))</f>
        <v>0</v>
      </c>
      <c r="P130" s="20">
        <f>IF($B130="","",MAXIFS('Blocker log'!$L:$L,'Blocker log'!$A:$A,$B130,'Blocker log'!$G:$G,"Hard blocker"))</f>
        <v>0</v>
      </c>
      <c r="Q130" s="20" t="str">
        <f>IF($B130="","",IF($K130&lt;&gt;"Complete","Assessment pending",IF($N130=0,"Ready now",VLOOKUP($P130,Lists!$D$2:$E$5,2,FALSE))))</f>
        <v>Assessment pending</v>
      </c>
      <c r="R130" s="24"/>
      <c r="S130" s="16"/>
      <c r="T130" s="16"/>
      <c r="U130" s="16"/>
    </row>
    <row r="131" ht="15.75" customHeight="1">
      <c r="A131" s="10" t="s">
        <v>806</v>
      </c>
      <c r="B131" s="18" t="s">
        <v>807</v>
      </c>
      <c r="C131" s="18" t="s">
        <v>76</v>
      </c>
      <c r="D131" s="18" t="s">
        <v>260</v>
      </c>
      <c r="E131" s="10" t="s">
        <v>506</v>
      </c>
      <c r="F131" s="10" t="s">
        <v>708</v>
      </c>
      <c r="G131" s="13" t="s">
        <v>61</v>
      </c>
      <c r="H131" s="40">
        <v>166155.0</v>
      </c>
      <c r="I131" s="15"/>
      <c r="J131" s="16"/>
      <c r="K131" s="16"/>
      <c r="L131" s="24"/>
      <c r="M131" s="20">
        <f>IF($B131="","",COUNTIFS('Blocker log'!$A:$A,$B131,'Blocker log'!$G:$G,"&lt;&gt;"))</f>
        <v>0</v>
      </c>
      <c r="N131" s="20">
        <f>IF($B131="","",COUNTIFS('Blocker log'!$A:$A,$B131,'Blocker log'!$G:$G,"Hard blocker"))</f>
        <v>0</v>
      </c>
      <c r="O131" s="20">
        <f>IF($B131="","",COUNTIFS('Blocker log'!$A:$A,$B131,'Blocker log'!$G:$G,"Hard blocker",'Blocker log'!$L:$L,9))</f>
        <v>0</v>
      </c>
      <c r="P131" s="20">
        <f>IF($B131="","",MAXIFS('Blocker log'!$L:$L,'Blocker log'!$A:$A,$B131,'Blocker log'!$G:$G,"Hard blocker"))</f>
        <v>0</v>
      </c>
      <c r="Q131" s="20" t="str">
        <f>IF($B131="","",IF($K131&lt;&gt;"Complete","Assessment pending",IF($N131=0,"Ready now",VLOOKUP($P131,Lists!$D$2:$E$5,2,FALSE))))</f>
        <v>Assessment pending</v>
      </c>
      <c r="R131" s="24"/>
      <c r="S131" s="16"/>
      <c r="T131" s="16"/>
      <c r="U131" s="16"/>
    </row>
    <row r="132" ht="15.75" customHeight="1">
      <c r="A132" s="10" t="s">
        <v>808</v>
      </c>
      <c r="B132" s="18" t="s">
        <v>809</v>
      </c>
      <c r="C132" s="18" t="s">
        <v>76</v>
      </c>
      <c r="D132" s="18" t="s">
        <v>58</v>
      </c>
      <c r="E132" s="10" t="s">
        <v>59</v>
      </c>
      <c r="F132" s="10" t="s">
        <v>77</v>
      </c>
      <c r="G132" s="13" t="s">
        <v>61</v>
      </c>
      <c r="H132" s="40">
        <v>172218.0</v>
      </c>
      <c r="I132" s="15"/>
      <c r="J132" s="16"/>
      <c r="K132" s="16"/>
      <c r="L132" s="24"/>
      <c r="M132" s="20">
        <f>IF($B132="","",COUNTIFS('Blocker log'!$A:$A,$B132,'Blocker log'!$G:$G,"&lt;&gt;"))</f>
        <v>0</v>
      </c>
      <c r="N132" s="20">
        <f>IF($B132="","",COUNTIFS('Blocker log'!$A:$A,$B132,'Blocker log'!$G:$G,"Hard blocker"))</f>
        <v>0</v>
      </c>
      <c r="O132" s="20">
        <f>IF($B132="","",COUNTIFS('Blocker log'!$A:$A,$B132,'Blocker log'!$G:$G,"Hard blocker",'Blocker log'!$L:$L,9))</f>
        <v>0</v>
      </c>
      <c r="P132" s="20">
        <f>IF($B132="","",MAXIFS('Blocker log'!$L:$L,'Blocker log'!$A:$A,$B132,'Blocker log'!$G:$G,"Hard blocker"))</f>
        <v>0</v>
      </c>
      <c r="Q132" s="20" t="str">
        <f>IF($B132="","",IF($K132&lt;&gt;"Complete","Assessment pending",IF($N132=0,"Ready now",VLOOKUP($P132,Lists!$D$2:$E$5,2,FALSE))))</f>
        <v>Assessment pending</v>
      </c>
      <c r="R132" s="24"/>
      <c r="S132" s="16"/>
      <c r="T132" s="16"/>
      <c r="U132" s="16"/>
    </row>
    <row r="133" ht="15.75" customHeight="1">
      <c r="A133" s="10" t="s">
        <v>810</v>
      </c>
      <c r="B133" s="18" t="s">
        <v>811</v>
      </c>
      <c r="C133" s="18" t="s">
        <v>76</v>
      </c>
      <c r="D133" s="18" t="s">
        <v>260</v>
      </c>
      <c r="E133" s="10" t="s">
        <v>506</v>
      </c>
      <c r="F133" s="10" t="s">
        <v>708</v>
      </c>
      <c r="G133" s="13" t="s">
        <v>61</v>
      </c>
      <c r="H133" s="40">
        <v>168600.0</v>
      </c>
      <c r="I133" s="15"/>
      <c r="J133" s="16"/>
      <c r="K133" s="16"/>
      <c r="L133" s="24"/>
      <c r="M133" s="20">
        <f>IF($B133="","",COUNTIFS('Blocker log'!$A:$A,$B133,'Blocker log'!$G:$G,"&lt;&gt;"))</f>
        <v>0</v>
      </c>
      <c r="N133" s="20">
        <f>IF($B133="","",COUNTIFS('Blocker log'!$A:$A,$B133,'Blocker log'!$G:$G,"Hard blocker"))</f>
        <v>0</v>
      </c>
      <c r="O133" s="20">
        <f>IF($B133="","",COUNTIFS('Blocker log'!$A:$A,$B133,'Blocker log'!$G:$G,"Hard blocker",'Blocker log'!$L:$L,9))</f>
        <v>0</v>
      </c>
      <c r="P133" s="20">
        <f>IF($B133="","",MAXIFS('Blocker log'!$L:$L,'Blocker log'!$A:$A,$B133,'Blocker log'!$G:$G,"Hard blocker"))</f>
        <v>0</v>
      </c>
      <c r="Q133" s="20" t="str">
        <f>IF($B133="","",IF($K133&lt;&gt;"Complete","Assessment pending",IF($N133=0,"Ready now",VLOOKUP($P133,Lists!$D$2:$E$5,2,FALSE))))</f>
        <v>Assessment pending</v>
      </c>
      <c r="R133" s="24"/>
      <c r="S133" s="16"/>
      <c r="T133" s="16"/>
      <c r="U133" s="16"/>
    </row>
    <row r="134" ht="15.75" customHeight="1">
      <c r="A134" s="10" t="s">
        <v>813</v>
      </c>
      <c r="B134" s="18" t="s">
        <v>814</v>
      </c>
      <c r="C134" s="18" t="s">
        <v>76</v>
      </c>
      <c r="D134" s="18" t="s">
        <v>260</v>
      </c>
      <c r="E134" s="10" t="s">
        <v>506</v>
      </c>
      <c r="F134" s="10" t="s">
        <v>815</v>
      </c>
      <c r="G134" s="13" t="s">
        <v>61</v>
      </c>
      <c r="H134" s="40">
        <v>158825.0</v>
      </c>
      <c r="I134" s="15"/>
      <c r="J134" s="16"/>
      <c r="K134" s="16"/>
      <c r="L134" s="24"/>
      <c r="M134" s="20">
        <f>IF($B134="","",COUNTIFS('Blocker log'!$A:$A,$B134,'Blocker log'!$G:$G,"&lt;&gt;"))</f>
        <v>0</v>
      </c>
      <c r="N134" s="20">
        <f>IF($B134="","",COUNTIFS('Blocker log'!$A:$A,$B134,'Blocker log'!$G:$G,"Hard blocker"))</f>
        <v>0</v>
      </c>
      <c r="O134" s="20">
        <f>IF($B134="","",COUNTIFS('Blocker log'!$A:$A,$B134,'Blocker log'!$G:$G,"Hard blocker",'Blocker log'!$L:$L,9))</f>
        <v>0</v>
      </c>
      <c r="P134" s="20">
        <f>IF($B134="","",MAXIFS('Blocker log'!$L:$L,'Blocker log'!$A:$A,$B134,'Blocker log'!$G:$G,"Hard blocker"))</f>
        <v>0</v>
      </c>
      <c r="Q134" s="20" t="str">
        <f>IF($B134="","",IF($K134&lt;&gt;"Complete","Assessment pending",IF($N134=0,"Ready now",VLOOKUP($P134,Lists!$D$2:$E$5,2,FALSE))))</f>
        <v>Assessment pending</v>
      </c>
      <c r="R134" s="24"/>
      <c r="S134" s="16"/>
      <c r="T134" s="16"/>
      <c r="U134" s="16"/>
    </row>
    <row r="135" ht="15.75" customHeight="1">
      <c r="A135" s="10" t="s">
        <v>816</v>
      </c>
      <c r="B135" s="18" t="s">
        <v>817</v>
      </c>
      <c r="C135" s="18" t="s">
        <v>76</v>
      </c>
      <c r="D135" s="18" t="s">
        <v>301</v>
      </c>
      <c r="E135" s="10" t="s">
        <v>484</v>
      </c>
      <c r="F135" s="10" t="s">
        <v>484</v>
      </c>
      <c r="G135" s="13" t="s">
        <v>61</v>
      </c>
      <c r="H135" s="40">
        <v>157610.0</v>
      </c>
      <c r="I135" s="15"/>
      <c r="J135" s="16"/>
      <c r="K135" s="16"/>
      <c r="L135" s="24"/>
      <c r="M135" s="20">
        <f>IF($B135="","",COUNTIFS('Blocker log'!$A:$A,$B135,'Blocker log'!$G:$G,"&lt;&gt;"))</f>
        <v>0</v>
      </c>
      <c r="N135" s="20">
        <f>IF($B135="","",COUNTIFS('Blocker log'!$A:$A,$B135,'Blocker log'!$G:$G,"Hard blocker"))</f>
        <v>0</v>
      </c>
      <c r="O135" s="20">
        <f>IF($B135="","",COUNTIFS('Blocker log'!$A:$A,$B135,'Blocker log'!$G:$G,"Hard blocker",'Blocker log'!$L:$L,9))</f>
        <v>0</v>
      </c>
      <c r="P135" s="20">
        <f>IF($B135="","",MAXIFS('Blocker log'!$L:$L,'Blocker log'!$A:$A,$B135,'Blocker log'!$G:$G,"Hard blocker"))</f>
        <v>0</v>
      </c>
      <c r="Q135" s="20" t="str">
        <f>IF($B135="","",IF($K135&lt;&gt;"Complete","Assessment pending",IF($N135=0,"Ready now",VLOOKUP($P135,Lists!$D$2:$E$5,2,FALSE))))</f>
        <v>Assessment pending</v>
      </c>
      <c r="R135" s="24"/>
      <c r="S135" s="16"/>
      <c r="T135" s="16"/>
      <c r="U135" s="16"/>
    </row>
    <row r="136" ht="15.75" customHeight="1">
      <c r="A136" s="10" t="s">
        <v>819</v>
      </c>
      <c r="B136" s="18" t="s">
        <v>820</v>
      </c>
      <c r="C136" s="18" t="s">
        <v>76</v>
      </c>
      <c r="D136" s="18" t="s">
        <v>171</v>
      </c>
      <c r="E136" s="10" t="s">
        <v>512</v>
      </c>
      <c r="F136" s="10" t="s">
        <v>821</v>
      </c>
      <c r="G136" s="13" t="s">
        <v>61</v>
      </c>
      <c r="H136" s="40">
        <v>157379.0</v>
      </c>
      <c r="I136" s="15"/>
      <c r="J136" s="16"/>
      <c r="K136" s="16"/>
      <c r="L136" s="24"/>
      <c r="M136" s="20">
        <f>IF($B136="","",COUNTIFS('Blocker log'!$A:$A,$B136,'Blocker log'!$G:$G,"&lt;&gt;"))</f>
        <v>0</v>
      </c>
      <c r="N136" s="20">
        <f>IF($B136="","",COUNTIFS('Blocker log'!$A:$A,$B136,'Blocker log'!$G:$G,"Hard blocker"))</f>
        <v>0</v>
      </c>
      <c r="O136" s="20">
        <f>IF($B136="","",COUNTIFS('Blocker log'!$A:$A,$B136,'Blocker log'!$G:$G,"Hard blocker",'Blocker log'!$L:$L,9))</f>
        <v>0</v>
      </c>
      <c r="P136" s="20">
        <f>IF($B136="","",MAXIFS('Blocker log'!$L:$L,'Blocker log'!$A:$A,$B136,'Blocker log'!$G:$G,"Hard blocker"))</f>
        <v>0</v>
      </c>
      <c r="Q136" s="20" t="str">
        <f>IF($B136="","",IF($K136&lt;&gt;"Complete","Assessment pending",IF($N136=0,"Ready now",VLOOKUP($P136,Lists!$D$2:$E$5,2,FALSE))))</f>
        <v>Assessment pending</v>
      </c>
      <c r="R136" s="24"/>
      <c r="S136" s="16"/>
      <c r="T136" s="16"/>
      <c r="U136" s="16"/>
    </row>
    <row r="137" ht="15.75" customHeight="1">
      <c r="A137" s="13" t="s">
        <v>822</v>
      </c>
      <c r="B137" s="67" t="s">
        <v>823</v>
      </c>
      <c r="C137" s="67" t="s">
        <v>57</v>
      </c>
      <c r="D137" s="67" t="s">
        <v>260</v>
      </c>
      <c r="E137" s="13" t="s">
        <v>506</v>
      </c>
      <c r="F137" s="13" t="s">
        <v>674</v>
      </c>
      <c r="G137" s="13" t="s">
        <v>61</v>
      </c>
      <c r="H137" s="41">
        <v>59568.0</v>
      </c>
      <c r="I137" s="15" t="s">
        <v>388</v>
      </c>
      <c r="J137" s="16"/>
      <c r="K137" s="18" t="s">
        <v>78</v>
      </c>
      <c r="L137" s="24"/>
      <c r="M137" s="20">
        <f>IF($B137="","",COUNTIFS('Blocker log'!$A:$A,$B137,'Blocker log'!$G:$G,"&lt;&gt;"))</f>
        <v>0</v>
      </c>
      <c r="N137" s="20">
        <f>IF($B137="","",COUNTIFS('Blocker log'!$A:$A,$B137,'Blocker log'!$G:$G,"Hard blocker"))</f>
        <v>0</v>
      </c>
      <c r="O137" s="20">
        <f>IF($B137="","",COUNTIFS('Blocker log'!$A:$A,$B137,'Blocker log'!$G:$G,"Hard blocker",'Blocker log'!$L:$L,9))</f>
        <v>0</v>
      </c>
      <c r="P137" s="20">
        <f>IF($B137="","",MAXIFS('Blocker log'!$L:$L,'Blocker log'!$A:$A,$B137,'Blocker log'!$G:$G,"Hard blocker"))</f>
        <v>0</v>
      </c>
      <c r="Q137" s="20" t="str">
        <f>IF($B137="","",IF($K137&lt;&gt;"Complete","Assessment pending",IF($N137=0,"Ready now",VLOOKUP($P137,Lists!$D$2:$E$5,2,FALSE))))</f>
        <v>Assessment pending</v>
      </c>
      <c r="R137" s="24"/>
      <c r="S137" s="16"/>
      <c r="T137" s="16"/>
      <c r="U137" s="16"/>
    </row>
    <row r="138" ht="15.75" customHeight="1">
      <c r="A138" s="10" t="s">
        <v>826</v>
      </c>
      <c r="B138" s="18" t="s">
        <v>827</v>
      </c>
      <c r="C138" s="18" t="s">
        <v>76</v>
      </c>
      <c r="D138" s="18" t="s">
        <v>260</v>
      </c>
      <c r="E138" s="10" t="s">
        <v>351</v>
      </c>
      <c r="F138" s="10" t="s">
        <v>352</v>
      </c>
      <c r="G138" s="13" t="s">
        <v>61</v>
      </c>
      <c r="H138" s="40">
        <v>31148.0</v>
      </c>
      <c r="I138" s="15"/>
      <c r="J138" s="16"/>
      <c r="K138" s="16"/>
      <c r="L138" s="24"/>
      <c r="M138" s="20">
        <f>IF($B138="","",COUNTIFS('Blocker log'!$A:$A,$B138,'Blocker log'!$G:$G,"&lt;&gt;"))</f>
        <v>0</v>
      </c>
      <c r="N138" s="20">
        <f>IF($B138="","",COUNTIFS('Blocker log'!$A:$A,$B138,'Blocker log'!$G:$G,"Hard blocker"))</f>
        <v>0</v>
      </c>
      <c r="O138" s="20">
        <f>IF($B138="","",COUNTIFS('Blocker log'!$A:$A,$B138,'Blocker log'!$G:$G,"Hard blocker",'Blocker log'!$L:$L,9))</f>
        <v>0</v>
      </c>
      <c r="P138" s="20">
        <f>IF($B138="","",MAXIFS('Blocker log'!$L:$L,'Blocker log'!$A:$A,$B138,'Blocker log'!$G:$G,"Hard blocker"))</f>
        <v>0</v>
      </c>
      <c r="Q138" s="20" t="str">
        <f>IF($B138="","",IF($K138&lt;&gt;"Complete","Assessment pending",IF($N138=0,"Ready now",VLOOKUP($P138,Lists!$D$2:$E$5,2,FALSE))))</f>
        <v>Assessment pending</v>
      </c>
      <c r="R138" s="24"/>
      <c r="S138" s="16"/>
      <c r="T138" s="16"/>
      <c r="U138" s="16"/>
    </row>
    <row r="139" ht="15.75" customHeight="1">
      <c r="A139" s="10" t="s">
        <v>828</v>
      </c>
      <c r="B139" s="18" t="s">
        <v>829</v>
      </c>
      <c r="C139" s="18" t="s">
        <v>76</v>
      </c>
      <c r="D139" s="18" t="s">
        <v>58</v>
      </c>
      <c r="E139" s="10" t="s">
        <v>140</v>
      </c>
      <c r="F139" s="10" t="s">
        <v>246</v>
      </c>
      <c r="G139" s="13" t="s">
        <v>61</v>
      </c>
      <c r="H139" s="40">
        <v>152626.0</v>
      </c>
      <c r="I139" s="15"/>
      <c r="J139" s="16"/>
      <c r="K139" s="16"/>
      <c r="L139" s="24"/>
      <c r="M139" s="20">
        <f>IF($B139="","",COUNTIFS('Blocker log'!$A:$A,$B139,'Blocker log'!$G:$G,"&lt;&gt;"))</f>
        <v>0</v>
      </c>
      <c r="N139" s="20">
        <f>IF($B139="","",COUNTIFS('Blocker log'!$A:$A,$B139,'Blocker log'!$G:$G,"Hard blocker"))</f>
        <v>0</v>
      </c>
      <c r="O139" s="20">
        <f>IF($B139="","",COUNTIFS('Blocker log'!$A:$A,$B139,'Blocker log'!$G:$G,"Hard blocker",'Blocker log'!$L:$L,9))</f>
        <v>0</v>
      </c>
      <c r="P139" s="20">
        <f>IF($B139="","",MAXIFS('Blocker log'!$L:$L,'Blocker log'!$A:$A,$B139,'Blocker log'!$G:$G,"Hard blocker"))</f>
        <v>0</v>
      </c>
      <c r="Q139" s="20" t="str">
        <f>IF($B139="","",IF($K139&lt;&gt;"Complete","Assessment pending",IF($N139=0,"Ready now",VLOOKUP($P139,Lists!$D$2:$E$5,2,FALSE))))</f>
        <v>Assessment pending</v>
      </c>
      <c r="R139" s="24"/>
      <c r="S139" s="16"/>
      <c r="T139" s="16"/>
      <c r="U139" s="16"/>
    </row>
    <row r="140" ht="15.75" customHeight="1">
      <c r="A140" s="10" t="s">
        <v>832</v>
      </c>
      <c r="B140" s="18" t="s">
        <v>833</v>
      </c>
      <c r="C140" s="18" t="s">
        <v>76</v>
      </c>
      <c r="D140" s="18" t="s">
        <v>58</v>
      </c>
      <c r="E140" s="10" t="s">
        <v>59</v>
      </c>
      <c r="F140" s="10" t="s">
        <v>278</v>
      </c>
      <c r="G140" s="13" t="s">
        <v>61</v>
      </c>
      <c r="H140" s="40">
        <v>151973.0</v>
      </c>
      <c r="I140" s="15"/>
      <c r="J140" s="16"/>
      <c r="K140" s="16"/>
      <c r="L140" s="24"/>
      <c r="M140" s="20">
        <f>IF($B140="","",COUNTIFS('Blocker log'!$A:$A,$B140,'Blocker log'!$G:$G,"&lt;&gt;"))</f>
        <v>0</v>
      </c>
      <c r="N140" s="20">
        <f>IF($B140="","",COUNTIFS('Blocker log'!$A:$A,$B140,'Blocker log'!$G:$G,"Hard blocker"))</f>
        <v>0</v>
      </c>
      <c r="O140" s="20">
        <f>IF($B140="","",COUNTIFS('Blocker log'!$A:$A,$B140,'Blocker log'!$G:$G,"Hard blocker",'Blocker log'!$L:$L,9))</f>
        <v>0</v>
      </c>
      <c r="P140" s="20">
        <f>IF($B140="","",MAXIFS('Blocker log'!$L:$L,'Blocker log'!$A:$A,$B140,'Blocker log'!$G:$G,"Hard blocker"))</f>
        <v>0</v>
      </c>
      <c r="Q140" s="20" t="str">
        <f>IF($B140="","",IF($K140&lt;&gt;"Complete","Assessment pending",IF($N140=0,"Ready now",VLOOKUP($P140,Lists!$D$2:$E$5,2,FALSE))))</f>
        <v>Assessment pending</v>
      </c>
      <c r="R140" s="24"/>
      <c r="S140" s="16"/>
      <c r="T140" s="16"/>
      <c r="U140" s="16"/>
    </row>
    <row r="141" ht="15.75" customHeight="1">
      <c r="A141" s="10" t="s">
        <v>834</v>
      </c>
      <c r="B141" s="18" t="s">
        <v>835</v>
      </c>
      <c r="C141" s="18" t="s">
        <v>76</v>
      </c>
      <c r="D141" s="18" t="s">
        <v>171</v>
      </c>
      <c r="E141" s="10" t="s">
        <v>668</v>
      </c>
      <c r="F141" s="10" t="s">
        <v>669</v>
      </c>
      <c r="G141" s="13" t="s">
        <v>61</v>
      </c>
      <c r="H141" s="40">
        <v>75816.0</v>
      </c>
      <c r="I141" s="15"/>
      <c r="J141" s="16"/>
      <c r="K141" s="16"/>
      <c r="L141" s="24"/>
      <c r="M141" s="20">
        <f>IF($B141="","",COUNTIFS('Blocker log'!$A:$A,$B141,'Blocker log'!$G:$G,"&lt;&gt;"))</f>
        <v>0</v>
      </c>
      <c r="N141" s="20">
        <f>IF($B141="","",COUNTIFS('Blocker log'!$A:$A,$B141,'Blocker log'!$G:$G,"Hard blocker"))</f>
        <v>0</v>
      </c>
      <c r="O141" s="20">
        <f>IF($B141="","",COUNTIFS('Blocker log'!$A:$A,$B141,'Blocker log'!$G:$G,"Hard blocker",'Blocker log'!$L:$L,9))</f>
        <v>0</v>
      </c>
      <c r="P141" s="20">
        <f>IF($B141="","",MAXIFS('Blocker log'!$L:$L,'Blocker log'!$A:$A,$B141,'Blocker log'!$G:$G,"Hard blocker"))</f>
        <v>0</v>
      </c>
      <c r="Q141" s="20" t="str">
        <f>IF($B141="","",IF($K141&lt;&gt;"Complete","Assessment pending",IF($N141=0,"Ready now",VLOOKUP($P141,Lists!$D$2:$E$5,2,FALSE))))</f>
        <v>Assessment pending</v>
      </c>
      <c r="R141" s="24"/>
      <c r="S141" s="16"/>
      <c r="T141" s="16"/>
      <c r="U141" s="16"/>
    </row>
    <row r="142" ht="15.75" customHeight="1">
      <c r="A142" s="10" t="s">
        <v>837</v>
      </c>
      <c r="B142" s="18" t="s">
        <v>838</v>
      </c>
      <c r="C142" s="18" t="s">
        <v>76</v>
      </c>
      <c r="D142" s="18" t="s">
        <v>171</v>
      </c>
      <c r="E142" s="10" t="s">
        <v>713</v>
      </c>
      <c r="F142" s="10" t="s">
        <v>714</v>
      </c>
      <c r="G142" s="13" t="s">
        <v>61</v>
      </c>
      <c r="H142" s="40">
        <v>149040.0</v>
      </c>
      <c r="I142" s="15"/>
      <c r="J142" s="16"/>
      <c r="K142" s="16"/>
      <c r="L142" s="24"/>
      <c r="M142" s="20">
        <f>IF($B142="","",COUNTIFS('Blocker log'!$A:$A,$B142,'Blocker log'!$G:$G,"&lt;&gt;"))</f>
        <v>0</v>
      </c>
      <c r="N142" s="20">
        <f>IF($B142="","",COUNTIFS('Blocker log'!$A:$A,$B142,'Blocker log'!$G:$G,"Hard blocker"))</f>
        <v>0</v>
      </c>
      <c r="O142" s="20">
        <f>IF($B142="","",COUNTIFS('Blocker log'!$A:$A,$B142,'Blocker log'!$G:$G,"Hard blocker",'Blocker log'!$L:$L,9))</f>
        <v>0</v>
      </c>
      <c r="P142" s="20">
        <f>IF($B142="","",MAXIFS('Blocker log'!$L:$L,'Blocker log'!$A:$A,$B142,'Blocker log'!$G:$G,"Hard blocker"))</f>
        <v>0</v>
      </c>
      <c r="Q142" s="20" t="str">
        <f>IF($B142="","",IF($K142&lt;&gt;"Complete","Assessment pending",IF($N142=0,"Ready now",VLOOKUP($P142,Lists!$D$2:$E$5,2,FALSE))))</f>
        <v>Assessment pending</v>
      </c>
      <c r="R142" s="24"/>
      <c r="S142" s="16"/>
      <c r="T142" s="16"/>
      <c r="U142" s="16"/>
    </row>
    <row r="143" ht="15.75" customHeight="1">
      <c r="A143" s="10" t="s">
        <v>839</v>
      </c>
      <c r="B143" s="18" t="s">
        <v>840</v>
      </c>
      <c r="C143" s="18" t="s">
        <v>76</v>
      </c>
      <c r="D143" s="18" t="s">
        <v>58</v>
      </c>
      <c r="E143" s="10" t="s">
        <v>132</v>
      </c>
      <c r="F143" s="10" t="s">
        <v>133</v>
      </c>
      <c r="G143" s="13" t="s">
        <v>61</v>
      </c>
      <c r="H143" s="40">
        <v>144274.0</v>
      </c>
      <c r="I143" s="15"/>
      <c r="J143" s="16"/>
      <c r="K143" s="16"/>
      <c r="L143" s="24"/>
      <c r="M143" s="20">
        <f>IF($B143="","",COUNTIFS('Blocker log'!$A:$A,$B143,'Blocker log'!$G:$G,"&lt;&gt;"))</f>
        <v>0</v>
      </c>
      <c r="N143" s="20">
        <f>IF($B143="","",COUNTIFS('Blocker log'!$A:$A,$B143,'Blocker log'!$G:$G,"Hard blocker"))</f>
        <v>0</v>
      </c>
      <c r="O143" s="20">
        <f>IF($B143="","",COUNTIFS('Blocker log'!$A:$A,$B143,'Blocker log'!$G:$G,"Hard blocker",'Blocker log'!$L:$L,9))</f>
        <v>0</v>
      </c>
      <c r="P143" s="20">
        <f>IF($B143="","",MAXIFS('Blocker log'!$L:$L,'Blocker log'!$A:$A,$B143,'Blocker log'!$G:$G,"Hard blocker"))</f>
        <v>0</v>
      </c>
      <c r="Q143" s="20" t="str">
        <f>IF($B143="","",IF($K143&lt;&gt;"Complete","Assessment pending",IF($N143=0,"Ready now",VLOOKUP($P143,Lists!$D$2:$E$5,2,FALSE))))</f>
        <v>Assessment pending</v>
      </c>
      <c r="R143" s="24"/>
      <c r="S143" s="16"/>
      <c r="T143" s="16"/>
      <c r="U143" s="16"/>
    </row>
    <row r="144" ht="15.75" customHeight="1">
      <c r="A144" s="10" t="s">
        <v>842</v>
      </c>
      <c r="B144" s="18" t="s">
        <v>843</v>
      </c>
      <c r="C144" s="18" t="s">
        <v>76</v>
      </c>
      <c r="D144" s="18" t="s">
        <v>58</v>
      </c>
      <c r="E144" s="10" t="s">
        <v>59</v>
      </c>
      <c r="F144" s="10" t="s">
        <v>225</v>
      </c>
      <c r="G144" s="13" t="s">
        <v>61</v>
      </c>
      <c r="H144" s="40">
        <v>141738.0</v>
      </c>
      <c r="I144" s="15"/>
      <c r="J144" s="16"/>
      <c r="K144" s="16"/>
      <c r="L144" s="24"/>
      <c r="M144" s="20">
        <f>IF($B144="","",COUNTIFS('Blocker log'!$A:$A,$B144,'Blocker log'!$G:$G,"&lt;&gt;"))</f>
        <v>0</v>
      </c>
      <c r="N144" s="20">
        <f>IF($B144="","",COUNTIFS('Blocker log'!$A:$A,$B144,'Blocker log'!$G:$G,"Hard blocker"))</f>
        <v>0</v>
      </c>
      <c r="O144" s="20">
        <f>IF($B144="","",COUNTIFS('Blocker log'!$A:$A,$B144,'Blocker log'!$G:$G,"Hard blocker",'Blocker log'!$L:$L,9))</f>
        <v>0</v>
      </c>
      <c r="P144" s="20">
        <f>IF($B144="","",MAXIFS('Blocker log'!$L:$L,'Blocker log'!$A:$A,$B144,'Blocker log'!$G:$G,"Hard blocker"))</f>
        <v>0</v>
      </c>
      <c r="Q144" s="20" t="str">
        <f>IF($B144="","",IF($K144&lt;&gt;"Complete","Assessment pending",IF($N144=0,"Ready now",VLOOKUP($P144,Lists!$D$2:$E$5,2,FALSE))))</f>
        <v>Assessment pending</v>
      </c>
      <c r="R144" s="24"/>
      <c r="S144" s="16"/>
      <c r="T144" s="16"/>
      <c r="U144" s="16"/>
    </row>
    <row r="145" ht="15.75" customHeight="1">
      <c r="A145" s="10" t="s">
        <v>844</v>
      </c>
      <c r="B145" s="18" t="s">
        <v>845</v>
      </c>
      <c r="C145" s="18" t="s">
        <v>76</v>
      </c>
      <c r="D145" s="18" t="s">
        <v>260</v>
      </c>
      <c r="E145" s="10" t="s">
        <v>576</v>
      </c>
      <c r="F145" s="10" t="s">
        <v>577</v>
      </c>
      <c r="G145" s="13" t="s">
        <v>61</v>
      </c>
      <c r="H145" s="40">
        <v>58744.0</v>
      </c>
      <c r="I145" s="15"/>
      <c r="J145" s="16"/>
      <c r="K145" s="16"/>
      <c r="L145" s="24"/>
      <c r="M145" s="20">
        <f>IF($B145="","",COUNTIFS('Blocker log'!$A:$A,$B145,'Blocker log'!$G:$G,"&lt;&gt;"))</f>
        <v>0</v>
      </c>
      <c r="N145" s="20">
        <f>IF($B145="","",COUNTIFS('Blocker log'!$A:$A,$B145,'Blocker log'!$G:$G,"Hard blocker"))</f>
        <v>0</v>
      </c>
      <c r="O145" s="20">
        <f>IF($B145="","",COUNTIFS('Blocker log'!$A:$A,$B145,'Blocker log'!$G:$G,"Hard blocker",'Blocker log'!$L:$L,9))</f>
        <v>0</v>
      </c>
      <c r="P145" s="20">
        <f>IF($B145="","",MAXIFS('Blocker log'!$L:$L,'Blocker log'!$A:$A,$B145,'Blocker log'!$G:$G,"Hard blocker"))</f>
        <v>0</v>
      </c>
      <c r="Q145" s="20" t="str">
        <f>IF($B145="","",IF($K145&lt;&gt;"Complete","Assessment pending",IF($N145=0,"Ready now",VLOOKUP($P145,Lists!$D$2:$E$5,2,FALSE))))</f>
        <v>Assessment pending</v>
      </c>
      <c r="R145" s="24"/>
      <c r="S145" s="16"/>
      <c r="T145" s="16"/>
      <c r="U145" s="16"/>
    </row>
    <row r="146" ht="15.75" customHeight="1">
      <c r="A146" s="10" t="s">
        <v>846</v>
      </c>
      <c r="B146" s="18" t="s">
        <v>847</v>
      </c>
      <c r="C146" s="18" t="s">
        <v>76</v>
      </c>
      <c r="D146" s="18" t="s">
        <v>171</v>
      </c>
      <c r="E146" s="10" t="s">
        <v>713</v>
      </c>
      <c r="F146" s="10" t="s">
        <v>714</v>
      </c>
      <c r="G146" s="13" t="s">
        <v>61</v>
      </c>
      <c r="H146" s="68"/>
      <c r="I146" s="15"/>
      <c r="J146" s="16"/>
      <c r="K146" s="16"/>
      <c r="L146" s="24"/>
      <c r="M146" s="20">
        <f>IF($B146="","",COUNTIFS('Blocker log'!$A:$A,$B146,'Blocker log'!$G:$G,"&lt;&gt;"))</f>
        <v>0</v>
      </c>
      <c r="N146" s="20">
        <f>IF($B146="","",COUNTIFS('Blocker log'!$A:$A,$B146,'Blocker log'!$G:$G,"Hard blocker"))</f>
        <v>0</v>
      </c>
      <c r="O146" s="20">
        <f>IF($B146="","",COUNTIFS('Blocker log'!$A:$A,$B146,'Blocker log'!$G:$G,"Hard blocker",'Blocker log'!$L:$L,9))</f>
        <v>0</v>
      </c>
      <c r="P146" s="20">
        <f>IF($B146="","",MAXIFS('Blocker log'!$L:$L,'Blocker log'!$A:$A,$B146,'Blocker log'!$G:$G,"Hard blocker"))</f>
        <v>0</v>
      </c>
      <c r="Q146" s="20" t="str">
        <f>IF($B146="","",IF($K146&lt;&gt;"Complete","Assessment pending",IF($N146=0,"Ready now",VLOOKUP($P146,Lists!$D$2:$E$5,2,FALSE))))</f>
        <v>Assessment pending</v>
      </c>
      <c r="R146" s="24"/>
      <c r="S146" s="16"/>
      <c r="T146" s="16"/>
      <c r="U146" s="16"/>
    </row>
    <row r="147" ht="15.75" customHeight="1">
      <c r="A147" s="13" t="s">
        <v>849</v>
      </c>
      <c r="B147" s="67" t="s">
        <v>850</v>
      </c>
      <c r="C147" s="67" t="s">
        <v>57</v>
      </c>
      <c r="D147" s="67" t="s">
        <v>260</v>
      </c>
      <c r="E147" s="13" t="s">
        <v>506</v>
      </c>
      <c r="F147" s="13" t="s">
        <v>674</v>
      </c>
      <c r="G147" s="13" t="s">
        <v>61</v>
      </c>
      <c r="H147" s="41">
        <v>1669027.0</v>
      </c>
      <c r="I147" s="15" t="s">
        <v>388</v>
      </c>
      <c r="J147" s="16"/>
      <c r="K147" s="18" t="s">
        <v>78</v>
      </c>
      <c r="L147" s="24"/>
      <c r="M147" s="20">
        <f>IF($B147="","",COUNTIFS('Blocker log'!$A:$A,$B147,'Blocker log'!$G:$G,"&lt;&gt;"))</f>
        <v>0</v>
      </c>
      <c r="N147" s="20">
        <f>IF($B147="","",COUNTIFS('Blocker log'!$A:$A,$B147,'Blocker log'!$G:$G,"Hard blocker"))</f>
        <v>0</v>
      </c>
      <c r="O147" s="20">
        <f>IF($B147="","",COUNTIFS('Blocker log'!$A:$A,$B147,'Blocker log'!$G:$G,"Hard blocker",'Blocker log'!$L:$L,9))</f>
        <v>0</v>
      </c>
      <c r="P147" s="20">
        <f>IF($B147="","",MAXIFS('Blocker log'!$L:$L,'Blocker log'!$A:$A,$B147,'Blocker log'!$G:$G,"Hard blocker"))</f>
        <v>0</v>
      </c>
      <c r="Q147" s="20" t="str">
        <f>IF($B147="","",IF($K147&lt;&gt;"Complete","Assessment pending",IF($N147=0,"Ready now",VLOOKUP($P147,Lists!$D$2:$E$5,2,FALSE))))</f>
        <v>Assessment pending</v>
      </c>
      <c r="R147" s="24"/>
      <c r="S147" s="16"/>
      <c r="T147" s="16"/>
      <c r="U147" s="16"/>
    </row>
    <row r="148" ht="15.75" customHeight="1">
      <c r="A148" s="13" t="s">
        <v>852</v>
      </c>
      <c r="B148" s="67" t="s">
        <v>853</v>
      </c>
      <c r="C148" s="67" t="s">
        <v>57</v>
      </c>
      <c r="D148" s="67" t="s">
        <v>260</v>
      </c>
      <c r="E148" s="13" t="s">
        <v>506</v>
      </c>
      <c r="F148" s="13" t="s">
        <v>674</v>
      </c>
      <c r="G148" s="13" t="s">
        <v>61</v>
      </c>
      <c r="H148" s="41">
        <v>1081949.0</v>
      </c>
      <c r="I148" s="15" t="s">
        <v>388</v>
      </c>
      <c r="J148" s="16"/>
      <c r="K148" s="18" t="s">
        <v>78</v>
      </c>
      <c r="L148" s="24"/>
      <c r="M148" s="20">
        <f>IF($B148="","",COUNTIFS('Blocker log'!$A:$A,$B148,'Blocker log'!$G:$G,"&lt;&gt;"))</f>
        <v>0</v>
      </c>
      <c r="N148" s="20">
        <f>IF($B148="","",COUNTIFS('Blocker log'!$A:$A,$B148,'Blocker log'!$G:$G,"Hard blocker"))</f>
        <v>0</v>
      </c>
      <c r="O148" s="20">
        <f>IF($B148="","",COUNTIFS('Blocker log'!$A:$A,$B148,'Blocker log'!$G:$G,"Hard blocker",'Blocker log'!$L:$L,9))</f>
        <v>0</v>
      </c>
      <c r="P148" s="20">
        <f>IF($B148="","",MAXIFS('Blocker log'!$L:$L,'Blocker log'!$A:$A,$B148,'Blocker log'!$G:$G,"Hard blocker"))</f>
        <v>0</v>
      </c>
      <c r="Q148" s="20" t="str">
        <f>IF($B148="","",IF($K148&lt;&gt;"Complete","Assessment pending",IF($N148=0,"Ready now",VLOOKUP($P148,Lists!$D$2:$E$5,2,FALSE))))</f>
        <v>Assessment pending</v>
      </c>
      <c r="R148" s="24"/>
      <c r="S148" s="16"/>
      <c r="T148" s="16"/>
      <c r="U148" s="16"/>
    </row>
    <row r="149" ht="15.75" customHeight="1">
      <c r="A149" s="10" t="s">
        <v>854</v>
      </c>
      <c r="B149" s="18" t="s">
        <v>855</v>
      </c>
      <c r="C149" s="18" t="s">
        <v>76</v>
      </c>
      <c r="D149" s="18" t="s">
        <v>58</v>
      </c>
      <c r="E149" s="10" t="s">
        <v>59</v>
      </c>
      <c r="F149" s="10" t="s">
        <v>225</v>
      </c>
      <c r="G149" s="13" t="s">
        <v>61</v>
      </c>
      <c r="H149" s="40">
        <v>166795.0</v>
      </c>
      <c r="I149" s="15"/>
      <c r="J149" s="16"/>
      <c r="K149" s="16"/>
      <c r="L149" s="24"/>
      <c r="M149" s="20">
        <f>IF($B149="","",COUNTIFS('Blocker log'!$A:$A,$B149,'Blocker log'!$G:$G,"&lt;&gt;"))</f>
        <v>0</v>
      </c>
      <c r="N149" s="20">
        <f>IF($B149="","",COUNTIFS('Blocker log'!$A:$A,$B149,'Blocker log'!$G:$G,"Hard blocker"))</f>
        <v>0</v>
      </c>
      <c r="O149" s="20">
        <f>IF($B149="","",COUNTIFS('Blocker log'!$A:$A,$B149,'Blocker log'!$G:$G,"Hard blocker",'Blocker log'!$L:$L,9))</f>
        <v>0</v>
      </c>
      <c r="P149" s="20">
        <f>IF($B149="","",MAXIFS('Blocker log'!$L:$L,'Blocker log'!$A:$A,$B149,'Blocker log'!$G:$G,"Hard blocker"))</f>
        <v>0</v>
      </c>
      <c r="Q149" s="20" t="str">
        <f>IF($B149="","",IF($K149&lt;&gt;"Complete","Assessment pending",IF($N149=0,"Ready now",VLOOKUP($P149,Lists!$D$2:$E$5,2,FALSE))))</f>
        <v>Assessment pending</v>
      </c>
      <c r="R149" s="24"/>
      <c r="S149" s="16"/>
      <c r="T149" s="16"/>
      <c r="U149" s="16"/>
    </row>
    <row r="150" ht="15.75" customHeight="1">
      <c r="A150" s="10" t="s">
        <v>856</v>
      </c>
      <c r="B150" s="18" t="s">
        <v>857</v>
      </c>
      <c r="C150" s="18" t="s">
        <v>76</v>
      </c>
      <c r="D150" s="18" t="s">
        <v>58</v>
      </c>
      <c r="E150" s="10" t="s">
        <v>101</v>
      </c>
      <c r="F150" s="10" t="s">
        <v>102</v>
      </c>
      <c r="G150" s="13" t="s">
        <v>61</v>
      </c>
      <c r="H150" s="40">
        <v>138242.0</v>
      </c>
      <c r="I150" s="15"/>
      <c r="J150" s="16"/>
      <c r="K150" s="16"/>
      <c r="L150" s="24"/>
      <c r="M150" s="20">
        <f>IF($B150="","",COUNTIFS('Blocker log'!$A:$A,$B150,'Blocker log'!$G:$G,"&lt;&gt;"))</f>
        <v>0</v>
      </c>
      <c r="N150" s="20">
        <f>IF($B150="","",COUNTIFS('Blocker log'!$A:$A,$B150,'Blocker log'!$G:$G,"Hard blocker"))</f>
        <v>0</v>
      </c>
      <c r="O150" s="20">
        <f>IF($B150="","",COUNTIFS('Blocker log'!$A:$A,$B150,'Blocker log'!$G:$G,"Hard blocker",'Blocker log'!$L:$L,9))</f>
        <v>0</v>
      </c>
      <c r="P150" s="20">
        <f>IF($B150="","",MAXIFS('Blocker log'!$L:$L,'Blocker log'!$A:$A,$B150,'Blocker log'!$G:$G,"Hard blocker"))</f>
        <v>0</v>
      </c>
      <c r="Q150" s="20" t="str">
        <f>IF($B150="","",IF($K150&lt;&gt;"Complete","Assessment pending",IF($N150=0,"Ready now",VLOOKUP($P150,Lists!$D$2:$E$5,2,FALSE))))</f>
        <v>Assessment pending</v>
      </c>
      <c r="R150" s="24"/>
      <c r="S150" s="16"/>
      <c r="T150" s="16"/>
      <c r="U150" s="16"/>
    </row>
    <row r="151" ht="15.75" customHeight="1">
      <c r="A151" s="13" t="s">
        <v>858</v>
      </c>
      <c r="B151" s="67" t="s">
        <v>859</v>
      </c>
      <c r="C151" s="67" t="s">
        <v>57</v>
      </c>
      <c r="D151" s="67" t="s">
        <v>58</v>
      </c>
      <c r="E151" s="13" t="s">
        <v>181</v>
      </c>
      <c r="F151" s="13" t="s">
        <v>217</v>
      </c>
      <c r="G151" s="13" t="s">
        <v>61</v>
      </c>
      <c r="H151" s="41">
        <v>3180264.0</v>
      </c>
      <c r="I151" s="15" t="s">
        <v>389</v>
      </c>
      <c r="J151" s="16"/>
      <c r="K151" s="18" t="s">
        <v>63</v>
      </c>
      <c r="L151" s="19">
        <v>46315.0</v>
      </c>
      <c r="M151" s="20">
        <f>IF($B151="","",COUNTIFS('Blocker log'!$A:$A,$B151,'Blocker log'!$G:$G,"&lt;&gt;"))</f>
        <v>0</v>
      </c>
      <c r="N151" s="20">
        <f>IF($B151="","",COUNTIFS('Blocker log'!$A:$A,$B151,'Blocker log'!$G:$G,"Hard blocker"))</f>
        <v>0</v>
      </c>
      <c r="O151" s="20">
        <f>IF($B151="","",COUNTIFS('Blocker log'!$A:$A,$B151,'Blocker log'!$G:$G,"Hard blocker",'Blocker log'!$L:$L,9))</f>
        <v>0</v>
      </c>
      <c r="P151" s="20">
        <f>IF($B151="","",MAXIFS('Blocker log'!$L:$L,'Blocker log'!$A:$A,$B151,'Blocker log'!$G:$G,"Hard blocker"))</f>
        <v>0</v>
      </c>
      <c r="Q151" s="20" t="str">
        <f>IF($B151="","",IF($K151&lt;&gt;"Complete","Assessment pending",IF($N151=0,"Ready now",VLOOKUP($P151,Lists!$D$2:$E$5,2,FALSE))))</f>
        <v>Ready now</v>
      </c>
      <c r="R151" s="24"/>
      <c r="S151" s="16"/>
      <c r="T151" s="16"/>
      <c r="U151" s="16"/>
    </row>
    <row r="152" ht="15.75" customHeight="1">
      <c r="A152" s="13" t="s">
        <v>862</v>
      </c>
      <c r="B152" s="67" t="s">
        <v>863</v>
      </c>
      <c r="C152" s="67" t="s">
        <v>57</v>
      </c>
      <c r="D152" s="67" t="s">
        <v>58</v>
      </c>
      <c r="E152" s="13" t="s">
        <v>181</v>
      </c>
      <c r="F152" s="13" t="s">
        <v>190</v>
      </c>
      <c r="G152" s="13" t="s">
        <v>61</v>
      </c>
      <c r="H152" s="41">
        <v>1609632.0</v>
      </c>
      <c r="I152" s="15" t="s">
        <v>389</v>
      </c>
      <c r="J152" s="16"/>
      <c r="K152" s="18" t="s">
        <v>63</v>
      </c>
      <c r="L152" s="19">
        <v>46315.0</v>
      </c>
      <c r="M152" s="20">
        <f>IF($B152="","",COUNTIFS('Blocker log'!$A:$A,$B152,'Blocker log'!$G:$G,"&lt;&gt;"))</f>
        <v>0</v>
      </c>
      <c r="N152" s="20">
        <f>IF($B152="","",COUNTIFS('Blocker log'!$A:$A,$B152,'Blocker log'!$G:$G,"Hard blocker"))</f>
        <v>0</v>
      </c>
      <c r="O152" s="20">
        <f>IF($B152="","",COUNTIFS('Blocker log'!$A:$A,$B152,'Blocker log'!$G:$G,"Hard blocker",'Blocker log'!$L:$L,9))</f>
        <v>0</v>
      </c>
      <c r="P152" s="20">
        <f>IF($B152="","",MAXIFS('Blocker log'!$L:$L,'Blocker log'!$A:$A,$B152,'Blocker log'!$G:$G,"Hard blocker"))</f>
        <v>0</v>
      </c>
      <c r="Q152" s="20" t="str">
        <f>IF($B152="","",IF($K152&lt;&gt;"Complete","Assessment pending",IF($N152=0,"Ready now",VLOOKUP($P152,Lists!$D$2:$E$5,2,FALSE))))</f>
        <v>Ready now</v>
      </c>
      <c r="R152" s="24"/>
      <c r="S152" s="16"/>
      <c r="T152" s="16"/>
      <c r="U152" s="16"/>
    </row>
    <row r="153" ht="15.75" customHeight="1">
      <c r="A153" s="13" t="s">
        <v>864</v>
      </c>
      <c r="B153" s="67" t="s">
        <v>865</v>
      </c>
      <c r="C153" s="67" t="s">
        <v>57</v>
      </c>
      <c r="D153" s="67" t="s">
        <v>58</v>
      </c>
      <c r="E153" s="13" t="s">
        <v>181</v>
      </c>
      <c r="F153" s="13" t="s">
        <v>190</v>
      </c>
      <c r="G153" s="13" t="s">
        <v>61</v>
      </c>
      <c r="H153" s="41">
        <v>956789.0</v>
      </c>
      <c r="I153" s="15" t="s">
        <v>389</v>
      </c>
      <c r="J153" s="16"/>
      <c r="K153" s="18" t="s">
        <v>63</v>
      </c>
      <c r="L153" s="19">
        <v>46315.0</v>
      </c>
      <c r="M153" s="20">
        <f>IF($B153="","",COUNTIFS('Blocker log'!$A:$A,$B153,'Blocker log'!$G:$G,"&lt;&gt;"))</f>
        <v>0</v>
      </c>
      <c r="N153" s="20">
        <f>IF($B153="","",COUNTIFS('Blocker log'!$A:$A,$B153,'Blocker log'!$G:$G,"Hard blocker"))</f>
        <v>0</v>
      </c>
      <c r="O153" s="20">
        <f>IF($B153="","",COUNTIFS('Blocker log'!$A:$A,$B153,'Blocker log'!$G:$G,"Hard blocker",'Blocker log'!$L:$L,9))</f>
        <v>0</v>
      </c>
      <c r="P153" s="20">
        <f>IF($B153="","",MAXIFS('Blocker log'!$L:$L,'Blocker log'!$A:$A,$B153,'Blocker log'!$G:$G,"Hard blocker"))</f>
        <v>0</v>
      </c>
      <c r="Q153" s="20" t="str">
        <f>IF($B153="","",IF($K153&lt;&gt;"Complete","Assessment pending",IF($N153=0,"Ready now",VLOOKUP($P153,Lists!$D$2:$E$5,2,FALSE))))</f>
        <v>Ready now</v>
      </c>
      <c r="R153" s="24"/>
      <c r="S153" s="16"/>
      <c r="T153" s="16"/>
      <c r="U153" s="16"/>
    </row>
    <row r="154" ht="15.75" customHeight="1">
      <c r="A154" s="63" t="s">
        <v>866</v>
      </c>
      <c r="B154" s="69" t="s">
        <v>867</v>
      </c>
      <c r="C154" s="69" t="s">
        <v>76</v>
      </c>
      <c r="D154" s="69" t="s">
        <v>58</v>
      </c>
      <c r="E154" s="63" t="s">
        <v>181</v>
      </c>
      <c r="F154" s="63" t="s">
        <v>217</v>
      </c>
      <c r="G154" s="13" t="s">
        <v>61</v>
      </c>
      <c r="H154" s="64">
        <v>10152.0</v>
      </c>
      <c r="I154" s="65" t="s">
        <v>389</v>
      </c>
      <c r="J154" s="66"/>
      <c r="K154" s="18" t="s">
        <v>78</v>
      </c>
      <c r="L154" s="66"/>
      <c r="M154" s="20">
        <f>IF($B154="","",COUNTIFS('Blocker log'!$A:$A,$B154,'Blocker log'!$G:$G,"&lt;&gt;"))</f>
        <v>0</v>
      </c>
      <c r="N154" s="20">
        <f>IF($B154="","",COUNTIFS('Blocker log'!$A:$A,$B154,'Blocker log'!$G:$G,"Hard blocker"))</f>
        <v>0</v>
      </c>
      <c r="O154" s="20">
        <f>IF($B154="","",COUNTIFS('Blocker log'!$A:$A,$B154,'Blocker log'!$G:$G,"Hard blocker",'Blocker log'!$L:$L,9))</f>
        <v>0</v>
      </c>
      <c r="P154" s="20">
        <f>IF($B154="","",MAXIFS('Blocker log'!$L:$L,'Blocker log'!$A:$A,$B154,'Blocker log'!$G:$G,"Hard blocker"))</f>
        <v>0</v>
      </c>
      <c r="Q154" s="20" t="str">
        <f>IF($B154="","",IF($K154&lt;&gt;"Complete","Assessment pending",IF($N154=0,"Ready now",VLOOKUP($P154,Lists!$D$2:$E$5,2,FALSE))))</f>
        <v>Assessment pending</v>
      </c>
      <c r="R154" s="66"/>
      <c r="S154" s="66"/>
      <c r="T154" s="66"/>
      <c r="U154" s="66"/>
    </row>
    <row r="155" ht="15.75" customHeight="1">
      <c r="A155" s="10" t="s">
        <v>869</v>
      </c>
      <c r="B155" s="18" t="s">
        <v>870</v>
      </c>
      <c r="C155" s="18" t="s">
        <v>76</v>
      </c>
      <c r="D155" s="18" t="s">
        <v>58</v>
      </c>
      <c r="E155" s="10" t="s">
        <v>181</v>
      </c>
      <c r="F155" s="10" t="s">
        <v>217</v>
      </c>
      <c r="G155" s="13" t="s">
        <v>61</v>
      </c>
      <c r="H155" s="40">
        <v>85680.0</v>
      </c>
      <c r="I155" s="15"/>
      <c r="J155" s="16"/>
      <c r="K155" s="16"/>
      <c r="L155" s="24"/>
      <c r="M155" s="20">
        <f>IF($B155="","",COUNTIFS('Blocker log'!$A:$A,$B155,'Blocker log'!$G:$G,"&lt;&gt;"))</f>
        <v>0</v>
      </c>
      <c r="N155" s="20">
        <f>IF($B155="","",COUNTIFS('Blocker log'!$A:$A,$B155,'Blocker log'!$G:$G,"Hard blocker"))</f>
        <v>0</v>
      </c>
      <c r="O155" s="20">
        <f>IF($B155="","",COUNTIFS('Blocker log'!$A:$A,$B155,'Blocker log'!$G:$G,"Hard blocker",'Blocker log'!$L:$L,9))</f>
        <v>0</v>
      </c>
      <c r="P155" s="20">
        <f>IF($B155="","",MAXIFS('Blocker log'!$L:$L,'Blocker log'!$A:$A,$B155,'Blocker log'!$G:$G,"Hard blocker"))</f>
        <v>0</v>
      </c>
      <c r="Q155" s="20" t="str">
        <f>IF($B155="","",IF($K155&lt;&gt;"Complete","Assessment pending",IF($N155=0,"Ready now",VLOOKUP($P155,Lists!$D$2:$E$5,2,FALSE))))</f>
        <v>Assessment pending</v>
      </c>
      <c r="R155" s="24"/>
      <c r="S155" s="16"/>
      <c r="T155" s="16"/>
      <c r="U155" s="16"/>
    </row>
    <row r="156" ht="15.75" customHeight="1">
      <c r="A156" s="10" t="s">
        <v>872</v>
      </c>
      <c r="B156" s="18" t="s">
        <v>873</v>
      </c>
      <c r="C156" s="18" t="s">
        <v>76</v>
      </c>
      <c r="D156" s="18" t="s">
        <v>58</v>
      </c>
      <c r="E156" s="10" t="s">
        <v>59</v>
      </c>
      <c r="F156" s="10" t="s">
        <v>598</v>
      </c>
      <c r="G156" s="13" t="s">
        <v>61</v>
      </c>
      <c r="H156" s="40">
        <v>126158.0</v>
      </c>
      <c r="I156" s="15"/>
      <c r="J156" s="16"/>
      <c r="K156" s="16"/>
      <c r="L156" s="24"/>
      <c r="M156" s="20">
        <f>IF($B156="","",COUNTIFS('Blocker log'!$A:$A,$B156,'Blocker log'!$G:$G,"&lt;&gt;"))</f>
        <v>0</v>
      </c>
      <c r="N156" s="20">
        <f>IF($B156="","",COUNTIFS('Blocker log'!$A:$A,$B156,'Blocker log'!$G:$G,"Hard blocker"))</f>
        <v>0</v>
      </c>
      <c r="O156" s="20">
        <f>IF($B156="","",COUNTIFS('Blocker log'!$A:$A,$B156,'Blocker log'!$G:$G,"Hard blocker",'Blocker log'!$L:$L,9))</f>
        <v>0</v>
      </c>
      <c r="P156" s="20">
        <f>IF($B156="","",MAXIFS('Blocker log'!$L:$L,'Blocker log'!$A:$A,$B156,'Blocker log'!$G:$G,"Hard blocker"))</f>
        <v>0</v>
      </c>
      <c r="Q156" s="20" t="str">
        <f>IF($B156="","",IF($K156&lt;&gt;"Complete","Assessment pending",IF($N156=0,"Ready now",VLOOKUP($P156,Lists!$D$2:$E$5,2,FALSE))))</f>
        <v>Assessment pending</v>
      </c>
      <c r="R156" s="24"/>
      <c r="S156" s="16"/>
      <c r="T156" s="16"/>
      <c r="U156" s="16"/>
    </row>
    <row r="157" ht="15.75" customHeight="1">
      <c r="A157" s="63" t="s">
        <v>874</v>
      </c>
      <c r="B157" s="69" t="s">
        <v>875</v>
      </c>
      <c r="C157" s="69" t="s">
        <v>57</v>
      </c>
      <c r="D157" s="69" t="s">
        <v>58</v>
      </c>
      <c r="E157" s="63" t="s">
        <v>181</v>
      </c>
      <c r="F157" s="63" t="s">
        <v>217</v>
      </c>
      <c r="G157" s="13" t="s">
        <v>61</v>
      </c>
      <c r="H157" s="70">
        <v>7032960.0</v>
      </c>
      <c r="I157" s="63" t="s">
        <v>389</v>
      </c>
      <c r="J157" s="66"/>
      <c r="K157" s="18" t="s">
        <v>63</v>
      </c>
      <c r="L157" s="19">
        <v>46315.0</v>
      </c>
      <c r="M157" s="20">
        <f>IF($B157="","",COUNTIFS('Blocker log'!$A:$A,$B157,'Blocker log'!$G:$G,"&lt;&gt;"))</f>
        <v>0</v>
      </c>
      <c r="N157" s="20">
        <f>IF($B157="","",COUNTIFS('Blocker log'!$A:$A,$B157,'Blocker log'!$G:$G,"Hard blocker"))</f>
        <v>0</v>
      </c>
      <c r="O157" s="20">
        <f>IF($B157="","",COUNTIFS('Blocker log'!$A:$A,$B157,'Blocker log'!$G:$G,"Hard blocker",'Blocker log'!$L:$L,9))</f>
        <v>0</v>
      </c>
      <c r="P157" s="20">
        <f>IF($B157="","",MAXIFS('Blocker log'!$L:$L,'Blocker log'!$A:$A,$B157,'Blocker log'!$G:$G,"Hard blocker"))</f>
        <v>0</v>
      </c>
      <c r="Q157" s="20" t="str">
        <f>IF($B157="","",IF($K157&lt;&gt;"Complete","Assessment pending",IF($N157=0,"Ready now",VLOOKUP($P157,Lists!$D$2:$E$5,2,FALSE))))</f>
        <v>Ready now</v>
      </c>
      <c r="R157" s="66"/>
      <c r="S157" s="66"/>
      <c r="T157" s="66"/>
      <c r="U157" s="66"/>
    </row>
    <row r="158" ht="15.75" customHeight="1">
      <c r="A158" s="13" t="s">
        <v>876</v>
      </c>
      <c r="B158" s="67" t="s">
        <v>197</v>
      </c>
      <c r="C158" s="67" t="s">
        <v>76</v>
      </c>
      <c r="D158" s="67" t="s">
        <v>58</v>
      </c>
      <c r="E158" s="13" t="s">
        <v>140</v>
      </c>
      <c r="F158" s="13" t="s">
        <v>156</v>
      </c>
      <c r="G158" s="13" t="s">
        <v>61</v>
      </c>
      <c r="H158" s="41">
        <v>616279.0</v>
      </c>
      <c r="I158" s="15" t="s">
        <v>390</v>
      </c>
      <c r="J158" s="16"/>
      <c r="K158" s="18" t="s">
        <v>78</v>
      </c>
      <c r="L158" s="24"/>
      <c r="M158" s="20">
        <f>IF($B158="","",COUNTIFS('Blocker log'!$A:$A,$B158,'Blocker log'!$G:$G,"&lt;&gt;"))</f>
        <v>14</v>
      </c>
      <c r="N158" s="20">
        <f>IF($B158="","",COUNTIFS('Blocker log'!$A:$A,$B158,'Blocker log'!$G:$G,"Hard blocker"))</f>
        <v>3</v>
      </c>
      <c r="O158" s="20">
        <f>IF($B158="","",COUNTIFS('Blocker log'!$A:$A,$B158,'Blocker log'!$G:$G,"Hard blocker",'Blocker log'!$L:$L,9))</f>
        <v>0</v>
      </c>
      <c r="P158" s="20" t="str">
        <f>IF($B158="","",MAXIFS('Blocker log'!$L:$L,'Blocker log'!$A:$A,$B158,'Blocker log'!$G:$G,"Hard blocker"))</f>
        <v>#N/A</v>
      </c>
      <c r="Q158" s="20" t="str">
        <f>IF($B158="","",IF($K158&lt;&gt;"Complete","Assessment pending",IF($N158=0,"Ready now",VLOOKUP($P158,Lists!$D$2:$E$5,2,FALSE))))</f>
        <v>Assessment pending</v>
      </c>
      <c r="R158" s="24"/>
      <c r="S158" s="16"/>
      <c r="T158" s="16"/>
      <c r="U158" s="16"/>
    </row>
    <row r="159" ht="15.75" customHeight="1">
      <c r="A159" s="10" t="s">
        <v>877</v>
      </c>
      <c r="B159" s="18" t="s">
        <v>878</v>
      </c>
      <c r="C159" s="18" t="s">
        <v>76</v>
      </c>
      <c r="D159" s="18" t="s">
        <v>58</v>
      </c>
      <c r="E159" s="10" t="s">
        <v>101</v>
      </c>
      <c r="F159" s="10" t="s">
        <v>116</v>
      </c>
      <c r="G159" s="13" t="s">
        <v>61</v>
      </c>
      <c r="H159" s="40">
        <v>117656.0</v>
      </c>
      <c r="I159" s="15"/>
      <c r="J159" s="16"/>
      <c r="K159" s="16"/>
      <c r="L159" s="24"/>
      <c r="M159" s="20">
        <f>IF($B159="","",COUNTIFS('Blocker log'!$A:$A,$B159,'Blocker log'!$G:$G,"&lt;&gt;"))</f>
        <v>0</v>
      </c>
      <c r="N159" s="20">
        <f>IF($B159="","",COUNTIFS('Blocker log'!$A:$A,$B159,'Blocker log'!$G:$G,"Hard blocker"))</f>
        <v>0</v>
      </c>
      <c r="O159" s="20">
        <f>IF($B159="","",COUNTIFS('Blocker log'!$A:$A,$B159,'Blocker log'!$G:$G,"Hard blocker",'Blocker log'!$L:$L,9))</f>
        <v>0</v>
      </c>
      <c r="P159" s="20">
        <f>IF($B159="","",MAXIFS('Blocker log'!$L:$L,'Blocker log'!$A:$A,$B159,'Blocker log'!$G:$G,"Hard blocker"))</f>
        <v>0</v>
      </c>
      <c r="Q159" s="20" t="str">
        <f>IF($B159="","",IF($K159&lt;&gt;"Complete","Assessment pending",IF($N159=0,"Ready now",VLOOKUP($P159,Lists!$D$2:$E$5,2,FALSE))))</f>
        <v>Assessment pending</v>
      </c>
      <c r="R159" s="24"/>
      <c r="S159" s="16"/>
      <c r="T159" s="16"/>
      <c r="U159" s="16"/>
    </row>
    <row r="160" ht="15.75" customHeight="1">
      <c r="A160" s="13" t="s">
        <v>879</v>
      </c>
      <c r="B160" s="67" t="s">
        <v>880</v>
      </c>
      <c r="C160" s="67" t="s">
        <v>57</v>
      </c>
      <c r="D160" s="67" t="s">
        <v>58</v>
      </c>
      <c r="E160" s="13" t="s">
        <v>140</v>
      </c>
      <c r="F160" s="13" t="s">
        <v>141</v>
      </c>
      <c r="G160" s="13" t="s">
        <v>61</v>
      </c>
      <c r="H160" s="41">
        <v>466800.0</v>
      </c>
      <c r="I160" s="15" t="s">
        <v>391</v>
      </c>
      <c r="J160" s="16"/>
      <c r="K160" s="18" t="s">
        <v>78</v>
      </c>
      <c r="L160" s="24"/>
      <c r="M160" s="20">
        <f>IF($B160="","",COUNTIFS('Blocker log'!$A:$A,$B160,'Blocker log'!$G:$G,"&lt;&gt;"))</f>
        <v>0</v>
      </c>
      <c r="N160" s="20">
        <f>IF($B160="","",COUNTIFS('Blocker log'!$A:$A,$B160,'Blocker log'!$G:$G,"Hard blocker"))</f>
        <v>0</v>
      </c>
      <c r="O160" s="20">
        <f>IF($B160="","",COUNTIFS('Blocker log'!$A:$A,$B160,'Blocker log'!$G:$G,"Hard blocker",'Blocker log'!$L:$L,9))</f>
        <v>0</v>
      </c>
      <c r="P160" s="20">
        <f>IF($B160="","",MAXIFS('Blocker log'!$L:$L,'Blocker log'!$A:$A,$B160,'Blocker log'!$G:$G,"Hard blocker"))</f>
        <v>0</v>
      </c>
      <c r="Q160" s="20" t="str">
        <f>IF($B160="","",IF($K160&lt;&gt;"Complete","Assessment pending",IF($N160=0,"Ready now",VLOOKUP($P160,Lists!$D$2:$E$5,2,FALSE))))</f>
        <v>Assessment pending</v>
      </c>
      <c r="R160" s="24"/>
      <c r="S160" s="16"/>
      <c r="T160" s="16"/>
      <c r="U160" s="16"/>
    </row>
    <row r="161" ht="15.75" customHeight="1">
      <c r="A161" s="13" t="s">
        <v>882</v>
      </c>
      <c r="B161" s="67" t="s">
        <v>883</v>
      </c>
      <c r="C161" s="67" t="s">
        <v>57</v>
      </c>
      <c r="D161" s="67" t="s">
        <v>58</v>
      </c>
      <c r="E161" s="13" t="s">
        <v>140</v>
      </c>
      <c r="F161" s="13" t="s">
        <v>141</v>
      </c>
      <c r="G161" s="13" t="s">
        <v>61</v>
      </c>
      <c r="H161" s="41">
        <v>2030431.0</v>
      </c>
      <c r="I161" s="15" t="s">
        <v>391</v>
      </c>
      <c r="J161" s="16"/>
      <c r="K161" s="18" t="s">
        <v>78</v>
      </c>
      <c r="L161" s="24"/>
      <c r="M161" s="20">
        <f>IF($B161="","",COUNTIFS('Blocker log'!$A:$A,$B161,'Blocker log'!$G:$G,"&lt;&gt;"))</f>
        <v>0</v>
      </c>
      <c r="N161" s="20">
        <f>IF($B161="","",COUNTIFS('Blocker log'!$A:$A,$B161,'Blocker log'!$G:$G,"Hard blocker"))</f>
        <v>0</v>
      </c>
      <c r="O161" s="20">
        <f>IF($B161="","",COUNTIFS('Blocker log'!$A:$A,$B161,'Blocker log'!$G:$G,"Hard blocker",'Blocker log'!$L:$L,9))</f>
        <v>0</v>
      </c>
      <c r="P161" s="20">
        <f>IF($B161="","",MAXIFS('Blocker log'!$L:$L,'Blocker log'!$A:$A,$B161,'Blocker log'!$G:$G,"Hard blocker"))</f>
        <v>0</v>
      </c>
      <c r="Q161" s="20" t="str">
        <f>IF($B161="","",IF($K161&lt;&gt;"Complete","Assessment pending",IF($N161=0,"Ready now",VLOOKUP($P161,Lists!$D$2:$E$5,2,FALSE))))</f>
        <v>Assessment pending</v>
      </c>
      <c r="R161" s="24"/>
      <c r="S161" s="16"/>
      <c r="T161" s="16"/>
      <c r="U161" s="16"/>
    </row>
    <row r="162" ht="15.75" customHeight="1">
      <c r="A162" s="63" t="s">
        <v>884</v>
      </c>
      <c r="B162" s="63" t="s">
        <v>885</v>
      </c>
      <c r="C162" s="63" t="s">
        <v>76</v>
      </c>
      <c r="D162" s="63" t="s">
        <v>260</v>
      </c>
      <c r="E162" s="63" t="s">
        <v>351</v>
      </c>
      <c r="F162" s="63" t="s">
        <v>886</v>
      </c>
      <c r="G162" s="13" t="s">
        <v>61</v>
      </c>
      <c r="H162" s="71">
        <v>112342.0</v>
      </c>
      <c r="I162" s="65"/>
      <c r="M162" s="20">
        <f>IF($B162="","",COUNTIFS('Blocker log'!$A:$A,$B162,'Blocker log'!$G:$G,"&lt;&gt;"))</f>
        <v>0</v>
      </c>
      <c r="N162" s="20">
        <f>IF($B162="","",COUNTIFS('Blocker log'!$A:$A,$B162,'Blocker log'!$G:$G,"Hard blocker"))</f>
        <v>0</v>
      </c>
      <c r="O162" s="20">
        <f>IF($B162="","",COUNTIFS('Blocker log'!$A:$A,$B162,'Blocker log'!$G:$G,"Hard blocker",'Blocker log'!$L:$L,9))</f>
        <v>0</v>
      </c>
      <c r="P162" s="20">
        <f>IF($B162="","",MAXIFS('Blocker log'!$L:$L,'Blocker log'!$A:$A,$B162,'Blocker log'!$G:$G,"Hard blocker"))</f>
        <v>0</v>
      </c>
      <c r="Q162" s="20" t="str">
        <f>IF($B162="","",IF($K162&lt;&gt;"Complete","Assessment pending",IF($N162=0,"Ready now",VLOOKUP($P162,Lists!$D$2:$E$5,2,FALSE))))</f>
        <v>Assessment pending</v>
      </c>
    </row>
    <row r="163" ht="15.75" customHeight="1">
      <c r="A163" s="63" t="s">
        <v>887</v>
      </c>
      <c r="B163" s="63" t="s">
        <v>888</v>
      </c>
      <c r="C163" s="63" t="s">
        <v>76</v>
      </c>
      <c r="D163" s="63" t="s">
        <v>260</v>
      </c>
      <c r="E163" s="63" t="s">
        <v>576</v>
      </c>
      <c r="F163" s="63" t="s">
        <v>577</v>
      </c>
      <c r="G163" s="13" t="s">
        <v>61</v>
      </c>
      <c r="H163" s="71">
        <v>107982.0</v>
      </c>
      <c r="I163" s="65"/>
      <c r="M163" s="20">
        <f>IF($B163="","",COUNTIFS('Blocker log'!$A:$A,$B163,'Blocker log'!$G:$G,"&lt;&gt;"))</f>
        <v>0</v>
      </c>
      <c r="N163" s="20">
        <f>IF($B163="","",COUNTIFS('Blocker log'!$A:$A,$B163,'Blocker log'!$G:$G,"Hard blocker"))</f>
        <v>0</v>
      </c>
      <c r="O163" s="20">
        <f>IF($B163="","",COUNTIFS('Blocker log'!$A:$A,$B163,'Blocker log'!$G:$G,"Hard blocker",'Blocker log'!$L:$L,9))</f>
        <v>0</v>
      </c>
      <c r="P163" s="20">
        <f>IF($B163="","",MAXIFS('Blocker log'!$L:$L,'Blocker log'!$A:$A,$B163,'Blocker log'!$G:$G,"Hard blocker"))</f>
        <v>0</v>
      </c>
      <c r="Q163" s="20" t="str">
        <f>IF($B163="","",IF($K163&lt;&gt;"Complete","Assessment pending",IF($N163=0,"Ready now",VLOOKUP($P163,Lists!$D$2:$E$5,2,FALSE))))</f>
        <v>Assessment pending</v>
      </c>
    </row>
    <row r="164" ht="15.75" customHeight="1">
      <c r="A164" s="63" t="s">
        <v>889</v>
      </c>
      <c r="B164" s="63" t="s">
        <v>890</v>
      </c>
      <c r="C164" s="63" t="s">
        <v>76</v>
      </c>
      <c r="D164" s="63" t="s">
        <v>58</v>
      </c>
      <c r="E164" s="63" t="s">
        <v>59</v>
      </c>
      <c r="F164" s="63" t="s">
        <v>278</v>
      </c>
      <c r="G164" s="13" t="s">
        <v>61</v>
      </c>
      <c r="H164" s="71">
        <v>56330.0</v>
      </c>
      <c r="I164" s="65"/>
      <c r="M164" s="20">
        <f>IF($B164="","",COUNTIFS('Blocker log'!$A:$A,$B164,'Blocker log'!$G:$G,"&lt;&gt;"))</f>
        <v>0</v>
      </c>
      <c r="N164" s="20">
        <f>IF($B164="","",COUNTIFS('Blocker log'!$A:$A,$B164,'Blocker log'!$G:$G,"Hard blocker"))</f>
        <v>0</v>
      </c>
      <c r="O164" s="20">
        <f>IF($B164="","",COUNTIFS('Blocker log'!$A:$A,$B164,'Blocker log'!$G:$G,"Hard blocker",'Blocker log'!$L:$L,9))</f>
        <v>0</v>
      </c>
      <c r="P164" s="20">
        <f>IF($B164="","",MAXIFS('Blocker log'!$L:$L,'Blocker log'!$A:$A,$B164,'Blocker log'!$G:$G,"Hard blocker"))</f>
        <v>0</v>
      </c>
      <c r="Q164" s="20" t="str">
        <f>IF($B164="","",IF($K164&lt;&gt;"Complete","Assessment pending",IF($N164=0,"Ready now",VLOOKUP($P164,Lists!$D$2:$E$5,2,FALSE))))</f>
        <v>Assessment pending</v>
      </c>
    </row>
    <row r="165" ht="15.75" customHeight="1">
      <c r="A165" s="13" t="s">
        <v>891</v>
      </c>
      <c r="B165" s="13" t="s">
        <v>892</v>
      </c>
      <c r="C165" s="13" t="s">
        <v>76</v>
      </c>
      <c r="D165" s="13" t="s">
        <v>58</v>
      </c>
      <c r="E165" s="13" t="s">
        <v>140</v>
      </c>
      <c r="F165" s="13" t="s">
        <v>141</v>
      </c>
      <c r="G165" s="13" t="s">
        <v>61</v>
      </c>
      <c r="H165" s="25">
        <v>395528.0</v>
      </c>
      <c r="I165" s="15" t="s">
        <v>391</v>
      </c>
      <c r="J165" s="8"/>
      <c r="K165" s="18" t="s">
        <v>78</v>
      </c>
      <c r="L165" s="72"/>
      <c r="M165" s="20">
        <f>IF($B165="","",COUNTIFS('Blocker log'!$A:$A,$B165,'Blocker log'!$G:$G,"&lt;&gt;"))</f>
        <v>0</v>
      </c>
      <c r="N165" s="20">
        <f>IF($B165="","",COUNTIFS('Blocker log'!$A:$A,$B165,'Blocker log'!$G:$G,"Hard blocker"))</f>
        <v>0</v>
      </c>
      <c r="O165" s="20">
        <f>IF($B165="","",COUNTIFS('Blocker log'!$A:$A,$B165,'Blocker log'!$G:$G,"Hard blocker",'Blocker log'!$L:$L,9))</f>
        <v>0</v>
      </c>
      <c r="P165" s="20">
        <f>IF($B165="","",MAXIFS('Blocker log'!$L:$L,'Blocker log'!$A:$A,$B165,'Blocker log'!$G:$G,"Hard blocker"))</f>
        <v>0</v>
      </c>
      <c r="Q165" s="20" t="str">
        <f>IF($B165="","",IF($K165&lt;&gt;"Complete","Assessment pending",IF($N165=0,"Ready now",VLOOKUP($P165,Lists!$D$2:$E$5,2,FALSE))))</f>
        <v>Assessment pending</v>
      </c>
      <c r="R165" s="72"/>
      <c r="S165" s="8"/>
      <c r="T165" s="8"/>
      <c r="U165" s="8"/>
    </row>
    <row r="166" ht="15.75" customHeight="1">
      <c r="A166" s="63" t="s">
        <v>896</v>
      </c>
      <c r="B166" s="63" t="s">
        <v>897</v>
      </c>
      <c r="C166" s="63" t="s">
        <v>76</v>
      </c>
      <c r="D166" s="63" t="s">
        <v>260</v>
      </c>
      <c r="E166" s="63" t="s">
        <v>351</v>
      </c>
      <c r="F166" s="63" t="s">
        <v>886</v>
      </c>
      <c r="G166" s="13" t="s">
        <v>61</v>
      </c>
      <c r="H166" s="71">
        <v>101250.0</v>
      </c>
      <c r="I166" s="65"/>
      <c r="M166" s="20">
        <f>IF($B166="","",COUNTIFS('Blocker log'!$A:$A,$B166,'Blocker log'!$G:$G,"&lt;&gt;"))</f>
        <v>0</v>
      </c>
      <c r="N166" s="20">
        <f>IF($B166="","",COUNTIFS('Blocker log'!$A:$A,$B166,'Blocker log'!$G:$G,"Hard blocker"))</f>
        <v>0</v>
      </c>
      <c r="O166" s="20">
        <f>IF($B166="","",COUNTIFS('Blocker log'!$A:$A,$B166,'Blocker log'!$G:$G,"Hard blocker",'Blocker log'!$L:$L,9))</f>
        <v>0</v>
      </c>
      <c r="P166" s="20">
        <f>IF($B166="","",MAXIFS('Blocker log'!$L:$L,'Blocker log'!$A:$A,$B166,'Blocker log'!$G:$G,"Hard blocker"))</f>
        <v>0</v>
      </c>
      <c r="Q166" s="20" t="str">
        <f>IF($B166="","",IF($K166&lt;&gt;"Complete","Assessment pending",IF($N166=0,"Ready now",VLOOKUP($P166,Lists!$D$2:$E$5,2,FALSE))))</f>
        <v>Assessment pending</v>
      </c>
    </row>
    <row r="167" ht="15.75" customHeight="1">
      <c r="A167" s="63" t="s">
        <v>898</v>
      </c>
      <c r="B167" s="63" t="s">
        <v>899</v>
      </c>
      <c r="C167" s="63" t="s">
        <v>76</v>
      </c>
      <c r="D167" s="63" t="s">
        <v>58</v>
      </c>
      <c r="E167" s="63" t="s">
        <v>59</v>
      </c>
      <c r="F167" s="63" t="s">
        <v>225</v>
      </c>
      <c r="G167" s="13" t="s">
        <v>61</v>
      </c>
      <c r="H167" s="71">
        <v>98496.0</v>
      </c>
      <c r="I167" s="65"/>
      <c r="M167" s="20">
        <f>IF($B167="","",COUNTIFS('Blocker log'!$A:$A,$B167,'Blocker log'!$G:$G,"&lt;&gt;"))</f>
        <v>0</v>
      </c>
      <c r="N167" s="20">
        <f>IF($B167="","",COUNTIFS('Blocker log'!$A:$A,$B167,'Blocker log'!$G:$G,"Hard blocker"))</f>
        <v>0</v>
      </c>
      <c r="O167" s="20">
        <f>IF($B167="","",COUNTIFS('Blocker log'!$A:$A,$B167,'Blocker log'!$G:$G,"Hard blocker",'Blocker log'!$L:$L,9))</f>
        <v>0</v>
      </c>
      <c r="P167" s="20">
        <f>IF($B167="","",MAXIFS('Blocker log'!$L:$L,'Blocker log'!$A:$A,$B167,'Blocker log'!$G:$G,"Hard blocker"))</f>
        <v>0</v>
      </c>
      <c r="Q167" s="20" t="str">
        <f>IF($B167="","",IF($K167&lt;&gt;"Complete","Assessment pending",IF($N167=0,"Ready now",VLOOKUP($P167,Lists!$D$2:$E$5,2,FALSE))))</f>
        <v>Assessment pending</v>
      </c>
    </row>
    <row r="168" ht="15.75" customHeight="1">
      <c r="A168" s="63" t="s">
        <v>900</v>
      </c>
      <c r="B168" s="63" t="s">
        <v>901</v>
      </c>
      <c r="C168" s="63" t="s">
        <v>76</v>
      </c>
      <c r="D168" s="63" t="s">
        <v>171</v>
      </c>
      <c r="E168" s="63" t="s">
        <v>773</v>
      </c>
      <c r="F168" s="63" t="s">
        <v>774</v>
      </c>
      <c r="G168" s="13" t="s">
        <v>61</v>
      </c>
      <c r="H168" s="71">
        <v>266760.0</v>
      </c>
      <c r="I168" s="65"/>
      <c r="M168" s="20">
        <f>IF($B168="","",COUNTIFS('Blocker log'!$A:$A,$B168,'Blocker log'!$G:$G,"&lt;&gt;"))</f>
        <v>0</v>
      </c>
      <c r="N168" s="20">
        <f>IF($B168="","",COUNTIFS('Blocker log'!$A:$A,$B168,'Blocker log'!$G:$G,"Hard blocker"))</f>
        <v>0</v>
      </c>
      <c r="O168" s="20">
        <f>IF($B168="","",COUNTIFS('Blocker log'!$A:$A,$B168,'Blocker log'!$G:$G,"Hard blocker",'Blocker log'!$L:$L,9))</f>
        <v>0</v>
      </c>
      <c r="P168" s="20">
        <f>IF($B168="","",MAXIFS('Blocker log'!$L:$L,'Blocker log'!$A:$A,$B168,'Blocker log'!$G:$G,"Hard blocker"))</f>
        <v>0</v>
      </c>
      <c r="Q168" s="20" t="str">
        <f>IF($B168="","",IF($K168&lt;&gt;"Complete","Assessment pending",IF($N168=0,"Ready now",VLOOKUP($P168,Lists!$D$2:$E$5,2,FALSE))))</f>
        <v>Assessment pending</v>
      </c>
    </row>
    <row r="169" ht="15.75" customHeight="1">
      <c r="A169" s="63" t="s">
        <v>904</v>
      </c>
      <c r="B169" s="63" t="s">
        <v>905</v>
      </c>
      <c r="C169" s="63" t="s">
        <v>76</v>
      </c>
      <c r="D169" s="63" t="s">
        <v>58</v>
      </c>
      <c r="E169" s="63" t="s">
        <v>132</v>
      </c>
      <c r="F169" s="63" t="s">
        <v>693</v>
      </c>
      <c r="G169" s="13" t="s">
        <v>61</v>
      </c>
      <c r="H169" s="71">
        <v>148176.0</v>
      </c>
      <c r="I169" s="65"/>
      <c r="M169" s="20">
        <f>IF($B169="","",COUNTIFS('Blocker log'!$A:$A,$B169,'Blocker log'!$G:$G,"&lt;&gt;"))</f>
        <v>0</v>
      </c>
      <c r="N169" s="20">
        <f>IF($B169="","",COUNTIFS('Blocker log'!$A:$A,$B169,'Blocker log'!$G:$G,"Hard blocker"))</f>
        <v>0</v>
      </c>
      <c r="O169" s="20">
        <f>IF($B169="","",COUNTIFS('Blocker log'!$A:$A,$B169,'Blocker log'!$G:$G,"Hard blocker",'Blocker log'!$L:$L,9))</f>
        <v>0</v>
      </c>
      <c r="P169" s="20">
        <f>IF($B169="","",MAXIFS('Blocker log'!$L:$L,'Blocker log'!$A:$A,$B169,'Blocker log'!$G:$G,"Hard blocker"))</f>
        <v>0</v>
      </c>
      <c r="Q169" s="20" t="str">
        <f>IF($B169="","",IF($K169&lt;&gt;"Complete","Assessment pending",IF($N169=0,"Ready now",VLOOKUP($P169,Lists!$D$2:$E$5,2,FALSE))))</f>
        <v>Assessment pending</v>
      </c>
    </row>
    <row r="170" ht="15.75" customHeight="1">
      <c r="A170" s="63" t="s">
        <v>906</v>
      </c>
      <c r="B170" s="63" t="s">
        <v>907</v>
      </c>
      <c r="C170" s="63" t="s">
        <v>57</v>
      </c>
      <c r="D170" s="63" t="s">
        <v>58</v>
      </c>
      <c r="E170" s="63" t="s">
        <v>59</v>
      </c>
      <c r="F170" s="63" t="s">
        <v>598</v>
      </c>
      <c r="G170" s="13" t="s">
        <v>61</v>
      </c>
      <c r="H170" s="71">
        <v>1003668.0</v>
      </c>
      <c r="I170" s="65"/>
      <c r="M170" s="20">
        <f>IF($B170="","",COUNTIFS('Blocker log'!$A:$A,$B170,'Blocker log'!$G:$G,"&lt;&gt;"))</f>
        <v>0</v>
      </c>
      <c r="N170" s="20">
        <f>IF($B170="","",COUNTIFS('Blocker log'!$A:$A,$B170,'Blocker log'!$G:$G,"Hard blocker"))</f>
        <v>0</v>
      </c>
      <c r="O170" s="20">
        <f>IF($B170="","",COUNTIFS('Blocker log'!$A:$A,$B170,'Blocker log'!$G:$G,"Hard blocker",'Blocker log'!$L:$L,9))</f>
        <v>0</v>
      </c>
      <c r="P170" s="20">
        <f>IF($B170="","",MAXIFS('Blocker log'!$L:$L,'Blocker log'!$A:$A,$B170,'Blocker log'!$G:$G,"Hard blocker"))</f>
        <v>0</v>
      </c>
      <c r="Q170" s="20" t="str">
        <f>IF($B170="","",IF($K170&lt;&gt;"Complete","Assessment pending",IF($N170=0,"Ready now",VLOOKUP($P170,Lists!$D$2:$E$5,2,FALSE))))</f>
        <v>Assessment pending</v>
      </c>
    </row>
    <row r="171" ht="15.75" customHeight="1">
      <c r="A171" s="63" t="s">
        <v>908</v>
      </c>
      <c r="B171" s="63" t="s">
        <v>909</v>
      </c>
      <c r="C171" s="63" t="s">
        <v>76</v>
      </c>
      <c r="D171" s="63" t="s">
        <v>58</v>
      </c>
      <c r="E171" s="63" t="s">
        <v>59</v>
      </c>
      <c r="F171" s="63" t="s">
        <v>598</v>
      </c>
      <c r="G171" s="13" t="s">
        <v>61</v>
      </c>
      <c r="H171" s="71">
        <v>76966.0</v>
      </c>
      <c r="I171" s="65"/>
      <c r="M171" s="20">
        <f>IF($B171="","",COUNTIFS('Blocker log'!$A:$A,$B171,'Blocker log'!$G:$G,"&lt;&gt;"))</f>
        <v>0</v>
      </c>
      <c r="N171" s="20">
        <f>IF($B171="","",COUNTIFS('Blocker log'!$A:$A,$B171,'Blocker log'!$G:$G,"Hard blocker"))</f>
        <v>0</v>
      </c>
      <c r="O171" s="20">
        <f>IF($B171="","",COUNTIFS('Blocker log'!$A:$A,$B171,'Blocker log'!$G:$G,"Hard blocker",'Blocker log'!$L:$L,9))</f>
        <v>0</v>
      </c>
      <c r="P171" s="20">
        <f>IF($B171="","",MAXIFS('Blocker log'!$L:$L,'Blocker log'!$A:$A,$B171,'Blocker log'!$G:$G,"Hard blocker"))</f>
        <v>0</v>
      </c>
      <c r="Q171" s="20" t="str">
        <f>IF($B171="","",IF($K171&lt;&gt;"Complete","Assessment pending",IF($N171=0,"Ready now",VLOOKUP($P171,Lists!$D$2:$E$5,2,FALSE))))</f>
        <v>Assessment pending</v>
      </c>
    </row>
    <row r="172" ht="15.75" customHeight="1">
      <c r="A172" s="63" t="s">
        <v>911</v>
      </c>
      <c r="B172" s="63" t="s">
        <v>912</v>
      </c>
      <c r="C172" s="63" t="s">
        <v>76</v>
      </c>
      <c r="D172" s="63" t="s">
        <v>171</v>
      </c>
      <c r="E172" s="63" t="s">
        <v>713</v>
      </c>
      <c r="F172" s="63" t="s">
        <v>714</v>
      </c>
      <c r="G172" s="13" t="s">
        <v>61</v>
      </c>
      <c r="H172" s="71">
        <v>3000.0</v>
      </c>
      <c r="I172" s="65"/>
      <c r="M172" s="20">
        <f>IF($B172="","",COUNTIFS('Blocker log'!$A:$A,$B172,'Blocker log'!$G:$G,"&lt;&gt;"))</f>
        <v>0</v>
      </c>
      <c r="N172" s="20">
        <f>IF($B172="","",COUNTIFS('Blocker log'!$A:$A,$B172,'Blocker log'!$G:$G,"Hard blocker"))</f>
        <v>0</v>
      </c>
      <c r="O172" s="20">
        <f>IF($B172="","",COUNTIFS('Blocker log'!$A:$A,$B172,'Blocker log'!$G:$G,"Hard blocker",'Blocker log'!$L:$L,9))</f>
        <v>0</v>
      </c>
      <c r="P172" s="20">
        <f>IF($B172="","",MAXIFS('Blocker log'!$L:$L,'Blocker log'!$A:$A,$B172,'Blocker log'!$G:$G,"Hard blocker"))</f>
        <v>0</v>
      </c>
      <c r="Q172" s="20" t="str">
        <f>IF($B172="","",IF($K172&lt;&gt;"Complete","Assessment pending",IF($N172=0,"Ready now",VLOOKUP($P172,Lists!$D$2:$E$5,2,FALSE))))</f>
        <v>Assessment pending</v>
      </c>
    </row>
    <row r="173" ht="15.75" customHeight="1">
      <c r="A173" s="63" t="s">
        <v>914</v>
      </c>
      <c r="B173" s="63" t="s">
        <v>915</v>
      </c>
      <c r="C173" s="63" t="s">
        <v>76</v>
      </c>
      <c r="D173" s="63" t="s">
        <v>171</v>
      </c>
      <c r="E173" s="63" t="s">
        <v>205</v>
      </c>
      <c r="F173" s="63" t="s">
        <v>916</v>
      </c>
      <c r="G173" s="13" t="s">
        <v>61</v>
      </c>
      <c r="H173" s="71">
        <v>75900.0</v>
      </c>
      <c r="I173" s="65"/>
      <c r="M173" s="20">
        <f>IF($B173="","",COUNTIFS('Blocker log'!$A:$A,$B173,'Blocker log'!$G:$G,"&lt;&gt;"))</f>
        <v>0</v>
      </c>
      <c r="N173" s="20">
        <f>IF($B173="","",COUNTIFS('Blocker log'!$A:$A,$B173,'Blocker log'!$G:$G,"Hard blocker"))</f>
        <v>0</v>
      </c>
      <c r="O173" s="20">
        <f>IF($B173="","",COUNTIFS('Blocker log'!$A:$A,$B173,'Blocker log'!$G:$G,"Hard blocker",'Blocker log'!$L:$L,9))</f>
        <v>0</v>
      </c>
      <c r="P173" s="20">
        <f>IF($B173="","",MAXIFS('Blocker log'!$L:$L,'Blocker log'!$A:$A,$B173,'Blocker log'!$G:$G,"Hard blocker"))</f>
        <v>0</v>
      </c>
      <c r="Q173" s="20" t="str">
        <f>IF($B173="","",IF($K173&lt;&gt;"Complete","Assessment pending",IF($N173=0,"Ready now",VLOOKUP($P173,Lists!$D$2:$E$5,2,FALSE))))</f>
        <v>Assessment pending</v>
      </c>
    </row>
    <row r="174" ht="15.75" customHeight="1">
      <c r="A174" s="63" t="s">
        <v>920</v>
      </c>
      <c r="B174" s="63" t="s">
        <v>921</v>
      </c>
      <c r="C174" s="63" t="s">
        <v>76</v>
      </c>
      <c r="D174" s="63" t="s">
        <v>58</v>
      </c>
      <c r="E174" s="63" t="s">
        <v>181</v>
      </c>
      <c r="F174" s="63" t="s">
        <v>653</v>
      </c>
      <c r="G174" s="13" t="s">
        <v>61</v>
      </c>
      <c r="H174" s="71">
        <v>74000.0</v>
      </c>
      <c r="I174" s="65"/>
      <c r="M174" s="20">
        <f>IF($B174="","",COUNTIFS('Blocker log'!$A:$A,$B174,'Blocker log'!$G:$G,"&lt;&gt;"))</f>
        <v>0</v>
      </c>
      <c r="N174" s="20">
        <f>IF($B174="","",COUNTIFS('Blocker log'!$A:$A,$B174,'Blocker log'!$G:$G,"Hard blocker"))</f>
        <v>0</v>
      </c>
      <c r="O174" s="20">
        <f>IF($B174="","",COUNTIFS('Blocker log'!$A:$A,$B174,'Blocker log'!$G:$G,"Hard blocker",'Blocker log'!$L:$L,9))</f>
        <v>0</v>
      </c>
      <c r="P174" s="20">
        <f>IF($B174="","",MAXIFS('Blocker log'!$L:$L,'Blocker log'!$A:$A,$B174,'Blocker log'!$G:$G,"Hard blocker"))</f>
        <v>0</v>
      </c>
      <c r="Q174" s="20" t="str">
        <f>IF($B174="","",IF($K174&lt;&gt;"Complete","Assessment pending",IF($N174=0,"Ready now",VLOOKUP($P174,Lists!$D$2:$E$5,2,FALSE))))</f>
        <v>Assessment pending</v>
      </c>
    </row>
    <row r="175" ht="15.75" customHeight="1">
      <c r="A175" s="63" t="s">
        <v>924</v>
      </c>
      <c r="B175" s="63" t="s">
        <v>925</v>
      </c>
      <c r="C175" s="63" t="s">
        <v>76</v>
      </c>
      <c r="D175" s="63" t="s">
        <v>171</v>
      </c>
      <c r="E175" s="63" t="s">
        <v>542</v>
      </c>
      <c r="F175" s="63" t="s">
        <v>543</v>
      </c>
      <c r="G175" s="13" t="s">
        <v>61</v>
      </c>
      <c r="H175" s="71">
        <v>68258.0</v>
      </c>
      <c r="I175" s="65"/>
      <c r="M175" s="20">
        <f>IF($B175="","",COUNTIFS('Blocker log'!$A:$A,$B175,'Blocker log'!$G:$G,"&lt;&gt;"))</f>
        <v>0</v>
      </c>
      <c r="N175" s="20">
        <f>IF($B175="","",COUNTIFS('Blocker log'!$A:$A,$B175,'Blocker log'!$G:$G,"Hard blocker"))</f>
        <v>0</v>
      </c>
      <c r="O175" s="20">
        <f>IF($B175="","",COUNTIFS('Blocker log'!$A:$A,$B175,'Blocker log'!$G:$G,"Hard blocker",'Blocker log'!$L:$L,9))</f>
        <v>0</v>
      </c>
      <c r="P175" s="20">
        <f>IF($B175="","",MAXIFS('Blocker log'!$L:$L,'Blocker log'!$A:$A,$B175,'Blocker log'!$G:$G,"Hard blocker"))</f>
        <v>0</v>
      </c>
      <c r="Q175" s="20" t="str">
        <f>IF($B175="","",IF($K175&lt;&gt;"Complete","Assessment pending",IF($N175=0,"Ready now",VLOOKUP($P175,Lists!$D$2:$E$5,2,FALSE))))</f>
        <v>Assessment pending</v>
      </c>
    </row>
    <row r="176" ht="15.75" customHeight="1">
      <c r="A176" s="63" t="s">
        <v>926</v>
      </c>
      <c r="B176" s="63" t="s">
        <v>927</v>
      </c>
      <c r="C176" s="63" t="s">
        <v>76</v>
      </c>
      <c r="D176" s="63" t="s">
        <v>260</v>
      </c>
      <c r="E176" s="63" t="s">
        <v>576</v>
      </c>
      <c r="F176" s="63" t="s">
        <v>577</v>
      </c>
      <c r="G176" s="13" t="s">
        <v>61</v>
      </c>
      <c r="H176" s="71">
        <v>36000.0</v>
      </c>
      <c r="I176" s="65"/>
      <c r="M176" s="20">
        <f>IF($B176="","",COUNTIFS('Blocker log'!$A:$A,$B176,'Blocker log'!$G:$G,"&lt;&gt;"))</f>
        <v>0</v>
      </c>
      <c r="N176" s="20">
        <f>IF($B176="","",COUNTIFS('Blocker log'!$A:$A,$B176,'Blocker log'!$G:$G,"Hard blocker"))</f>
        <v>0</v>
      </c>
      <c r="O176" s="20">
        <f>IF($B176="","",COUNTIFS('Blocker log'!$A:$A,$B176,'Blocker log'!$G:$G,"Hard blocker",'Blocker log'!$L:$L,9))</f>
        <v>0</v>
      </c>
      <c r="P176" s="20">
        <f>IF($B176="","",MAXIFS('Blocker log'!$L:$L,'Blocker log'!$A:$A,$B176,'Blocker log'!$G:$G,"Hard blocker"))</f>
        <v>0</v>
      </c>
      <c r="Q176" s="20" t="str">
        <f>IF($B176="","",IF($K176&lt;&gt;"Complete","Assessment pending",IF($N176=0,"Ready now",VLOOKUP($P176,Lists!$D$2:$E$5,2,FALSE))))</f>
        <v>Assessment pending</v>
      </c>
    </row>
    <row r="177" ht="15.75" customHeight="1">
      <c r="A177" s="63" t="s">
        <v>928</v>
      </c>
      <c r="B177" s="63" t="s">
        <v>929</v>
      </c>
      <c r="C177" s="63" t="s">
        <v>76</v>
      </c>
      <c r="D177" s="63" t="s">
        <v>260</v>
      </c>
      <c r="E177" s="63" t="s">
        <v>506</v>
      </c>
      <c r="F177" s="63" t="s">
        <v>708</v>
      </c>
      <c r="G177" s="13" t="s">
        <v>61</v>
      </c>
      <c r="H177" s="71">
        <v>29857.0</v>
      </c>
      <c r="I177" s="65"/>
      <c r="M177" s="20">
        <f>IF($B177="","",COUNTIFS('Blocker log'!$A:$A,$B177,'Blocker log'!$G:$G,"&lt;&gt;"))</f>
        <v>0</v>
      </c>
      <c r="N177" s="20">
        <f>IF($B177="","",COUNTIFS('Blocker log'!$A:$A,$B177,'Blocker log'!$G:$G,"Hard blocker"))</f>
        <v>0</v>
      </c>
      <c r="O177" s="20">
        <f>IF($B177="","",COUNTIFS('Blocker log'!$A:$A,$B177,'Blocker log'!$G:$G,"Hard blocker",'Blocker log'!$L:$L,9))</f>
        <v>0</v>
      </c>
      <c r="P177" s="20">
        <f>IF($B177="","",MAXIFS('Blocker log'!$L:$L,'Blocker log'!$A:$A,$B177,'Blocker log'!$G:$G,"Hard blocker"))</f>
        <v>0</v>
      </c>
      <c r="Q177" s="20" t="str">
        <f>IF($B177="","",IF($K177&lt;&gt;"Complete","Assessment pending",IF($N177=0,"Ready now",VLOOKUP($P177,Lists!$D$2:$E$5,2,FALSE))))</f>
        <v>Assessment pending</v>
      </c>
    </row>
    <row r="178" ht="15.75" customHeight="1">
      <c r="A178" s="63" t="s">
        <v>930</v>
      </c>
      <c r="B178" s="63" t="s">
        <v>931</v>
      </c>
      <c r="C178" s="63" t="s">
        <v>76</v>
      </c>
      <c r="D178" s="63" t="s">
        <v>171</v>
      </c>
      <c r="E178" s="63" t="s">
        <v>713</v>
      </c>
      <c r="F178" s="63" t="s">
        <v>714</v>
      </c>
      <c r="G178" s="13" t="s">
        <v>61</v>
      </c>
      <c r="H178" s="71">
        <v>20400.0</v>
      </c>
      <c r="I178" s="65"/>
      <c r="M178" s="20">
        <f>IF($B178="","",COUNTIFS('Blocker log'!$A:$A,$B178,'Blocker log'!$G:$G,"&lt;&gt;"))</f>
        <v>0</v>
      </c>
      <c r="N178" s="20">
        <f>IF($B178="","",COUNTIFS('Blocker log'!$A:$A,$B178,'Blocker log'!$G:$G,"Hard blocker"))</f>
        <v>0</v>
      </c>
      <c r="O178" s="20">
        <f>IF($B178="","",COUNTIFS('Blocker log'!$A:$A,$B178,'Blocker log'!$G:$G,"Hard blocker",'Blocker log'!$L:$L,9))</f>
        <v>0</v>
      </c>
      <c r="P178" s="20">
        <f>IF($B178="","",MAXIFS('Blocker log'!$L:$L,'Blocker log'!$A:$A,$B178,'Blocker log'!$G:$G,"Hard blocker"))</f>
        <v>0</v>
      </c>
      <c r="Q178" s="20" t="str">
        <f>IF($B178="","",IF($K178&lt;&gt;"Complete","Assessment pending",IF($N178=0,"Ready now",VLOOKUP($P178,Lists!$D$2:$E$5,2,FALSE))))</f>
        <v>Assessment pending</v>
      </c>
    </row>
    <row r="179" ht="15.75" customHeight="1">
      <c r="A179" s="63" t="s">
        <v>932</v>
      </c>
      <c r="B179" s="63" t="s">
        <v>933</v>
      </c>
      <c r="C179" s="63" t="s">
        <v>76</v>
      </c>
      <c r="D179" s="63" t="s">
        <v>171</v>
      </c>
      <c r="E179" s="63" t="s">
        <v>713</v>
      </c>
      <c r="F179" s="63" t="s">
        <v>714</v>
      </c>
      <c r="G179" s="13" t="s">
        <v>61</v>
      </c>
      <c r="H179" s="71">
        <v>20500.0</v>
      </c>
      <c r="I179" s="65"/>
      <c r="M179" s="20">
        <f>IF($B179="","",COUNTIFS('Blocker log'!$A:$A,$B179,'Blocker log'!$G:$G,"&lt;&gt;"))</f>
        <v>0</v>
      </c>
      <c r="N179" s="20">
        <f>IF($B179="","",COUNTIFS('Blocker log'!$A:$A,$B179,'Blocker log'!$G:$G,"Hard blocker"))</f>
        <v>0</v>
      </c>
      <c r="O179" s="20">
        <f>IF($B179="","",COUNTIFS('Blocker log'!$A:$A,$B179,'Blocker log'!$G:$G,"Hard blocker",'Blocker log'!$L:$L,9))</f>
        <v>0</v>
      </c>
      <c r="P179" s="20">
        <f>IF($B179="","",MAXIFS('Blocker log'!$L:$L,'Blocker log'!$A:$A,$B179,'Blocker log'!$G:$G,"Hard blocker"))</f>
        <v>0</v>
      </c>
      <c r="Q179" s="20" t="str">
        <f>IF($B179="","",IF($K179&lt;&gt;"Complete","Assessment pending",IF($N179=0,"Ready now",VLOOKUP($P179,Lists!$D$2:$E$5,2,FALSE))))</f>
        <v>Assessment pending</v>
      </c>
    </row>
    <row r="180" ht="15.75" customHeight="1">
      <c r="A180" s="63" t="s">
        <v>934</v>
      </c>
      <c r="B180" s="63" t="s">
        <v>935</v>
      </c>
      <c r="C180" s="63" t="s">
        <v>76</v>
      </c>
      <c r="D180" s="63" t="s">
        <v>260</v>
      </c>
      <c r="E180" s="63" t="s">
        <v>351</v>
      </c>
      <c r="F180" s="63" t="s">
        <v>886</v>
      </c>
      <c r="G180" s="13" t="s">
        <v>61</v>
      </c>
      <c r="H180" s="71">
        <v>57598.0</v>
      </c>
      <c r="I180" s="65"/>
      <c r="M180" s="20">
        <f>IF($B180="","",COUNTIFS('Blocker log'!$A:$A,$B180,'Blocker log'!$G:$G,"&lt;&gt;"))</f>
        <v>0</v>
      </c>
      <c r="N180" s="20">
        <f>IF($B180="","",COUNTIFS('Blocker log'!$A:$A,$B180,'Blocker log'!$G:$G,"Hard blocker"))</f>
        <v>0</v>
      </c>
      <c r="O180" s="20">
        <f>IF($B180="","",COUNTIFS('Blocker log'!$A:$A,$B180,'Blocker log'!$G:$G,"Hard blocker",'Blocker log'!$L:$L,9))</f>
        <v>0</v>
      </c>
      <c r="P180" s="20">
        <f>IF($B180="","",MAXIFS('Blocker log'!$L:$L,'Blocker log'!$A:$A,$B180,'Blocker log'!$G:$G,"Hard blocker"))</f>
        <v>0</v>
      </c>
      <c r="Q180" s="20" t="str">
        <f>IF($B180="","",IF($K180&lt;&gt;"Complete","Assessment pending",IF($N180=0,"Ready now",VLOOKUP($P180,Lists!$D$2:$E$5,2,FALSE))))</f>
        <v>Assessment pending</v>
      </c>
    </row>
    <row r="181" ht="15.75" customHeight="1">
      <c r="A181" s="63" t="s">
        <v>936</v>
      </c>
      <c r="B181" s="63" t="s">
        <v>937</v>
      </c>
      <c r="C181" s="63" t="s">
        <v>76</v>
      </c>
      <c r="D181" s="63" t="s">
        <v>171</v>
      </c>
      <c r="E181" s="63" t="s">
        <v>713</v>
      </c>
      <c r="F181" s="63" t="s">
        <v>714</v>
      </c>
      <c r="G181" s="13" t="s">
        <v>61</v>
      </c>
      <c r="H181" s="71">
        <v>25769.0</v>
      </c>
      <c r="I181" s="65"/>
      <c r="M181" s="20">
        <f>IF($B181="","",COUNTIFS('Blocker log'!$A:$A,$B181,'Blocker log'!$G:$G,"&lt;&gt;"))</f>
        <v>0</v>
      </c>
      <c r="N181" s="20">
        <f>IF($B181="","",COUNTIFS('Blocker log'!$A:$A,$B181,'Blocker log'!$G:$G,"Hard blocker"))</f>
        <v>0</v>
      </c>
      <c r="O181" s="20">
        <f>IF($B181="","",COUNTIFS('Blocker log'!$A:$A,$B181,'Blocker log'!$G:$G,"Hard blocker",'Blocker log'!$L:$L,9))</f>
        <v>0</v>
      </c>
      <c r="P181" s="20">
        <f>IF($B181="","",MAXIFS('Blocker log'!$L:$L,'Blocker log'!$A:$A,$B181,'Blocker log'!$G:$G,"Hard blocker"))</f>
        <v>0</v>
      </c>
      <c r="Q181" s="20" t="str">
        <f>IF($B181="","",IF($K181&lt;&gt;"Complete","Assessment pending",IF($N181=0,"Ready now",VLOOKUP($P181,Lists!$D$2:$E$5,2,FALSE))))</f>
        <v>Assessment pending</v>
      </c>
    </row>
    <row r="182" ht="15.75" customHeight="1">
      <c r="A182" s="63" t="s">
        <v>938</v>
      </c>
      <c r="B182" s="63" t="s">
        <v>939</v>
      </c>
      <c r="C182" s="63" t="s">
        <v>76</v>
      </c>
      <c r="D182" s="63" t="s">
        <v>260</v>
      </c>
      <c r="E182" s="63" t="s">
        <v>506</v>
      </c>
      <c r="F182" s="63" t="s">
        <v>674</v>
      </c>
      <c r="G182" s="13" t="s">
        <v>61</v>
      </c>
      <c r="H182" s="71">
        <v>50400.0</v>
      </c>
      <c r="I182" s="65"/>
      <c r="M182" s="20">
        <f>IF($B182="","",COUNTIFS('Blocker log'!$A:$A,$B182,'Blocker log'!$G:$G,"&lt;&gt;"))</f>
        <v>0</v>
      </c>
      <c r="N182" s="20">
        <f>IF($B182="","",COUNTIFS('Blocker log'!$A:$A,$B182,'Blocker log'!$G:$G,"Hard blocker"))</f>
        <v>0</v>
      </c>
      <c r="O182" s="20">
        <f>IF($B182="","",COUNTIFS('Blocker log'!$A:$A,$B182,'Blocker log'!$G:$G,"Hard blocker",'Blocker log'!$L:$L,9))</f>
        <v>0</v>
      </c>
      <c r="P182" s="20">
        <f>IF($B182="","",MAXIFS('Blocker log'!$L:$L,'Blocker log'!$A:$A,$B182,'Blocker log'!$G:$G,"Hard blocker"))</f>
        <v>0</v>
      </c>
      <c r="Q182" s="20" t="str">
        <f>IF($B182="","",IF($K182&lt;&gt;"Complete","Assessment pending",IF($N182=0,"Ready now",VLOOKUP($P182,Lists!$D$2:$E$5,2,FALSE))))</f>
        <v>Assessment pending</v>
      </c>
    </row>
    <row r="183" ht="15.75" customHeight="1">
      <c r="A183" s="13" t="s">
        <v>940</v>
      </c>
      <c r="B183" s="13" t="s">
        <v>941</v>
      </c>
      <c r="C183" s="13" t="s">
        <v>76</v>
      </c>
      <c r="D183" s="13" t="s">
        <v>58</v>
      </c>
      <c r="E183" s="13" t="s">
        <v>140</v>
      </c>
      <c r="F183" s="13" t="s">
        <v>141</v>
      </c>
      <c r="G183" s="13" t="s">
        <v>61</v>
      </c>
      <c r="H183" s="25">
        <v>211680.0</v>
      </c>
      <c r="I183" s="15" t="s">
        <v>391</v>
      </c>
      <c r="J183" s="8"/>
      <c r="K183" s="18" t="s">
        <v>78</v>
      </c>
      <c r="L183" s="72"/>
      <c r="M183" s="20">
        <f>IF($B183="","",COUNTIFS('Blocker log'!$A:$A,$B183,'Blocker log'!$G:$G,"&lt;&gt;"))</f>
        <v>0</v>
      </c>
      <c r="N183" s="20">
        <f>IF($B183="","",COUNTIFS('Blocker log'!$A:$A,$B183,'Blocker log'!$G:$G,"Hard blocker"))</f>
        <v>0</v>
      </c>
      <c r="O183" s="20">
        <f>IF($B183="","",COUNTIFS('Blocker log'!$A:$A,$B183,'Blocker log'!$G:$G,"Hard blocker",'Blocker log'!$L:$L,9))</f>
        <v>0</v>
      </c>
      <c r="P183" s="20">
        <f>IF($B183="","",MAXIFS('Blocker log'!$L:$L,'Blocker log'!$A:$A,$B183,'Blocker log'!$G:$G,"Hard blocker"))</f>
        <v>0</v>
      </c>
      <c r="Q183" s="20" t="str">
        <f>IF($B183="","",IF($K183&lt;&gt;"Complete","Assessment pending",IF($N183=0,"Ready now",VLOOKUP($P183,Lists!$D$2:$E$5,2,FALSE))))</f>
        <v>Assessment pending</v>
      </c>
      <c r="R183" s="72"/>
      <c r="S183" s="8"/>
      <c r="T183" s="8"/>
      <c r="U183" s="8"/>
    </row>
    <row r="184" ht="15.75" customHeight="1">
      <c r="A184" s="63" t="s">
        <v>942</v>
      </c>
      <c r="B184" s="63" t="s">
        <v>943</v>
      </c>
      <c r="C184" s="63" t="s">
        <v>76</v>
      </c>
      <c r="D184" s="63" t="s">
        <v>171</v>
      </c>
      <c r="E184" s="63" t="s">
        <v>512</v>
      </c>
      <c r="F184" s="63" t="s">
        <v>944</v>
      </c>
      <c r="G184" s="13" t="s">
        <v>61</v>
      </c>
      <c r="H184" s="71">
        <v>45449.0</v>
      </c>
      <c r="I184" s="65"/>
      <c r="M184" s="20">
        <f>IF($B184="","",COUNTIFS('Blocker log'!$A:$A,$B184,'Blocker log'!$G:$G,"&lt;&gt;"))</f>
        <v>0</v>
      </c>
      <c r="N184" s="20">
        <f>IF($B184="","",COUNTIFS('Blocker log'!$A:$A,$B184,'Blocker log'!$G:$G,"Hard blocker"))</f>
        <v>0</v>
      </c>
      <c r="O184" s="20">
        <f>IF($B184="","",COUNTIFS('Blocker log'!$A:$A,$B184,'Blocker log'!$G:$G,"Hard blocker",'Blocker log'!$L:$L,9))</f>
        <v>0</v>
      </c>
      <c r="P184" s="20">
        <f>IF($B184="","",MAXIFS('Blocker log'!$L:$L,'Blocker log'!$A:$A,$B184,'Blocker log'!$G:$G,"Hard blocker"))</f>
        <v>0</v>
      </c>
      <c r="Q184" s="20" t="str">
        <f>IF($B184="","",IF($K184&lt;&gt;"Complete","Assessment pending",IF($N184=0,"Ready now",VLOOKUP($P184,Lists!$D$2:$E$5,2,FALSE))))</f>
        <v>Assessment pending</v>
      </c>
    </row>
    <row r="185" ht="15.75" customHeight="1">
      <c r="A185" s="63" t="s">
        <v>945</v>
      </c>
      <c r="B185" s="63" t="s">
        <v>946</v>
      </c>
      <c r="C185" s="63" t="s">
        <v>76</v>
      </c>
      <c r="D185" s="63" t="s">
        <v>58</v>
      </c>
      <c r="E185" s="63" t="s">
        <v>59</v>
      </c>
      <c r="F185" s="63" t="s">
        <v>598</v>
      </c>
      <c r="G185" s="13" t="s">
        <v>61</v>
      </c>
      <c r="H185" s="71">
        <v>44763.0</v>
      </c>
      <c r="I185" s="65"/>
      <c r="M185" s="20">
        <f>IF($B185="","",COUNTIFS('Blocker log'!$A:$A,$B185,'Blocker log'!$G:$G,"&lt;&gt;"))</f>
        <v>0</v>
      </c>
      <c r="N185" s="20">
        <f>IF($B185="","",COUNTIFS('Blocker log'!$A:$A,$B185,'Blocker log'!$G:$G,"Hard blocker"))</f>
        <v>0</v>
      </c>
      <c r="O185" s="20">
        <f>IF($B185="","",COUNTIFS('Blocker log'!$A:$A,$B185,'Blocker log'!$G:$G,"Hard blocker",'Blocker log'!$L:$L,9))</f>
        <v>0</v>
      </c>
      <c r="P185" s="20">
        <f>IF($B185="","",MAXIFS('Blocker log'!$L:$L,'Blocker log'!$A:$A,$B185,'Blocker log'!$G:$G,"Hard blocker"))</f>
        <v>0</v>
      </c>
      <c r="Q185" s="20" t="str">
        <f>IF($B185="","",IF($K185&lt;&gt;"Complete","Assessment pending",IF($N185=0,"Ready now",VLOOKUP($P185,Lists!$D$2:$E$5,2,FALSE))))</f>
        <v>Assessment pending</v>
      </c>
    </row>
    <row r="186" ht="15.75" customHeight="1">
      <c r="A186" s="63" t="s">
        <v>947</v>
      </c>
      <c r="B186" s="63" t="s">
        <v>948</v>
      </c>
      <c r="C186" s="63" t="s">
        <v>76</v>
      </c>
      <c r="D186" s="63" t="s">
        <v>58</v>
      </c>
      <c r="E186" s="63" t="s">
        <v>132</v>
      </c>
      <c r="F186" s="63" t="s">
        <v>949</v>
      </c>
      <c r="G186" s="13" t="s">
        <v>61</v>
      </c>
      <c r="H186" s="71">
        <v>43524.0</v>
      </c>
      <c r="I186" s="65"/>
      <c r="M186" s="20">
        <f>IF($B186="","",COUNTIFS('Blocker log'!$A:$A,$B186,'Blocker log'!$G:$G,"&lt;&gt;"))</f>
        <v>0</v>
      </c>
      <c r="N186" s="20">
        <f>IF($B186="","",COUNTIFS('Blocker log'!$A:$A,$B186,'Blocker log'!$G:$G,"Hard blocker"))</f>
        <v>0</v>
      </c>
      <c r="O186" s="20">
        <f>IF($B186="","",COUNTIFS('Blocker log'!$A:$A,$B186,'Blocker log'!$G:$G,"Hard blocker",'Blocker log'!$L:$L,9))</f>
        <v>0</v>
      </c>
      <c r="P186" s="20">
        <f>IF($B186="","",MAXIFS('Blocker log'!$L:$L,'Blocker log'!$A:$A,$B186,'Blocker log'!$G:$G,"Hard blocker"))</f>
        <v>0</v>
      </c>
      <c r="Q186" s="20" t="str">
        <f>IF($B186="","",IF($K186&lt;&gt;"Complete","Assessment pending",IF($N186=0,"Ready now",VLOOKUP($P186,Lists!$D$2:$E$5,2,FALSE))))</f>
        <v>Assessment pending</v>
      </c>
    </row>
    <row r="187" ht="15.75" customHeight="1">
      <c r="A187" s="63" t="s">
        <v>950</v>
      </c>
      <c r="B187" s="63" t="s">
        <v>951</v>
      </c>
      <c r="C187" s="63" t="s">
        <v>76</v>
      </c>
      <c r="D187" s="63" t="s">
        <v>260</v>
      </c>
      <c r="E187" s="63" t="s">
        <v>506</v>
      </c>
      <c r="F187" s="63" t="s">
        <v>674</v>
      </c>
      <c r="G187" s="13" t="s">
        <v>61</v>
      </c>
      <c r="H187" s="71">
        <v>43267.0</v>
      </c>
      <c r="I187" s="65"/>
      <c r="M187" s="20">
        <f>IF($B187="","",COUNTIFS('Blocker log'!$A:$A,$B187,'Blocker log'!$G:$G,"&lt;&gt;"))</f>
        <v>0</v>
      </c>
      <c r="N187" s="20">
        <f>IF($B187="","",COUNTIFS('Blocker log'!$A:$A,$B187,'Blocker log'!$G:$G,"Hard blocker"))</f>
        <v>0</v>
      </c>
      <c r="O187" s="20">
        <f>IF($B187="","",COUNTIFS('Blocker log'!$A:$A,$B187,'Blocker log'!$G:$G,"Hard blocker",'Blocker log'!$L:$L,9))</f>
        <v>0</v>
      </c>
      <c r="P187" s="20">
        <f>IF($B187="","",MAXIFS('Blocker log'!$L:$L,'Blocker log'!$A:$A,$B187,'Blocker log'!$G:$G,"Hard blocker"))</f>
        <v>0</v>
      </c>
      <c r="Q187" s="20" t="str">
        <f>IF($B187="","",IF($K187&lt;&gt;"Complete","Assessment pending",IF($N187=0,"Ready now",VLOOKUP($P187,Lists!$D$2:$E$5,2,FALSE))))</f>
        <v>Assessment pending</v>
      </c>
    </row>
    <row r="188" ht="15.75" customHeight="1">
      <c r="A188" s="63" t="s">
        <v>952</v>
      </c>
      <c r="B188" s="63" t="s">
        <v>953</v>
      </c>
      <c r="C188" s="63" t="s">
        <v>76</v>
      </c>
      <c r="D188" s="63" t="s">
        <v>301</v>
      </c>
      <c r="E188" s="63" t="s">
        <v>593</v>
      </c>
      <c r="F188" s="63" t="s">
        <v>593</v>
      </c>
      <c r="G188" s="13" t="s">
        <v>61</v>
      </c>
      <c r="H188" s="71">
        <v>16069.0</v>
      </c>
      <c r="I188" s="65"/>
      <c r="M188" s="20">
        <f>IF($B188="","",COUNTIFS('Blocker log'!$A:$A,$B188,'Blocker log'!$G:$G,"&lt;&gt;"))</f>
        <v>0</v>
      </c>
      <c r="N188" s="20">
        <f>IF($B188="","",COUNTIFS('Blocker log'!$A:$A,$B188,'Blocker log'!$G:$G,"Hard blocker"))</f>
        <v>0</v>
      </c>
      <c r="O188" s="20">
        <f>IF($B188="","",COUNTIFS('Blocker log'!$A:$A,$B188,'Blocker log'!$G:$G,"Hard blocker",'Blocker log'!$L:$L,9))</f>
        <v>0</v>
      </c>
      <c r="P188" s="20">
        <f>IF($B188="","",MAXIFS('Blocker log'!$L:$L,'Blocker log'!$A:$A,$B188,'Blocker log'!$G:$G,"Hard blocker"))</f>
        <v>0</v>
      </c>
      <c r="Q188" s="20" t="str">
        <f>IF($B188="","",IF($K188&lt;&gt;"Complete","Assessment pending",IF($N188=0,"Ready now",VLOOKUP($P188,Lists!$D$2:$E$5,2,FALSE))))</f>
        <v>Assessment pending</v>
      </c>
    </row>
    <row r="189" ht="15.75" customHeight="1">
      <c r="A189" s="63" t="s">
        <v>954</v>
      </c>
      <c r="B189" s="63" t="s">
        <v>955</v>
      </c>
      <c r="C189" s="63" t="s">
        <v>76</v>
      </c>
      <c r="D189" s="63" t="s">
        <v>260</v>
      </c>
      <c r="E189" s="63" t="s">
        <v>506</v>
      </c>
      <c r="F189" s="63" t="s">
        <v>685</v>
      </c>
      <c r="G189" s="13" t="s">
        <v>61</v>
      </c>
      <c r="H189" s="71">
        <v>28800.0</v>
      </c>
      <c r="I189" s="65"/>
      <c r="M189" s="20">
        <f>IF($B189="","",COUNTIFS('Blocker log'!$A:$A,$B189,'Blocker log'!$G:$G,"&lt;&gt;"))</f>
        <v>0</v>
      </c>
      <c r="N189" s="20">
        <f>IF($B189="","",COUNTIFS('Blocker log'!$A:$A,$B189,'Blocker log'!$G:$G,"Hard blocker"))</f>
        <v>0</v>
      </c>
      <c r="O189" s="20">
        <f>IF($B189="","",COUNTIFS('Blocker log'!$A:$A,$B189,'Blocker log'!$G:$G,"Hard blocker",'Blocker log'!$L:$L,9))</f>
        <v>0</v>
      </c>
      <c r="P189" s="20">
        <f>IF($B189="","",MAXIFS('Blocker log'!$L:$L,'Blocker log'!$A:$A,$B189,'Blocker log'!$G:$G,"Hard blocker"))</f>
        <v>0</v>
      </c>
      <c r="Q189" s="20" t="str">
        <f>IF($B189="","",IF($K189&lt;&gt;"Complete","Assessment pending",IF($N189=0,"Ready now",VLOOKUP($P189,Lists!$D$2:$E$5,2,FALSE))))</f>
        <v>Assessment pending</v>
      </c>
    </row>
    <row r="190" ht="15.75" customHeight="1">
      <c r="A190" s="63" t="s">
        <v>956</v>
      </c>
      <c r="B190" s="63" t="s">
        <v>957</v>
      </c>
      <c r="C190" s="63" t="s">
        <v>76</v>
      </c>
      <c r="D190" s="63" t="s">
        <v>58</v>
      </c>
      <c r="E190" s="63" t="s">
        <v>59</v>
      </c>
      <c r="F190" s="63" t="s">
        <v>598</v>
      </c>
      <c r="G190" s="13" t="s">
        <v>61</v>
      </c>
      <c r="H190" s="71">
        <v>144252.0</v>
      </c>
      <c r="I190" s="65"/>
      <c r="M190" s="20">
        <f>IF($B190="","",COUNTIFS('Blocker log'!$A:$A,$B190,'Blocker log'!$G:$G,"&lt;&gt;"))</f>
        <v>0</v>
      </c>
      <c r="N190" s="20">
        <f>IF($B190="","",COUNTIFS('Blocker log'!$A:$A,$B190,'Blocker log'!$G:$G,"Hard blocker"))</f>
        <v>0</v>
      </c>
      <c r="O190" s="20">
        <f>IF($B190="","",COUNTIFS('Blocker log'!$A:$A,$B190,'Blocker log'!$G:$G,"Hard blocker",'Blocker log'!$L:$L,9))</f>
        <v>0</v>
      </c>
      <c r="P190" s="20">
        <f>IF($B190="","",MAXIFS('Blocker log'!$L:$L,'Blocker log'!$A:$A,$B190,'Blocker log'!$G:$G,"Hard blocker"))</f>
        <v>0</v>
      </c>
      <c r="Q190" s="20" t="str">
        <f>IF($B190="","",IF($K190&lt;&gt;"Complete","Assessment pending",IF($N190=0,"Ready now",VLOOKUP($P190,Lists!$D$2:$E$5,2,FALSE))))</f>
        <v>Assessment pending</v>
      </c>
    </row>
    <row r="191" ht="15.75" customHeight="1">
      <c r="A191" s="63" t="s">
        <v>958</v>
      </c>
      <c r="B191" s="63" t="s">
        <v>959</v>
      </c>
      <c r="C191" s="63" t="s">
        <v>76</v>
      </c>
      <c r="D191" s="63" t="s">
        <v>58</v>
      </c>
      <c r="E191" s="63" t="s">
        <v>181</v>
      </c>
      <c r="F191" s="63" t="s">
        <v>190</v>
      </c>
      <c r="G191" s="13" t="s">
        <v>61</v>
      </c>
      <c r="H191" s="71">
        <v>22032.0</v>
      </c>
      <c r="I191" s="65"/>
      <c r="M191" s="20">
        <f>IF($B191="","",COUNTIFS('Blocker log'!$A:$A,$B191,'Blocker log'!$G:$G,"&lt;&gt;"))</f>
        <v>0</v>
      </c>
      <c r="N191" s="20">
        <f>IF($B191="","",COUNTIFS('Blocker log'!$A:$A,$B191,'Blocker log'!$G:$G,"Hard blocker"))</f>
        <v>0</v>
      </c>
      <c r="O191" s="20">
        <f>IF($B191="","",COUNTIFS('Blocker log'!$A:$A,$B191,'Blocker log'!$G:$G,"Hard blocker",'Blocker log'!$L:$L,9))</f>
        <v>0</v>
      </c>
      <c r="P191" s="20">
        <f>IF($B191="","",MAXIFS('Blocker log'!$L:$L,'Blocker log'!$A:$A,$B191,'Blocker log'!$G:$G,"Hard blocker"))</f>
        <v>0</v>
      </c>
      <c r="Q191" s="20" t="str">
        <f>IF($B191="","",IF($K191&lt;&gt;"Complete","Assessment pending",IF($N191=0,"Ready now",VLOOKUP($P191,Lists!$D$2:$E$5,2,FALSE))))</f>
        <v>Assessment pending</v>
      </c>
    </row>
    <row r="192" ht="15.75" customHeight="1">
      <c r="A192" s="63" t="s">
        <v>960</v>
      </c>
      <c r="B192" s="63" t="s">
        <v>961</v>
      </c>
      <c r="C192" s="63" t="s">
        <v>76</v>
      </c>
      <c r="D192" s="63" t="s">
        <v>260</v>
      </c>
      <c r="E192" s="63" t="s">
        <v>506</v>
      </c>
      <c r="F192" s="63" t="s">
        <v>708</v>
      </c>
      <c r="G192" s="13" t="s">
        <v>61</v>
      </c>
      <c r="H192" s="71">
        <v>21600.0</v>
      </c>
      <c r="I192" s="65"/>
      <c r="M192" s="20">
        <f>IF($B192="","",COUNTIFS('Blocker log'!$A:$A,$B192,'Blocker log'!$G:$G,"&lt;&gt;"))</f>
        <v>0</v>
      </c>
      <c r="N192" s="20">
        <f>IF($B192="","",COUNTIFS('Blocker log'!$A:$A,$B192,'Blocker log'!$G:$G,"Hard blocker"))</f>
        <v>0</v>
      </c>
      <c r="O192" s="20">
        <f>IF($B192="","",COUNTIFS('Blocker log'!$A:$A,$B192,'Blocker log'!$G:$G,"Hard blocker",'Blocker log'!$L:$L,9))</f>
        <v>0</v>
      </c>
      <c r="P192" s="20">
        <f>IF($B192="","",MAXIFS('Blocker log'!$L:$L,'Blocker log'!$A:$A,$B192,'Blocker log'!$G:$G,"Hard blocker"))</f>
        <v>0</v>
      </c>
      <c r="Q192" s="20" t="str">
        <f>IF($B192="","",IF($K192&lt;&gt;"Complete","Assessment pending",IF($N192=0,"Ready now",VLOOKUP($P192,Lists!$D$2:$E$5,2,FALSE))))</f>
        <v>Assessment pending</v>
      </c>
    </row>
    <row r="193" ht="15.75" customHeight="1">
      <c r="A193" s="63" t="s">
        <v>962</v>
      </c>
      <c r="B193" s="63" t="s">
        <v>963</v>
      </c>
      <c r="C193" s="63" t="s">
        <v>76</v>
      </c>
      <c r="D193" s="63" t="s">
        <v>260</v>
      </c>
      <c r="E193" s="63" t="s">
        <v>506</v>
      </c>
      <c r="F193" s="63" t="s">
        <v>507</v>
      </c>
      <c r="G193" s="13" t="s">
        <v>61</v>
      </c>
      <c r="H193" s="71">
        <v>18263.0</v>
      </c>
      <c r="I193" s="65"/>
      <c r="M193" s="20">
        <f>IF($B193="","",COUNTIFS('Blocker log'!$A:$A,$B193,'Blocker log'!$G:$G,"&lt;&gt;"))</f>
        <v>0</v>
      </c>
      <c r="N193" s="20">
        <f>IF($B193="","",COUNTIFS('Blocker log'!$A:$A,$B193,'Blocker log'!$G:$G,"Hard blocker"))</f>
        <v>0</v>
      </c>
      <c r="O193" s="20">
        <f>IF($B193="","",COUNTIFS('Blocker log'!$A:$A,$B193,'Blocker log'!$G:$G,"Hard blocker",'Blocker log'!$L:$L,9))</f>
        <v>0</v>
      </c>
      <c r="P193" s="20">
        <f>IF($B193="","",MAXIFS('Blocker log'!$L:$L,'Blocker log'!$A:$A,$B193,'Blocker log'!$G:$G,"Hard blocker"))</f>
        <v>0</v>
      </c>
      <c r="Q193" s="20" t="str">
        <f>IF($B193="","",IF($K193&lt;&gt;"Complete","Assessment pending",IF($N193=0,"Ready now",VLOOKUP($P193,Lists!$D$2:$E$5,2,FALSE))))</f>
        <v>Assessment pending</v>
      </c>
    </row>
    <row r="194" ht="15.75" customHeight="1">
      <c r="A194" s="63" t="s">
        <v>964</v>
      </c>
      <c r="B194" s="63" t="s">
        <v>965</v>
      </c>
      <c r="C194" s="63" t="s">
        <v>76</v>
      </c>
      <c r="D194" s="63" t="s">
        <v>260</v>
      </c>
      <c r="E194" s="63" t="s">
        <v>506</v>
      </c>
      <c r="F194" s="63" t="s">
        <v>798</v>
      </c>
      <c r="G194" s="13" t="s">
        <v>61</v>
      </c>
      <c r="H194" s="71">
        <v>14514.0</v>
      </c>
      <c r="I194" s="65"/>
      <c r="M194" s="20">
        <f>IF($B194="","",COUNTIFS('Blocker log'!$A:$A,$B194,'Blocker log'!$G:$G,"&lt;&gt;"))</f>
        <v>0</v>
      </c>
      <c r="N194" s="20">
        <f>IF($B194="","",COUNTIFS('Blocker log'!$A:$A,$B194,'Blocker log'!$G:$G,"Hard blocker"))</f>
        <v>0</v>
      </c>
      <c r="O194" s="20">
        <f>IF($B194="","",COUNTIFS('Blocker log'!$A:$A,$B194,'Blocker log'!$G:$G,"Hard blocker",'Blocker log'!$L:$L,9))</f>
        <v>0</v>
      </c>
      <c r="P194" s="20">
        <f>IF($B194="","",MAXIFS('Blocker log'!$L:$L,'Blocker log'!$A:$A,$B194,'Blocker log'!$G:$G,"Hard blocker"))</f>
        <v>0</v>
      </c>
      <c r="Q194" s="20" t="str">
        <f>IF($B194="","",IF($K194&lt;&gt;"Complete","Assessment pending",IF($N194=0,"Ready now",VLOOKUP($P194,Lists!$D$2:$E$5,2,FALSE))))</f>
        <v>Assessment pending</v>
      </c>
    </row>
    <row r="195" ht="15.75" customHeight="1">
      <c r="A195" s="63" t="s">
        <v>966</v>
      </c>
      <c r="B195" s="63" t="s">
        <v>967</v>
      </c>
      <c r="C195" s="63" t="s">
        <v>76</v>
      </c>
      <c r="D195" s="63" t="s">
        <v>260</v>
      </c>
      <c r="E195" s="63" t="s">
        <v>506</v>
      </c>
      <c r="F195" s="63" t="s">
        <v>685</v>
      </c>
      <c r="G195" s="13" t="s">
        <v>61</v>
      </c>
      <c r="H195" s="71">
        <v>12000.0</v>
      </c>
      <c r="I195" s="65"/>
      <c r="M195" s="20">
        <f>IF($B195="","",COUNTIFS('Blocker log'!$A:$A,$B195,'Blocker log'!$G:$G,"&lt;&gt;"))</f>
        <v>0</v>
      </c>
      <c r="N195" s="20">
        <f>IF($B195="","",COUNTIFS('Blocker log'!$A:$A,$B195,'Blocker log'!$G:$G,"Hard blocker"))</f>
        <v>0</v>
      </c>
      <c r="O195" s="20">
        <f>IF($B195="","",COUNTIFS('Blocker log'!$A:$A,$B195,'Blocker log'!$G:$G,"Hard blocker",'Blocker log'!$L:$L,9))</f>
        <v>0</v>
      </c>
      <c r="P195" s="20">
        <f>IF($B195="","",MAXIFS('Blocker log'!$L:$L,'Blocker log'!$A:$A,$B195,'Blocker log'!$G:$G,"Hard blocker"))</f>
        <v>0</v>
      </c>
      <c r="Q195" s="20" t="str">
        <f>IF($B195="","",IF($K195&lt;&gt;"Complete","Assessment pending",IF($N195=0,"Ready now",VLOOKUP($P195,Lists!$D$2:$E$5,2,FALSE))))</f>
        <v>Assessment pending</v>
      </c>
    </row>
    <row r="196" ht="15.75" customHeight="1">
      <c r="A196" s="63" t="s">
        <v>968</v>
      </c>
      <c r="B196" s="63" t="s">
        <v>969</v>
      </c>
      <c r="C196" s="63" t="s">
        <v>76</v>
      </c>
      <c r="D196" s="63" t="s">
        <v>58</v>
      </c>
      <c r="E196" s="63" t="s">
        <v>59</v>
      </c>
      <c r="F196" s="63" t="s">
        <v>225</v>
      </c>
      <c r="G196" s="13" t="s">
        <v>61</v>
      </c>
      <c r="H196" s="71">
        <v>261040.0</v>
      </c>
      <c r="I196" s="65"/>
      <c r="M196" s="20">
        <f>IF($B196="","",COUNTIFS('Blocker log'!$A:$A,$B196,'Blocker log'!$G:$G,"&lt;&gt;"))</f>
        <v>0</v>
      </c>
      <c r="N196" s="20">
        <f>IF($B196="","",COUNTIFS('Blocker log'!$A:$A,$B196,'Blocker log'!$G:$G,"Hard blocker"))</f>
        <v>0</v>
      </c>
      <c r="O196" s="20">
        <f>IF($B196="","",COUNTIFS('Blocker log'!$A:$A,$B196,'Blocker log'!$G:$G,"Hard blocker",'Blocker log'!$L:$L,9))</f>
        <v>0</v>
      </c>
      <c r="P196" s="20">
        <f>IF($B196="","",MAXIFS('Blocker log'!$L:$L,'Blocker log'!$A:$A,$B196,'Blocker log'!$G:$G,"Hard blocker"))</f>
        <v>0</v>
      </c>
      <c r="Q196" s="20" t="str">
        <f>IF($B196="","",IF($K196&lt;&gt;"Complete","Assessment pending",IF($N196=0,"Ready now",VLOOKUP($P196,Lists!$D$2:$E$5,2,FALSE))))</f>
        <v>Assessment pending</v>
      </c>
    </row>
    <row r="197" ht="15.75" customHeight="1">
      <c r="A197" s="10" t="s">
        <v>970</v>
      </c>
      <c r="B197" s="10" t="s">
        <v>971</v>
      </c>
      <c r="C197" s="10" t="s">
        <v>76</v>
      </c>
      <c r="D197" s="10" t="s">
        <v>58</v>
      </c>
      <c r="E197" s="10" t="s">
        <v>140</v>
      </c>
      <c r="F197" s="10" t="s">
        <v>663</v>
      </c>
      <c r="G197" s="13" t="s">
        <v>61</v>
      </c>
      <c r="H197" s="25">
        <v>122688.0</v>
      </c>
      <c r="I197" s="15" t="s">
        <v>391</v>
      </c>
      <c r="J197" s="8"/>
      <c r="K197" s="18" t="s">
        <v>78</v>
      </c>
      <c r="L197" s="72"/>
      <c r="M197" s="20">
        <f>IF($B197="","",COUNTIFS('Blocker log'!$A:$A,$B197,'Blocker log'!$G:$G,"&lt;&gt;"))</f>
        <v>0</v>
      </c>
      <c r="N197" s="20">
        <f>IF($B197="","",COUNTIFS('Blocker log'!$A:$A,$B197,'Blocker log'!$G:$G,"Hard blocker"))</f>
        <v>0</v>
      </c>
      <c r="O197" s="20">
        <f>IF($B197="","",COUNTIFS('Blocker log'!$A:$A,$B197,'Blocker log'!$G:$G,"Hard blocker",'Blocker log'!$L:$L,9))</f>
        <v>0</v>
      </c>
      <c r="P197" s="20">
        <f>IF($B197="","",MAXIFS('Blocker log'!$L:$L,'Blocker log'!$A:$A,$B197,'Blocker log'!$G:$G,"Hard blocker"))</f>
        <v>0</v>
      </c>
      <c r="Q197" s="20" t="str">
        <f>IF($B197="","",IF($K197&lt;&gt;"Complete","Assessment pending",IF($N197=0,"Ready now",VLOOKUP($P197,Lists!$D$2:$E$5,2,FALSE))))</f>
        <v>Assessment pending</v>
      </c>
      <c r="R197" s="72"/>
      <c r="S197" s="8"/>
      <c r="T197" s="8"/>
      <c r="U197" s="8"/>
    </row>
    <row r="198" ht="15.75" customHeight="1">
      <c r="A198" s="63" t="s">
        <v>972</v>
      </c>
      <c r="B198" s="63" t="s">
        <v>973</v>
      </c>
      <c r="C198" s="63" t="s">
        <v>76</v>
      </c>
      <c r="D198" s="63" t="s">
        <v>260</v>
      </c>
      <c r="E198" s="63" t="s">
        <v>530</v>
      </c>
      <c r="F198" s="63" t="s">
        <v>795</v>
      </c>
      <c r="G198" s="13" t="s">
        <v>61</v>
      </c>
      <c r="H198" s="71">
        <v>18612.0</v>
      </c>
      <c r="I198" s="65"/>
      <c r="M198" s="20">
        <f>IF($B198="","",COUNTIFS('Blocker log'!$A:$A,$B198,'Blocker log'!$G:$G,"&lt;&gt;"))</f>
        <v>0</v>
      </c>
      <c r="N198" s="20">
        <f>IF($B198="","",COUNTIFS('Blocker log'!$A:$A,$B198,'Blocker log'!$G:$G,"Hard blocker"))</f>
        <v>0</v>
      </c>
      <c r="O198" s="20">
        <f>IF($B198="","",COUNTIFS('Blocker log'!$A:$A,$B198,'Blocker log'!$G:$G,"Hard blocker",'Blocker log'!$L:$L,9))</f>
        <v>0</v>
      </c>
      <c r="P198" s="20">
        <f>IF($B198="","",MAXIFS('Blocker log'!$L:$L,'Blocker log'!$A:$A,$B198,'Blocker log'!$G:$G,"Hard blocker"))</f>
        <v>0</v>
      </c>
      <c r="Q198" s="20" t="str">
        <f>IF($B198="","",IF($K198&lt;&gt;"Complete","Assessment pending",IF($N198=0,"Ready now",VLOOKUP($P198,Lists!$D$2:$E$5,2,FALSE))))</f>
        <v>Assessment pending</v>
      </c>
    </row>
    <row r="199" ht="15.75" customHeight="1">
      <c r="A199" s="63" t="s">
        <v>974</v>
      </c>
      <c r="B199" s="63" t="s">
        <v>975</v>
      </c>
      <c r="C199" s="63" t="s">
        <v>76</v>
      </c>
      <c r="D199" s="63" t="s">
        <v>58</v>
      </c>
      <c r="E199" s="63" t="s">
        <v>101</v>
      </c>
      <c r="F199" s="63" t="s">
        <v>116</v>
      </c>
      <c r="G199" s="13" t="s">
        <v>61</v>
      </c>
      <c r="H199" s="71">
        <v>45768.0</v>
      </c>
      <c r="I199" s="65" t="s">
        <v>391</v>
      </c>
      <c r="K199" s="10" t="s">
        <v>78</v>
      </c>
      <c r="M199" s="20">
        <f>IF($B199="","",COUNTIFS('Blocker log'!$A:$A,$B199,'Blocker log'!$G:$G,"&lt;&gt;"))</f>
        <v>0</v>
      </c>
      <c r="N199" s="20">
        <f>IF($B199="","",COUNTIFS('Blocker log'!$A:$A,$B199,'Blocker log'!$G:$G,"Hard blocker"))</f>
        <v>0</v>
      </c>
      <c r="O199" s="20">
        <f>IF($B199="","",COUNTIFS('Blocker log'!$A:$A,$B199,'Blocker log'!$G:$G,"Hard blocker",'Blocker log'!$L:$L,9))</f>
        <v>0</v>
      </c>
      <c r="P199" s="20">
        <f>IF($B199="","",MAXIFS('Blocker log'!$L:$L,'Blocker log'!$A:$A,$B199,'Blocker log'!$G:$G,"Hard blocker"))</f>
        <v>0</v>
      </c>
      <c r="Q199" s="20" t="str">
        <f>IF($B199="","",IF($K199&lt;&gt;"Complete","Assessment pending",IF($N199=0,"Ready now",VLOOKUP($P199,Lists!$D$2:$E$5,2,FALSE))))</f>
        <v>Assessment pending</v>
      </c>
    </row>
    <row r="200" ht="15.75" customHeight="1">
      <c r="A200" s="63" t="s">
        <v>976</v>
      </c>
      <c r="B200" s="63" t="s">
        <v>654</v>
      </c>
      <c r="C200" s="63" t="s">
        <v>57</v>
      </c>
      <c r="D200" s="63" t="s">
        <v>58</v>
      </c>
      <c r="E200" s="63" t="s">
        <v>494</v>
      </c>
      <c r="F200" s="63" t="s">
        <v>495</v>
      </c>
      <c r="G200" s="13" t="s">
        <v>977</v>
      </c>
      <c r="H200" s="71">
        <v>1396354.0</v>
      </c>
      <c r="I200" s="15" t="s">
        <v>390</v>
      </c>
      <c r="K200" s="10" t="s">
        <v>78</v>
      </c>
      <c r="M200" s="20">
        <f>IF($B200="","",COUNTIFS('Blocker log'!$A:$A,$B200,'Blocker log'!$G:$G,"&lt;&gt;"))</f>
        <v>25</v>
      </c>
      <c r="N200" s="20">
        <f>IF($B200="","",COUNTIFS('Blocker log'!$A:$A,$B200,'Blocker log'!$G:$G,"Hard blocker"))</f>
        <v>5</v>
      </c>
      <c r="O200" s="20">
        <f>IF($B200="","",COUNTIFS('Blocker log'!$A:$A,$B200,'Blocker log'!$G:$G,"Hard blocker",'Blocker log'!$L:$L,9))</f>
        <v>0</v>
      </c>
      <c r="P200" s="20" t="str">
        <f>IF($B200="","",MAXIFS('Blocker log'!$L:$L,'Blocker log'!$A:$A,$B200,'Blocker log'!$G:$G,"Hard blocker"))</f>
        <v>#N/A</v>
      </c>
      <c r="Q200" s="20" t="str">
        <f>IF($B200="","",IF($K200&lt;&gt;"Complete","Assessment pending",IF($N200=0,"Ready now",VLOOKUP($P200,Lists!$D$2:$E$5,2,FALSE))))</f>
        <v>Assessment pending</v>
      </c>
    </row>
    <row r="201" ht="15.75" customHeight="1">
      <c r="A201" s="63" t="s">
        <v>978</v>
      </c>
      <c r="B201" s="63" t="s">
        <v>979</v>
      </c>
      <c r="C201" s="63" t="s">
        <v>57</v>
      </c>
      <c r="D201" s="63" t="s">
        <v>58</v>
      </c>
      <c r="E201" s="63" t="s">
        <v>181</v>
      </c>
      <c r="F201" s="63" t="s">
        <v>190</v>
      </c>
      <c r="G201" s="13" t="s">
        <v>980</v>
      </c>
      <c r="H201" s="71">
        <v>2503186.0</v>
      </c>
      <c r="K201" s="10" t="s">
        <v>78</v>
      </c>
      <c r="M201" s="20">
        <f>IF($B201="","",COUNTIFS('Blocker log'!$A:$A,$B201,'Blocker log'!$G:$G,"&lt;&gt;"))</f>
        <v>0</v>
      </c>
      <c r="N201" s="20">
        <f>IF($B201="","",COUNTIFS('Blocker log'!$A:$A,$B201,'Blocker log'!$G:$G,"Hard blocker"))</f>
        <v>0</v>
      </c>
      <c r="O201" s="20">
        <f>IF($B201="","",COUNTIFS('Blocker log'!$A:$A,$B201,'Blocker log'!$G:$G,"Hard blocker",'Blocker log'!$L:$L,9))</f>
        <v>0</v>
      </c>
      <c r="P201" s="20">
        <f>IF($B201="","",MAXIFS('Blocker log'!$L:$L,'Blocker log'!$A:$A,$B201,'Blocker log'!$G:$G,"Hard blocker"))</f>
        <v>0</v>
      </c>
      <c r="Q201" s="20" t="str">
        <f>IF($B201="","",IF($K201&lt;&gt;"Complete","Assessment pending",IF($N201=0,"Ready now",VLOOKUP($P201,Lists!$D$2:$E$5,2,FALSE))))</f>
        <v>Assessment pending</v>
      </c>
    </row>
    <row r="202" ht="15.75" customHeight="1">
      <c r="A202" s="63" t="s">
        <v>981</v>
      </c>
      <c r="B202" s="63" t="s">
        <v>982</v>
      </c>
      <c r="C202" s="63" t="s">
        <v>57</v>
      </c>
      <c r="D202" s="63" t="s">
        <v>58</v>
      </c>
      <c r="E202" s="63" t="s">
        <v>59</v>
      </c>
      <c r="F202" s="63" t="s">
        <v>77</v>
      </c>
      <c r="G202" s="13" t="s">
        <v>980</v>
      </c>
      <c r="H202" s="71">
        <v>1196640.0</v>
      </c>
      <c r="K202" s="10" t="s">
        <v>78</v>
      </c>
      <c r="M202" s="20">
        <f>IF($B202="","",COUNTIFS('Blocker log'!$A:$A,$B202,'Blocker log'!$G:$G,"&lt;&gt;"))</f>
        <v>0</v>
      </c>
      <c r="N202" s="20">
        <f>IF($B202="","",COUNTIFS('Blocker log'!$A:$A,$B202,'Blocker log'!$G:$G,"Hard blocker"))</f>
        <v>0</v>
      </c>
      <c r="O202" s="20">
        <f>IF($B202="","",COUNTIFS('Blocker log'!$A:$A,$B202,'Blocker log'!$G:$G,"Hard blocker",'Blocker log'!$L:$L,9))</f>
        <v>0</v>
      </c>
      <c r="P202" s="20">
        <f>IF($B202="","",MAXIFS('Blocker log'!$L:$L,'Blocker log'!$A:$A,$B202,'Blocker log'!$G:$G,"Hard blocker"))</f>
        <v>0</v>
      </c>
      <c r="Q202" s="20" t="str">
        <f>IF($B202="","",IF($K202&lt;&gt;"Complete","Assessment pending",IF($N202=0,"Ready now",VLOOKUP($P202,Lists!$D$2:$E$5,2,FALSE))))</f>
        <v>Assessment pending</v>
      </c>
    </row>
    <row r="203" ht="15.75" customHeight="1">
      <c r="A203" s="35" t="s">
        <v>983</v>
      </c>
      <c r="B203" s="35" t="s">
        <v>984</v>
      </c>
      <c r="C203" s="35" t="s">
        <v>57</v>
      </c>
      <c r="D203" s="35" t="s">
        <v>58</v>
      </c>
      <c r="E203" s="35" t="s">
        <v>181</v>
      </c>
      <c r="F203" s="35" t="s">
        <v>190</v>
      </c>
      <c r="G203" s="35" t="s">
        <v>980</v>
      </c>
      <c r="H203" s="76">
        <v>9411297.0</v>
      </c>
      <c r="I203" s="35" t="s">
        <v>183</v>
      </c>
      <c r="M203" s="20">
        <f>IF($B203="","",COUNTIFS('Blocker log'!$A:$A,$B203,'Blocker log'!$G:$G,"&lt;&gt;"))</f>
        <v>0</v>
      </c>
      <c r="N203" s="20">
        <f>IF($B203="","",COUNTIFS('Blocker log'!$A:$A,$B203,'Blocker log'!$G:$G,"Hard blocker"))</f>
        <v>0</v>
      </c>
      <c r="O203" s="20">
        <f>IF($B203="","",COUNTIFS('Blocker log'!$A:$A,$B203,'Blocker log'!$G:$G,"Hard blocker",'Blocker log'!$L:$L,9))</f>
        <v>0</v>
      </c>
      <c r="P203" s="20">
        <f>IF($B203="","",MAXIFS('Blocker log'!$L:$L,'Blocker log'!$A:$A,$B203,'Blocker log'!$G:$G,"Hard blocker"))</f>
        <v>0</v>
      </c>
      <c r="Q203" s="20" t="str">
        <f>IF($B203="","",IF($K203&lt;&gt;"Complete","Assessment pending",IF($N203=0,"Ready now",VLOOKUP($P203,Lists!$D$2:$E$5,2,FALSE))))</f>
        <v>Assessment pending</v>
      </c>
    </row>
    <row r="204" ht="15.75" customHeight="1">
      <c r="A204" s="35" t="s">
        <v>985</v>
      </c>
      <c r="B204" s="35" t="s">
        <v>986</v>
      </c>
      <c r="C204" s="35" t="s">
        <v>57</v>
      </c>
      <c r="D204" s="35" t="s">
        <v>58</v>
      </c>
      <c r="E204" s="35" t="s">
        <v>140</v>
      </c>
      <c r="F204" s="35" t="s">
        <v>141</v>
      </c>
      <c r="G204" s="35" t="s">
        <v>980</v>
      </c>
      <c r="H204" s="76">
        <v>9029750.0</v>
      </c>
      <c r="I204" s="35" t="s">
        <v>218</v>
      </c>
      <c r="M204" s="20">
        <f>IF($B204="","",COUNTIFS('Blocker log'!$A:$A,$B204,'Blocker log'!$G:$G,"&lt;&gt;"))</f>
        <v>0</v>
      </c>
      <c r="N204" s="20">
        <f>IF($B204="","",COUNTIFS('Blocker log'!$A:$A,$B204,'Blocker log'!$G:$G,"Hard blocker"))</f>
        <v>0</v>
      </c>
      <c r="O204" s="20">
        <f>IF($B204="","",COUNTIFS('Blocker log'!$A:$A,$B204,'Blocker log'!$G:$G,"Hard blocker",'Blocker log'!$L:$L,9))</f>
        <v>0</v>
      </c>
      <c r="P204" s="20">
        <f>IF($B204="","",MAXIFS('Blocker log'!$L:$L,'Blocker log'!$A:$A,$B204,'Blocker log'!$G:$G,"Hard blocker"))</f>
        <v>0</v>
      </c>
      <c r="Q204" s="20" t="str">
        <f>IF($B204="","",IF($K204&lt;&gt;"Complete","Assessment pending",IF($N204=0,"Ready now",VLOOKUP($P204,Lists!$D$2:$E$5,2,FALSE))))</f>
        <v>Assessment pending</v>
      </c>
    </row>
    <row r="205" ht="15.75" customHeight="1">
      <c r="A205" s="35" t="s">
        <v>987</v>
      </c>
      <c r="B205" s="35" t="s">
        <v>988</v>
      </c>
      <c r="C205" s="35" t="s">
        <v>57</v>
      </c>
      <c r="D205" s="35" t="s">
        <v>58</v>
      </c>
      <c r="E205" s="35" t="s">
        <v>59</v>
      </c>
      <c r="F205" s="35" t="s">
        <v>60</v>
      </c>
      <c r="G205" s="35" t="s">
        <v>977</v>
      </c>
      <c r="H205" s="76">
        <v>7556516.0</v>
      </c>
      <c r="I205" s="35" t="s">
        <v>365</v>
      </c>
      <c r="M205" s="20">
        <f>IF($B205="","",COUNTIFS('Blocker log'!$A:$A,$B205,'Blocker log'!$G:$G,"&lt;&gt;"))</f>
        <v>0</v>
      </c>
      <c r="N205" s="20">
        <f>IF($B205="","",COUNTIFS('Blocker log'!$A:$A,$B205,'Blocker log'!$G:$G,"Hard blocker"))</f>
        <v>0</v>
      </c>
      <c r="O205" s="20">
        <f>IF($B205="","",COUNTIFS('Blocker log'!$A:$A,$B205,'Blocker log'!$G:$G,"Hard blocker",'Blocker log'!$L:$L,9))</f>
        <v>0</v>
      </c>
      <c r="P205" s="20">
        <f>IF($B205="","",MAXIFS('Blocker log'!$L:$L,'Blocker log'!$A:$A,$B205,'Blocker log'!$G:$G,"Hard blocker"))</f>
        <v>0</v>
      </c>
      <c r="Q205" s="20" t="str">
        <f>IF($B205="","",IF($K205&lt;&gt;"Complete","Assessment pending",IF($N205=0,"Ready now",VLOOKUP($P205,Lists!$D$2:$E$5,2,FALSE))))</f>
        <v>Assessment pending</v>
      </c>
    </row>
    <row r="206" ht="15.75" customHeight="1">
      <c r="A206" s="35" t="s">
        <v>989</v>
      </c>
      <c r="B206" s="35" t="s">
        <v>990</v>
      </c>
      <c r="C206" s="35" t="s">
        <v>57</v>
      </c>
      <c r="D206" s="35" t="s">
        <v>58</v>
      </c>
      <c r="E206" s="35" t="s">
        <v>59</v>
      </c>
      <c r="F206" s="35" t="s">
        <v>124</v>
      </c>
      <c r="G206" s="35" t="s">
        <v>980</v>
      </c>
      <c r="H206" s="76">
        <v>5627006.0</v>
      </c>
      <c r="I206" s="35" t="s">
        <v>269</v>
      </c>
      <c r="M206" s="20">
        <f>IF($B206="","",COUNTIFS('Blocker log'!$A:$A,$B206,'Blocker log'!$G:$G,"&lt;&gt;"))</f>
        <v>0</v>
      </c>
      <c r="N206" s="20">
        <f>IF($B206="","",COUNTIFS('Blocker log'!$A:$A,$B206,'Blocker log'!$G:$G,"Hard blocker"))</f>
        <v>0</v>
      </c>
      <c r="O206" s="20">
        <f>IF($B206="","",COUNTIFS('Blocker log'!$A:$A,$B206,'Blocker log'!$G:$G,"Hard blocker",'Blocker log'!$L:$L,9))</f>
        <v>0</v>
      </c>
      <c r="P206" s="20">
        <f>IF($B206="","",MAXIFS('Blocker log'!$L:$L,'Blocker log'!$A:$A,$B206,'Blocker log'!$G:$G,"Hard blocker"))</f>
        <v>0</v>
      </c>
      <c r="Q206" s="20" t="str">
        <f>IF($B206="","",IF($K206&lt;&gt;"Complete","Assessment pending",IF($N206=0,"Ready now",VLOOKUP($P206,Lists!$D$2:$E$5,2,FALSE))))</f>
        <v>Assessment pending</v>
      </c>
    </row>
    <row r="207" ht="15.75" customHeight="1">
      <c r="A207" s="35" t="s">
        <v>991</v>
      </c>
      <c r="B207" s="35" t="s">
        <v>992</v>
      </c>
      <c r="C207" s="35" t="s">
        <v>57</v>
      </c>
      <c r="D207" s="35" t="s">
        <v>58</v>
      </c>
      <c r="E207" s="35" t="s">
        <v>59</v>
      </c>
      <c r="F207" s="35" t="s">
        <v>124</v>
      </c>
      <c r="G207" s="35" t="s">
        <v>980</v>
      </c>
      <c r="H207" s="76">
        <v>3868560.0</v>
      </c>
      <c r="I207" s="35" t="s">
        <v>62</v>
      </c>
      <c r="M207" s="20">
        <f>IF($B207="","",COUNTIFS('Blocker log'!$A:$A,$B207,'Blocker log'!$G:$G,"&lt;&gt;"))</f>
        <v>0</v>
      </c>
      <c r="N207" s="20">
        <f>IF($B207="","",COUNTIFS('Blocker log'!$A:$A,$B207,'Blocker log'!$G:$G,"Hard blocker"))</f>
        <v>0</v>
      </c>
      <c r="O207" s="20">
        <f>IF($B207="","",COUNTIFS('Blocker log'!$A:$A,$B207,'Blocker log'!$G:$G,"Hard blocker",'Blocker log'!$L:$L,9))</f>
        <v>0</v>
      </c>
      <c r="P207" s="20">
        <f>IF($B207="","",MAXIFS('Blocker log'!$L:$L,'Blocker log'!$A:$A,$B207,'Blocker log'!$G:$G,"Hard blocker"))</f>
        <v>0</v>
      </c>
      <c r="Q207" s="20" t="str">
        <f>IF($B207="","",IF($K207&lt;&gt;"Complete","Assessment pending",IF($N207=0,"Ready now",VLOOKUP($P207,Lists!$D$2:$E$5,2,FALSE))))</f>
        <v>Assessment pending</v>
      </c>
    </row>
    <row r="208" ht="15.75" customHeight="1">
      <c r="A208" s="35" t="s">
        <v>993</v>
      </c>
      <c r="B208" s="35" t="s">
        <v>994</v>
      </c>
      <c r="C208" s="35" t="s">
        <v>76</v>
      </c>
      <c r="D208" s="35" t="s">
        <v>58</v>
      </c>
      <c r="E208" s="35" t="s">
        <v>59</v>
      </c>
      <c r="F208" s="35" t="s">
        <v>60</v>
      </c>
      <c r="G208" s="35" t="s">
        <v>980</v>
      </c>
      <c r="H208" s="76">
        <v>3497948.0</v>
      </c>
      <c r="I208" s="35"/>
      <c r="M208" s="20">
        <f>IF($B208="","",COUNTIFS('Blocker log'!$A:$A,$B208,'Blocker log'!$G:$G,"&lt;&gt;"))</f>
        <v>0</v>
      </c>
      <c r="N208" s="20">
        <f>IF($B208="","",COUNTIFS('Blocker log'!$A:$A,$B208,'Blocker log'!$G:$G,"Hard blocker"))</f>
        <v>0</v>
      </c>
      <c r="O208" s="20">
        <f>IF($B208="","",COUNTIFS('Blocker log'!$A:$A,$B208,'Blocker log'!$G:$G,"Hard blocker",'Blocker log'!$L:$L,9))</f>
        <v>0</v>
      </c>
      <c r="P208" s="20">
        <f>IF($B208="","",MAXIFS('Blocker log'!$L:$L,'Blocker log'!$A:$A,$B208,'Blocker log'!$G:$G,"Hard blocker"))</f>
        <v>0</v>
      </c>
      <c r="Q208" s="20" t="str">
        <f>IF($B208="","",IF($K208&lt;&gt;"Complete","Assessment pending",IF($N208=0,"Ready now",VLOOKUP($P208,Lists!$D$2:$E$5,2,FALSE))))</f>
        <v>Assessment pending</v>
      </c>
    </row>
    <row r="209" ht="15.75" customHeight="1">
      <c r="A209" s="35" t="s">
        <v>995</v>
      </c>
      <c r="B209" s="35" t="s">
        <v>996</v>
      </c>
      <c r="C209" s="35" t="s">
        <v>57</v>
      </c>
      <c r="D209" s="35" t="s">
        <v>58</v>
      </c>
      <c r="E209" s="35" t="s">
        <v>140</v>
      </c>
      <c r="F209" s="35" t="s">
        <v>141</v>
      </c>
      <c r="G209" s="35" t="s">
        <v>980</v>
      </c>
      <c r="H209" s="76">
        <v>3350800.0</v>
      </c>
      <c r="I209" s="35" t="s">
        <v>365</v>
      </c>
      <c r="M209" s="20">
        <f>IF($B209="","",COUNTIFS('Blocker log'!$A:$A,$B209,'Blocker log'!$G:$G,"&lt;&gt;"))</f>
        <v>0</v>
      </c>
      <c r="N209" s="20">
        <f>IF($B209="","",COUNTIFS('Blocker log'!$A:$A,$B209,'Blocker log'!$G:$G,"Hard blocker"))</f>
        <v>0</v>
      </c>
      <c r="O209" s="20">
        <f>IF($B209="","",COUNTIFS('Blocker log'!$A:$A,$B209,'Blocker log'!$G:$G,"Hard blocker",'Blocker log'!$L:$L,9))</f>
        <v>0</v>
      </c>
      <c r="P209" s="20">
        <f>IF($B209="","",MAXIFS('Blocker log'!$L:$L,'Blocker log'!$A:$A,$B209,'Blocker log'!$G:$G,"Hard blocker"))</f>
        <v>0</v>
      </c>
      <c r="Q209" s="20" t="str">
        <f>IF($B209="","",IF($K209&lt;&gt;"Complete","Assessment pending",IF($N209=0,"Ready now",VLOOKUP($P209,Lists!$D$2:$E$5,2,FALSE))))</f>
        <v>Assessment pending</v>
      </c>
    </row>
    <row r="210" ht="15.75" customHeight="1">
      <c r="A210" s="35" t="s">
        <v>997</v>
      </c>
      <c r="B210" s="35" t="s">
        <v>998</v>
      </c>
      <c r="C210" s="35" t="s">
        <v>57</v>
      </c>
      <c r="D210" s="35" t="s">
        <v>58</v>
      </c>
      <c r="E210" s="35" t="s">
        <v>59</v>
      </c>
      <c r="F210" s="35" t="s">
        <v>225</v>
      </c>
      <c r="G210" s="35" t="s">
        <v>999</v>
      </c>
      <c r="H210" s="76">
        <v>3341075.0</v>
      </c>
      <c r="I210" s="35" t="s">
        <v>318</v>
      </c>
      <c r="M210" s="20">
        <f>IF($B210="","",COUNTIFS('Blocker log'!$A:$A,$B210,'Blocker log'!$G:$G,"&lt;&gt;"))</f>
        <v>0</v>
      </c>
      <c r="N210" s="20">
        <f>IF($B210="","",COUNTIFS('Blocker log'!$A:$A,$B210,'Blocker log'!$G:$G,"Hard blocker"))</f>
        <v>0</v>
      </c>
      <c r="O210" s="20">
        <f>IF($B210="","",COUNTIFS('Blocker log'!$A:$A,$B210,'Blocker log'!$G:$G,"Hard blocker",'Blocker log'!$L:$L,9))</f>
        <v>0</v>
      </c>
      <c r="P210" s="20">
        <f>IF($B210="","",MAXIFS('Blocker log'!$L:$L,'Blocker log'!$A:$A,$B210,'Blocker log'!$G:$G,"Hard blocker"))</f>
        <v>0</v>
      </c>
      <c r="Q210" s="20" t="str">
        <f>IF($B210="","",IF($K210&lt;&gt;"Complete","Assessment pending",IF($N210=0,"Ready now",VLOOKUP($P210,Lists!$D$2:$E$5,2,FALSE))))</f>
        <v>Assessment pending</v>
      </c>
    </row>
    <row r="211" ht="15.75" customHeight="1">
      <c r="A211" s="35" t="s">
        <v>1000</v>
      </c>
      <c r="B211" s="35" t="s">
        <v>1001</v>
      </c>
      <c r="C211" s="35" t="s">
        <v>57</v>
      </c>
      <c r="D211" s="35" t="s">
        <v>58</v>
      </c>
      <c r="E211" s="35" t="s">
        <v>59</v>
      </c>
      <c r="F211" s="35" t="s">
        <v>124</v>
      </c>
      <c r="G211" s="35" t="s">
        <v>980</v>
      </c>
      <c r="H211" s="76">
        <v>3207989.0</v>
      </c>
      <c r="I211" s="35" t="s">
        <v>381</v>
      </c>
      <c r="M211" s="20">
        <f>IF($B211="","",COUNTIFS('Blocker log'!$A:$A,$B211,'Blocker log'!$G:$G,"&lt;&gt;"))</f>
        <v>0</v>
      </c>
      <c r="N211" s="20">
        <f>IF($B211="","",COUNTIFS('Blocker log'!$A:$A,$B211,'Blocker log'!$G:$G,"Hard blocker"))</f>
        <v>0</v>
      </c>
      <c r="O211" s="20">
        <f>IF($B211="","",COUNTIFS('Blocker log'!$A:$A,$B211,'Blocker log'!$G:$G,"Hard blocker",'Blocker log'!$L:$L,9))</f>
        <v>0</v>
      </c>
      <c r="P211" s="20">
        <f>IF($B211="","",MAXIFS('Blocker log'!$L:$L,'Blocker log'!$A:$A,$B211,'Blocker log'!$G:$G,"Hard blocker"))</f>
        <v>0</v>
      </c>
      <c r="Q211" s="20" t="str">
        <f>IF($B211="","",IF($K211&lt;&gt;"Complete","Assessment pending",IF($N211=0,"Ready now",VLOOKUP($P211,Lists!$D$2:$E$5,2,FALSE))))</f>
        <v>Assessment pending</v>
      </c>
    </row>
    <row r="212" ht="15.75" customHeight="1">
      <c r="A212" s="35" t="s">
        <v>1002</v>
      </c>
      <c r="B212" s="35" t="s">
        <v>1003</v>
      </c>
      <c r="C212" s="35" t="s">
        <v>57</v>
      </c>
      <c r="D212" s="35" t="s">
        <v>58</v>
      </c>
      <c r="E212" s="35" t="s">
        <v>59</v>
      </c>
      <c r="F212" s="35" t="s">
        <v>60</v>
      </c>
      <c r="G212" s="35" t="s">
        <v>999</v>
      </c>
      <c r="H212" s="76">
        <v>3116388.0</v>
      </c>
      <c r="I212" s="35" t="s">
        <v>218</v>
      </c>
      <c r="M212" s="20">
        <f>IF($B212="","",COUNTIFS('Blocker log'!$A:$A,$B212,'Blocker log'!$G:$G,"&lt;&gt;"))</f>
        <v>0</v>
      </c>
      <c r="N212" s="20">
        <f>IF($B212="","",COUNTIFS('Blocker log'!$A:$A,$B212,'Blocker log'!$G:$G,"Hard blocker"))</f>
        <v>0</v>
      </c>
      <c r="O212" s="20">
        <f>IF($B212="","",COUNTIFS('Blocker log'!$A:$A,$B212,'Blocker log'!$G:$G,"Hard blocker",'Blocker log'!$L:$L,9))</f>
        <v>0</v>
      </c>
      <c r="P212" s="20">
        <f>IF($B212="","",MAXIFS('Blocker log'!$L:$L,'Blocker log'!$A:$A,$B212,'Blocker log'!$G:$G,"Hard blocker"))</f>
        <v>0</v>
      </c>
      <c r="Q212" s="20" t="str">
        <f>IF($B212="","",IF($K212&lt;&gt;"Complete","Assessment pending",IF($N212=0,"Ready now",VLOOKUP($P212,Lists!$D$2:$E$5,2,FALSE))))</f>
        <v>Assessment pending</v>
      </c>
    </row>
    <row r="213" ht="15.75" customHeight="1">
      <c r="A213" s="35" t="s">
        <v>1004</v>
      </c>
      <c r="B213" s="35" t="s">
        <v>1005</v>
      </c>
      <c r="C213" s="35" t="s">
        <v>57</v>
      </c>
      <c r="D213" s="35" t="s">
        <v>58</v>
      </c>
      <c r="E213" s="35" t="s">
        <v>59</v>
      </c>
      <c r="F213" s="35" t="s">
        <v>77</v>
      </c>
      <c r="G213" s="35" t="s">
        <v>1006</v>
      </c>
      <c r="H213" s="76">
        <v>2732400.0</v>
      </c>
      <c r="I213" s="35" t="s">
        <v>125</v>
      </c>
      <c r="M213" s="20">
        <f>IF($B213="","",COUNTIFS('Blocker log'!$A:$A,$B213,'Blocker log'!$G:$G,"&lt;&gt;"))</f>
        <v>0</v>
      </c>
      <c r="N213" s="20">
        <f>IF($B213="","",COUNTIFS('Blocker log'!$A:$A,$B213,'Blocker log'!$G:$G,"Hard blocker"))</f>
        <v>0</v>
      </c>
      <c r="O213" s="20">
        <f>IF($B213="","",COUNTIFS('Blocker log'!$A:$A,$B213,'Blocker log'!$G:$G,"Hard blocker",'Blocker log'!$L:$L,9))</f>
        <v>0</v>
      </c>
      <c r="P213" s="20">
        <f>IF($B213="","",MAXIFS('Blocker log'!$L:$L,'Blocker log'!$A:$A,$B213,'Blocker log'!$G:$G,"Hard blocker"))</f>
        <v>0</v>
      </c>
      <c r="Q213" s="20" t="str">
        <f>IF($B213="","",IF($K213&lt;&gt;"Complete","Assessment pending",IF($N213=0,"Ready now",VLOOKUP($P213,Lists!$D$2:$E$5,2,FALSE))))</f>
        <v>Assessment pending</v>
      </c>
    </row>
    <row r="214" ht="15.75" customHeight="1">
      <c r="A214" s="35" t="s">
        <v>1007</v>
      </c>
      <c r="B214" s="35" t="s">
        <v>1008</v>
      </c>
      <c r="C214" s="35" t="s">
        <v>57</v>
      </c>
      <c r="D214" s="35" t="s">
        <v>58</v>
      </c>
      <c r="E214" s="35" t="s">
        <v>140</v>
      </c>
      <c r="F214" s="35" t="s">
        <v>141</v>
      </c>
      <c r="G214" s="35" t="s">
        <v>980</v>
      </c>
      <c r="H214" s="76">
        <v>2416008.0</v>
      </c>
      <c r="I214" s="35" t="s">
        <v>269</v>
      </c>
      <c r="M214" s="20">
        <f>IF($B214="","",COUNTIFS('Blocker log'!$A:$A,$B214,'Blocker log'!$G:$G,"&lt;&gt;"))</f>
        <v>0</v>
      </c>
      <c r="N214" s="20">
        <f>IF($B214="","",COUNTIFS('Blocker log'!$A:$A,$B214,'Blocker log'!$G:$G,"Hard blocker"))</f>
        <v>0</v>
      </c>
      <c r="O214" s="20">
        <f>IF($B214="","",COUNTIFS('Blocker log'!$A:$A,$B214,'Blocker log'!$G:$G,"Hard blocker",'Blocker log'!$L:$L,9))</f>
        <v>0</v>
      </c>
      <c r="P214" s="20">
        <f>IF($B214="","",MAXIFS('Blocker log'!$L:$L,'Blocker log'!$A:$A,$B214,'Blocker log'!$G:$G,"Hard blocker"))</f>
        <v>0</v>
      </c>
      <c r="Q214" s="20" t="str">
        <f>IF($B214="","",IF($K214&lt;&gt;"Complete","Assessment pending",IF($N214=0,"Ready now",VLOOKUP($P214,Lists!$D$2:$E$5,2,FALSE))))</f>
        <v>Assessment pending</v>
      </c>
    </row>
    <row r="215" ht="15.75" customHeight="1">
      <c r="A215" s="35" t="s">
        <v>1009</v>
      </c>
      <c r="B215" s="35" t="s">
        <v>1010</v>
      </c>
      <c r="C215" s="35" t="s">
        <v>57</v>
      </c>
      <c r="D215" s="35" t="s">
        <v>58</v>
      </c>
      <c r="E215" s="35" t="s">
        <v>132</v>
      </c>
      <c r="F215" s="35" t="s">
        <v>559</v>
      </c>
      <c r="G215" s="35" t="s">
        <v>980</v>
      </c>
      <c r="H215" s="76">
        <v>2099255.0</v>
      </c>
      <c r="I215" s="35"/>
      <c r="M215" s="20">
        <f>IF($B215="","",COUNTIFS('Blocker log'!$A:$A,$B215,'Blocker log'!$G:$G,"&lt;&gt;"))</f>
        <v>0</v>
      </c>
      <c r="N215" s="20">
        <f>IF($B215="","",COUNTIFS('Blocker log'!$A:$A,$B215,'Blocker log'!$G:$G,"Hard blocker"))</f>
        <v>0</v>
      </c>
      <c r="O215" s="20">
        <f>IF($B215="","",COUNTIFS('Blocker log'!$A:$A,$B215,'Blocker log'!$G:$G,"Hard blocker",'Blocker log'!$L:$L,9))</f>
        <v>0</v>
      </c>
      <c r="P215" s="20">
        <f>IF($B215="","",MAXIFS('Blocker log'!$L:$L,'Blocker log'!$A:$A,$B215,'Blocker log'!$G:$G,"Hard blocker"))</f>
        <v>0</v>
      </c>
      <c r="Q215" s="20" t="str">
        <f>IF($B215="","",IF($K215&lt;&gt;"Complete","Assessment pending",IF($N215=0,"Ready now",VLOOKUP($P215,Lists!$D$2:$E$5,2,FALSE))))</f>
        <v>Assessment pending</v>
      </c>
    </row>
    <row r="216" ht="15.75" customHeight="1">
      <c r="A216" s="35" t="s">
        <v>1011</v>
      </c>
      <c r="B216" s="35" t="s">
        <v>1012</v>
      </c>
      <c r="C216" s="35" t="s">
        <v>57</v>
      </c>
      <c r="D216" s="35" t="s">
        <v>260</v>
      </c>
      <c r="E216" s="35" t="s">
        <v>351</v>
      </c>
      <c r="F216" s="35" t="s">
        <v>352</v>
      </c>
      <c r="G216" s="35" t="s">
        <v>980</v>
      </c>
      <c r="H216" s="76">
        <v>1983132.0</v>
      </c>
      <c r="I216" s="35"/>
      <c r="M216" s="20">
        <f>IF($B216="","",COUNTIFS('Blocker log'!$A:$A,$B216,'Blocker log'!$G:$G,"&lt;&gt;"))</f>
        <v>0</v>
      </c>
      <c r="N216" s="20">
        <f>IF($B216="","",COUNTIFS('Blocker log'!$A:$A,$B216,'Blocker log'!$G:$G,"Hard blocker"))</f>
        <v>0</v>
      </c>
      <c r="O216" s="20">
        <f>IF($B216="","",COUNTIFS('Blocker log'!$A:$A,$B216,'Blocker log'!$G:$G,"Hard blocker",'Blocker log'!$L:$L,9))</f>
        <v>0</v>
      </c>
      <c r="P216" s="20">
        <f>IF($B216="","",MAXIFS('Blocker log'!$L:$L,'Blocker log'!$A:$A,$B216,'Blocker log'!$G:$G,"Hard blocker"))</f>
        <v>0</v>
      </c>
      <c r="Q216" s="20" t="str">
        <f>IF($B216="","",IF($K216&lt;&gt;"Complete","Assessment pending",IF($N216=0,"Ready now",VLOOKUP($P216,Lists!$D$2:$E$5,2,FALSE))))</f>
        <v>Assessment pending</v>
      </c>
    </row>
    <row r="217" ht="15.75" customHeight="1">
      <c r="A217" s="35" t="s">
        <v>1013</v>
      </c>
      <c r="B217" s="35" t="s">
        <v>1014</v>
      </c>
      <c r="C217" s="35" t="s">
        <v>57</v>
      </c>
      <c r="D217" s="35" t="s">
        <v>58</v>
      </c>
      <c r="E217" s="35" t="s">
        <v>181</v>
      </c>
      <c r="F217" s="35" t="s">
        <v>190</v>
      </c>
      <c r="G217" s="35" t="s">
        <v>980</v>
      </c>
      <c r="H217" s="76">
        <v>1895400.0</v>
      </c>
      <c r="I217" s="35" t="s">
        <v>269</v>
      </c>
      <c r="M217" s="20">
        <f>IF($B217="","",COUNTIFS('Blocker log'!$A:$A,$B217,'Blocker log'!$G:$G,"&lt;&gt;"))</f>
        <v>0</v>
      </c>
      <c r="N217" s="20">
        <f>IF($B217="","",COUNTIFS('Blocker log'!$A:$A,$B217,'Blocker log'!$G:$G,"Hard blocker"))</f>
        <v>0</v>
      </c>
      <c r="O217" s="20">
        <f>IF($B217="","",COUNTIFS('Blocker log'!$A:$A,$B217,'Blocker log'!$G:$G,"Hard blocker",'Blocker log'!$L:$L,9))</f>
        <v>0</v>
      </c>
      <c r="P217" s="20">
        <f>IF($B217="","",MAXIFS('Blocker log'!$L:$L,'Blocker log'!$A:$A,$B217,'Blocker log'!$G:$G,"Hard blocker"))</f>
        <v>0</v>
      </c>
      <c r="Q217" s="20" t="str">
        <f>IF($B217="","",IF($K217&lt;&gt;"Complete","Assessment pending",IF($N217=0,"Ready now",VLOOKUP($P217,Lists!$D$2:$E$5,2,FALSE))))</f>
        <v>Assessment pending</v>
      </c>
    </row>
    <row r="218" ht="15.75" customHeight="1">
      <c r="A218" s="35" t="s">
        <v>1015</v>
      </c>
      <c r="B218" s="35" t="s">
        <v>1016</v>
      </c>
      <c r="C218" s="35" t="s">
        <v>57</v>
      </c>
      <c r="D218" s="35" t="s">
        <v>58</v>
      </c>
      <c r="E218" s="35" t="s">
        <v>494</v>
      </c>
      <c r="F218" s="35" t="s">
        <v>495</v>
      </c>
      <c r="G218" s="35" t="s">
        <v>980</v>
      </c>
      <c r="H218" s="76">
        <v>1756662.0</v>
      </c>
      <c r="I218" s="35" t="s">
        <v>384</v>
      </c>
      <c r="M218" s="20">
        <f>IF($B218="","",COUNTIFS('Blocker log'!$A:$A,$B218,'Blocker log'!$G:$G,"&lt;&gt;"))</f>
        <v>0</v>
      </c>
      <c r="N218" s="20">
        <f>IF($B218="","",COUNTIFS('Blocker log'!$A:$A,$B218,'Blocker log'!$G:$G,"Hard blocker"))</f>
        <v>0</v>
      </c>
      <c r="O218" s="20">
        <f>IF($B218="","",COUNTIFS('Blocker log'!$A:$A,$B218,'Blocker log'!$G:$G,"Hard blocker",'Blocker log'!$L:$L,9))</f>
        <v>0</v>
      </c>
      <c r="P218" s="20">
        <f>IF($B218="","",MAXIFS('Blocker log'!$L:$L,'Blocker log'!$A:$A,$B218,'Blocker log'!$G:$G,"Hard blocker"))</f>
        <v>0</v>
      </c>
      <c r="Q218" s="20" t="str">
        <f>IF($B218="","",IF($K218&lt;&gt;"Complete","Assessment pending",IF($N218=0,"Ready now",VLOOKUP($P218,Lists!$D$2:$E$5,2,FALSE))))</f>
        <v>Assessment pending</v>
      </c>
    </row>
    <row r="219" ht="15.75" customHeight="1">
      <c r="A219" s="35" t="s">
        <v>1017</v>
      </c>
      <c r="B219" s="35" t="s">
        <v>1018</v>
      </c>
      <c r="C219" s="35" t="s">
        <v>57</v>
      </c>
      <c r="D219" s="35" t="s">
        <v>171</v>
      </c>
      <c r="E219" s="35" t="s">
        <v>512</v>
      </c>
      <c r="F219" s="35" t="s">
        <v>513</v>
      </c>
      <c r="G219" s="35" t="s">
        <v>980</v>
      </c>
      <c r="H219" s="76">
        <v>1750509.0</v>
      </c>
      <c r="I219" s="35" t="s">
        <v>382</v>
      </c>
      <c r="M219" s="20">
        <f>IF($B219="","",COUNTIFS('Blocker log'!$A:$A,$B219,'Blocker log'!$G:$G,"&lt;&gt;"))</f>
        <v>0</v>
      </c>
      <c r="N219" s="20">
        <f>IF($B219="","",COUNTIFS('Blocker log'!$A:$A,$B219,'Blocker log'!$G:$G,"Hard blocker"))</f>
        <v>0</v>
      </c>
      <c r="O219" s="20">
        <f>IF($B219="","",COUNTIFS('Blocker log'!$A:$A,$B219,'Blocker log'!$G:$G,"Hard blocker",'Blocker log'!$L:$L,9))</f>
        <v>0</v>
      </c>
      <c r="P219" s="20">
        <f>IF($B219="","",MAXIFS('Blocker log'!$L:$L,'Blocker log'!$A:$A,$B219,'Blocker log'!$G:$G,"Hard blocker"))</f>
        <v>0</v>
      </c>
      <c r="Q219" s="20" t="str">
        <f>IF($B219="","",IF($K219&lt;&gt;"Complete","Assessment pending",IF($N219=0,"Ready now",VLOOKUP($P219,Lists!$D$2:$E$5,2,FALSE))))</f>
        <v>Assessment pending</v>
      </c>
    </row>
    <row r="220" ht="15.75" customHeight="1">
      <c r="A220" s="35" t="s">
        <v>1019</v>
      </c>
      <c r="B220" s="35" t="s">
        <v>1020</v>
      </c>
      <c r="C220" s="35" t="s">
        <v>57</v>
      </c>
      <c r="D220" s="35" t="s">
        <v>58</v>
      </c>
      <c r="E220" s="35" t="s">
        <v>140</v>
      </c>
      <c r="F220" s="35" t="s">
        <v>141</v>
      </c>
      <c r="G220" s="35" t="s">
        <v>980</v>
      </c>
      <c r="H220" s="76">
        <v>1619352.0</v>
      </c>
      <c r="I220" s="35" t="s">
        <v>125</v>
      </c>
      <c r="M220" s="20">
        <f>IF($B220="","",COUNTIFS('Blocker log'!$A:$A,$B220,'Blocker log'!$G:$G,"&lt;&gt;"))</f>
        <v>0</v>
      </c>
      <c r="N220" s="20">
        <f>IF($B220="","",COUNTIFS('Blocker log'!$A:$A,$B220,'Blocker log'!$G:$G,"Hard blocker"))</f>
        <v>0</v>
      </c>
      <c r="O220" s="20">
        <f>IF($B220="","",COUNTIFS('Blocker log'!$A:$A,$B220,'Blocker log'!$G:$G,"Hard blocker",'Blocker log'!$L:$L,9))</f>
        <v>0</v>
      </c>
      <c r="P220" s="20">
        <f>IF($B220="","",MAXIFS('Blocker log'!$L:$L,'Blocker log'!$A:$A,$B220,'Blocker log'!$G:$G,"Hard blocker"))</f>
        <v>0</v>
      </c>
      <c r="Q220" s="20" t="str">
        <f>IF($B220="","",IF($K220&lt;&gt;"Complete","Assessment pending",IF($N220=0,"Ready now",VLOOKUP($P220,Lists!$D$2:$E$5,2,FALSE))))</f>
        <v>Assessment pending</v>
      </c>
    </row>
    <row r="221" ht="15.75" customHeight="1">
      <c r="A221" s="35" t="s">
        <v>1021</v>
      </c>
      <c r="B221" s="35" t="s">
        <v>1022</v>
      </c>
      <c r="C221" s="35" t="s">
        <v>57</v>
      </c>
      <c r="D221" s="35" t="s">
        <v>171</v>
      </c>
      <c r="E221" s="35" t="s">
        <v>205</v>
      </c>
      <c r="F221" s="35" t="s">
        <v>206</v>
      </c>
      <c r="G221" s="35" t="s">
        <v>980</v>
      </c>
      <c r="H221" s="76">
        <v>1614384.0</v>
      </c>
      <c r="I221" s="35" t="s">
        <v>381</v>
      </c>
      <c r="M221" s="20">
        <f>IF($B221="","",COUNTIFS('Blocker log'!$A:$A,$B221,'Blocker log'!$G:$G,"&lt;&gt;"))</f>
        <v>0</v>
      </c>
      <c r="N221" s="20">
        <f>IF($B221="","",COUNTIFS('Blocker log'!$A:$A,$B221,'Blocker log'!$G:$G,"Hard blocker"))</f>
        <v>0</v>
      </c>
      <c r="O221" s="20">
        <f>IF($B221="","",COUNTIFS('Blocker log'!$A:$A,$B221,'Blocker log'!$G:$G,"Hard blocker",'Blocker log'!$L:$L,9))</f>
        <v>0</v>
      </c>
      <c r="P221" s="20">
        <f>IF($B221="","",MAXIFS('Blocker log'!$L:$L,'Blocker log'!$A:$A,$B221,'Blocker log'!$G:$G,"Hard blocker"))</f>
        <v>0</v>
      </c>
      <c r="Q221" s="20" t="str">
        <f>IF($B221="","",IF($K221&lt;&gt;"Complete","Assessment pending",IF($N221=0,"Ready now",VLOOKUP($P221,Lists!$D$2:$E$5,2,FALSE))))</f>
        <v>Assessment pending</v>
      </c>
    </row>
    <row r="222" ht="15.75" customHeight="1">
      <c r="A222" s="35" t="s">
        <v>1023</v>
      </c>
      <c r="B222" s="35" t="s">
        <v>1024</v>
      </c>
      <c r="C222" s="35" t="s">
        <v>76</v>
      </c>
      <c r="D222" s="35" t="s">
        <v>171</v>
      </c>
      <c r="E222" s="35" t="s">
        <v>524</v>
      </c>
      <c r="F222" s="35" t="s">
        <v>525</v>
      </c>
      <c r="G222" s="35" t="s">
        <v>980</v>
      </c>
      <c r="H222" s="76">
        <v>1481760.0</v>
      </c>
      <c r="I222" s="35"/>
      <c r="M222" s="20">
        <f>IF($B222="","",COUNTIFS('Blocker log'!$A:$A,$B222,'Blocker log'!$G:$G,"&lt;&gt;"))</f>
        <v>0</v>
      </c>
      <c r="N222" s="20">
        <f>IF($B222="","",COUNTIFS('Blocker log'!$A:$A,$B222,'Blocker log'!$G:$G,"Hard blocker"))</f>
        <v>0</v>
      </c>
      <c r="O222" s="20">
        <f>IF($B222="","",COUNTIFS('Blocker log'!$A:$A,$B222,'Blocker log'!$G:$G,"Hard blocker",'Blocker log'!$L:$L,9))</f>
        <v>0</v>
      </c>
      <c r="P222" s="20">
        <f>IF($B222="","",MAXIFS('Blocker log'!$L:$L,'Blocker log'!$A:$A,$B222,'Blocker log'!$G:$G,"Hard blocker"))</f>
        <v>0</v>
      </c>
      <c r="Q222" s="20" t="str">
        <f>IF($B222="","",IF($K222&lt;&gt;"Complete","Assessment pending",IF($N222=0,"Ready now",VLOOKUP($P222,Lists!$D$2:$E$5,2,FALSE))))</f>
        <v>Assessment pending</v>
      </c>
    </row>
    <row r="223" ht="15.75" customHeight="1">
      <c r="A223" s="35" t="s">
        <v>1025</v>
      </c>
      <c r="B223" s="35" t="s">
        <v>1026</v>
      </c>
      <c r="C223" s="35" t="s">
        <v>57</v>
      </c>
      <c r="D223" s="35" t="s">
        <v>58</v>
      </c>
      <c r="E223" s="35" t="s">
        <v>59</v>
      </c>
      <c r="F223" s="35" t="s">
        <v>60</v>
      </c>
      <c r="G223" s="35" t="s">
        <v>999</v>
      </c>
      <c r="H223" s="76">
        <v>1476143.0</v>
      </c>
      <c r="I223" s="35" t="s">
        <v>365</v>
      </c>
      <c r="M223" s="20">
        <f>IF($B223="","",COUNTIFS('Blocker log'!$A:$A,$B223,'Blocker log'!$G:$G,"&lt;&gt;"))</f>
        <v>0</v>
      </c>
      <c r="N223" s="20">
        <f>IF($B223="","",COUNTIFS('Blocker log'!$A:$A,$B223,'Blocker log'!$G:$G,"Hard blocker"))</f>
        <v>0</v>
      </c>
      <c r="O223" s="20">
        <f>IF($B223="","",COUNTIFS('Blocker log'!$A:$A,$B223,'Blocker log'!$G:$G,"Hard blocker",'Blocker log'!$L:$L,9))</f>
        <v>0</v>
      </c>
      <c r="P223" s="20">
        <f>IF($B223="","",MAXIFS('Blocker log'!$L:$L,'Blocker log'!$A:$A,$B223,'Blocker log'!$G:$G,"Hard blocker"))</f>
        <v>0</v>
      </c>
      <c r="Q223" s="20" t="str">
        <f>IF($B223="","",IF($K223&lt;&gt;"Complete","Assessment pending",IF($N223=0,"Ready now",VLOOKUP($P223,Lists!$D$2:$E$5,2,FALSE))))</f>
        <v>Assessment pending</v>
      </c>
    </row>
    <row r="224" ht="15.75" customHeight="1">
      <c r="A224" s="35" t="s">
        <v>1027</v>
      </c>
      <c r="B224" s="35" t="s">
        <v>1028</v>
      </c>
      <c r="C224" s="35" t="s">
        <v>57</v>
      </c>
      <c r="D224" s="35" t="s">
        <v>58</v>
      </c>
      <c r="E224" s="35" t="s">
        <v>494</v>
      </c>
      <c r="F224" s="35" t="s">
        <v>495</v>
      </c>
      <c r="G224" s="35" t="s">
        <v>980</v>
      </c>
      <c r="H224" s="76">
        <v>1454653.0</v>
      </c>
      <c r="I224" s="35"/>
      <c r="M224" s="20">
        <f>IF($B224="","",COUNTIFS('Blocker log'!$A:$A,$B224,'Blocker log'!$G:$G,"&lt;&gt;"))</f>
        <v>0</v>
      </c>
      <c r="N224" s="20">
        <f>IF($B224="","",COUNTIFS('Blocker log'!$A:$A,$B224,'Blocker log'!$G:$G,"Hard blocker"))</f>
        <v>0</v>
      </c>
      <c r="O224" s="20">
        <f>IF($B224="","",COUNTIFS('Blocker log'!$A:$A,$B224,'Blocker log'!$G:$G,"Hard blocker",'Blocker log'!$L:$L,9))</f>
        <v>0</v>
      </c>
      <c r="P224" s="20">
        <f>IF($B224="","",MAXIFS('Blocker log'!$L:$L,'Blocker log'!$A:$A,$B224,'Blocker log'!$G:$G,"Hard blocker"))</f>
        <v>0</v>
      </c>
      <c r="Q224" s="20" t="str">
        <f>IF($B224="","",IF($K224&lt;&gt;"Complete","Assessment pending",IF($N224=0,"Ready now",VLOOKUP($P224,Lists!$D$2:$E$5,2,FALSE))))</f>
        <v>Assessment pending</v>
      </c>
    </row>
    <row r="225" ht="15.75" customHeight="1">
      <c r="A225" s="35" t="s">
        <v>1029</v>
      </c>
      <c r="B225" s="35" t="s">
        <v>1030</v>
      </c>
      <c r="C225" s="35" t="s">
        <v>57</v>
      </c>
      <c r="D225" s="35" t="s">
        <v>58</v>
      </c>
      <c r="E225" s="35" t="s">
        <v>132</v>
      </c>
      <c r="F225" s="35" t="s">
        <v>559</v>
      </c>
      <c r="G225" s="35" t="s">
        <v>980</v>
      </c>
      <c r="H225" s="76">
        <v>1399064.0</v>
      </c>
      <c r="I225" s="35"/>
      <c r="M225" s="20">
        <f>IF($B225="","",COUNTIFS('Blocker log'!$A:$A,$B225,'Blocker log'!$G:$G,"&lt;&gt;"))</f>
        <v>0</v>
      </c>
      <c r="N225" s="20">
        <f>IF($B225="","",COUNTIFS('Blocker log'!$A:$A,$B225,'Blocker log'!$G:$G,"Hard blocker"))</f>
        <v>0</v>
      </c>
      <c r="O225" s="20">
        <f>IF($B225="","",COUNTIFS('Blocker log'!$A:$A,$B225,'Blocker log'!$G:$G,"Hard blocker",'Blocker log'!$L:$L,9))</f>
        <v>0</v>
      </c>
      <c r="P225" s="20">
        <f>IF($B225="","",MAXIFS('Blocker log'!$L:$L,'Blocker log'!$A:$A,$B225,'Blocker log'!$G:$G,"Hard blocker"))</f>
        <v>0</v>
      </c>
      <c r="Q225" s="20" t="str">
        <f>IF($B225="","",IF($K225&lt;&gt;"Complete","Assessment pending",IF($N225=0,"Ready now",VLOOKUP($P225,Lists!$D$2:$E$5,2,FALSE))))</f>
        <v>Assessment pending</v>
      </c>
    </row>
    <row r="226" ht="15.75" customHeight="1">
      <c r="A226" s="35" t="s">
        <v>1031</v>
      </c>
      <c r="B226" s="35" t="s">
        <v>1032</v>
      </c>
      <c r="C226" s="35" t="s">
        <v>57</v>
      </c>
      <c r="D226" s="35" t="s">
        <v>260</v>
      </c>
      <c r="E226" s="35" t="s">
        <v>351</v>
      </c>
      <c r="F226" s="35" t="s">
        <v>1033</v>
      </c>
      <c r="G226" s="35" t="s">
        <v>980</v>
      </c>
      <c r="H226" s="76">
        <v>1332088.0</v>
      </c>
      <c r="I226" s="35" t="s">
        <v>392</v>
      </c>
      <c r="M226" s="20">
        <f>IF($B226="","",COUNTIFS('Blocker log'!$A:$A,$B226,'Blocker log'!$G:$G,"&lt;&gt;"))</f>
        <v>0</v>
      </c>
      <c r="N226" s="20">
        <f>IF($B226="","",COUNTIFS('Blocker log'!$A:$A,$B226,'Blocker log'!$G:$G,"Hard blocker"))</f>
        <v>0</v>
      </c>
      <c r="O226" s="20">
        <f>IF($B226="","",COUNTIFS('Blocker log'!$A:$A,$B226,'Blocker log'!$G:$G,"Hard blocker",'Blocker log'!$L:$L,9))</f>
        <v>0</v>
      </c>
      <c r="P226" s="20">
        <f>IF($B226="","",MAXIFS('Blocker log'!$L:$L,'Blocker log'!$A:$A,$B226,'Blocker log'!$G:$G,"Hard blocker"))</f>
        <v>0</v>
      </c>
      <c r="Q226" s="20" t="str">
        <f>IF($B226="","",IF($K226&lt;&gt;"Complete","Assessment pending",IF($N226=0,"Ready now",VLOOKUP($P226,Lists!$D$2:$E$5,2,FALSE))))</f>
        <v>Assessment pending</v>
      </c>
    </row>
    <row r="227" ht="15.75" customHeight="1">
      <c r="A227" s="35" t="s">
        <v>1034</v>
      </c>
      <c r="B227" s="35" t="s">
        <v>1035</v>
      </c>
      <c r="C227" s="35" t="s">
        <v>57</v>
      </c>
      <c r="D227" s="35" t="s">
        <v>58</v>
      </c>
      <c r="E227" s="35" t="s">
        <v>132</v>
      </c>
      <c r="F227" s="35" t="s">
        <v>559</v>
      </c>
      <c r="G227" s="35" t="s">
        <v>980</v>
      </c>
      <c r="H227" s="76">
        <v>1254700.0</v>
      </c>
      <c r="I227" s="35"/>
      <c r="M227" s="20">
        <f>IF($B227="","",COUNTIFS('Blocker log'!$A:$A,$B227,'Blocker log'!$G:$G,"&lt;&gt;"))</f>
        <v>0</v>
      </c>
      <c r="N227" s="20">
        <f>IF($B227="","",COUNTIFS('Blocker log'!$A:$A,$B227,'Blocker log'!$G:$G,"Hard blocker"))</f>
        <v>0</v>
      </c>
      <c r="O227" s="20">
        <f>IF($B227="","",COUNTIFS('Blocker log'!$A:$A,$B227,'Blocker log'!$G:$G,"Hard blocker",'Blocker log'!$L:$L,9))</f>
        <v>0</v>
      </c>
      <c r="P227" s="20">
        <f>IF($B227="","",MAXIFS('Blocker log'!$L:$L,'Blocker log'!$A:$A,$B227,'Blocker log'!$G:$G,"Hard blocker"))</f>
        <v>0</v>
      </c>
      <c r="Q227" s="20" t="str">
        <f>IF($B227="","",IF($K227&lt;&gt;"Complete","Assessment pending",IF($N227=0,"Ready now",VLOOKUP($P227,Lists!$D$2:$E$5,2,FALSE))))</f>
        <v>Assessment pending</v>
      </c>
    </row>
    <row r="228" ht="15.75" customHeight="1">
      <c r="A228" s="35" t="s">
        <v>1036</v>
      </c>
      <c r="B228" s="35" t="s">
        <v>1037</v>
      </c>
      <c r="C228" s="35" t="s">
        <v>76</v>
      </c>
      <c r="D228" s="35" t="s">
        <v>58</v>
      </c>
      <c r="E228" s="35" t="s">
        <v>59</v>
      </c>
      <c r="F228" s="35" t="s">
        <v>77</v>
      </c>
      <c r="G228" s="35" t="s">
        <v>999</v>
      </c>
      <c r="H228" s="76">
        <v>1252800.0</v>
      </c>
      <c r="I228" s="35"/>
      <c r="M228" s="20">
        <f>IF($B228="","",COUNTIFS('Blocker log'!$A:$A,$B228,'Blocker log'!$G:$G,"&lt;&gt;"))</f>
        <v>0</v>
      </c>
      <c r="N228" s="20">
        <f>IF($B228="","",COUNTIFS('Blocker log'!$A:$A,$B228,'Blocker log'!$G:$G,"Hard blocker"))</f>
        <v>0</v>
      </c>
      <c r="O228" s="20">
        <f>IF($B228="","",COUNTIFS('Blocker log'!$A:$A,$B228,'Blocker log'!$G:$G,"Hard blocker",'Blocker log'!$L:$L,9))</f>
        <v>0</v>
      </c>
      <c r="P228" s="20">
        <f>IF($B228="","",MAXIFS('Blocker log'!$L:$L,'Blocker log'!$A:$A,$B228,'Blocker log'!$G:$G,"Hard blocker"))</f>
        <v>0</v>
      </c>
      <c r="Q228" s="20" t="str">
        <f>IF($B228="","",IF($K228&lt;&gt;"Complete","Assessment pending",IF($N228=0,"Ready now",VLOOKUP($P228,Lists!$D$2:$E$5,2,FALSE))))</f>
        <v>Assessment pending</v>
      </c>
    </row>
    <row r="229" ht="15.75" customHeight="1">
      <c r="A229" s="35" t="s">
        <v>1038</v>
      </c>
      <c r="B229" s="35" t="s">
        <v>1039</v>
      </c>
      <c r="C229" s="35" t="s">
        <v>57</v>
      </c>
      <c r="D229" s="35" t="s">
        <v>58</v>
      </c>
      <c r="E229" s="35" t="s">
        <v>59</v>
      </c>
      <c r="F229" s="35" t="s">
        <v>598</v>
      </c>
      <c r="G229" s="35" t="s">
        <v>980</v>
      </c>
      <c r="H229" s="76">
        <v>1132047.0</v>
      </c>
      <c r="I229" s="35"/>
      <c r="M229" s="20">
        <f>IF($B229="","",COUNTIFS('Blocker log'!$A:$A,$B229,'Blocker log'!$G:$G,"&lt;&gt;"))</f>
        <v>0</v>
      </c>
      <c r="N229" s="20">
        <f>IF($B229="","",COUNTIFS('Blocker log'!$A:$A,$B229,'Blocker log'!$G:$G,"Hard blocker"))</f>
        <v>0</v>
      </c>
      <c r="O229" s="20">
        <f>IF($B229="","",COUNTIFS('Blocker log'!$A:$A,$B229,'Blocker log'!$G:$G,"Hard blocker",'Blocker log'!$L:$L,9))</f>
        <v>0</v>
      </c>
      <c r="P229" s="20">
        <f>IF($B229="","",MAXIFS('Blocker log'!$L:$L,'Blocker log'!$A:$A,$B229,'Blocker log'!$G:$G,"Hard blocker"))</f>
        <v>0</v>
      </c>
      <c r="Q229" s="20" t="str">
        <f>IF($B229="","",IF($K229&lt;&gt;"Complete","Assessment pending",IF($N229=0,"Ready now",VLOOKUP($P229,Lists!$D$2:$E$5,2,FALSE))))</f>
        <v>Assessment pending</v>
      </c>
    </row>
    <row r="230" ht="15.75" customHeight="1">
      <c r="A230" s="35" t="s">
        <v>1040</v>
      </c>
      <c r="B230" s="35" t="s">
        <v>1041</v>
      </c>
      <c r="C230" s="35" t="s">
        <v>57</v>
      </c>
      <c r="D230" s="35" t="s">
        <v>58</v>
      </c>
      <c r="E230" s="35" t="s">
        <v>140</v>
      </c>
      <c r="F230" s="35" t="s">
        <v>156</v>
      </c>
      <c r="G230" s="35" t="s">
        <v>1042</v>
      </c>
      <c r="H230" s="76">
        <v>1125059.0</v>
      </c>
      <c r="I230" s="35" t="s">
        <v>378</v>
      </c>
      <c r="M230" s="20">
        <f>IF($B230="","",COUNTIFS('Blocker log'!$A:$A,$B230,'Blocker log'!$G:$G,"&lt;&gt;"))</f>
        <v>0</v>
      </c>
      <c r="N230" s="20">
        <f>IF($B230="","",COUNTIFS('Blocker log'!$A:$A,$B230,'Blocker log'!$G:$G,"Hard blocker"))</f>
        <v>0</v>
      </c>
      <c r="O230" s="20">
        <f>IF($B230="","",COUNTIFS('Blocker log'!$A:$A,$B230,'Blocker log'!$G:$G,"Hard blocker",'Blocker log'!$L:$L,9))</f>
        <v>0</v>
      </c>
      <c r="P230" s="20">
        <f>IF($B230="","",MAXIFS('Blocker log'!$L:$L,'Blocker log'!$A:$A,$B230,'Blocker log'!$G:$G,"Hard blocker"))</f>
        <v>0</v>
      </c>
      <c r="Q230" s="20" t="str">
        <f>IF($B230="","",IF($K230&lt;&gt;"Complete","Assessment pending",IF($N230=0,"Ready now",VLOOKUP($P230,Lists!$D$2:$E$5,2,FALSE))))</f>
        <v>Assessment pending</v>
      </c>
    </row>
    <row r="231" ht="15.75" customHeight="1">
      <c r="A231" s="35" t="s">
        <v>1043</v>
      </c>
      <c r="B231" s="35" t="s">
        <v>1044</v>
      </c>
      <c r="C231" s="35" t="s">
        <v>57</v>
      </c>
      <c r="D231" s="35" t="s">
        <v>58</v>
      </c>
      <c r="E231" s="35" t="s">
        <v>59</v>
      </c>
      <c r="F231" s="35" t="s">
        <v>225</v>
      </c>
      <c r="G231" s="35" t="s">
        <v>980</v>
      </c>
      <c r="H231" s="76">
        <v>1116367.0</v>
      </c>
      <c r="I231" s="35" t="s">
        <v>318</v>
      </c>
      <c r="M231" s="20">
        <f>IF($B231="","",COUNTIFS('Blocker log'!$A:$A,$B231,'Blocker log'!$G:$G,"&lt;&gt;"))</f>
        <v>0</v>
      </c>
      <c r="N231" s="20">
        <f>IF($B231="","",COUNTIFS('Blocker log'!$A:$A,$B231,'Blocker log'!$G:$G,"Hard blocker"))</f>
        <v>0</v>
      </c>
      <c r="O231" s="20">
        <f>IF($B231="","",COUNTIFS('Blocker log'!$A:$A,$B231,'Blocker log'!$G:$G,"Hard blocker",'Blocker log'!$L:$L,9))</f>
        <v>0</v>
      </c>
      <c r="P231" s="20">
        <f>IF($B231="","",MAXIFS('Blocker log'!$L:$L,'Blocker log'!$A:$A,$B231,'Blocker log'!$G:$G,"Hard blocker"))</f>
        <v>0</v>
      </c>
      <c r="Q231" s="20" t="str">
        <f>IF($B231="","",IF($K231&lt;&gt;"Complete","Assessment pending",IF($N231=0,"Ready now",VLOOKUP($P231,Lists!$D$2:$E$5,2,FALSE))))</f>
        <v>Assessment pending</v>
      </c>
    </row>
    <row r="232" ht="15.75" customHeight="1">
      <c r="A232" s="35" t="s">
        <v>1045</v>
      </c>
      <c r="B232" s="35" t="s">
        <v>1046</v>
      </c>
      <c r="C232" s="35" t="s">
        <v>57</v>
      </c>
      <c r="D232" s="35" t="s">
        <v>171</v>
      </c>
      <c r="E232" s="35" t="s">
        <v>542</v>
      </c>
      <c r="F232" s="35" t="s">
        <v>543</v>
      </c>
      <c r="G232" s="35" t="s">
        <v>980</v>
      </c>
      <c r="H232" s="76">
        <v>1086736.0</v>
      </c>
      <c r="I232" s="35" t="s">
        <v>393</v>
      </c>
      <c r="M232" s="20">
        <f>IF($B232="","",COUNTIFS('Blocker log'!$A:$A,$B232,'Blocker log'!$G:$G,"&lt;&gt;"))</f>
        <v>0</v>
      </c>
      <c r="N232" s="20">
        <f>IF($B232="","",COUNTIFS('Blocker log'!$A:$A,$B232,'Blocker log'!$G:$G,"Hard blocker"))</f>
        <v>0</v>
      </c>
      <c r="O232" s="20">
        <f>IF($B232="","",COUNTIFS('Blocker log'!$A:$A,$B232,'Blocker log'!$G:$G,"Hard blocker",'Blocker log'!$L:$L,9))</f>
        <v>0</v>
      </c>
      <c r="P232" s="20">
        <f>IF($B232="","",MAXIFS('Blocker log'!$L:$L,'Blocker log'!$A:$A,$B232,'Blocker log'!$G:$G,"Hard blocker"))</f>
        <v>0</v>
      </c>
      <c r="Q232" s="20" t="str">
        <f>IF($B232="","",IF($K232&lt;&gt;"Complete","Assessment pending",IF($N232=0,"Ready now",VLOOKUP($P232,Lists!$D$2:$E$5,2,FALSE))))</f>
        <v>Assessment pending</v>
      </c>
    </row>
    <row r="233" ht="15.75" customHeight="1">
      <c r="A233" s="35" t="s">
        <v>1047</v>
      </c>
      <c r="B233" s="35" t="s">
        <v>1048</v>
      </c>
      <c r="C233" s="35" t="s">
        <v>57</v>
      </c>
      <c r="D233" s="35" t="s">
        <v>58</v>
      </c>
      <c r="E233" s="35" t="s">
        <v>140</v>
      </c>
      <c r="F233" s="35" t="s">
        <v>370</v>
      </c>
      <c r="G233" s="35" t="s">
        <v>977</v>
      </c>
      <c r="H233" s="76">
        <v>1078721.0</v>
      </c>
      <c r="I233" s="35" t="s">
        <v>365</v>
      </c>
      <c r="M233" s="20">
        <f>IF($B233="","",COUNTIFS('Blocker log'!$A:$A,$B233,'Blocker log'!$G:$G,"&lt;&gt;"))</f>
        <v>0</v>
      </c>
      <c r="N233" s="20">
        <f>IF($B233="","",COUNTIFS('Blocker log'!$A:$A,$B233,'Blocker log'!$G:$G,"Hard blocker"))</f>
        <v>0</v>
      </c>
      <c r="O233" s="20">
        <f>IF($B233="","",COUNTIFS('Blocker log'!$A:$A,$B233,'Blocker log'!$G:$G,"Hard blocker",'Blocker log'!$L:$L,9))</f>
        <v>0</v>
      </c>
      <c r="P233" s="20">
        <f>IF($B233="","",MAXIFS('Blocker log'!$L:$L,'Blocker log'!$A:$A,$B233,'Blocker log'!$G:$G,"Hard blocker"))</f>
        <v>0</v>
      </c>
      <c r="Q233" s="20" t="str">
        <f>IF($B233="","",IF($K233&lt;&gt;"Complete","Assessment pending",IF($N233=0,"Ready now",VLOOKUP($P233,Lists!$D$2:$E$5,2,FALSE))))</f>
        <v>Assessment pending</v>
      </c>
    </row>
    <row r="234" ht="15.75" customHeight="1">
      <c r="A234" s="35" t="s">
        <v>1049</v>
      </c>
      <c r="B234" s="35" t="s">
        <v>1050</v>
      </c>
      <c r="C234" s="35" t="s">
        <v>57</v>
      </c>
      <c r="D234" s="35" t="s">
        <v>58</v>
      </c>
      <c r="E234" s="35" t="s">
        <v>494</v>
      </c>
      <c r="F234" s="35" t="s">
        <v>495</v>
      </c>
      <c r="G234" s="35" t="s">
        <v>980</v>
      </c>
      <c r="H234" s="76">
        <v>1068957.0</v>
      </c>
      <c r="I234" s="35" t="s">
        <v>384</v>
      </c>
      <c r="M234" s="20">
        <f>IF($B234="","",COUNTIFS('Blocker log'!$A:$A,$B234,'Blocker log'!$G:$G,"&lt;&gt;"))</f>
        <v>0</v>
      </c>
      <c r="N234" s="20">
        <f>IF($B234="","",COUNTIFS('Blocker log'!$A:$A,$B234,'Blocker log'!$G:$G,"Hard blocker"))</f>
        <v>0</v>
      </c>
      <c r="O234" s="20">
        <f>IF($B234="","",COUNTIFS('Blocker log'!$A:$A,$B234,'Blocker log'!$G:$G,"Hard blocker",'Blocker log'!$L:$L,9))</f>
        <v>0</v>
      </c>
      <c r="P234" s="20">
        <f>IF($B234="","",MAXIFS('Blocker log'!$L:$L,'Blocker log'!$A:$A,$B234,'Blocker log'!$G:$G,"Hard blocker"))</f>
        <v>0</v>
      </c>
      <c r="Q234" s="20" t="str">
        <f>IF($B234="","",IF($K234&lt;&gt;"Complete","Assessment pending",IF($N234=0,"Ready now",VLOOKUP($P234,Lists!$D$2:$E$5,2,FALSE))))</f>
        <v>Assessment pending</v>
      </c>
    </row>
    <row r="235" ht="15.75" customHeight="1">
      <c r="A235" s="35" t="s">
        <v>1051</v>
      </c>
      <c r="B235" s="35" t="s">
        <v>1052</v>
      </c>
      <c r="C235" s="35" t="s">
        <v>57</v>
      </c>
      <c r="D235" s="35" t="s">
        <v>58</v>
      </c>
      <c r="E235" s="35" t="s">
        <v>494</v>
      </c>
      <c r="F235" s="35" t="s">
        <v>495</v>
      </c>
      <c r="G235" s="35" t="s">
        <v>977</v>
      </c>
      <c r="H235" s="76">
        <v>1057748.0</v>
      </c>
      <c r="I235" s="35" t="s">
        <v>384</v>
      </c>
      <c r="M235" s="20">
        <f>IF($B235="","",COUNTIFS('Blocker log'!$A:$A,$B235,'Blocker log'!$G:$G,"&lt;&gt;"))</f>
        <v>0</v>
      </c>
      <c r="N235" s="20">
        <f>IF($B235="","",COUNTIFS('Blocker log'!$A:$A,$B235,'Blocker log'!$G:$G,"Hard blocker"))</f>
        <v>0</v>
      </c>
      <c r="O235" s="20">
        <f>IF($B235="","",COUNTIFS('Blocker log'!$A:$A,$B235,'Blocker log'!$G:$G,"Hard blocker",'Blocker log'!$L:$L,9))</f>
        <v>0</v>
      </c>
      <c r="P235" s="20">
        <f>IF($B235="","",MAXIFS('Blocker log'!$L:$L,'Blocker log'!$A:$A,$B235,'Blocker log'!$G:$G,"Hard blocker"))</f>
        <v>0</v>
      </c>
      <c r="Q235" s="20" t="str">
        <f>IF($B235="","",IF($K235&lt;&gt;"Complete","Assessment pending",IF($N235=0,"Ready now",VLOOKUP($P235,Lists!$D$2:$E$5,2,FALSE))))</f>
        <v>Assessment pending</v>
      </c>
    </row>
    <row r="236" ht="15.75" customHeight="1">
      <c r="A236" s="35" t="s">
        <v>1053</v>
      </c>
      <c r="B236" s="35" t="s">
        <v>1054</v>
      </c>
      <c r="C236" s="35" t="s">
        <v>57</v>
      </c>
      <c r="D236" s="35" t="s">
        <v>58</v>
      </c>
      <c r="E236" s="35" t="s">
        <v>140</v>
      </c>
      <c r="F236" s="35" t="s">
        <v>370</v>
      </c>
      <c r="G236" s="35" t="s">
        <v>980</v>
      </c>
      <c r="H236" s="76">
        <v>1036822.0</v>
      </c>
      <c r="I236" s="35" t="s">
        <v>125</v>
      </c>
      <c r="M236" s="20">
        <f>IF($B236="","",COUNTIFS('Blocker log'!$A:$A,$B236,'Blocker log'!$G:$G,"&lt;&gt;"))</f>
        <v>0</v>
      </c>
      <c r="N236" s="20">
        <f>IF($B236="","",COUNTIFS('Blocker log'!$A:$A,$B236,'Blocker log'!$G:$G,"Hard blocker"))</f>
        <v>0</v>
      </c>
      <c r="O236" s="20">
        <f>IF($B236="","",COUNTIFS('Blocker log'!$A:$A,$B236,'Blocker log'!$G:$G,"Hard blocker",'Blocker log'!$L:$L,9))</f>
        <v>0</v>
      </c>
      <c r="P236" s="20">
        <f>IF($B236="","",MAXIFS('Blocker log'!$L:$L,'Blocker log'!$A:$A,$B236,'Blocker log'!$G:$G,"Hard blocker"))</f>
        <v>0</v>
      </c>
      <c r="Q236" s="20" t="str">
        <f>IF($B236="","",IF($K236&lt;&gt;"Complete","Assessment pending",IF($N236=0,"Ready now",VLOOKUP($P236,Lists!$D$2:$E$5,2,FALSE))))</f>
        <v>Assessment pending</v>
      </c>
    </row>
    <row r="237" ht="15.75" customHeight="1">
      <c r="A237" s="35" t="s">
        <v>1055</v>
      </c>
      <c r="B237" s="35" t="s">
        <v>1056</v>
      </c>
      <c r="C237" s="35" t="s">
        <v>57</v>
      </c>
      <c r="D237" s="35" t="s">
        <v>58</v>
      </c>
      <c r="E237" s="35" t="s">
        <v>59</v>
      </c>
      <c r="F237" s="35" t="s">
        <v>278</v>
      </c>
      <c r="G237" s="35" t="s">
        <v>980</v>
      </c>
      <c r="H237" s="76">
        <v>1007994.0</v>
      </c>
      <c r="I237" s="35" t="s">
        <v>318</v>
      </c>
      <c r="M237" s="20">
        <f>IF($B237="","",COUNTIFS('Blocker log'!$A:$A,$B237,'Blocker log'!$G:$G,"&lt;&gt;"))</f>
        <v>0</v>
      </c>
      <c r="N237" s="20">
        <f>IF($B237="","",COUNTIFS('Blocker log'!$A:$A,$B237,'Blocker log'!$G:$G,"Hard blocker"))</f>
        <v>0</v>
      </c>
      <c r="O237" s="20">
        <f>IF($B237="","",COUNTIFS('Blocker log'!$A:$A,$B237,'Blocker log'!$G:$G,"Hard blocker",'Blocker log'!$L:$L,9))</f>
        <v>0</v>
      </c>
      <c r="P237" s="20">
        <f>IF($B237="","",MAXIFS('Blocker log'!$L:$L,'Blocker log'!$A:$A,$B237,'Blocker log'!$G:$G,"Hard blocker"))</f>
        <v>0</v>
      </c>
      <c r="Q237" s="20" t="str">
        <f>IF($B237="","",IF($K237&lt;&gt;"Complete","Assessment pending",IF($N237=0,"Ready now",VLOOKUP($P237,Lists!$D$2:$E$5,2,FALSE))))</f>
        <v>Assessment pending</v>
      </c>
    </row>
    <row r="238" ht="15.75" customHeight="1">
      <c r="A238" s="35" t="s">
        <v>1057</v>
      </c>
      <c r="B238" s="35" t="s">
        <v>1058</v>
      </c>
      <c r="C238" s="35" t="s">
        <v>57</v>
      </c>
      <c r="D238" s="35" t="s">
        <v>58</v>
      </c>
      <c r="E238" s="35" t="s">
        <v>181</v>
      </c>
      <c r="F238" s="35" t="s">
        <v>182</v>
      </c>
      <c r="G238" s="35" t="s">
        <v>999</v>
      </c>
      <c r="H238" s="76">
        <v>1005574.0</v>
      </c>
      <c r="I238" s="35"/>
      <c r="M238" s="20">
        <f>IF($B238="","",COUNTIFS('Blocker log'!$A:$A,$B238,'Blocker log'!$G:$G,"&lt;&gt;"))</f>
        <v>0</v>
      </c>
      <c r="N238" s="20">
        <f>IF($B238="","",COUNTIFS('Blocker log'!$A:$A,$B238,'Blocker log'!$G:$G,"Hard blocker"))</f>
        <v>0</v>
      </c>
      <c r="O238" s="20">
        <f>IF($B238="","",COUNTIFS('Blocker log'!$A:$A,$B238,'Blocker log'!$G:$G,"Hard blocker",'Blocker log'!$L:$L,9))</f>
        <v>0</v>
      </c>
      <c r="P238" s="20">
        <f>IF($B238="","",MAXIFS('Blocker log'!$L:$L,'Blocker log'!$A:$A,$B238,'Blocker log'!$G:$G,"Hard blocker"))</f>
        <v>0</v>
      </c>
      <c r="Q238" s="20" t="str">
        <f>IF($B238="","",IF($K238&lt;&gt;"Complete","Assessment pending",IF($N238=0,"Ready now",VLOOKUP($P238,Lists!$D$2:$E$5,2,FALSE))))</f>
        <v>Assessment pending</v>
      </c>
    </row>
    <row r="239" ht="15.75" customHeight="1">
      <c r="A239" s="35" t="s">
        <v>1059</v>
      </c>
      <c r="B239" s="35" t="s">
        <v>1060</v>
      </c>
      <c r="C239" s="35" t="s">
        <v>57</v>
      </c>
      <c r="D239" s="35" t="s">
        <v>58</v>
      </c>
      <c r="E239" s="35" t="s">
        <v>181</v>
      </c>
      <c r="F239" s="35" t="s">
        <v>217</v>
      </c>
      <c r="G239" s="35" t="s">
        <v>1006</v>
      </c>
      <c r="H239" s="76">
        <v>979488.0</v>
      </c>
      <c r="I239" s="35" t="s">
        <v>378</v>
      </c>
      <c r="M239" s="20">
        <f>IF($B239="","",COUNTIFS('Blocker log'!$A:$A,$B239,'Blocker log'!$G:$G,"&lt;&gt;"))</f>
        <v>0</v>
      </c>
      <c r="N239" s="20">
        <f>IF($B239="","",COUNTIFS('Blocker log'!$A:$A,$B239,'Blocker log'!$G:$G,"Hard blocker"))</f>
        <v>0</v>
      </c>
      <c r="O239" s="20">
        <f>IF($B239="","",COUNTIFS('Blocker log'!$A:$A,$B239,'Blocker log'!$G:$G,"Hard blocker",'Blocker log'!$L:$L,9))</f>
        <v>0</v>
      </c>
      <c r="P239" s="20">
        <f>IF($B239="","",MAXIFS('Blocker log'!$L:$L,'Blocker log'!$A:$A,$B239,'Blocker log'!$G:$G,"Hard blocker"))</f>
        <v>0</v>
      </c>
      <c r="Q239" s="20" t="str">
        <f>IF($B239="","",IF($K239&lt;&gt;"Complete","Assessment pending",IF($N239=0,"Ready now",VLOOKUP($P239,Lists!$D$2:$E$5,2,FALSE))))</f>
        <v>Assessment pending</v>
      </c>
    </row>
    <row r="240" ht="15.75" customHeight="1">
      <c r="A240" s="35" t="s">
        <v>1061</v>
      </c>
      <c r="B240" s="35" t="s">
        <v>1062</v>
      </c>
      <c r="C240" s="35" t="s">
        <v>57</v>
      </c>
      <c r="D240" s="35" t="s">
        <v>260</v>
      </c>
      <c r="E240" s="35" t="s">
        <v>530</v>
      </c>
      <c r="F240" s="35" t="s">
        <v>531</v>
      </c>
      <c r="G240" s="35" t="s">
        <v>980</v>
      </c>
      <c r="H240" s="76">
        <v>946787.0</v>
      </c>
      <c r="I240" s="35" t="s">
        <v>318</v>
      </c>
      <c r="M240" s="20">
        <f>IF($B240="","",COUNTIFS('Blocker log'!$A:$A,$B240,'Blocker log'!$G:$G,"&lt;&gt;"))</f>
        <v>0</v>
      </c>
      <c r="N240" s="20">
        <f>IF($B240="","",COUNTIFS('Blocker log'!$A:$A,$B240,'Blocker log'!$G:$G,"Hard blocker"))</f>
        <v>0</v>
      </c>
      <c r="O240" s="20">
        <f>IF($B240="","",COUNTIFS('Blocker log'!$A:$A,$B240,'Blocker log'!$G:$G,"Hard blocker",'Blocker log'!$L:$L,9))</f>
        <v>0</v>
      </c>
      <c r="P240" s="20">
        <f>IF($B240="","",MAXIFS('Blocker log'!$L:$L,'Blocker log'!$A:$A,$B240,'Blocker log'!$G:$G,"Hard blocker"))</f>
        <v>0</v>
      </c>
      <c r="Q240" s="20" t="str">
        <f>IF($B240="","",IF($K240&lt;&gt;"Complete","Assessment pending",IF($N240=0,"Ready now",VLOOKUP($P240,Lists!$D$2:$E$5,2,FALSE))))</f>
        <v>Assessment pending</v>
      </c>
    </row>
    <row r="241" ht="15.75" customHeight="1">
      <c r="A241" s="35" t="s">
        <v>1063</v>
      </c>
      <c r="B241" s="35" t="s">
        <v>1064</v>
      </c>
      <c r="C241" s="35" t="s">
        <v>57</v>
      </c>
      <c r="D241" s="35" t="s">
        <v>58</v>
      </c>
      <c r="E241" s="35" t="s">
        <v>140</v>
      </c>
      <c r="F241" s="35" t="s">
        <v>141</v>
      </c>
      <c r="G241" s="35" t="s">
        <v>980</v>
      </c>
      <c r="H241" s="76">
        <v>909094.0</v>
      </c>
      <c r="I241" s="35" t="s">
        <v>391</v>
      </c>
      <c r="M241" s="20">
        <f>IF($B241="","",COUNTIFS('Blocker log'!$A:$A,$B241,'Blocker log'!$G:$G,"&lt;&gt;"))</f>
        <v>0</v>
      </c>
      <c r="N241" s="20">
        <f>IF($B241="","",COUNTIFS('Blocker log'!$A:$A,$B241,'Blocker log'!$G:$G,"Hard blocker"))</f>
        <v>0</v>
      </c>
      <c r="O241" s="20">
        <f>IF($B241="","",COUNTIFS('Blocker log'!$A:$A,$B241,'Blocker log'!$G:$G,"Hard blocker",'Blocker log'!$L:$L,9))</f>
        <v>0</v>
      </c>
      <c r="P241" s="20">
        <f>IF($B241="","",MAXIFS('Blocker log'!$L:$L,'Blocker log'!$A:$A,$B241,'Blocker log'!$G:$G,"Hard blocker"))</f>
        <v>0</v>
      </c>
      <c r="Q241" s="20" t="str">
        <f>IF($B241="","",IF($K241&lt;&gt;"Complete","Assessment pending",IF($N241=0,"Ready now",VLOOKUP($P241,Lists!$D$2:$E$5,2,FALSE))))</f>
        <v>Assessment pending</v>
      </c>
    </row>
    <row r="242" ht="15.75" customHeight="1">
      <c r="A242" s="35" t="s">
        <v>1065</v>
      </c>
      <c r="B242" s="35" t="s">
        <v>1066</v>
      </c>
      <c r="C242" s="35" t="s">
        <v>57</v>
      </c>
      <c r="D242" s="35" t="s">
        <v>58</v>
      </c>
      <c r="E242" s="35" t="s">
        <v>181</v>
      </c>
      <c r="F242" s="35" t="s">
        <v>653</v>
      </c>
      <c r="G242" s="35" t="s">
        <v>980</v>
      </c>
      <c r="H242" s="76">
        <v>896753.0</v>
      </c>
      <c r="I242" s="35" t="s">
        <v>378</v>
      </c>
      <c r="M242" s="20">
        <f>IF($B242="","",COUNTIFS('Blocker log'!$A:$A,$B242,'Blocker log'!$G:$G,"&lt;&gt;"))</f>
        <v>0</v>
      </c>
      <c r="N242" s="20">
        <f>IF($B242="","",COUNTIFS('Blocker log'!$A:$A,$B242,'Blocker log'!$G:$G,"Hard blocker"))</f>
        <v>0</v>
      </c>
      <c r="O242" s="20">
        <f>IF($B242="","",COUNTIFS('Blocker log'!$A:$A,$B242,'Blocker log'!$G:$G,"Hard blocker",'Blocker log'!$L:$L,9))</f>
        <v>0</v>
      </c>
      <c r="P242" s="20">
        <f>IF($B242="","",MAXIFS('Blocker log'!$L:$L,'Blocker log'!$A:$A,$B242,'Blocker log'!$G:$G,"Hard blocker"))</f>
        <v>0</v>
      </c>
      <c r="Q242" s="20" t="str">
        <f>IF($B242="","",IF($K242&lt;&gt;"Complete","Assessment pending",IF($N242=0,"Ready now",VLOOKUP($P242,Lists!$D$2:$E$5,2,FALSE))))</f>
        <v>Assessment pending</v>
      </c>
    </row>
    <row r="243" ht="15.75" customHeight="1">
      <c r="A243" s="35" t="s">
        <v>1067</v>
      </c>
      <c r="B243" s="35" t="s">
        <v>1068</v>
      </c>
      <c r="C243" s="35" t="s">
        <v>57</v>
      </c>
      <c r="D243" s="35" t="s">
        <v>58</v>
      </c>
      <c r="E243" s="35" t="s">
        <v>181</v>
      </c>
      <c r="F243" s="35" t="s">
        <v>190</v>
      </c>
      <c r="G243" s="35" t="s">
        <v>999</v>
      </c>
      <c r="H243" s="76">
        <v>866400.0</v>
      </c>
      <c r="I243" s="35" t="s">
        <v>218</v>
      </c>
      <c r="M243" s="20">
        <f>IF($B243="","",COUNTIFS('Blocker log'!$A:$A,$B243,'Blocker log'!$G:$G,"&lt;&gt;"))</f>
        <v>0</v>
      </c>
      <c r="N243" s="20">
        <f>IF($B243="","",COUNTIFS('Blocker log'!$A:$A,$B243,'Blocker log'!$G:$G,"Hard blocker"))</f>
        <v>0</v>
      </c>
      <c r="O243" s="20">
        <f>IF($B243="","",COUNTIFS('Blocker log'!$A:$A,$B243,'Blocker log'!$G:$G,"Hard blocker",'Blocker log'!$L:$L,9))</f>
        <v>0</v>
      </c>
      <c r="P243" s="20">
        <f>IF($B243="","",MAXIFS('Blocker log'!$L:$L,'Blocker log'!$A:$A,$B243,'Blocker log'!$G:$G,"Hard blocker"))</f>
        <v>0</v>
      </c>
      <c r="Q243" s="20" t="str">
        <f>IF($B243="","",IF($K243&lt;&gt;"Complete","Assessment pending",IF($N243=0,"Ready now",VLOOKUP($P243,Lists!$D$2:$E$5,2,FALSE))))</f>
        <v>Assessment pending</v>
      </c>
    </row>
    <row r="244" ht="15.75" customHeight="1">
      <c r="A244" s="35" t="s">
        <v>1069</v>
      </c>
      <c r="B244" s="35" t="s">
        <v>1070</v>
      </c>
      <c r="C244" s="35" t="s">
        <v>57</v>
      </c>
      <c r="D244" s="35" t="s">
        <v>58</v>
      </c>
      <c r="E244" s="35" t="s">
        <v>59</v>
      </c>
      <c r="F244" s="35" t="s">
        <v>124</v>
      </c>
      <c r="G244" s="35" t="s">
        <v>980</v>
      </c>
      <c r="H244" s="76">
        <v>844701.0</v>
      </c>
      <c r="I244" s="35"/>
      <c r="M244" s="20">
        <f>IF($B244="","",COUNTIFS('Blocker log'!$A:$A,$B244,'Blocker log'!$G:$G,"&lt;&gt;"))</f>
        <v>0</v>
      </c>
      <c r="N244" s="20">
        <f>IF($B244="","",COUNTIFS('Blocker log'!$A:$A,$B244,'Blocker log'!$G:$G,"Hard blocker"))</f>
        <v>0</v>
      </c>
      <c r="O244" s="20">
        <f>IF($B244="","",COUNTIFS('Blocker log'!$A:$A,$B244,'Blocker log'!$G:$G,"Hard blocker",'Blocker log'!$L:$L,9))</f>
        <v>0</v>
      </c>
      <c r="P244" s="20">
        <f>IF($B244="","",MAXIFS('Blocker log'!$L:$L,'Blocker log'!$A:$A,$B244,'Blocker log'!$G:$G,"Hard blocker"))</f>
        <v>0</v>
      </c>
      <c r="Q244" s="20" t="str">
        <f>IF($B244="","",IF($K244&lt;&gt;"Complete","Assessment pending",IF($N244=0,"Ready now",VLOOKUP($P244,Lists!$D$2:$E$5,2,FALSE))))</f>
        <v>Assessment pending</v>
      </c>
    </row>
    <row r="245" ht="15.75" customHeight="1">
      <c r="A245" s="35" t="s">
        <v>1071</v>
      </c>
      <c r="B245" s="35" t="s">
        <v>1072</v>
      </c>
      <c r="C245" s="35" t="s">
        <v>57</v>
      </c>
      <c r="D245" s="35" t="s">
        <v>58</v>
      </c>
      <c r="E245" s="35" t="s">
        <v>59</v>
      </c>
      <c r="F245" s="35" t="s">
        <v>77</v>
      </c>
      <c r="G245" s="35" t="s">
        <v>1006</v>
      </c>
      <c r="H245" s="76">
        <v>819504.0</v>
      </c>
      <c r="I245" s="35"/>
      <c r="M245" s="20">
        <f>IF($B245="","",COUNTIFS('Blocker log'!$A:$A,$B245,'Blocker log'!$G:$G,"&lt;&gt;"))</f>
        <v>0</v>
      </c>
      <c r="N245" s="20">
        <f>IF($B245="","",COUNTIFS('Blocker log'!$A:$A,$B245,'Blocker log'!$G:$G,"Hard blocker"))</f>
        <v>0</v>
      </c>
      <c r="O245" s="20">
        <f>IF($B245="","",COUNTIFS('Blocker log'!$A:$A,$B245,'Blocker log'!$G:$G,"Hard blocker",'Blocker log'!$L:$L,9))</f>
        <v>0</v>
      </c>
      <c r="P245" s="20">
        <f>IF($B245="","",MAXIFS('Blocker log'!$L:$L,'Blocker log'!$A:$A,$B245,'Blocker log'!$G:$G,"Hard blocker"))</f>
        <v>0</v>
      </c>
      <c r="Q245" s="20" t="str">
        <f>IF($B245="","",IF($K245&lt;&gt;"Complete","Assessment pending",IF($N245=0,"Ready now",VLOOKUP($P245,Lists!$D$2:$E$5,2,FALSE))))</f>
        <v>Assessment pending</v>
      </c>
    </row>
    <row r="246" ht="15.75" customHeight="1">
      <c r="A246" s="35" t="s">
        <v>1073</v>
      </c>
      <c r="B246" s="35" t="s">
        <v>1074</v>
      </c>
      <c r="C246" s="35" t="s">
        <v>57</v>
      </c>
      <c r="D246" s="35" t="s">
        <v>301</v>
      </c>
      <c r="E246" s="35" t="s">
        <v>490</v>
      </c>
      <c r="F246" s="35" t="s">
        <v>490</v>
      </c>
      <c r="G246" s="35" t="s">
        <v>1042</v>
      </c>
      <c r="H246" s="76">
        <v>816811.0</v>
      </c>
      <c r="I246" s="35"/>
      <c r="M246" s="20">
        <f>IF($B246="","",COUNTIFS('Blocker log'!$A:$A,$B246,'Blocker log'!$G:$G,"&lt;&gt;"))</f>
        <v>0</v>
      </c>
      <c r="N246" s="20">
        <f>IF($B246="","",COUNTIFS('Blocker log'!$A:$A,$B246,'Blocker log'!$G:$G,"Hard blocker"))</f>
        <v>0</v>
      </c>
      <c r="O246" s="20">
        <f>IF($B246="","",COUNTIFS('Blocker log'!$A:$A,$B246,'Blocker log'!$G:$G,"Hard blocker",'Blocker log'!$L:$L,9))</f>
        <v>0</v>
      </c>
      <c r="P246" s="20">
        <f>IF($B246="","",MAXIFS('Blocker log'!$L:$L,'Blocker log'!$A:$A,$B246,'Blocker log'!$G:$G,"Hard blocker"))</f>
        <v>0</v>
      </c>
      <c r="Q246" s="20" t="str">
        <f>IF($B246="","",IF($K246&lt;&gt;"Complete","Assessment pending",IF($N246=0,"Ready now",VLOOKUP($P246,Lists!$D$2:$E$5,2,FALSE))))</f>
        <v>Assessment pending</v>
      </c>
    </row>
    <row r="247" ht="15.75" customHeight="1">
      <c r="A247" s="35" t="s">
        <v>1075</v>
      </c>
      <c r="B247" s="35" t="s">
        <v>1076</v>
      </c>
      <c r="C247" s="35" t="s">
        <v>57</v>
      </c>
      <c r="D247" s="35" t="s">
        <v>58</v>
      </c>
      <c r="E247" s="35" t="s">
        <v>181</v>
      </c>
      <c r="F247" s="35" t="s">
        <v>190</v>
      </c>
      <c r="G247" s="35" t="s">
        <v>980</v>
      </c>
      <c r="H247" s="76">
        <v>781047.0</v>
      </c>
      <c r="I247" s="35" t="s">
        <v>218</v>
      </c>
      <c r="M247" s="20">
        <f>IF($B247="","",COUNTIFS('Blocker log'!$A:$A,$B247,'Blocker log'!$G:$G,"&lt;&gt;"))</f>
        <v>0</v>
      </c>
      <c r="N247" s="20">
        <f>IF($B247="","",COUNTIFS('Blocker log'!$A:$A,$B247,'Blocker log'!$G:$G,"Hard blocker"))</f>
        <v>0</v>
      </c>
      <c r="O247" s="20">
        <f>IF($B247="","",COUNTIFS('Blocker log'!$A:$A,$B247,'Blocker log'!$G:$G,"Hard blocker",'Blocker log'!$L:$L,9))</f>
        <v>0</v>
      </c>
      <c r="P247" s="20">
        <f>IF($B247="","",MAXIFS('Blocker log'!$L:$L,'Blocker log'!$A:$A,$B247,'Blocker log'!$G:$G,"Hard blocker"))</f>
        <v>0</v>
      </c>
      <c r="Q247" s="20" t="str">
        <f>IF($B247="","",IF($K247&lt;&gt;"Complete","Assessment pending",IF($N247=0,"Ready now",VLOOKUP($P247,Lists!$D$2:$E$5,2,FALSE))))</f>
        <v>Assessment pending</v>
      </c>
    </row>
    <row r="248" ht="15.75" customHeight="1">
      <c r="A248" s="35" t="s">
        <v>1077</v>
      </c>
      <c r="B248" s="35" t="s">
        <v>1078</v>
      </c>
      <c r="C248" s="35" t="s">
        <v>57</v>
      </c>
      <c r="D248" s="35" t="s">
        <v>58</v>
      </c>
      <c r="E248" s="35" t="s">
        <v>181</v>
      </c>
      <c r="F248" s="35" t="s">
        <v>182</v>
      </c>
      <c r="G248" s="35" t="s">
        <v>980</v>
      </c>
      <c r="H248" s="76">
        <v>778722.0</v>
      </c>
      <c r="I248" s="35" t="s">
        <v>183</v>
      </c>
      <c r="M248" s="20">
        <f>IF($B248="","",COUNTIFS('Blocker log'!$A:$A,$B248,'Blocker log'!$G:$G,"&lt;&gt;"))</f>
        <v>0</v>
      </c>
      <c r="N248" s="20">
        <f>IF($B248="","",COUNTIFS('Blocker log'!$A:$A,$B248,'Blocker log'!$G:$G,"Hard blocker"))</f>
        <v>0</v>
      </c>
      <c r="O248" s="20">
        <f>IF($B248="","",COUNTIFS('Blocker log'!$A:$A,$B248,'Blocker log'!$G:$G,"Hard blocker",'Blocker log'!$L:$L,9))</f>
        <v>0</v>
      </c>
      <c r="P248" s="20">
        <f>IF($B248="","",MAXIFS('Blocker log'!$L:$L,'Blocker log'!$A:$A,$B248,'Blocker log'!$G:$G,"Hard blocker"))</f>
        <v>0</v>
      </c>
      <c r="Q248" s="20" t="str">
        <f>IF($B248="","",IF($K248&lt;&gt;"Complete","Assessment pending",IF($N248=0,"Ready now",VLOOKUP($P248,Lists!$D$2:$E$5,2,FALSE))))</f>
        <v>Assessment pending</v>
      </c>
    </row>
    <row r="249" ht="15.75" customHeight="1">
      <c r="A249" s="35" t="s">
        <v>1079</v>
      </c>
      <c r="B249" s="35" t="s">
        <v>1080</v>
      </c>
      <c r="C249" s="35" t="s">
        <v>57</v>
      </c>
      <c r="D249" s="35" t="s">
        <v>58</v>
      </c>
      <c r="E249" s="35" t="s">
        <v>140</v>
      </c>
      <c r="F249" s="35" t="s">
        <v>156</v>
      </c>
      <c r="G249" s="35" t="s">
        <v>980</v>
      </c>
      <c r="H249" s="76">
        <v>765591.0</v>
      </c>
      <c r="I249" s="35" t="s">
        <v>365</v>
      </c>
      <c r="M249" s="20">
        <f>IF($B249="","",COUNTIFS('Blocker log'!$A:$A,$B249,'Blocker log'!$G:$G,"&lt;&gt;"))</f>
        <v>0</v>
      </c>
      <c r="N249" s="20">
        <f>IF($B249="","",COUNTIFS('Blocker log'!$A:$A,$B249,'Blocker log'!$G:$G,"Hard blocker"))</f>
        <v>0</v>
      </c>
      <c r="O249" s="20">
        <f>IF($B249="","",COUNTIFS('Blocker log'!$A:$A,$B249,'Blocker log'!$G:$G,"Hard blocker",'Blocker log'!$L:$L,9))</f>
        <v>0</v>
      </c>
      <c r="P249" s="20">
        <f>IF($B249="","",MAXIFS('Blocker log'!$L:$L,'Blocker log'!$A:$A,$B249,'Blocker log'!$G:$G,"Hard blocker"))</f>
        <v>0</v>
      </c>
      <c r="Q249" s="20" t="str">
        <f>IF($B249="","",IF($K249&lt;&gt;"Complete","Assessment pending",IF($N249=0,"Ready now",VLOOKUP($P249,Lists!$D$2:$E$5,2,FALSE))))</f>
        <v>Assessment pending</v>
      </c>
    </row>
    <row r="250" ht="15.75" customHeight="1">
      <c r="A250" s="35" t="s">
        <v>1081</v>
      </c>
      <c r="B250" s="35" t="s">
        <v>1082</v>
      </c>
      <c r="C250" s="35" t="s">
        <v>57</v>
      </c>
      <c r="D250" s="35" t="s">
        <v>58</v>
      </c>
      <c r="E250" s="35" t="s">
        <v>140</v>
      </c>
      <c r="F250" s="35" t="s">
        <v>200</v>
      </c>
      <c r="G250" s="35" t="s">
        <v>1006</v>
      </c>
      <c r="H250" s="76">
        <v>764500.0</v>
      </c>
      <c r="I250" s="35" t="s">
        <v>183</v>
      </c>
      <c r="M250" s="20">
        <f>IF($B250="","",COUNTIFS('Blocker log'!$A:$A,$B250,'Blocker log'!$G:$G,"&lt;&gt;"))</f>
        <v>0</v>
      </c>
      <c r="N250" s="20">
        <f>IF($B250="","",COUNTIFS('Blocker log'!$A:$A,$B250,'Blocker log'!$G:$G,"Hard blocker"))</f>
        <v>0</v>
      </c>
      <c r="O250" s="20">
        <f>IF($B250="","",COUNTIFS('Blocker log'!$A:$A,$B250,'Blocker log'!$G:$G,"Hard blocker",'Blocker log'!$L:$L,9))</f>
        <v>0</v>
      </c>
      <c r="P250" s="20">
        <f>IF($B250="","",MAXIFS('Blocker log'!$L:$L,'Blocker log'!$A:$A,$B250,'Blocker log'!$G:$G,"Hard blocker"))</f>
        <v>0</v>
      </c>
      <c r="Q250" s="20" t="str">
        <f>IF($B250="","",IF($K250&lt;&gt;"Complete","Assessment pending",IF($N250=0,"Ready now",VLOOKUP($P250,Lists!$D$2:$E$5,2,FALSE))))</f>
        <v>Assessment pending</v>
      </c>
    </row>
    <row r="251" ht="15.75" customHeight="1">
      <c r="A251" s="35" t="s">
        <v>1083</v>
      </c>
      <c r="B251" s="35" t="s">
        <v>1084</v>
      </c>
      <c r="C251" s="35" t="s">
        <v>57</v>
      </c>
      <c r="D251" s="35" t="s">
        <v>171</v>
      </c>
      <c r="E251" s="35" t="s">
        <v>524</v>
      </c>
      <c r="F251" s="35" t="s">
        <v>1085</v>
      </c>
      <c r="G251" s="35" t="s">
        <v>980</v>
      </c>
      <c r="H251" s="76">
        <v>750798.0</v>
      </c>
      <c r="I251" s="35" t="s">
        <v>394</v>
      </c>
      <c r="M251" s="20">
        <f>IF($B251="","",COUNTIFS('Blocker log'!$A:$A,$B251,'Blocker log'!$G:$G,"&lt;&gt;"))</f>
        <v>0</v>
      </c>
      <c r="N251" s="20">
        <f>IF($B251="","",COUNTIFS('Blocker log'!$A:$A,$B251,'Blocker log'!$G:$G,"Hard blocker"))</f>
        <v>0</v>
      </c>
      <c r="O251" s="20">
        <f>IF($B251="","",COUNTIFS('Blocker log'!$A:$A,$B251,'Blocker log'!$G:$G,"Hard blocker",'Blocker log'!$L:$L,9))</f>
        <v>0</v>
      </c>
      <c r="P251" s="20">
        <f>IF($B251="","",MAXIFS('Blocker log'!$L:$L,'Blocker log'!$A:$A,$B251,'Blocker log'!$G:$G,"Hard blocker"))</f>
        <v>0</v>
      </c>
      <c r="Q251" s="20" t="str">
        <f>IF($B251="","",IF($K251&lt;&gt;"Complete","Assessment pending",IF($N251=0,"Ready now",VLOOKUP($P251,Lists!$D$2:$E$5,2,FALSE))))</f>
        <v>Assessment pending</v>
      </c>
    </row>
    <row r="252" ht="15.75" customHeight="1">
      <c r="A252" s="35" t="s">
        <v>1086</v>
      </c>
      <c r="B252" s="35" t="s">
        <v>1087</v>
      </c>
      <c r="C252" s="35" t="s">
        <v>57</v>
      </c>
      <c r="D252" s="35" t="s">
        <v>171</v>
      </c>
      <c r="E252" s="35" t="s">
        <v>668</v>
      </c>
      <c r="F252" s="35" t="s">
        <v>669</v>
      </c>
      <c r="G252" s="35" t="s">
        <v>980</v>
      </c>
      <c r="H252" s="76">
        <v>736615.0</v>
      </c>
      <c r="I252" s="35"/>
      <c r="M252" s="20">
        <f>IF($B252="","",COUNTIFS('Blocker log'!$A:$A,$B252,'Blocker log'!$G:$G,"&lt;&gt;"))</f>
        <v>0</v>
      </c>
      <c r="N252" s="20">
        <f>IF($B252="","",COUNTIFS('Blocker log'!$A:$A,$B252,'Blocker log'!$G:$G,"Hard blocker"))</f>
        <v>0</v>
      </c>
      <c r="O252" s="20">
        <f>IF($B252="","",COUNTIFS('Blocker log'!$A:$A,$B252,'Blocker log'!$G:$G,"Hard blocker",'Blocker log'!$L:$L,9))</f>
        <v>0</v>
      </c>
      <c r="P252" s="20">
        <f>IF($B252="","",MAXIFS('Blocker log'!$L:$L,'Blocker log'!$A:$A,$B252,'Blocker log'!$G:$G,"Hard blocker"))</f>
        <v>0</v>
      </c>
      <c r="Q252" s="20" t="str">
        <f>IF($B252="","",IF($K252&lt;&gt;"Complete","Assessment pending",IF($N252=0,"Ready now",VLOOKUP($P252,Lists!$D$2:$E$5,2,FALSE))))</f>
        <v>Assessment pending</v>
      </c>
    </row>
    <row r="253" ht="15.75" customHeight="1">
      <c r="A253" s="35" t="s">
        <v>1088</v>
      </c>
      <c r="B253" s="35" t="s">
        <v>1089</v>
      </c>
      <c r="C253" s="35" t="s">
        <v>57</v>
      </c>
      <c r="D253" s="35" t="s">
        <v>58</v>
      </c>
      <c r="E253" s="35" t="s">
        <v>181</v>
      </c>
      <c r="F253" s="35" t="s">
        <v>653</v>
      </c>
      <c r="G253" s="35" t="s">
        <v>980</v>
      </c>
      <c r="H253" s="76">
        <v>733410.0</v>
      </c>
      <c r="I253" s="35" t="s">
        <v>183</v>
      </c>
      <c r="M253" s="20">
        <f>IF($B253="","",COUNTIFS('Blocker log'!$A:$A,$B253,'Blocker log'!$G:$G,"&lt;&gt;"))</f>
        <v>0</v>
      </c>
      <c r="N253" s="20">
        <f>IF($B253="","",COUNTIFS('Blocker log'!$A:$A,$B253,'Blocker log'!$G:$G,"Hard blocker"))</f>
        <v>0</v>
      </c>
      <c r="O253" s="20">
        <f>IF($B253="","",COUNTIFS('Blocker log'!$A:$A,$B253,'Blocker log'!$G:$G,"Hard blocker",'Blocker log'!$L:$L,9))</f>
        <v>0</v>
      </c>
      <c r="P253" s="20">
        <f>IF($B253="","",MAXIFS('Blocker log'!$L:$L,'Blocker log'!$A:$A,$B253,'Blocker log'!$G:$G,"Hard blocker"))</f>
        <v>0</v>
      </c>
      <c r="Q253" s="20" t="str">
        <f>IF($B253="","",IF($K253&lt;&gt;"Complete","Assessment pending",IF($N253=0,"Ready now",VLOOKUP($P253,Lists!$D$2:$E$5,2,FALSE))))</f>
        <v>Assessment pending</v>
      </c>
    </row>
    <row r="254" ht="15.75" customHeight="1">
      <c r="A254" s="35" t="s">
        <v>1090</v>
      </c>
      <c r="B254" s="35" t="s">
        <v>1091</v>
      </c>
      <c r="C254" s="35" t="s">
        <v>57</v>
      </c>
      <c r="D254" s="35" t="s">
        <v>260</v>
      </c>
      <c r="E254" s="35" t="s">
        <v>351</v>
      </c>
      <c r="F254" s="35" t="s">
        <v>886</v>
      </c>
      <c r="G254" s="35" t="s">
        <v>980</v>
      </c>
      <c r="H254" s="76">
        <v>726721.0</v>
      </c>
      <c r="I254" s="35" t="s">
        <v>392</v>
      </c>
      <c r="M254" s="20">
        <f>IF($B254="","",COUNTIFS('Blocker log'!$A:$A,$B254,'Blocker log'!$G:$G,"&lt;&gt;"))</f>
        <v>0</v>
      </c>
      <c r="N254" s="20">
        <f>IF($B254="","",COUNTIFS('Blocker log'!$A:$A,$B254,'Blocker log'!$G:$G,"Hard blocker"))</f>
        <v>0</v>
      </c>
      <c r="O254" s="20">
        <f>IF($B254="","",COUNTIFS('Blocker log'!$A:$A,$B254,'Blocker log'!$G:$G,"Hard blocker",'Blocker log'!$L:$L,9))</f>
        <v>0</v>
      </c>
      <c r="P254" s="20">
        <f>IF($B254="","",MAXIFS('Blocker log'!$L:$L,'Blocker log'!$A:$A,$B254,'Blocker log'!$G:$G,"Hard blocker"))</f>
        <v>0</v>
      </c>
      <c r="Q254" s="20" t="str">
        <f>IF($B254="","",IF($K254&lt;&gt;"Complete","Assessment pending",IF($N254=0,"Ready now",VLOOKUP($P254,Lists!$D$2:$E$5,2,FALSE))))</f>
        <v>Assessment pending</v>
      </c>
    </row>
    <row r="255" ht="15.75" customHeight="1">
      <c r="A255" s="35" t="s">
        <v>1092</v>
      </c>
      <c r="B255" s="35" t="s">
        <v>1093</v>
      </c>
      <c r="C255" s="35" t="s">
        <v>57</v>
      </c>
      <c r="D255" s="35" t="s">
        <v>171</v>
      </c>
      <c r="E255" s="35" t="s">
        <v>172</v>
      </c>
      <c r="F255" s="35" t="s">
        <v>173</v>
      </c>
      <c r="G255" s="35" t="s">
        <v>980</v>
      </c>
      <c r="H255" s="76">
        <v>713309.0</v>
      </c>
      <c r="I255" s="35" t="s">
        <v>174</v>
      </c>
      <c r="M255" s="20">
        <f>IF($B255="","",COUNTIFS('Blocker log'!$A:$A,$B255,'Blocker log'!$G:$G,"&lt;&gt;"))</f>
        <v>0</v>
      </c>
      <c r="N255" s="20">
        <f>IF($B255="","",COUNTIFS('Blocker log'!$A:$A,$B255,'Blocker log'!$G:$G,"Hard blocker"))</f>
        <v>0</v>
      </c>
      <c r="O255" s="20">
        <f>IF($B255="","",COUNTIFS('Blocker log'!$A:$A,$B255,'Blocker log'!$G:$G,"Hard blocker",'Blocker log'!$L:$L,9))</f>
        <v>0</v>
      </c>
      <c r="P255" s="20">
        <f>IF($B255="","",MAXIFS('Blocker log'!$L:$L,'Blocker log'!$A:$A,$B255,'Blocker log'!$G:$G,"Hard blocker"))</f>
        <v>0</v>
      </c>
      <c r="Q255" s="20" t="str">
        <f>IF($B255="","",IF($K255&lt;&gt;"Complete","Assessment pending",IF($N255=0,"Ready now",VLOOKUP($P255,Lists!$D$2:$E$5,2,FALSE))))</f>
        <v>Assessment pending</v>
      </c>
    </row>
    <row r="256" ht="15.75" customHeight="1">
      <c r="A256" s="35" t="s">
        <v>1094</v>
      </c>
      <c r="B256" s="35" t="s">
        <v>1095</v>
      </c>
      <c r="C256" s="35" t="s">
        <v>57</v>
      </c>
      <c r="D256" s="35" t="s">
        <v>260</v>
      </c>
      <c r="E256" s="35" t="s">
        <v>1096</v>
      </c>
      <c r="F256" s="35" t="s">
        <v>1097</v>
      </c>
      <c r="G256" s="35" t="s">
        <v>980</v>
      </c>
      <c r="H256" s="76">
        <v>703110.0</v>
      </c>
      <c r="I256" s="35" t="s">
        <v>395</v>
      </c>
      <c r="M256" s="20">
        <f>IF($B256="","",COUNTIFS('Blocker log'!$A:$A,$B256,'Blocker log'!$G:$G,"&lt;&gt;"))</f>
        <v>0</v>
      </c>
      <c r="N256" s="20">
        <f>IF($B256="","",COUNTIFS('Blocker log'!$A:$A,$B256,'Blocker log'!$G:$G,"Hard blocker"))</f>
        <v>0</v>
      </c>
      <c r="O256" s="20">
        <f>IF($B256="","",COUNTIFS('Blocker log'!$A:$A,$B256,'Blocker log'!$G:$G,"Hard blocker",'Blocker log'!$L:$L,9))</f>
        <v>0</v>
      </c>
      <c r="P256" s="20">
        <f>IF($B256="","",MAXIFS('Blocker log'!$L:$L,'Blocker log'!$A:$A,$B256,'Blocker log'!$G:$G,"Hard blocker"))</f>
        <v>0</v>
      </c>
      <c r="Q256" s="20" t="str">
        <f>IF($B256="","",IF($K256&lt;&gt;"Complete","Assessment pending",IF($N256=0,"Ready now",VLOOKUP($P256,Lists!$D$2:$E$5,2,FALSE))))</f>
        <v>Assessment pending</v>
      </c>
    </row>
    <row r="257" ht="15.75" customHeight="1">
      <c r="A257" s="35" t="s">
        <v>1098</v>
      </c>
      <c r="B257" s="35" t="s">
        <v>1099</v>
      </c>
      <c r="C257" s="35" t="s">
        <v>57</v>
      </c>
      <c r="D257" s="35" t="s">
        <v>58</v>
      </c>
      <c r="E257" s="35" t="s">
        <v>140</v>
      </c>
      <c r="F257" s="35" t="s">
        <v>141</v>
      </c>
      <c r="G257" s="35" t="s">
        <v>1006</v>
      </c>
      <c r="H257" s="76">
        <v>697851.0</v>
      </c>
      <c r="I257" s="35" t="s">
        <v>378</v>
      </c>
      <c r="M257" s="20">
        <f>IF($B257="","",COUNTIFS('Blocker log'!$A:$A,$B257,'Blocker log'!$G:$G,"&lt;&gt;"))</f>
        <v>0</v>
      </c>
      <c r="N257" s="20">
        <f>IF($B257="","",COUNTIFS('Blocker log'!$A:$A,$B257,'Blocker log'!$G:$G,"Hard blocker"))</f>
        <v>0</v>
      </c>
      <c r="O257" s="20">
        <f>IF($B257="","",COUNTIFS('Blocker log'!$A:$A,$B257,'Blocker log'!$G:$G,"Hard blocker",'Blocker log'!$L:$L,9))</f>
        <v>0</v>
      </c>
      <c r="P257" s="20">
        <f>IF($B257="","",MAXIFS('Blocker log'!$L:$L,'Blocker log'!$A:$A,$B257,'Blocker log'!$G:$G,"Hard blocker"))</f>
        <v>0</v>
      </c>
      <c r="Q257" s="20" t="str">
        <f>IF($B257="","",IF($K257&lt;&gt;"Complete","Assessment pending",IF($N257=0,"Ready now",VLOOKUP($P257,Lists!$D$2:$E$5,2,FALSE))))</f>
        <v>Assessment pending</v>
      </c>
    </row>
    <row r="258" ht="15.75" customHeight="1">
      <c r="A258" s="35" t="s">
        <v>1100</v>
      </c>
      <c r="B258" s="35" t="s">
        <v>1101</v>
      </c>
      <c r="C258" s="35" t="s">
        <v>76</v>
      </c>
      <c r="D258" s="35" t="s">
        <v>260</v>
      </c>
      <c r="E258" s="35" t="s">
        <v>351</v>
      </c>
      <c r="F258" s="35" t="s">
        <v>352</v>
      </c>
      <c r="G258" s="35" t="s">
        <v>980</v>
      </c>
      <c r="H258" s="76">
        <v>678061.0</v>
      </c>
      <c r="I258" s="35"/>
      <c r="M258" s="20">
        <f>IF($B258="","",COUNTIFS('Blocker log'!$A:$A,$B258,'Blocker log'!$G:$G,"&lt;&gt;"))</f>
        <v>0</v>
      </c>
      <c r="N258" s="20">
        <f>IF($B258="","",COUNTIFS('Blocker log'!$A:$A,$B258,'Blocker log'!$G:$G,"Hard blocker"))</f>
        <v>0</v>
      </c>
      <c r="O258" s="20">
        <f>IF($B258="","",COUNTIFS('Blocker log'!$A:$A,$B258,'Blocker log'!$G:$G,"Hard blocker",'Blocker log'!$L:$L,9))</f>
        <v>0</v>
      </c>
      <c r="P258" s="20">
        <f>IF($B258="","",MAXIFS('Blocker log'!$L:$L,'Blocker log'!$A:$A,$B258,'Blocker log'!$G:$G,"Hard blocker"))</f>
        <v>0</v>
      </c>
      <c r="Q258" s="20" t="str">
        <f>IF($B258="","",IF($K258&lt;&gt;"Complete","Assessment pending",IF($N258=0,"Ready now",VLOOKUP($P258,Lists!$D$2:$E$5,2,FALSE))))</f>
        <v>Assessment pending</v>
      </c>
    </row>
    <row r="259" ht="15.75" customHeight="1">
      <c r="A259" s="35" t="s">
        <v>1102</v>
      </c>
      <c r="B259" s="35" t="s">
        <v>1103</v>
      </c>
      <c r="C259" s="35" t="s">
        <v>57</v>
      </c>
      <c r="D259" s="35" t="s">
        <v>58</v>
      </c>
      <c r="E259" s="35" t="s">
        <v>140</v>
      </c>
      <c r="F259" s="35" t="s">
        <v>663</v>
      </c>
      <c r="G259" s="35" t="s">
        <v>980</v>
      </c>
      <c r="H259" s="76">
        <v>655135.0</v>
      </c>
      <c r="I259" s="35" t="s">
        <v>391</v>
      </c>
      <c r="M259" s="20">
        <f>IF($B259="","",COUNTIFS('Blocker log'!$A:$A,$B259,'Blocker log'!$G:$G,"&lt;&gt;"))</f>
        <v>0</v>
      </c>
      <c r="N259" s="20">
        <f>IF($B259="","",COUNTIFS('Blocker log'!$A:$A,$B259,'Blocker log'!$G:$G,"Hard blocker"))</f>
        <v>0</v>
      </c>
      <c r="O259" s="20">
        <f>IF($B259="","",COUNTIFS('Blocker log'!$A:$A,$B259,'Blocker log'!$G:$G,"Hard blocker",'Blocker log'!$L:$L,9))</f>
        <v>0</v>
      </c>
      <c r="P259" s="20">
        <f>IF($B259="","",MAXIFS('Blocker log'!$L:$L,'Blocker log'!$A:$A,$B259,'Blocker log'!$G:$G,"Hard blocker"))</f>
        <v>0</v>
      </c>
      <c r="Q259" s="20" t="str">
        <f>IF($B259="","",IF($K259&lt;&gt;"Complete","Assessment pending",IF($N259=0,"Ready now",VLOOKUP($P259,Lists!$D$2:$E$5,2,FALSE))))</f>
        <v>Assessment pending</v>
      </c>
    </row>
    <row r="260" ht="15.75" customHeight="1">
      <c r="A260" s="35" t="s">
        <v>1104</v>
      </c>
      <c r="B260" s="35" t="s">
        <v>1105</v>
      </c>
      <c r="C260" s="35" t="s">
        <v>76</v>
      </c>
      <c r="D260" s="35" t="s">
        <v>260</v>
      </c>
      <c r="E260" s="35" t="s">
        <v>351</v>
      </c>
      <c r="F260" s="35" t="s">
        <v>886</v>
      </c>
      <c r="G260" s="35" t="s">
        <v>980</v>
      </c>
      <c r="H260" s="76">
        <v>628304.0</v>
      </c>
      <c r="I260" s="35"/>
      <c r="M260" s="20">
        <f>IF($B260="","",COUNTIFS('Blocker log'!$A:$A,$B260,'Blocker log'!$G:$G,"&lt;&gt;"))</f>
        <v>0</v>
      </c>
      <c r="N260" s="20">
        <f>IF($B260="","",COUNTIFS('Blocker log'!$A:$A,$B260,'Blocker log'!$G:$G,"Hard blocker"))</f>
        <v>0</v>
      </c>
      <c r="O260" s="20">
        <f>IF($B260="","",COUNTIFS('Blocker log'!$A:$A,$B260,'Blocker log'!$G:$G,"Hard blocker",'Blocker log'!$L:$L,9))</f>
        <v>0</v>
      </c>
      <c r="P260" s="20">
        <f>IF($B260="","",MAXIFS('Blocker log'!$L:$L,'Blocker log'!$A:$A,$B260,'Blocker log'!$G:$G,"Hard blocker"))</f>
        <v>0</v>
      </c>
      <c r="Q260" s="20" t="str">
        <f>IF($B260="","",IF($K260&lt;&gt;"Complete","Assessment pending",IF($N260=0,"Ready now",VLOOKUP($P260,Lists!$D$2:$E$5,2,FALSE))))</f>
        <v>Assessment pending</v>
      </c>
    </row>
    <row r="261" ht="15.75" customHeight="1">
      <c r="A261" s="35" t="s">
        <v>1106</v>
      </c>
      <c r="B261" s="35" t="s">
        <v>1107</v>
      </c>
      <c r="C261" s="35" t="s">
        <v>76</v>
      </c>
      <c r="D261" s="35" t="s">
        <v>58</v>
      </c>
      <c r="E261" s="35" t="s">
        <v>181</v>
      </c>
      <c r="F261" s="35" t="s">
        <v>217</v>
      </c>
      <c r="G261" s="35" t="s">
        <v>980</v>
      </c>
      <c r="H261" s="76">
        <v>628128.0</v>
      </c>
      <c r="I261" s="35"/>
      <c r="M261" s="20">
        <f>IF($B261="","",COUNTIFS('Blocker log'!$A:$A,$B261,'Blocker log'!$G:$G,"&lt;&gt;"))</f>
        <v>0</v>
      </c>
      <c r="N261" s="20">
        <f>IF($B261="","",COUNTIFS('Blocker log'!$A:$A,$B261,'Blocker log'!$G:$G,"Hard blocker"))</f>
        <v>0</v>
      </c>
      <c r="O261" s="20">
        <f>IF($B261="","",COUNTIFS('Blocker log'!$A:$A,$B261,'Blocker log'!$G:$G,"Hard blocker",'Blocker log'!$L:$L,9))</f>
        <v>0</v>
      </c>
      <c r="P261" s="20">
        <f>IF($B261="","",MAXIFS('Blocker log'!$L:$L,'Blocker log'!$A:$A,$B261,'Blocker log'!$G:$G,"Hard blocker"))</f>
        <v>0</v>
      </c>
      <c r="Q261" s="20" t="str">
        <f>IF($B261="","",IF($K261&lt;&gt;"Complete","Assessment pending",IF($N261=0,"Ready now",VLOOKUP($P261,Lists!$D$2:$E$5,2,FALSE))))</f>
        <v>Assessment pending</v>
      </c>
    </row>
    <row r="262" ht="15.75" customHeight="1">
      <c r="A262" s="35" t="s">
        <v>1108</v>
      </c>
      <c r="B262" s="35" t="s">
        <v>1109</v>
      </c>
      <c r="C262" s="35" t="s">
        <v>76</v>
      </c>
      <c r="D262" s="35" t="s">
        <v>171</v>
      </c>
      <c r="E262" s="35" t="s">
        <v>172</v>
      </c>
      <c r="F262" s="35" t="s">
        <v>1110</v>
      </c>
      <c r="G262" s="35" t="s">
        <v>980</v>
      </c>
      <c r="H262" s="76">
        <v>621844.0</v>
      </c>
      <c r="I262" s="35"/>
      <c r="M262" s="20">
        <f>IF($B262="","",COUNTIFS('Blocker log'!$A:$A,$B262,'Blocker log'!$G:$G,"&lt;&gt;"))</f>
        <v>0</v>
      </c>
      <c r="N262" s="20">
        <f>IF($B262="","",COUNTIFS('Blocker log'!$A:$A,$B262,'Blocker log'!$G:$G,"Hard blocker"))</f>
        <v>0</v>
      </c>
      <c r="O262" s="20">
        <f>IF($B262="","",COUNTIFS('Blocker log'!$A:$A,$B262,'Blocker log'!$G:$G,"Hard blocker",'Blocker log'!$L:$L,9))</f>
        <v>0</v>
      </c>
      <c r="P262" s="20">
        <f>IF($B262="","",MAXIFS('Blocker log'!$L:$L,'Blocker log'!$A:$A,$B262,'Blocker log'!$G:$G,"Hard blocker"))</f>
        <v>0</v>
      </c>
      <c r="Q262" s="20" t="str">
        <f>IF($B262="","",IF($K262&lt;&gt;"Complete","Assessment pending",IF($N262=0,"Ready now",VLOOKUP($P262,Lists!$D$2:$E$5,2,FALSE))))</f>
        <v>Assessment pending</v>
      </c>
    </row>
    <row r="263" ht="15.75" customHeight="1">
      <c r="A263" s="35" t="s">
        <v>1111</v>
      </c>
      <c r="B263" s="35" t="s">
        <v>1112</v>
      </c>
      <c r="C263" s="35" t="s">
        <v>76</v>
      </c>
      <c r="D263" s="35" t="s">
        <v>58</v>
      </c>
      <c r="E263" s="35" t="s">
        <v>181</v>
      </c>
      <c r="F263" s="35" t="s">
        <v>190</v>
      </c>
      <c r="G263" s="35" t="s">
        <v>1006</v>
      </c>
      <c r="H263" s="76">
        <v>620065.0</v>
      </c>
      <c r="I263" s="35"/>
      <c r="M263" s="20">
        <f>IF($B263="","",COUNTIFS('Blocker log'!$A:$A,$B263,'Blocker log'!$G:$G,"&lt;&gt;"))</f>
        <v>0</v>
      </c>
      <c r="N263" s="20">
        <f>IF($B263="","",COUNTIFS('Blocker log'!$A:$A,$B263,'Blocker log'!$G:$G,"Hard blocker"))</f>
        <v>0</v>
      </c>
      <c r="O263" s="20">
        <f>IF($B263="","",COUNTIFS('Blocker log'!$A:$A,$B263,'Blocker log'!$G:$G,"Hard blocker",'Blocker log'!$L:$L,9))</f>
        <v>0</v>
      </c>
      <c r="P263" s="20">
        <f>IF($B263="","",MAXIFS('Blocker log'!$L:$L,'Blocker log'!$A:$A,$B263,'Blocker log'!$G:$G,"Hard blocker"))</f>
        <v>0</v>
      </c>
      <c r="Q263" s="20" t="str">
        <f>IF($B263="","",IF($K263&lt;&gt;"Complete","Assessment pending",IF($N263=0,"Ready now",VLOOKUP($P263,Lists!$D$2:$E$5,2,FALSE))))</f>
        <v>Assessment pending</v>
      </c>
    </row>
    <row r="264" ht="15.75" customHeight="1">
      <c r="A264" s="35" t="s">
        <v>1113</v>
      </c>
      <c r="B264" s="35" t="s">
        <v>1114</v>
      </c>
      <c r="C264" s="35" t="s">
        <v>76</v>
      </c>
      <c r="D264" s="35" t="s">
        <v>58</v>
      </c>
      <c r="E264" s="35" t="s">
        <v>132</v>
      </c>
      <c r="F264" s="35" t="s">
        <v>133</v>
      </c>
      <c r="G264" s="35" t="s">
        <v>1006</v>
      </c>
      <c r="H264" s="76">
        <v>613763.0</v>
      </c>
      <c r="I264" s="35"/>
      <c r="M264" s="20">
        <f>IF($B264="","",COUNTIFS('Blocker log'!$A:$A,$B264,'Blocker log'!$G:$G,"&lt;&gt;"))</f>
        <v>0</v>
      </c>
      <c r="N264" s="20">
        <f>IF($B264="","",COUNTIFS('Blocker log'!$A:$A,$B264,'Blocker log'!$G:$G,"Hard blocker"))</f>
        <v>0</v>
      </c>
      <c r="O264" s="20">
        <f>IF($B264="","",COUNTIFS('Blocker log'!$A:$A,$B264,'Blocker log'!$G:$G,"Hard blocker",'Blocker log'!$L:$L,9))</f>
        <v>0</v>
      </c>
      <c r="P264" s="20">
        <f>IF($B264="","",MAXIFS('Blocker log'!$L:$L,'Blocker log'!$A:$A,$B264,'Blocker log'!$G:$G,"Hard blocker"))</f>
        <v>0</v>
      </c>
      <c r="Q264" s="20" t="str">
        <f>IF($B264="","",IF($K264&lt;&gt;"Complete","Assessment pending",IF($N264=0,"Ready now",VLOOKUP($P264,Lists!$D$2:$E$5,2,FALSE))))</f>
        <v>Assessment pending</v>
      </c>
    </row>
    <row r="265" ht="15.75" customHeight="1">
      <c r="A265" s="35" t="s">
        <v>1115</v>
      </c>
      <c r="B265" s="35" t="s">
        <v>1116</v>
      </c>
      <c r="C265" s="35" t="s">
        <v>76</v>
      </c>
      <c r="D265" s="35" t="s">
        <v>58</v>
      </c>
      <c r="E265" s="35" t="s">
        <v>181</v>
      </c>
      <c r="F265" s="35" t="s">
        <v>190</v>
      </c>
      <c r="G265" s="35" t="s">
        <v>980</v>
      </c>
      <c r="H265" s="76">
        <v>590108.0</v>
      </c>
      <c r="I265" s="35"/>
      <c r="M265" s="20">
        <f>IF($B265="","",COUNTIFS('Blocker log'!$A:$A,$B265,'Blocker log'!$G:$G,"&lt;&gt;"))</f>
        <v>0</v>
      </c>
      <c r="N265" s="20">
        <f>IF($B265="","",COUNTIFS('Blocker log'!$A:$A,$B265,'Blocker log'!$G:$G,"Hard blocker"))</f>
        <v>0</v>
      </c>
      <c r="O265" s="20">
        <f>IF($B265="","",COUNTIFS('Blocker log'!$A:$A,$B265,'Blocker log'!$G:$G,"Hard blocker",'Blocker log'!$L:$L,9))</f>
        <v>0</v>
      </c>
      <c r="P265" s="20">
        <f>IF($B265="","",MAXIFS('Blocker log'!$L:$L,'Blocker log'!$A:$A,$B265,'Blocker log'!$G:$G,"Hard blocker"))</f>
        <v>0</v>
      </c>
      <c r="Q265" s="20" t="str">
        <f>IF($B265="","",IF($K265&lt;&gt;"Complete","Assessment pending",IF($N265=0,"Ready now",VLOOKUP($P265,Lists!$D$2:$E$5,2,FALSE))))</f>
        <v>Assessment pending</v>
      </c>
    </row>
    <row r="266" ht="15.75" customHeight="1">
      <c r="A266" s="35" t="s">
        <v>1117</v>
      </c>
      <c r="B266" s="35" t="s">
        <v>1118</v>
      </c>
      <c r="C266" s="35" t="s">
        <v>76</v>
      </c>
      <c r="D266" s="35" t="s">
        <v>58</v>
      </c>
      <c r="E266" s="35" t="s">
        <v>140</v>
      </c>
      <c r="F266" s="35" t="s">
        <v>141</v>
      </c>
      <c r="G266" s="35" t="s">
        <v>999</v>
      </c>
      <c r="H266" s="76">
        <v>588791.0</v>
      </c>
      <c r="I266" s="35"/>
      <c r="M266" s="20">
        <f>IF($B266="","",COUNTIFS('Blocker log'!$A:$A,$B266,'Blocker log'!$G:$G,"&lt;&gt;"))</f>
        <v>0</v>
      </c>
      <c r="N266" s="20">
        <f>IF($B266="","",COUNTIFS('Blocker log'!$A:$A,$B266,'Blocker log'!$G:$G,"Hard blocker"))</f>
        <v>0</v>
      </c>
      <c r="O266" s="20">
        <f>IF($B266="","",COUNTIFS('Blocker log'!$A:$A,$B266,'Blocker log'!$G:$G,"Hard blocker",'Blocker log'!$L:$L,9))</f>
        <v>0</v>
      </c>
      <c r="P266" s="20">
        <f>IF($B266="","",MAXIFS('Blocker log'!$L:$L,'Blocker log'!$A:$A,$B266,'Blocker log'!$G:$G,"Hard blocker"))</f>
        <v>0</v>
      </c>
      <c r="Q266" s="20" t="str">
        <f>IF($B266="","",IF($K266&lt;&gt;"Complete","Assessment pending",IF($N266=0,"Ready now",VLOOKUP($P266,Lists!$D$2:$E$5,2,FALSE))))</f>
        <v>Assessment pending</v>
      </c>
    </row>
    <row r="267" ht="15.75" customHeight="1">
      <c r="A267" s="35" t="s">
        <v>1119</v>
      </c>
      <c r="B267" s="35" t="s">
        <v>1120</v>
      </c>
      <c r="C267" s="35" t="s">
        <v>76</v>
      </c>
      <c r="D267" s="35" t="s">
        <v>260</v>
      </c>
      <c r="E267" s="35" t="s">
        <v>351</v>
      </c>
      <c r="F267" s="35" t="s">
        <v>1121</v>
      </c>
      <c r="G267" s="35" t="s">
        <v>980</v>
      </c>
      <c r="H267" s="76">
        <v>587954.0</v>
      </c>
      <c r="I267" s="35"/>
      <c r="M267" s="20">
        <f>IF($B267="","",COUNTIFS('Blocker log'!$A:$A,$B267,'Blocker log'!$G:$G,"&lt;&gt;"))</f>
        <v>0</v>
      </c>
      <c r="N267" s="20">
        <f>IF($B267="","",COUNTIFS('Blocker log'!$A:$A,$B267,'Blocker log'!$G:$G,"Hard blocker"))</f>
        <v>0</v>
      </c>
      <c r="O267" s="20">
        <f>IF($B267="","",COUNTIFS('Blocker log'!$A:$A,$B267,'Blocker log'!$G:$G,"Hard blocker",'Blocker log'!$L:$L,9))</f>
        <v>0</v>
      </c>
      <c r="P267" s="20">
        <f>IF($B267="","",MAXIFS('Blocker log'!$L:$L,'Blocker log'!$A:$A,$B267,'Blocker log'!$G:$G,"Hard blocker"))</f>
        <v>0</v>
      </c>
      <c r="Q267" s="20" t="str">
        <f>IF($B267="","",IF($K267&lt;&gt;"Complete","Assessment pending",IF($N267=0,"Ready now",VLOOKUP($P267,Lists!$D$2:$E$5,2,FALSE))))</f>
        <v>Assessment pending</v>
      </c>
    </row>
    <row r="268" ht="15.75" customHeight="1">
      <c r="A268" s="35" t="s">
        <v>1122</v>
      </c>
      <c r="B268" s="35" t="s">
        <v>1123</v>
      </c>
      <c r="C268" s="35" t="s">
        <v>76</v>
      </c>
      <c r="D268" s="35" t="s">
        <v>301</v>
      </c>
      <c r="E268" s="35" t="s">
        <v>484</v>
      </c>
      <c r="F268" s="35" t="s">
        <v>484</v>
      </c>
      <c r="G268" s="35" t="s">
        <v>999</v>
      </c>
      <c r="H268" s="76">
        <v>583252.0</v>
      </c>
      <c r="I268" s="35"/>
      <c r="M268" s="20">
        <f>IF($B268="","",COUNTIFS('Blocker log'!$A:$A,$B268,'Blocker log'!$G:$G,"&lt;&gt;"))</f>
        <v>0</v>
      </c>
      <c r="N268" s="20">
        <f>IF($B268="","",COUNTIFS('Blocker log'!$A:$A,$B268,'Blocker log'!$G:$G,"Hard blocker"))</f>
        <v>0</v>
      </c>
      <c r="O268" s="20">
        <f>IF($B268="","",COUNTIFS('Blocker log'!$A:$A,$B268,'Blocker log'!$G:$G,"Hard blocker",'Blocker log'!$L:$L,9))</f>
        <v>0</v>
      </c>
      <c r="P268" s="20">
        <f>IF($B268="","",MAXIFS('Blocker log'!$L:$L,'Blocker log'!$A:$A,$B268,'Blocker log'!$G:$G,"Hard blocker"))</f>
        <v>0</v>
      </c>
      <c r="Q268" s="20" t="str">
        <f>IF($B268="","",IF($K268&lt;&gt;"Complete","Assessment pending",IF($N268=0,"Ready now",VLOOKUP($P268,Lists!$D$2:$E$5,2,FALSE))))</f>
        <v>Assessment pending</v>
      </c>
    </row>
    <row r="269" ht="15.75" customHeight="1">
      <c r="A269" s="35" t="s">
        <v>1124</v>
      </c>
      <c r="B269" s="35" t="s">
        <v>1125</v>
      </c>
      <c r="C269" s="35" t="s">
        <v>57</v>
      </c>
      <c r="D269" s="35" t="s">
        <v>58</v>
      </c>
      <c r="E269" s="35" t="s">
        <v>181</v>
      </c>
      <c r="F269" s="35" t="s">
        <v>182</v>
      </c>
      <c r="G269" s="35" t="s">
        <v>1042</v>
      </c>
      <c r="H269" s="76">
        <v>538635.0</v>
      </c>
      <c r="I269" s="35" t="s">
        <v>269</v>
      </c>
      <c r="M269" s="20">
        <f>IF($B269="","",COUNTIFS('Blocker log'!$A:$A,$B269,'Blocker log'!$G:$G,"&lt;&gt;"))</f>
        <v>0</v>
      </c>
      <c r="N269" s="20">
        <f>IF($B269="","",COUNTIFS('Blocker log'!$A:$A,$B269,'Blocker log'!$G:$G,"Hard blocker"))</f>
        <v>0</v>
      </c>
      <c r="O269" s="20">
        <f>IF($B269="","",COUNTIFS('Blocker log'!$A:$A,$B269,'Blocker log'!$G:$G,"Hard blocker",'Blocker log'!$L:$L,9))</f>
        <v>0</v>
      </c>
      <c r="P269" s="20">
        <f>IF($B269="","",MAXIFS('Blocker log'!$L:$L,'Blocker log'!$A:$A,$B269,'Blocker log'!$G:$G,"Hard blocker"))</f>
        <v>0</v>
      </c>
      <c r="Q269" s="20" t="str">
        <f>IF($B269="","",IF($K269&lt;&gt;"Complete","Assessment pending",IF($N269=0,"Ready now",VLOOKUP($P269,Lists!$D$2:$E$5,2,FALSE))))</f>
        <v>Assessment pending</v>
      </c>
    </row>
    <row r="270" ht="15.75" customHeight="1">
      <c r="A270" s="35" t="s">
        <v>1126</v>
      </c>
      <c r="B270" s="35" t="s">
        <v>1127</v>
      </c>
      <c r="C270" s="35" t="s">
        <v>76</v>
      </c>
      <c r="D270" s="35" t="s">
        <v>58</v>
      </c>
      <c r="E270" s="35" t="s">
        <v>181</v>
      </c>
      <c r="F270" s="35" t="s">
        <v>190</v>
      </c>
      <c r="G270" s="35" t="s">
        <v>1042</v>
      </c>
      <c r="H270" s="76">
        <v>521675.0</v>
      </c>
      <c r="I270" s="35" t="s">
        <v>378</v>
      </c>
      <c r="M270" s="20">
        <f>IF($B270="","",COUNTIFS('Blocker log'!$A:$A,$B270,'Blocker log'!$G:$G,"&lt;&gt;"))</f>
        <v>0</v>
      </c>
      <c r="N270" s="20">
        <f>IF($B270="","",COUNTIFS('Blocker log'!$A:$A,$B270,'Blocker log'!$G:$G,"Hard blocker"))</f>
        <v>0</v>
      </c>
      <c r="O270" s="20">
        <f>IF($B270="","",COUNTIFS('Blocker log'!$A:$A,$B270,'Blocker log'!$G:$G,"Hard blocker",'Blocker log'!$L:$L,9))</f>
        <v>0</v>
      </c>
      <c r="P270" s="20">
        <f>IF($B270="","",MAXIFS('Blocker log'!$L:$L,'Blocker log'!$A:$A,$B270,'Blocker log'!$G:$G,"Hard blocker"))</f>
        <v>0</v>
      </c>
      <c r="Q270" s="20" t="str">
        <f>IF($B270="","",IF($K270&lt;&gt;"Complete","Assessment pending",IF($N270=0,"Ready now",VLOOKUP($P270,Lists!$D$2:$E$5,2,FALSE))))</f>
        <v>Assessment pending</v>
      </c>
    </row>
    <row r="271" ht="15.75" customHeight="1">
      <c r="A271" s="35" t="s">
        <v>1128</v>
      </c>
      <c r="B271" s="35" t="s">
        <v>1129</v>
      </c>
      <c r="C271" s="35" t="s">
        <v>76</v>
      </c>
      <c r="D271" s="35" t="s">
        <v>58</v>
      </c>
      <c r="E271" s="35" t="s">
        <v>140</v>
      </c>
      <c r="F271" s="35" t="s">
        <v>141</v>
      </c>
      <c r="G271" s="35" t="s">
        <v>980</v>
      </c>
      <c r="H271" s="76">
        <v>521348.0</v>
      </c>
      <c r="I271" s="47" t="s">
        <v>396</v>
      </c>
      <c r="K271" s="63" t="s">
        <v>63</v>
      </c>
      <c r="L271" s="77">
        <v>46321.0</v>
      </c>
      <c r="M271" s="20">
        <f>IF($B271="","",COUNTIFS('Blocker log'!$A:$A,$B271,'Blocker log'!$G:$G,"&lt;&gt;"))</f>
        <v>0</v>
      </c>
      <c r="N271" s="20">
        <f>IF($B271="","",COUNTIFS('Blocker log'!$A:$A,$B271,'Blocker log'!$G:$G,"Hard blocker"))</f>
        <v>0</v>
      </c>
      <c r="O271" s="20">
        <f>IF($B271="","",COUNTIFS('Blocker log'!$A:$A,$B271,'Blocker log'!$G:$G,"Hard blocker",'Blocker log'!$L:$L,9))</f>
        <v>0</v>
      </c>
      <c r="P271" s="20">
        <f>IF($B271="","",MAXIFS('Blocker log'!$L:$L,'Blocker log'!$A:$A,$B271,'Blocker log'!$G:$G,"Hard blocker"))</f>
        <v>0</v>
      </c>
      <c r="Q271" s="20" t="str">
        <f>IF($B271="","",IF($K271&lt;&gt;"Complete","Assessment pending",IF($N271=0,"Ready now",VLOOKUP($P271,Lists!$D$2:$E$5,2,FALSE))))</f>
        <v>Ready now</v>
      </c>
    </row>
    <row r="272" ht="15.75" customHeight="1">
      <c r="A272" s="35" t="s">
        <v>1130</v>
      </c>
      <c r="B272" s="35" t="s">
        <v>1131</v>
      </c>
      <c r="C272" s="35" t="s">
        <v>76</v>
      </c>
      <c r="D272" s="35" t="s">
        <v>58</v>
      </c>
      <c r="E272" s="35" t="s">
        <v>181</v>
      </c>
      <c r="F272" s="35" t="s">
        <v>653</v>
      </c>
      <c r="G272" s="35" t="s">
        <v>999</v>
      </c>
      <c r="H272" s="76">
        <v>520000.0</v>
      </c>
      <c r="I272" s="35"/>
      <c r="M272" s="20">
        <f>IF($B272="","",COUNTIFS('Blocker log'!$A:$A,$B272,'Blocker log'!$G:$G,"&lt;&gt;"))</f>
        <v>0</v>
      </c>
      <c r="N272" s="20">
        <f>IF($B272="","",COUNTIFS('Blocker log'!$A:$A,$B272,'Blocker log'!$G:$G,"Hard blocker"))</f>
        <v>0</v>
      </c>
      <c r="O272" s="20">
        <f>IF($B272="","",COUNTIFS('Blocker log'!$A:$A,$B272,'Blocker log'!$G:$G,"Hard blocker",'Blocker log'!$L:$L,9))</f>
        <v>0</v>
      </c>
      <c r="P272" s="20">
        <f>IF($B272="","",MAXIFS('Blocker log'!$L:$L,'Blocker log'!$A:$A,$B272,'Blocker log'!$G:$G,"Hard blocker"))</f>
        <v>0</v>
      </c>
      <c r="Q272" s="20" t="str">
        <f>IF($B272="","",IF($K272&lt;&gt;"Complete","Assessment pending",IF($N272=0,"Ready now",VLOOKUP($P272,Lists!$D$2:$E$5,2,FALSE))))</f>
        <v>Assessment pending</v>
      </c>
    </row>
    <row r="273" ht="15.75" customHeight="1">
      <c r="A273" s="35" t="s">
        <v>1132</v>
      </c>
      <c r="B273" s="35" t="s">
        <v>1133</v>
      </c>
      <c r="C273" s="35" t="s">
        <v>76</v>
      </c>
      <c r="D273" s="35" t="s">
        <v>58</v>
      </c>
      <c r="E273" s="35" t="s">
        <v>181</v>
      </c>
      <c r="F273" s="35" t="s">
        <v>182</v>
      </c>
      <c r="G273" s="35" t="s">
        <v>980</v>
      </c>
      <c r="H273" s="76">
        <v>516755.0</v>
      </c>
      <c r="I273" s="35"/>
      <c r="M273" s="20">
        <f>IF($B273="","",COUNTIFS('Blocker log'!$A:$A,$B273,'Blocker log'!$G:$G,"&lt;&gt;"))</f>
        <v>0</v>
      </c>
      <c r="N273" s="20">
        <f>IF($B273="","",COUNTIFS('Blocker log'!$A:$A,$B273,'Blocker log'!$G:$G,"Hard blocker"))</f>
        <v>0</v>
      </c>
      <c r="O273" s="20">
        <f>IF($B273="","",COUNTIFS('Blocker log'!$A:$A,$B273,'Blocker log'!$G:$G,"Hard blocker",'Blocker log'!$L:$L,9))</f>
        <v>0</v>
      </c>
      <c r="P273" s="20">
        <f>IF($B273="","",MAXIFS('Blocker log'!$L:$L,'Blocker log'!$A:$A,$B273,'Blocker log'!$G:$G,"Hard blocker"))</f>
        <v>0</v>
      </c>
      <c r="Q273" s="20" t="str">
        <f>IF($B273="","",IF($K273&lt;&gt;"Complete","Assessment pending",IF($N273=0,"Ready now",VLOOKUP($P273,Lists!$D$2:$E$5,2,FALSE))))</f>
        <v>Assessment pending</v>
      </c>
    </row>
    <row r="274" ht="15.75" customHeight="1">
      <c r="A274" s="35" t="s">
        <v>1134</v>
      </c>
      <c r="B274" s="35" t="s">
        <v>1135</v>
      </c>
      <c r="C274" s="35" t="s">
        <v>76</v>
      </c>
      <c r="D274" s="35" t="s">
        <v>301</v>
      </c>
      <c r="E274" s="35" t="s">
        <v>490</v>
      </c>
      <c r="F274" s="35" t="s">
        <v>490</v>
      </c>
      <c r="G274" s="35" t="s">
        <v>980</v>
      </c>
      <c r="H274" s="76">
        <v>515904.0</v>
      </c>
      <c r="I274" s="35"/>
      <c r="M274" s="20">
        <f>IF($B274="","",COUNTIFS('Blocker log'!$A:$A,$B274,'Blocker log'!$G:$G,"&lt;&gt;"))</f>
        <v>0</v>
      </c>
      <c r="N274" s="20">
        <f>IF($B274="","",COUNTIFS('Blocker log'!$A:$A,$B274,'Blocker log'!$G:$G,"Hard blocker"))</f>
        <v>0</v>
      </c>
      <c r="O274" s="20">
        <f>IF($B274="","",COUNTIFS('Blocker log'!$A:$A,$B274,'Blocker log'!$G:$G,"Hard blocker",'Blocker log'!$L:$L,9))</f>
        <v>0</v>
      </c>
      <c r="P274" s="20">
        <f>IF($B274="","",MAXIFS('Blocker log'!$L:$L,'Blocker log'!$A:$A,$B274,'Blocker log'!$G:$G,"Hard blocker"))</f>
        <v>0</v>
      </c>
      <c r="Q274" s="20" t="str">
        <f>IF($B274="","",IF($K274&lt;&gt;"Complete","Assessment pending",IF($N274=0,"Ready now",VLOOKUP($P274,Lists!$D$2:$E$5,2,FALSE))))</f>
        <v>Assessment pending</v>
      </c>
    </row>
    <row r="275" ht="15.75" customHeight="1">
      <c r="A275" s="35" t="s">
        <v>1136</v>
      </c>
      <c r="B275" s="35" t="s">
        <v>1137</v>
      </c>
      <c r="C275" s="35" t="s">
        <v>76</v>
      </c>
      <c r="D275" s="35" t="s">
        <v>171</v>
      </c>
      <c r="E275" s="35" t="s">
        <v>512</v>
      </c>
      <c r="F275" s="35" t="s">
        <v>513</v>
      </c>
      <c r="G275" s="35" t="s">
        <v>999</v>
      </c>
      <c r="H275" s="76">
        <v>514737.0</v>
      </c>
      <c r="I275" s="35"/>
      <c r="M275" s="20">
        <f>IF($B275="","",COUNTIFS('Blocker log'!$A:$A,$B275,'Blocker log'!$G:$G,"&lt;&gt;"))</f>
        <v>0</v>
      </c>
      <c r="N275" s="20">
        <f>IF($B275="","",COUNTIFS('Blocker log'!$A:$A,$B275,'Blocker log'!$G:$G,"Hard blocker"))</f>
        <v>0</v>
      </c>
      <c r="O275" s="20">
        <f>IF($B275="","",COUNTIFS('Blocker log'!$A:$A,$B275,'Blocker log'!$G:$G,"Hard blocker",'Blocker log'!$L:$L,9))</f>
        <v>0</v>
      </c>
      <c r="P275" s="20">
        <f>IF($B275="","",MAXIFS('Blocker log'!$L:$L,'Blocker log'!$A:$A,$B275,'Blocker log'!$G:$G,"Hard blocker"))</f>
        <v>0</v>
      </c>
      <c r="Q275" s="20" t="str">
        <f>IF($B275="","",IF($K275&lt;&gt;"Complete","Assessment pending",IF($N275=0,"Ready now",VLOOKUP($P275,Lists!$D$2:$E$5,2,FALSE))))</f>
        <v>Assessment pending</v>
      </c>
    </row>
    <row r="276" ht="15.75" customHeight="1">
      <c r="A276" s="35" t="s">
        <v>1138</v>
      </c>
      <c r="B276" s="35" t="s">
        <v>1139</v>
      </c>
      <c r="C276" s="35" t="s">
        <v>76</v>
      </c>
      <c r="D276" s="35" t="s">
        <v>58</v>
      </c>
      <c r="E276" s="35" t="s">
        <v>140</v>
      </c>
      <c r="F276" s="35" t="s">
        <v>663</v>
      </c>
      <c r="G276" s="35" t="s">
        <v>980</v>
      </c>
      <c r="H276" s="76">
        <v>492409.0</v>
      </c>
      <c r="I276" s="35"/>
      <c r="M276" s="20">
        <f>IF($B276="","",COUNTIFS('Blocker log'!$A:$A,$B276,'Blocker log'!$G:$G,"&lt;&gt;"))</f>
        <v>0</v>
      </c>
      <c r="N276" s="20">
        <f>IF($B276="","",COUNTIFS('Blocker log'!$A:$A,$B276,'Blocker log'!$G:$G,"Hard blocker"))</f>
        <v>0</v>
      </c>
      <c r="O276" s="20">
        <f>IF($B276="","",COUNTIFS('Blocker log'!$A:$A,$B276,'Blocker log'!$G:$G,"Hard blocker",'Blocker log'!$L:$L,9))</f>
        <v>0</v>
      </c>
      <c r="P276" s="20">
        <f>IF($B276="","",MAXIFS('Blocker log'!$L:$L,'Blocker log'!$A:$A,$B276,'Blocker log'!$G:$G,"Hard blocker"))</f>
        <v>0</v>
      </c>
      <c r="Q276" s="20" t="str">
        <f>IF($B276="","",IF($K276&lt;&gt;"Complete","Assessment pending",IF($N276=0,"Ready now",VLOOKUP($P276,Lists!$D$2:$E$5,2,FALSE))))</f>
        <v>Assessment pending</v>
      </c>
    </row>
    <row r="277" ht="15.75" customHeight="1">
      <c r="A277" s="35" t="s">
        <v>1140</v>
      </c>
      <c r="B277" s="35" t="s">
        <v>1141</v>
      </c>
      <c r="C277" s="35" t="s">
        <v>76</v>
      </c>
      <c r="D277" s="35" t="s">
        <v>58</v>
      </c>
      <c r="E277" s="35" t="s">
        <v>140</v>
      </c>
      <c r="F277" s="35" t="s">
        <v>663</v>
      </c>
      <c r="G277" s="35" t="s">
        <v>977</v>
      </c>
      <c r="H277" s="76">
        <v>486000.0</v>
      </c>
      <c r="I277" s="35"/>
      <c r="M277" s="20">
        <f>IF($B277="","",COUNTIFS('Blocker log'!$A:$A,$B277,'Blocker log'!$G:$G,"&lt;&gt;"))</f>
        <v>0</v>
      </c>
      <c r="N277" s="20">
        <f>IF($B277="","",COUNTIFS('Blocker log'!$A:$A,$B277,'Blocker log'!$G:$G,"Hard blocker"))</f>
        <v>0</v>
      </c>
      <c r="O277" s="20">
        <f>IF($B277="","",COUNTIFS('Blocker log'!$A:$A,$B277,'Blocker log'!$G:$G,"Hard blocker",'Blocker log'!$L:$L,9))</f>
        <v>0</v>
      </c>
      <c r="P277" s="20">
        <f>IF($B277="","",MAXIFS('Blocker log'!$L:$L,'Blocker log'!$A:$A,$B277,'Blocker log'!$G:$G,"Hard blocker"))</f>
        <v>0</v>
      </c>
      <c r="Q277" s="20" t="str">
        <f>IF($B277="","",IF($K277&lt;&gt;"Complete","Assessment pending",IF($N277=0,"Ready now",VLOOKUP($P277,Lists!$D$2:$E$5,2,FALSE))))</f>
        <v>Assessment pending</v>
      </c>
    </row>
    <row r="278" ht="15.75" customHeight="1">
      <c r="A278" s="35" t="s">
        <v>1142</v>
      </c>
      <c r="B278" s="35" t="s">
        <v>1143</v>
      </c>
      <c r="C278" s="35" t="s">
        <v>76</v>
      </c>
      <c r="D278" s="35" t="s">
        <v>171</v>
      </c>
      <c r="E278" s="35" t="s">
        <v>205</v>
      </c>
      <c r="F278" s="35" t="s">
        <v>206</v>
      </c>
      <c r="G278" s="35" t="s">
        <v>980</v>
      </c>
      <c r="H278" s="76">
        <v>474209.0</v>
      </c>
      <c r="I278" s="35"/>
      <c r="M278" s="20">
        <f>IF($B278="","",COUNTIFS('Blocker log'!$A:$A,$B278,'Blocker log'!$G:$G,"&lt;&gt;"))</f>
        <v>0</v>
      </c>
      <c r="N278" s="20">
        <f>IF($B278="","",COUNTIFS('Blocker log'!$A:$A,$B278,'Blocker log'!$G:$G,"Hard blocker"))</f>
        <v>0</v>
      </c>
      <c r="O278" s="20">
        <f>IF($B278="","",COUNTIFS('Blocker log'!$A:$A,$B278,'Blocker log'!$G:$G,"Hard blocker",'Blocker log'!$L:$L,9))</f>
        <v>0</v>
      </c>
      <c r="P278" s="20">
        <f>IF($B278="","",MAXIFS('Blocker log'!$L:$L,'Blocker log'!$A:$A,$B278,'Blocker log'!$G:$G,"Hard blocker"))</f>
        <v>0</v>
      </c>
      <c r="Q278" s="20" t="str">
        <f>IF($B278="","",IF($K278&lt;&gt;"Complete","Assessment pending",IF($N278=0,"Ready now",VLOOKUP($P278,Lists!$D$2:$E$5,2,FALSE))))</f>
        <v>Assessment pending</v>
      </c>
    </row>
    <row r="279" ht="15.75" customHeight="1">
      <c r="A279" s="35" t="s">
        <v>1144</v>
      </c>
      <c r="B279" s="35" t="s">
        <v>1145</v>
      </c>
      <c r="C279" s="35" t="s">
        <v>76</v>
      </c>
      <c r="D279" s="35" t="s">
        <v>58</v>
      </c>
      <c r="E279" s="35" t="s">
        <v>181</v>
      </c>
      <c r="F279" s="35" t="s">
        <v>217</v>
      </c>
      <c r="G279" s="35" t="s">
        <v>980</v>
      </c>
      <c r="H279" s="76">
        <v>465380.0</v>
      </c>
      <c r="I279" s="35"/>
      <c r="M279" s="20">
        <f>IF($B279="","",COUNTIFS('Blocker log'!$A:$A,$B279,'Blocker log'!$G:$G,"&lt;&gt;"))</f>
        <v>0</v>
      </c>
      <c r="N279" s="20">
        <f>IF($B279="","",COUNTIFS('Blocker log'!$A:$A,$B279,'Blocker log'!$G:$G,"Hard blocker"))</f>
        <v>0</v>
      </c>
      <c r="O279" s="20">
        <f>IF($B279="","",COUNTIFS('Blocker log'!$A:$A,$B279,'Blocker log'!$G:$G,"Hard blocker",'Blocker log'!$L:$L,9))</f>
        <v>0</v>
      </c>
      <c r="P279" s="20">
        <f>IF($B279="","",MAXIFS('Blocker log'!$L:$L,'Blocker log'!$A:$A,$B279,'Blocker log'!$G:$G,"Hard blocker"))</f>
        <v>0</v>
      </c>
      <c r="Q279" s="20" t="str">
        <f>IF($B279="","",IF($K279&lt;&gt;"Complete","Assessment pending",IF($N279=0,"Ready now",VLOOKUP($P279,Lists!$D$2:$E$5,2,FALSE))))</f>
        <v>Assessment pending</v>
      </c>
    </row>
    <row r="280" ht="15.75" customHeight="1">
      <c r="A280" s="35" t="s">
        <v>1146</v>
      </c>
      <c r="B280" s="35" t="s">
        <v>1147</v>
      </c>
      <c r="C280" s="35" t="s">
        <v>76</v>
      </c>
      <c r="D280" s="35" t="s">
        <v>58</v>
      </c>
      <c r="E280" s="35" t="s">
        <v>140</v>
      </c>
      <c r="F280" s="35" t="s">
        <v>663</v>
      </c>
      <c r="G280" s="35" t="s">
        <v>980</v>
      </c>
      <c r="H280" s="76">
        <v>439200.0</v>
      </c>
      <c r="I280" s="35"/>
      <c r="M280" s="20">
        <f>IF($B280="","",COUNTIFS('Blocker log'!$A:$A,$B280,'Blocker log'!$G:$G,"&lt;&gt;"))</f>
        <v>0</v>
      </c>
      <c r="N280" s="20">
        <f>IF($B280="","",COUNTIFS('Blocker log'!$A:$A,$B280,'Blocker log'!$G:$G,"Hard blocker"))</f>
        <v>0</v>
      </c>
      <c r="O280" s="20">
        <f>IF($B280="","",COUNTIFS('Blocker log'!$A:$A,$B280,'Blocker log'!$G:$G,"Hard blocker",'Blocker log'!$L:$L,9))</f>
        <v>0</v>
      </c>
      <c r="P280" s="20">
        <f>IF($B280="","",MAXIFS('Blocker log'!$L:$L,'Blocker log'!$A:$A,$B280,'Blocker log'!$G:$G,"Hard blocker"))</f>
        <v>0</v>
      </c>
      <c r="Q280" s="20" t="str">
        <f>IF($B280="","",IF($K280&lt;&gt;"Complete","Assessment pending",IF($N280=0,"Ready now",VLOOKUP($P280,Lists!$D$2:$E$5,2,FALSE))))</f>
        <v>Assessment pending</v>
      </c>
    </row>
    <row r="281" ht="15.75" customHeight="1">
      <c r="A281" s="35" t="s">
        <v>1148</v>
      </c>
      <c r="B281" s="35" t="s">
        <v>1149</v>
      </c>
      <c r="C281" s="35" t="s">
        <v>57</v>
      </c>
      <c r="D281" s="35" t="s">
        <v>58</v>
      </c>
      <c r="E281" s="35" t="s">
        <v>132</v>
      </c>
      <c r="F281" s="35" t="s">
        <v>559</v>
      </c>
      <c r="G281" s="35" t="s">
        <v>980</v>
      </c>
      <c r="H281" s="76">
        <v>438269.0</v>
      </c>
      <c r="I281" s="35" t="s">
        <v>384</v>
      </c>
      <c r="M281" s="20">
        <f>IF($B281="","",COUNTIFS('Blocker log'!$A:$A,$B281,'Blocker log'!$G:$G,"&lt;&gt;"))</f>
        <v>0</v>
      </c>
      <c r="N281" s="20">
        <f>IF($B281="","",COUNTIFS('Blocker log'!$A:$A,$B281,'Blocker log'!$G:$G,"Hard blocker"))</f>
        <v>0</v>
      </c>
      <c r="O281" s="20">
        <f>IF($B281="","",COUNTIFS('Blocker log'!$A:$A,$B281,'Blocker log'!$G:$G,"Hard blocker",'Blocker log'!$L:$L,9))</f>
        <v>0</v>
      </c>
      <c r="P281" s="20">
        <f>IF($B281="","",MAXIFS('Blocker log'!$L:$L,'Blocker log'!$A:$A,$B281,'Blocker log'!$G:$G,"Hard blocker"))</f>
        <v>0</v>
      </c>
      <c r="Q281" s="20" t="str">
        <f>IF($B281="","",IF($K281&lt;&gt;"Complete","Assessment pending",IF($N281=0,"Ready now",VLOOKUP($P281,Lists!$D$2:$E$5,2,FALSE))))</f>
        <v>Assessment pending</v>
      </c>
    </row>
    <row r="282" ht="15.75" customHeight="1">
      <c r="A282" s="35" t="s">
        <v>1150</v>
      </c>
      <c r="B282" s="35" t="s">
        <v>1151</v>
      </c>
      <c r="C282" s="35" t="s">
        <v>76</v>
      </c>
      <c r="D282" s="35" t="s">
        <v>58</v>
      </c>
      <c r="E282" s="35" t="s">
        <v>140</v>
      </c>
      <c r="F282" s="35" t="s">
        <v>246</v>
      </c>
      <c r="G282" s="35" t="s">
        <v>1042</v>
      </c>
      <c r="H282" s="76">
        <v>436729.0</v>
      </c>
      <c r="I282" s="35"/>
      <c r="M282" s="20">
        <f>IF($B282="","",COUNTIFS('Blocker log'!$A:$A,$B282,'Blocker log'!$G:$G,"&lt;&gt;"))</f>
        <v>0</v>
      </c>
      <c r="N282" s="20">
        <f>IF($B282="","",COUNTIFS('Blocker log'!$A:$A,$B282,'Blocker log'!$G:$G,"Hard blocker"))</f>
        <v>0</v>
      </c>
      <c r="O282" s="20">
        <f>IF($B282="","",COUNTIFS('Blocker log'!$A:$A,$B282,'Blocker log'!$G:$G,"Hard blocker",'Blocker log'!$L:$L,9))</f>
        <v>0</v>
      </c>
      <c r="P282" s="20">
        <f>IF($B282="","",MAXIFS('Blocker log'!$L:$L,'Blocker log'!$A:$A,$B282,'Blocker log'!$G:$G,"Hard blocker"))</f>
        <v>0</v>
      </c>
      <c r="Q282" s="20" t="str">
        <f>IF($B282="","",IF($K282&lt;&gt;"Complete","Assessment pending",IF($N282=0,"Ready now",VLOOKUP($P282,Lists!$D$2:$E$5,2,FALSE))))</f>
        <v>Assessment pending</v>
      </c>
    </row>
    <row r="283" ht="15.75" customHeight="1">
      <c r="A283" s="35" t="s">
        <v>1152</v>
      </c>
      <c r="B283" s="35" t="s">
        <v>1153</v>
      </c>
      <c r="C283" s="35" t="s">
        <v>76</v>
      </c>
      <c r="D283" s="35" t="s">
        <v>260</v>
      </c>
      <c r="E283" s="35" t="s">
        <v>506</v>
      </c>
      <c r="F283" s="35" t="s">
        <v>685</v>
      </c>
      <c r="G283" s="35" t="s">
        <v>980</v>
      </c>
      <c r="H283" s="76">
        <v>428283.0</v>
      </c>
      <c r="I283" s="35"/>
      <c r="M283" s="20">
        <f>IF($B283="","",COUNTIFS('Blocker log'!$A:$A,$B283,'Blocker log'!$G:$G,"&lt;&gt;"))</f>
        <v>0</v>
      </c>
      <c r="N283" s="20">
        <f>IF($B283="","",COUNTIFS('Blocker log'!$A:$A,$B283,'Blocker log'!$G:$G,"Hard blocker"))</f>
        <v>0</v>
      </c>
      <c r="O283" s="20">
        <f>IF($B283="","",COUNTIFS('Blocker log'!$A:$A,$B283,'Blocker log'!$G:$G,"Hard blocker",'Blocker log'!$L:$L,9))</f>
        <v>0</v>
      </c>
      <c r="P283" s="20">
        <f>IF($B283="","",MAXIFS('Blocker log'!$L:$L,'Blocker log'!$A:$A,$B283,'Blocker log'!$G:$G,"Hard blocker"))</f>
        <v>0</v>
      </c>
      <c r="Q283" s="20" t="str">
        <f>IF($B283="","",IF($K283&lt;&gt;"Complete","Assessment pending",IF($N283=0,"Ready now",VLOOKUP($P283,Lists!$D$2:$E$5,2,FALSE))))</f>
        <v>Assessment pending</v>
      </c>
    </row>
    <row r="284" ht="15.75" customHeight="1">
      <c r="A284" s="35" t="s">
        <v>1154</v>
      </c>
      <c r="B284" s="35" t="s">
        <v>1155</v>
      </c>
      <c r="C284" s="35" t="s">
        <v>76</v>
      </c>
      <c r="D284" s="35" t="s">
        <v>171</v>
      </c>
      <c r="E284" s="35" t="s">
        <v>172</v>
      </c>
      <c r="F284" s="35" t="s">
        <v>1110</v>
      </c>
      <c r="G284" s="35" t="s">
        <v>977</v>
      </c>
      <c r="H284" s="76">
        <v>421686.0</v>
      </c>
      <c r="I284" s="35"/>
      <c r="M284" s="20">
        <f>IF($B284="","",COUNTIFS('Blocker log'!$A:$A,$B284,'Blocker log'!$G:$G,"&lt;&gt;"))</f>
        <v>0</v>
      </c>
      <c r="N284" s="20">
        <f>IF($B284="","",COUNTIFS('Blocker log'!$A:$A,$B284,'Blocker log'!$G:$G,"Hard blocker"))</f>
        <v>0</v>
      </c>
      <c r="O284" s="20">
        <f>IF($B284="","",COUNTIFS('Blocker log'!$A:$A,$B284,'Blocker log'!$G:$G,"Hard blocker",'Blocker log'!$L:$L,9))</f>
        <v>0</v>
      </c>
      <c r="P284" s="20">
        <f>IF($B284="","",MAXIFS('Blocker log'!$L:$L,'Blocker log'!$A:$A,$B284,'Blocker log'!$G:$G,"Hard blocker"))</f>
        <v>0</v>
      </c>
      <c r="Q284" s="20" t="str">
        <f>IF($B284="","",IF($K284&lt;&gt;"Complete","Assessment pending",IF($N284=0,"Ready now",VLOOKUP($P284,Lists!$D$2:$E$5,2,FALSE))))</f>
        <v>Assessment pending</v>
      </c>
    </row>
    <row r="285" ht="15.75" customHeight="1">
      <c r="A285" s="35" t="s">
        <v>1156</v>
      </c>
      <c r="B285" s="35" t="s">
        <v>1157</v>
      </c>
      <c r="C285" s="35" t="s">
        <v>76</v>
      </c>
      <c r="D285" s="35" t="s">
        <v>58</v>
      </c>
      <c r="E285" s="35" t="s">
        <v>140</v>
      </c>
      <c r="F285" s="35" t="s">
        <v>156</v>
      </c>
      <c r="G285" s="35" t="s">
        <v>1042</v>
      </c>
      <c r="H285" s="76">
        <v>419087.0</v>
      </c>
      <c r="I285" s="35"/>
      <c r="M285" s="20">
        <f>IF($B285="","",COUNTIFS('Blocker log'!$A:$A,$B285,'Blocker log'!$G:$G,"&lt;&gt;"))</f>
        <v>0</v>
      </c>
      <c r="N285" s="20">
        <f>IF($B285="","",COUNTIFS('Blocker log'!$A:$A,$B285,'Blocker log'!$G:$G,"Hard blocker"))</f>
        <v>0</v>
      </c>
      <c r="O285" s="20">
        <f>IF($B285="","",COUNTIFS('Blocker log'!$A:$A,$B285,'Blocker log'!$G:$G,"Hard blocker",'Blocker log'!$L:$L,9))</f>
        <v>0</v>
      </c>
      <c r="P285" s="20">
        <f>IF($B285="","",MAXIFS('Blocker log'!$L:$L,'Blocker log'!$A:$A,$B285,'Blocker log'!$G:$G,"Hard blocker"))</f>
        <v>0</v>
      </c>
      <c r="Q285" s="20" t="str">
        <f>IF($B285="","",IF($K285&lt;&gt;"Complete","Assessment pending",IF($N285=0,"Ready now",VLOOKUP($P285,Lists!$D$2:$E$5,2,FALSE))))</f>
        <v>Assessment pending</v>
      </c>
    </row>
    <row r="286" ht="15.75" customHeight="1">
      <c r="A286" s="35" t="s">
        <v>1158</v>
      </c>
      <c r="B286" s="35" t="s">
        <v>1159</v>
      </c>
      <c r="C286" s="35" t="s">
        <v>1160</v>
      </c>
      <c r="D286" s="35" t="s">
        <v>301</v>
      </c>
      <c r="E286" s="35" t="s">
        <v>490</v>
      </c>
      <c r="F286" s="35" t="s">
        <v>490</v>
      </c>
      <c r="G286" s="35" t="s">
        <v>1161</v>
      </c>
      <c r="H286" s="76">
        <v>418518.0</v>
      </c>
      <c r="I286" s="35"/>
      <c r="M286" s="20">
        <f>IF($B286="","",COUNTIFS('Blocker log'!$A:$A,$B286,'Blocker log'!$G:$G,"&lt;&gt;"))</f>
        <v>0</v>
      </c>
      <c r="N286" s="20">
        <f>IF($B286="","",COUNTIFS('Blocker log'!$A:$A,$B286,'Blocker log'!$G:$G,"Hard blocker"))</f>
        <v>0</v>
      </c>
      <c r="O286" s="20">
        <f>IF($B286="","",COUNTIFS('Blocker log'!$A:$A,$B286,'Blocker log'!$G:$G,"Hard blocker",'Blocker log'!$L:$L,9))</f>
        <v>0</v>
      </c>
      <c r="P286" s="20">
        <f>IF($B286="","",MAXIFS('Blocker log'!$L:$L,'Blocker log'!$A:$A,$B286,'Blocker log'!$G:$G,"Hard blocker"))</f>
        <v>0</v>
      </c>
      <c r="Q286" s="20" t="str">
        <f>IF($B286="","",IF($K286&lt;&gt;"Complete","Assessment pending",IF($N286=0,"Ready now",VLOOKUP($P286,Lists!$D$2:$E$5,2,FALSE))))</f>
        <v>Assessment pending</v>
      </c>
    </row>
    <row r="287" ht="15.75" customHeight="1">
      <c r="A287" s="35" t="s">
        <v>1162</v>
      </c>
      <c r="B287" s="35" t="s">
        <v>1163</v>
      </c>
      <c r="C287" s="35" t="s">
        <v>76</v>
      </c>
      <c r="D287" s="35" t="s">
        <v>260</v>
      </c>
      <c r="E287" s="35" t="s">
        <v>351</v>
      </c>
      <c r="F287" s="35" t="s">
        <v>352</v>
      </c>
      <c r="G287" s="35" t="s">
        <v>1006</v>
      </c>
      <c r="H287" s="76">
        <v>418352.0</v>
      </c>
      <c r="I287" s="35"/>
      <c r="M287" s="20">
        <f>IF($B287="","",COUNTIFS('Blocker log'!$A:$A,$B287,'Blocker log'!$G:$G,"&lt;&gt;"))</f>
        <v>0</v>
      </c>
      <c r="N287" s="20">
        <f>IF($B287="","",COUNTIFS('Blocker log'!$A:$A,$B287,'Blocker log'!$G:$G,"Hard blocker"))</f>
        <v>0</v>
      </c>
      <c r="O287" s="20">
        <f>IF($B287="","",COUNTIFS('Blocker log'!$A:$A,$B287,'Blocker log'!$G:$G,"Hard blocker",'Blocker log'!$L:$L,9))</f>
        <v>0</v>
      </c>
      <c r="P287" s="20">
        <f>IF($B287="","",MAXIFS('Blocker log'!$L:$L,'Blocker log'!$A:$A,$B287,'Blocker log'!$G:$G,"Hard blocker"))</f>
        <v>0</v>
      </c>
      <c r="Q287" s="20" t="str">
        <f>IF($B287="","",IF($K287&lt;&gt;"Complete","Assessment pending",IF($N287=0,"Ready now",VLOOKUP($P287,Lists!$D$2:$E$5,2,FALSE))))</f>
        <v>Assessment pending</v>
      </c>
    </row>
    <row r="288" ht="15.75" customHeight="1">
      <c r="A288" s="35" t="s">
        <v>1164</v>
      </c>
      <c r="B288" s="35" t="s">
        <v>1165</v>
      </c>
      <c r="C288" s="35" t="s">
        <v>76</v>
      </c>
      <c r="D288" s="35" t="s">
        <v>171</v>
      </c>
      <c r="E288" s="35" t="s">
        <v>677</v>
      </c>
      <c r="F288" s="35" t="s">
        <v>678</v>
      </c>
      <c r="G288" s="35" t="s">
        <v>1042</v>
      </c>
      <c r="H288" s="76">
        <v>418049.0</v>
      </c>
      <c r="I288" s="35"/>
      <c r="M288" s="20">
        <f>IF($B288="","",COUNTIFS('Blocker log'!$A:$A,$B288,'Blocker log'!$G:$G,"&lt;&gt;"))</f>
        <v>0</v>
      </c>
      <c r="N288" s="20">
        <f>IF($B288="","",COUNTIFS('Blocker log'!$A:$A,$B288,'Blocker log'!$G:$G,"Hard blocker"))</f>
        <v>0</v>
      </c>
      <c r="O288" s="20">
        <f>IF($B288="","",COUNTIFS('Blocker log'!$A:$A,$B288,'Blocker log'!$G:$G,"Hard blocker",'Blocker log'!$L:$L,9))</f>
        <v>0</v>
      </c>
      <c r="P288" s="20">
        <f>IF($B288="","",MAXIFS('Blocker log'!$L:$L,'Blocker log'!$A:$A,$B288,'Blocker log'!$G:$G,"Hard blocker"))</f>
        <v>0</v>
      </c>
      <c r="Q288" s="20" t="str">
        <f>IF($B288="","",IF($K288&lt;&gt;"Complete","Assessment pending",IF($N288=0,"Ready now",VLOOKUP($P288,Lists!$D$2:$E$5,2,FALSE))))</f>
        <v>Assessment pending</v>
      </c>
    </row>
    <row r="289" ht="15.75" customHeight="1">
      <c r="A289" s="35" t="s">
        <v>1166</v>
      </c>
      <c r="B289" s="35" t="s">
        <v>1167</v>
      </c>
      <c r="C289" s="35" t="s">
        <v>76</v>
      </c>
      <c r="D289" s="35" t="s">
        <v>58</v>
      </c>
      <c r="E289" s="35" t="s">
        <v>59</v>
      </c>
      <c r="F289" s="35" t="s">
        <v>77</v>
      </c>
      <c r="G289" s="35" t="s">
        <v>980</v>
      </c>
      <c r="H289" s="76">
        <v>405000.0</v>
      </c>
      <c r="I289" s="35"/>
      <c r="M289" s="20">
        <f>IF($B289="","",COUNTIFS('Blocker log'!$A:$A,$B289,'Blocker log'!$G:$G,"&lt;&gt;"))</f>
        <v>0</v>
      </c>
      <c r="N289" s="20">
        <f>IF($B289="","",COUNTIFS('Blocker log'!$A:$A,$B289,'Blocker log'!$G:$G,"Hard blocker"))</f>
        <v>0</v>
      </c>
      <c r="O289" s="20">
        <f>IF($B289="","",COUNTIFS('Blocker log'!$A:$A,$B289,'Blocker log'!$G:$G,"Hard blocker",'Blocker log'!$L:$L,9))</f>
        <v>0</v>
      </c>
      <c r="P289" s="20">
        <f>IF($B289="","",MAXIFS('Blocker log'!$L:$L,'Blocker log'!$A:$A,$B289,'Blocker log'!$G:$G,"Hard blocker"))</f>
        <v>0</v>
      </c>
      <c r="Q289" s="20" t="str">
        <f>IF($B289="","",IF($K289&lt;&gt;"Complete","Assessment pending",IF($N289=0,"Ready now",VLOOKUP($P289,Lists!$D$2:$E$5,2,FALSE))))</f>
        <v>Assessment pending</v>
      </c>
    </row>
    <row r="290" ht="15.75" customHeight="1">
      <c r="A290" s="35" t="s">
        <v>1168</v>
      </c>
      <c r="B290" s="35" t="s">
        <v>1169</v>
      </c>
      <c r="C290" s="35" t="s">
        <v>76</v>
      </c>
      <c r="D290" s="35" t="s">
        <v>260</v>
      </c>
      <c r="E290" s="35" t="s">
        <v>506</v>
      </c>
      <c r="F290" s="35" t="s">
        <v>685</v>
      </c>
      <c r="G290" s="35" t="s">
        <v>980</v>
      </c>
      <c r="H290" s="76">
        <v>396373.0</v>
      </c>
      <c r="I290" s="35"/>
      <c r="M290" s="20">
        <f>IF($B290="","",COUNTIFS('Blocker log'!$A:$A,$B290,'Blocker log'!$G:$G,"&lt;&gt;"))</f>
        <v>0</v>
      </c>
      <c r="N290" s="20">
        <f>IF($B290="","",COUNTIFS('Blocker log'!$A:$A,$B290,'Blocker log'!$G:$G,"Hard blocker"))</f>
        <v>0</v>
      </c>
      <c r="O290" s="20">
        <f>IF($B290="","",COUNTIFS('Blocker log'!$A:$A,$B290,'Blocker log'!$G:$G,"Hard blocker",'Blocker log'!$L:$L,9))</f>
        <v>0</v>
      </c>
      <c r="P290" s="20">
        <f>IF($B290="","",MAXIFS('Blocker log'!$L:$L,'Blocker log'!$A:$A,$B290,'Blocker log'!$G:$G,"Hard blocker"))</f>
        <v>0</v>
      </c>
      <c r="Q290" s="20" t="str">
        <f>IF($B290="","",IF($K290&lt;&gt;"Complete","Assessment pending",IF($N290=0,"Ready now",VLOOKUP($P290,Lists!$D$2:$E$5,2,FALSE))))</f>
        <v>Assessment pending</v>
      </c>
    </row>
    <row r="291" ht="15.75" customHeight="1">
      <c r="A291" s="35" t="s">
        <v>1170</v>
      </c>
      <c r="B291" s="35" t="s">
        <v>1171</v>
      </c>
      <c r="C291" s="35" t="s">
        <v>57</v>
      </c>
      <c r="D291" s="35" t="s">
        <v>171</v>
      </c>
      <c r="E291" s="35" t="s">
        <v>524</v>
      </c>
      <c r="F291" s="35" t="s">
        <v>525</v>
      </c>
      <c r="G291" s="35" t="s">
        <v>977</v>
      </c>
      <c r="H291" s="76">
        <v>395926.0</v>
      </c>
      <c r="I291" s="35" t="s">
        <v>397</v>
      </c>
      <c r="M291" s="20">
        <f>IF($B291="","",COUNTIFS('Blocker log'!$A:$A,$B291,'Blocker log'!$G:$G,"&lt;&gt;"))</f>
        <v>0</v>
      </c>
      <c r="N291" s="20">
        <f>IF($B291="","",COUNTIFS('Blocker log'!$A:$A,$B291,'Blocker log'!$G:$G,"Hard blocker"))</f>
        <v>0</v>
      </c>
      <c r="O291" s="20">
        <f>IF($B291="","",COUNTIFS('Blocker log'!$A:$A,$B291,'Blocker log'!$G:$G,"Hard blocker",'Blocker log'!$L:$L,9))</f>
        <v>0</v>
      </c>
      <c r="P291" s="20">
        <f>IF($B291="","",MAXIFS('Blocker log'!$L:$L,'Blocker log'!$A:$A,$B291,'Blocker log'!$G:$G,"Hard blocker"))</f>
        <v>0</v>
      </c>
      <c r="Q291" s="20" t="str">
        <f>IF($B291="","",IF($K291&lt;&gt;"Complete","Assessment pending",IF($N291=0,"Ready now",VLOOKUP($P291,Lists!$D$2:$E$5,2,FALSE))))</f>
        <v>Assessment pending</v>
      </c>
    </row>
    <row r="292" ht="15.75" customHeight="1">
      <c r="A292" s="35" t="s">
        <v>1172</v>
      </c>
      <c r="B292" s="35" t="s">
        <v>1173</v>
      </c>
      <c r="C292" s="35" t="s">
        <v>76</v>
      </c>
      <c r="D292" s="35" t="s">
        <v>260</v>
      </c>
      <c r="E292" s="35" t="s">
        <v>351</v>
      </c>
      <c r="F292" s="35" t="s">
        <v>1033</v>
      </c>
      <c r="G292" s="35" t="s">
        <v>980</v>
      </c>
      <c r="H292" s="76">
        <v>394140.0</v>
      </c>
      <c r="I292" s="35"/>
      <c r="M292" s="20">
        <f>IF($B292="","",COUNTIFS('Blocker log'!$A:$A,$B292,'Blocker log'!$G:$G,"&lt;&gt;"))</f>
        <v>0</v>
      </c>
      <c r="N292" s="20">
        <f>IF($B292="","",COUNTIFS('Blocker log'!$A:$A,$B292,'Blocker log'!$G:$G,"Hard blocker"))</f>
        <v>0</v>
      </c>
      <c r="O292" s="20">
        <f>IF($B292="","",COUNTIFS('Blocker log'!$A:$A,$B292,'Blocker log'!$G:$G,"Hard blocker",'Blocker log'!$L:$L,9))</f>
        <v>0</v>
      </c>
      <c r="P292" s="20">
        <f>IF($B292="","",MAXIFS('Blocker log'!$L:$L,'Blocker log'!$A:$A,$B292,'Blocker log'!$G:$G,"Hard blocker"))</f>
        <v>0</v>
      </c>
      <c r="Q292" s="20" t="str">
        <f>IF($B292="","",IF($K292&lt;&gt;"Complete","Assessment pending",IF($N292=0,"Ready now",VLOOKUP($P292,Lists!$D$2:$E$5,2,FALSE))))</f>
        <v>Assessment pending</v>
      </c>
    </row>
    <row r="293" ht="15.75" customHeight="1">
      <c r="A293" s="35" t="s">
        <v>1174</v>
      </c>
      <c r="B293" s="35" t="s">
        <v>1175</v>
      </c>
      <c r="C293" s="35" t="s">
        <v>76</v>
      </c>
      <c r="D293" s="35" t="s">
        <v>171</v>
      </c>
      <c r="E293" s="35" t="s">
        <v>205</v>
      </c>
      <c r="F293" s="35" t="s">
        <v>206</v>
      </c>
      <c r="G293" s="35" t="s">
        <v>980</v>
      </c>
      <c r="H293" s="76">
        <v>388555.0</v>
      </c>
      <c r="I293" s="35"/>
      <c r="M293" s="20">
        <f>IF($B293="","",COUNTIFS('Blocker log'!$A:$A,$B293,'Blocker log'!$G:$G,"&lt;&gt;"))</f>
        <v>0</v>
      </c>
      <c r="N293" s="20">
        <f>IF($B293="","",COUNTIFS('Blocker log'!$A:$A,$B293,'Blocker log'!$G:$G,"Hard blocker"))</f>
        <v>0</v>
      </c>
      <c r="O293" s="20">
        <f>IF($B293="","",COUNTIFS('Blocker log'!$A:$A,$B293,'Blocker log'!$G:$G,"Hard blocker",'Blocker log'!$L:$L,9))</f>
        <v>0</v>
      </c>
      <c r="P293" s="20">
        <f>IF($B293="","",MAXIFS('Blocker log'!$L:$L,'Blocker log'!$A:$A,$B293,'Blocker log'!$G:$G,"Hard blocker"))</f>
        <v>0</v>
      </c>
      <c r="Q293" s="20" t="str">
        <f>IF($B293="","",IF($K293&lt;&gt;"Complete","Assessment pending",IF($N293=0,"Ready now",VLOOKUP($P293,Lists!$D$2:$E$5,2,FALSE))))</f>
        <v>Assessment pending</v>
      </c>
    </row>
    <row r="294" ht="15.75" customHeight="1">
      <c r="A294" s="35" t="s">
        <v>1176</v>
      </c>
      <c r="B294" s="35" t="s">
        <v>1177</v>
      </c>
      <c r="C294" s="35" t="s">
        <v>76</v>
      </c>
      <c r="D294" s="35" t="s">
        <v>171</v>
      </c>
      <c r="E294" s="35" t="s">
        <v>760</v>
      </c>
      <c r="F294" s="35" t="s">
        <v>1178</v>
      </c>
      <c r="G294" s="35" t="s">
        <v>980</v>
      </c>
      <c r="H294" s="76">
        <v>370299.0</v>
      </c>
      <c r="I294" s="35"/>
      <c r="M294" s="20">
        <f>IF($B294="","",COUNTIFS('Blocker log'!$A:$A,$B294,'Blocker log'!$G:$G,"&lt;&gt;"))</f>
        <v>0</v>
      </c>
      <c r="N294" s="20">
        <f>IF($B294="","",COUNTIFS('Blocker log'!$A:$A,$B294,'Blocker log'!$G:$G,"Hard blocker"))</f>
        <v>0</v>
      </c>
      <c r="O294" s="20">
        <f>IF($B294="","",COUNTIFS('Blocker log'!$A:$A,$B294,'Blocker log'!$G:$G,"Hard blocker",'Blocker log'!$L:$L,9))</f>
        <v>0</v>
      </c>
      <c r="P294" s="20">
        <f>IF($B294="","",MAXIFS('Blocker log'!$L:$L,'Blocker log'!$A:$A,$B294,'Blocker log'!$G:$G,"Hard blocker"))</f>
        <v>0</v>
      </c>
      <c r="Q294" s="20" t="str">
        <f>IF($B294="","",IF($K294&lt;&gt;"Complete","Assessment pending",IF($N294=0,"Ready now",VLOOKUP($P294,Lists!$D$2:$E$5,2,FALSE))))</f>
        <v>Assessment pending</v>
      </c>
    </row>
    <row r="295" ht="15.75" customHeight="1">
      <c r="A295" s="35" t="s">
        <v>1179</v>
      </c>
      <c r="B295" s="35" t="s">
        <v>1180</v>
      </c>
      <c r="C295" s="35" t="s">
        <v>76</v>
      </c>
      <c r="D295" s="35" t="s">
        <v>58</v>
      </c>
      <c r="E295" s="35" t="s">
        <v>101</v>
      </c>
      <c r="F295" s="35" t="s">
        <v>116</v>
      </c>
      <c r="G295" s="35" t="s">
        <v>999</v>
      </c>
      <c r="H295" s="76">
        <v>360000.0</v>
      </c>
      <c r="I295" s="35"/>
      <c r="M295" s="20">
        <f>IF($B295="","",COUNTIFS('Blocker log'!$A:$A,$B295,'Blocker log'!$G:$G,"&lt;&gt;"))</f>
        <v>0</v>
      </c>
      <c r="N295" s="20">
        <f>IF($B295="","",COUNTIFS('Blocker log'!$A:$A,$B295,'Blocker log'!$G:$G,"Hard blocker"))</f>
        <v>0</v>
      </c>
      <c r="O295" s="20">
        <f>IF($B295="","",COUNTIFS('Blocker log'!$A:$A,$B295,'Blocker log'!$G:$G,"Hard blocker",'Blocker log'!$L:$L,9))</f>
        <v>0</v>
      </c>
      <c r="P295" s="20">
        <f>IF($B295="","",MAXIFS('Blocker log'!$L:$L,'Blocker log'!$A:$A,$B295,'Blocker log'!$G:$G,"Hard blocker"))</f>
        <v>0</v>
      </c>
      <c r="Q295" s="20" t="str">
        <f>IF($B295="","",IF($K295&lt;&gt;"Complete","Assessment pending",IF($N295=0,"Ready now",VLOOKUP($P295,Lists!$D$2:$E$5,2,FALSE))))</f>
        <v>Assessment pending</v>
      </c>
    </row>
    <row r="296" ht="15.75" customHeight="1">
      <c r="A296" s="35" t="s">
        <v>1181</v>
      </c>
      <c r="B296" s="35" t="s">
        <v>1182</v>
      </c>
      <c r="C296" s="35" t="s">
        <v>76</v>
      </c>
      <c r="D296" s="35" t="s">
        <v>58</v>
      </c>
      <c r="E296" s="35" t="s">
        <v>101</v>
      </c>
      <c r="F296" s="35" t="s">
        <v>554</v>
      </c>
      <c r="G296" s="35" t="s">
        <v>980</v>
      </c>
      <c r="H296" s="76">
        <v>356511.0</v>
      </c>
      <c r="I296" s="35"/>
      <c r="M296" s="20">
        <f>IF($B296="","",COUNTIFS('Blocker log'!$A:$A,$B296,'Blocker log'!$G:$G,"&lt;&gt;"))</f>
        <v>0</v>
      </c>
      <c r="N296" s="20">
        <f>IF($B296="","",COUNTIFS('Blocker log'!$A:$A,$B296,'Blocker log'!$G:$G,"Hard blocker"))</f>
        <v>0</v>
      </c>
      <c r="O296" s="20">
        <f>IF($B296="","",COUNTIFS('Blocker log'!$A:$A,$B296,'Blocker log'!$G:$G,"Hard blocker",'Blocker log'!$L:$L,9))</f>
        <v>0</v>
      </c>
      <c r="P296" s="20">
        <f>IF($B296="","",MAXIFS('Blocker log'!$L:$L,'Blocker log'!$A:$A,$B296,'Blocker log'!$G:$G,"Hard blocker"))</f>
        <v>0</v>
      </c>
      <c r="Q296" s="20" t="str">
        <f>IF($B296="","",IF($K296&lt;&gt;"Complete","Assessment pending",IF($N296=0,"Ready now",VLOOKUP($P296,Lists!$D$2:$E$5,2,FALSE))))</f>
        <v>Assessment pending</v>
      </c>
    </row>
    <row r="297" ht="15.75" customHeight="1">
      <c r="A297" s="35" t="s">
        <v>1183</v>
      </c>
      <c r="B297" s="35" t="s">
        <v>1184</v>
      </c>
      <c r="C297" s="35" t="s">
        <v>76</v>
      </c>
      <c r="D297" s="35" t="s">
        <v>58</v>
      </c>
      <c r="E297" s="35" t="s">
        <v>59</v>
      </c>
      <c r="F297" s="35" t="s">
        <v>278</v>
      </c>
      <c r="G297" s="35" t="s">
        <v>980</v>
      </c>
      <c r="H297" s="76">
        <v>355679.0</v>
      </c>
      <c r="I297" s="35"/>
      <c r="M297" s="20">
        <f>IF($B297="","",COUNTIFS('Blocker log'!$A:$A,$B297,'Blocker log'!$G:$G,"&lt;&gt;"))</f>
        <v>0</v>
      </c>
      <c r="N297" s="20">
        <f>IF($B297="","",COUNTIFS('Blocker log'!$A:$A,$B297,'Blocker log'!$G:$G,"Hard blocker"))</f>
        <v>0</v>
      </c>
      <c r="O297" s="20">
        <f>IF($B297="","",COUNTIFS('Blocker log'!$A:$A,$B297,'Blocker log'!$G:$G,"Hard blocker",'Blocker log'!$L:$L,9))</f>
        <v>0</v>
      </c>
      <c r="P297" s="20">
        <f>IF($B297="","",MAXIFS('Blocker log'!$L:$L,'Blocker log'!$A:$A,$B297,'Blocker log'!$G:$G,"Hard blocker"))</f>
        <v>0</v>
      </c>
      <c r="Q297" s="20" t="str">
        <f>IF($B297="","",IF($K297&lt;&gt;"Complete","Assessment pending",IF($N297=0,"Ready now",VLOOKUP($P297,Lists!$D$2:$E$5,2,FALSE))))</f>
        <v>Assessment pending</v>
      </c>
    </row>
    <row r="298" ht="15.75" customHeight="1">
      <c r="A298" s="35" t="s">
        <v>1185</v>
      </c>
      <c r="B298" s="35" t="s">
        <v>1186</v>
      </c>
      <c r="C298" s="35" t="s">
        <v>76</v>
      </c>
      <c r="D298" s="35" t="s">
        <v>58</v>
      </c>
      <c r="E298" s="35" t="s">
        <v>181</v>
      </c>
      <c r="F298" s="35" t="s">
        <v>653</v>
      </c>
      <c r="G298" s="35" t="s">
        <v>980</v>
      </c>
      <c r="H298" s="76">
        <v>355319.0</v>
      </c>
      <c r="I298" s="35"/>
      <c r="M298" s="20">
        <f>IF($B298="","",COUNTIFS('Blocker log'!$A:$A,$B298,'Blocker log'!$G:$G,"&lt;&gt;"))</f>
        <v>0</v>
      </c>
      <c r="N298" s="20">
        <f>IF($B298="","",COUNTIFS('Blocker log'!$A:$A,$B298,'Blocker log'!$G:$G,"Hard blocker"))</f>
        <v>0</v>
      </c>
      <c r="O298" s="20">
        <f>IF($B298="","",COUNTIFS('Blocker log'!$A:$A,$B298,'Blocker log'!$G:$G,"Hard blocker",'Blocker log'!$L:$L,9))</f>
        <v>0</v>
      </c>
      <c r="P298" s="20">
        <f>IF($B298="","",MAXIFS('Blocker log'!$L:$L,'Blocker log'!$A:$A,$B298,'Blocker log'!$G:$G,"Hard blocker"))</f>
        <v>0</v>
      </c>
      <c r="Q298" s="20" t="str">
        <f>IF($B298="","",IF($K298&lt;&gt;"Complete","Assessment pending",IF($N298=0,"Ready now",VLOOKUP($P298,Lists!$D$2:$E$5,2,FALSE))))</f>
        <v>Assessment pending</v>
      </c>
    </row>
    <row r="299" ht="15.75" customHeight="1">
      <c r="A299" s="35" t="s">
        <v>1187</v>
      </c>
      <c r="B299" s="35" t="s">
        <v>1188</v>
      </c>
      <c r="C299" s="35" t="s">
        <v>76</v>
      </c>
      <c r="D299" s="35" t="s">
        <v>58</v>
      </c>
      <c r="E299" s="35" t="s">
        <v>132</v>
      </c>
      <c r="F299" s="35" t="s">
        <v>559</v>
      </c>
      <c r="G299" s="35" t="s">
        <v>980</v>
      </c>
      <c r="H299" s="76">
        <v>352646.0</v>
      </c>
      <c r="I299" s="35"/>
      <c r="M299" s="20">
        <f>IF($B299="","",COUNTIFS('Blocker log'!$A:$A,$B299,'Blocker log'!$G:$G,"&lt;&gt;"))</f>
        <v>0</v>
      </c>
      <c r="N299" s="20">
        <f>IF($B299="","",COUNTIFS('Blocker log'!$A:$A,$B299,'Blocker log'!$G:$G,"Hard blocker"))</f>
        <v>0</v>
      </c>
      <c r="O299" s="20">
        <f>IF($B299="","",COUNTIFS('Blocker log'!$A:$A,$B299,'Blocker log'!$G:$G,"Hard blocker",'Blocker log'!$L:$L,9))</f>
        <v>0</v>
      </c>
      <c r="P299" s="20">
        <f>IF($B299="","",MAXIFS('Blocker log'!$L:$L,'Blocker log'!$A:$A,$B299,'Blocker log'!$G:$G,"Hard blocker"))</f>
        <v>0</v>
      </c>
      <c r="Q299" s="20" t="str">
        <f>IF($B299="","",IF($K299&lt;&gt;"Complete","Assessment pending",IF($N299=0,"Ready now",VLOOKUP($P299,Lists!$D$2:$E$5,2,FALSE))))</f>
        <v>Assessment pending</v>
      </c>
    </row>
    <row r="300" ht="15.75" customHeight="1">
      <c r="A300" s="35" t="s">
        <v>1189</v>
      </c>
      <c r="B300" s="35" t="s">
        <v>1190</v>
      </c>
      <c r="C300" s="35" t="s">
        <v>76</v>
      </c>
      <c r="D300" s="35" t="s">
        <v>58</v>
      </c>
      <c r="E300" s="35" t="s">
        <v>59</v>
      </c>
      <c r="F300" s="35" t="s">
        <v>598</v>
      </c>
      <c r="G300" s="35" t="s">
        <v>999</v>
      </c>
      <c r="H300" s="76">
        <v>349453.0</v>
      </c>
      <c r="I300" s="35"/>
      <c r="M300" s="20">
        <f>IF($B300="","",COUNTIFS('Blocker log'!$A:$A,$B300,'Blocker log'!$G:$G,"&lt;&gt;"))</f>
        <v>0</v>
      </c>
      <c r="N300" s="20">
        <f>IF($B300="","",COUNTIFS('Blocker log'!$A:$A,$B300,'Blocker log'!$G:$G,"Hard blocker"))</f>
        <v>0</v>
      </c>
      <c r="O300" s="20">
        <f>IF($B300="","",COUNTIFS('Blocker log'!$A:$A,$B300,'Blocker log'!$G:$G,"Hard blocker",'Blocker log'!$L:$L,9))</f>
        <v>0</v>
      </c>
      <c r="P300" s="20">
        <f>IF($B300="","",MAXIFS('Blocker log'!$L:$L,'Blocker log'!$A:$A,$B300,'Blocker log'!$G:$G,"Hard blocker"))</f>
        <v>0</v>
      </c>
      <c r="Q300" s="20" t="str">
        <f>IF($B300="","",IF($K300&lt;&gt;"Complete","Assessment pending",IF($N300=0,"Ready now",VLOOKUP($P300,Lists!$D$2:$E$5,2,FALSE))))</f>
        <v>Assessment pending</v>
      </c>
    </row>
    <row r="301" ht="15.75" customHeight="1">
      <c r="A301" s="35" t="s">
        <v>1191</v>
      </c>
      <c r="B301" s="35" t="s">
        <v>1192</v>
      </c>
      <c r="C301" s="35" t="s">
        <v>76</v>
      </c>
      <c r="D301" s="35" t="s">
        <v>260</v>
      </c>
      <c r="E301" s="35" t="s">
        <v>506</v>
      </c>
      <c r="F301" s="35" t="s">
        <v>674</v>
      </c>
      <c r="G301" s="35" t="s">
        <v>980</v>
      </c>
      <c r="H301" s="76">
        <v>349285.0</v>
      </c>
      <c r="I301" s="35"/>
      <c r="M301" s="20">
        <f>IF($B301="","",COUNTIFS('Blocker log'!$A:$A,$B301,'Blocker log'!$G:$G,"&lt;&gt;"))</f>
        <v>0</v>
      </c>
      <c r="N301" s="20">
        <f>IF($B301="","",COUNTIFS('Blocker log'!$A:$A,$B301,'Blocker log'!$G:$G,"Hard blocker"))</f>
        <v>0</v>
      </c>
      <c r="O301" s="20">
        <f>IF($B301="","",COUNTIFS('Blocker log'!$A:$A,$B301,'Blocker log'!$G:$G,"Hard blocker",'Blocker log'!$L:$L,9))</f>
        <v>0</v>
      </c>
      <c r="P301" s="20">
        <f>IF($B301="","",MAXIFS('Blocker log'!$L:$L,'Blocker log'!$A:$A,$B301,'Blocker log'!$G:$G,"Hard blocker"))</f>
        <v>0</v>
      </c>
      <c r="Q301" s="20" t="str">
        <f>IF($B301="","",IF($K301&lt;&gt;"Complete","Assessment pending",IF($N301=0,"Ready now",VLOOKUP($P301,Lists!$D$2:$E$5,2,FALSE))))</f>
        <v>Assessment pending</v>
      </c>
    </row>
    <row r="302" ht="15.75" customHeight="1">
      <c r="A302" s="35" t="s">
        <v>1193</v>
      </c>
      <c r="B302" s="35" t="s">
        <v>1194</v>
      </c>
      <c r="C302" s="35" t="s">
        <v>76</v>
      </c>
      <c r="D302" s="35" t="s">
        <v>171</v>
      </c>
      <c r="E302" s="35" t="s">
        <v>512</v>
      </c>
      <c r="F302" s="35" t="s">
        <v>537</v>
      </c>
      <c r="G302" s="35" t="s">
        <v>977</v>
      </c>
      <c r="H302" s="76">
        <v>345600.0</v>
      </c>
      <c r="I302" s="35"/>
      <c r="M302" s="20">
        <f>IF($B302="","",COUNTIFS('Blocker log'!$A:$A,$B302,'Blocker log'!$G:$G,"&lt;&gt;"))</f>
        <v>0</v>
      </c>
      <c r="N302" s="20">
        <f>IF($B302="","",COUNTIFS('Blocker log'!$A:$A,$B302,'Blocker log'!$G:$G,"Hard blocker"))</f>
        <v>0</v>
      </c>
      <c r="O302" s="20">
        <f>IF($B302="","",COUNTIFS('Blocker log'!$A:$A,$B302,'Blocker log'!$G:$G,"Hard blocker",'Blocker log'!$L:$L,9))</f>
        <v>0</v>
      </c>
      <c r="P302" s="20">
        <f>IF($B302="","",MAXIFS('Blocker log'!$L:$L,'Blocker log'!$A:$A,$B302,'Blocker log'!$G:$G,"Hard blocker"))</f>
        <v>0</v>
      </c>
      <c r="Q302" s="20" t="str">
        <f>IF($B302="","",IF($K302&lt;&gt;"Complete","Assessment pending",IF($N302=0,"Ready now",VLOOKUP($P302,Lists!$D$2:$E$5,2,FALSE))))</f>
        <v>Assessment pending</v>
      </c>
    </row>
    <row r="303" ht="15.75" customHeight="1">
      <c r="A303" s="35" t="s">
        <v>1195</v>
      </c>
      <c r="B303" s="35" t="s">
        <v>1196</v>
      </c>
      <c r="C303" s="35" t="s">
        <v>76</v>
      </c>
      <c r="D303" s="35" t="s">
        <v>260</v>
      </c>
      <c r="E303" s="35" t="s">
        <v>530</v>
      </c>
      <c r="F303" s="35" t="s">
        <v>531</v>
      </c>
      <c r="G303" s="35" t="s">
        <v>980</v>
      </c>
      <c r="H303" s="76">
        <v>342782.0</v>
      </c>
      <c r="I303" s="35"/>
      <c r="M303" s="20">
        <f>IF($B303="","",COUNTIFS('Blocker log'!$A:$A,$B303,'Blocker log'!$G:$G,"&lt;&gt;"))</f>
        <v>0</v>
      </c>
      <c r="N303" s="20">
        <f>IF($B303="","",COUNTIFS('Blocker log'!$A:$A,$B303,'Blocker log'!$G:$G,"Hard blocker"))</f>
        <v>0</v>
      </c>
      <c r="O303" s="20">
        <f>IF($B303="","",COUNTIFS('Blocker log'!$A:$A,$B303,'Blocker log'!$G:$G,"Hard blocker",'Blocker log'!$L:$L,9))</f>
        <v>0</v>
      </c>
      <c r="P303" s="20">
        <f>IF($B303="","",MAXIFS('Blocker log'!$L:$L,'Blocker log'!$A:$A,$B303,'Blocker log'!$G:$G,"Hard blocker"))</f>
        <v>0</v>
      </c>
      <c r="Q303" s="20" t="str">
        <f>IF($B303="","",IF($K303&lt;&gt;"Complete","Assessment pending",IF($N303=0,"Ready now",VLOOKUP($P303,Lists!$D$2:$E$5,2,FALSE))))</f>
        <v>Assessment pending</v>
      </c>
    </row>
    <row r="304" ht="15.75" customHeight="1">
      <c r="A304" s="35" t="s">
        <v>1197</v>
      </c>
      <c r="B304" s="35" t="s">
        <v>1198</v>
      </c>
      <c r="C304" s="35" t="s">
        <v>76</v>
      </c>
      <c r="D304" s="35" t="s">
        <v>260</v>
      </c>
      <c r="E304" s="35" t="s">
        <v>576</v>
      </c>
      <c r="F304" s="35" t="s">
        <v>577</v>
      </c>
      <c r="G304" s="35" t="s">
        <v>980</v>
      </c>
      <c r="H304" s="76">
        <v>340705.0</v>
      </c>
      <c r="I304" s="35"/>
      <c r="M304" s="20">
        <f>IF($B304="","",COUNTIFS('Blocker log'!$A:$A,$B304,'Blocker log'!$G:$G,"&lt;&gt;"))</f>
        <v>0</v>
      </c>
      <c r="N304" s="20">
        <f>IF($B304="","",COUNTIFS('Blocker log'!$A:$A,$B304,'Blocker log'!$G:$G,"Hard blocker"))</f>
        <v>0</v>
      </c>
      <c r="O304" s="20">
        <f>IF($B304="","",COUNTIFS('Blocker log'!$A:$A,$B304,'Blocker log'!$G:$G,"Hard blocker",'Blocker log'!$L:$L,9))</f>
        <v>0</v>
      </c>
      <c r="P304" s="20">
        <f>IF($B304="","",MAXIFS('Blocker log'!$L:$L,'Blocker log'!$A:$A,$B304,'Blocker log'!$G:$G,"Hard blocker"))</f>
        <v>0</v>
      </c>
      <c r="Q304" s="20" t="str">
        <f>IF($B304="","",IF($K304&lt;&gt;"Complete","Assessment pending",IF($N304=0,"Ready now",VLOOKUP($P304,Lists!$D$2:$E$5,2,FALSE))))</f>
        <v>Assessment pending</v>
      </c>
    </row>
    <row r="305" ht="15.75" customHeight="1">
      <c r="A305" s="35" t="s">
        <v>1199</v>
      </c>
      <c r="B305" s="35" t="s">
        <v>1200</v>
      </c>
      <c r="C305" s="35" t="s">
        <v>57</v>
      </c>
      <c r="D305" s="35" t="s">
        <v>260</v>
      </c>
      <c r="E305" s="35" t="s">
        <v>506</v>
      </c>
      <c r="F305" s="35" t="s">
        <v>685</v>
      </c>
      <c r="G305" s="35" t="s">
        <v>980</v>
      </c>
      <c r="H305" s="76">
        <v>338945.0</v>
      </c>
      <c r="I305" s="35" t="s">
        <v>388</v>
      </c>
      <c r="M305" s="20">
        <f>IF($B305="","",COUNTIFS('Blocker log'!$A:$A,$B305,'Blocker log'!$G:$G,"&lt;&gt;"))</f>
        <v>0</v>
      </c>
      <c r="N305" s="20">
        <f>IF($B305="","",COUNTIFS('Blocker log'!$A:$A,$B305,'Blocker log'!$G:$G,"Hard blocker"))</f>
        <v>0</v>
      </c>
      <c r="O305" s="20">
        <f>IF($B305="","",COUNTIFS('Blocker log'!$A:$A,$B305,'Blocker log'!$G:$G,"Hard blocker",'Blocker log'!$L:$L,9))</f>
        <v>0</v>
      </c>
      <c r="P305" s="20">
        <f>IF($B305="","",MAXIFS('Blocker log'!$L:$L,'Blocker log'!$A:$A,$B305,'Blocker log'!$G:$G,"Hard blocker"))</f>
        <v>0</v>
      </c>
      <c r="Q305" s="20" t="str">
        <f>IF($B305="","",IF($K305&lt;&gt;"Complete","Assessment pending",IF($N305=0,"Ready now",VLOOKUP($P305,Lists!$D$2:$E$5,2,FALSE))))</f>
        <v>Assessment pending</v>
      </c>
    </row>
    <row r="306" ht="15.75" customHeight="1">
      <c r="A306" s="35" t="s">
        <v>1201</v>
      </c>
      <c r="B306" s="35" t="s">
        <v>1202</v>
      </c>
      <c r="C306" s="35" t="s">
        <v>76</v>
      </c>
      <c r="D306" s="35" t="s">
        <v>260</v>
      </c>
      <c r="E306" s="35" t="s">
        <v>530</v>
      </c>
      <c r="F306" s="35" t="s">
        <v>795</v>
      </c>
      <c r="G306" s="35" t="s">
        <v>980</v>
      </c>
      <c r="H306" s="76">
        <v>335585.0</v>
      </c>
      <c r="I306" s="35"/>
      <c r="M306" s="20">
        <f>IF($B306="","",COUNTIFS('Blocker log'!$A:$A,$B306,'Blocker log'!$G:$G,"&lt;&gt;"))</f>
        <v>0</v>
      </c>
      <c r="N306" s="20">
        <f>IF($B306="","",COUNTIFS('Blocker log'!$A:$A,$B306,'Blocker log'!$G:$G,"Hard blocker"))</f>
        <v>0</v>
      </c>
      <c r="O306" s="20">
        <f>IF($B306="","",COUNTIFS('Blocker log'!$A:$A,$B306,'Blocker log'!$G:$G,"Hard blocker",'Blocker log'!$L:$L,9))</f>
        <v>0</v>
      </c>
      <c r="P306" s="20">
        <f>IF($B306="","",MAXIFS('Blocker log'!$L:$L,'Blocker log'!$A:$A,$B306,'Blocker log'!$G:$G,"Hard blocker"))</f>
        <v>0</v>
      </c>
      <c r="Q306" s="20" t="str">
        <f>IF($B306="","",IF($K306&lt;&gt;"Complete","Assessment pending",IF($N306=0,"Ready now",VLOOKUP($P306,Lists!$D$2:$E$5,2,FALSE))))</f>
        <v>Assessment pending</v>
      </c>
    </row>
    <row r="307" ht="15.75" customHeight="1">
      <c r="A307" s="35" t="s">
        <v>1203</v>
      </c>
      <c r="B307" s="35" t="s">
        <v>1204</v>
      </c>
      <c r="C307" s="35" t="s">
        <v>76</v>
      </c>
      <c r="D307" s="35" t="s">
        <v>171</v>
      </c>
      <c r="E307" s="35" t="s">
        <v>755</v>
      </c>
      <c r="F307" s="35" t="s">
        <v>756</v>
      </c>
      <c r="G307" s="35" t="s">
        <v>1042</v>
      </c>
      <c r="H307" s="76">
        <v>333394.0</v>
      </c>
      <c r="I307" s="35"/>
      <c r="M307" s="20">
        <f>IF($B307="","",COUNTIFS('Blocker log'!$A:$A,$B307,'Blocker log'!$G:$G,"&lt;&gt;"))</f>
        <v>0</v>
      </c>
      <c r="N307" s="20">
        <f>IF($B307="","",COUNTIFS('Blocker log'!$A:$A,$B307,'Blocker log'!$G:$G,"Hard blocker"))</f>
        <v>0</v>
      </c>
      <c r="O307" s="20">
        <f>IF($B307="","",COUNTIFS('Blocker log'!$A:$A,$B307,'Blocker log'!$G:$G,"Hard blocker",'Blocker log'!$L:$L,9))</f>
        <v>0</v>
      </c>
      <c r="P307" s="20">
        <f>IF($B307="","",MAXIFS('Blocker log'!$L:$L,'Blocker log'!$A:$A,$B307,'Blocker log'!$G:$G,"Hard blocker"))</f>
        <v>0</v>
      </c>
      <c r="Q307" s="20" t="str">
        <f>IF($B307="","",IF($K307&lt;&gt;"Complete","Assessment pending",IF($N307=0,"Ready now",VLOOKUP($P307,Lists!$D$2:$E$5,2,FALSE))))</f>
        <v>Assessment pending</v>
      </c>
    </row>
    <row r="308" ht="15.75" customHeight="1">
      <c r="A308" s="35" t="s">
        <v>1205</v>
      </c>
      <c r="B308" s="35" t="s">
        <v>1206</v>
      </c>
      <c r="C308" s="35" t="s">
        <v>76</v>
      </c>
      <c r="D308" s="35" t="s">
        <v>58</v>
      </c>
      <c r="E308" s="35" t="s">
        <v>140</v>
      </c>
      <c r="F308" s="35" t="s">
        <v>663</v>
      </c>
      <c r="G308" s="35" t="s">
        <v>980</v>
      </c>
      <c r="H308" s="76">
        <v>326326.0</v>
      </c>
      <c r="I308" s="35"/>
      <c r="M308" s="20">
        <f>IF($B308="","",COUNTIFS('Blocker log'!$A:$A,$B308,'Blocker log'!$G:$G,"&lt;&gt;"))</f>
        <v>0</v>
      </c>
      <c r="N308" s="20">
        <f>IF($B308="","",COUNTIFS('Blocker log'!$A:$A,$B308,'Blocker log'!$G:$G,"Hard blocker"))</f>
        <v>0</v>
      </c>
      <c r="O308" s="20">
        <f>IF($B308="","",COUNTIFS('Blocker log'!$A:$A,$B308,'Blocker log'!$G:$G,"Hard blocker",'Blocker log'!$L:$L,9))</f>
        <v>0</v>
      </c>
      <c r="P308" s="20">
        <f>IF($B308="","",MAXIFS('Blocker log'!$L:$L,'Blocker log'!$A:$A,$B308,'Blocker log'!$G:$G,"Hard blocker"))</f>
        <v>0</v>
      </c>
      <c r="Q308" s="20" t="str">
        <f>IF($B308="","",IF($K308&lt;&gt;"Complete","Assessment pending",IF($N308=0,"Ready now",VLOOKUP($P308,Lists!$D$2:$E$5,2,FALSE))))</f>
        <v>Assessment pending</v>
      </c>
    </row>
    <row r="309" ht="15.75" customHeight="1">
      <c r="A309" s="35" t="s">
        <v>1207</v>
      </c>
      <c r="B309" s="35" t="s">
        <v>1208</v>
      </c>
      <c r="C309" s="35" t="s">
        <v>76</v>
      </c>
      <c r="D309" s="35" t="s">
        <v>58</v>
      </c>
      <c r="E309" s="35" t="s">
        <v>494</v>
      </c>
      <c r="F309" s="35" t="s">
        <v>495</v>
      </c>
      <c r="G309" s="35" t="s">
        <v>980</v>
      </c>
      <c r="H309" s="76">
        <v>316946.0</v>
      </c>
      <c r="I309" s="35"/>
      <c r="M309" s="20">
        <f>IF($B309="","",COUNTIFS('Blocker log'!$A:$A,$B309,'Blocker log'!$G:$G,"&lt;&gt;"))</f>
        <v>0</v>
      </c>
      <c r="N309" s="20">
        <f>IF($B309="","",COUNTIFS('Blocker log'!$A:$A,$B309,'Blocker log'!$G:$G,"Hard blocker"))</f>
        <v>0</v>
      </c>
      <c r="O309" s="20">
        <f>IF($B309="","",COUNTIFS('Blocker log'!$A:$A,$B309,'Blocker log'!$G:$G,"Hard blocker",'Blocker log'!$L:$L,9))</f>
        <v>0</v>
      </c>
      <c r="P309" s="20">
        <f>IF($B309="","",MAXIFS('Blocker log'!$L:$L,'Blocker log'!$A:$A,$B309,'Blocker log'!$G:$G,"Hard blocker"))</f>
        <v>0</v>
      </c>
      <c r="Q309" s="20" t="str">
        <f>IF($B309="","",IF($K309&lt;&gt;"Complete","Assessment pending",IF($N309=0,"Ready now",VLOOKUP($P309,Lists!$D$2:$E$5,2,FALSE))))</f>
        <v>Assessment pending</v>
      </c>
    </row>
    <row r="310" ht="15.75" customHeight="1">
      <c r="A310" s="35" t="s">
        <v>1209</v>
      </c>
      <c r="B310" s="35" t="s">
        <v>1210</v>
      </c>
      <c r="C310" s="35" t="s">
        <v>76</v>
      </c>
      <c r="D310" s="35" t="s">
        <v>171</v>
      </c>
      <c r="E310" s="35" t="s">
        <v>773</v>
      </c>
      <c r="F310" s="35" t="s">
        <v>774</v>
      </c>
      <c r="G310" s="35" t="s">
        <v>1006</v>
      </c>
      <c r="H310" s="76">
        <v>314510.0</v>
      </c>
      <c r="I310" s="35"/>
      <c r="M310" s="20">
        <f>IF($B310="","",COUNTIFS('Blocker log'!$A:$A,$B310,'Blocker log'!$G:$G,"&lt;&gt;"))</f>
        <v>0</v>
      </c>
      <c r="N310" s="20">
        <f>IF($B310="","",COUNTIFS('Blocker log'!$A:$A,$B310,'Blocker log'!$G:$G,"Hard blocker"))</f>
        <v>0</v>
      </c>
      <c r="O310" s="20">
        <f>IF($B310="","",COUNTIFS('Blocker log'!$A:$A,$B310,'Blocker log'!$G:$G,"Hard blocker",'Blocker log'!$L:$L,9))</f>
        <v>0</v>
      </c>
      <c r="P310" s="20">
        <f>IF($B310="","",MAXIFS('Blocker log'!$L:$L,'Blocker log'!$A:$A,$B310,'Blocker log'!$G:$G,"Hard blocker"))</f>
        <v>0</v>
      </c>
      <c r="Q310" s="20" t="str">
        <f>IF($B310="","",IF($K310&lt;&gt;"Complete","Assessment pending",IF($N310=0,"Ready now",VLOOKUP($P310,Lists!$D$2:$E$5,2,FALSE))))</f>
        <v>Assessment pending</v>
      </c>
    </row>
    <row r="311" ht="15.75" customHeight="1">
      <c r="A311" s="35" t="s">
        <v>1211</v>
      </c>
      <c r="B311" s="35" t="s">
        <v>1212</v>
      </c>
      <c r="C311" s="35" t="s">
        <v>76</v>
      </c>
      <c r="D311" s="35" t="s">
        <v>58</v>
      </c>
      <c r="E311" s="35" t="s">
        <v>59</v>
      </c>
      <c r="F311" s="35" t="s">
        <v>124</v>
      </c>
      <c r="G311" s="35" t="s">
        <v>1042</v>
      </c>
      <c r="H311" s="76">
        <v>308500.0</v>
      </c>
      <c r="I311" s="35"/>
      <c r="M311" s="20">
        <f>IF($B311="","",COUNTIFS('Blocker log'!$A:$A,$B311,'Blocker log'!$G:$G,"&lt;&gt;"))</f>
        <v>0</v>
      </c>
      <c r="N311" s="20">
        <f>IF($B311="","",COUNTIFS('Blocker log'!$A:$A,$B311,'Blocker log'!$G:$G,"Hard blocker"))</f>
        <v>0</v>
      </c>
      <c r="O311" s="20">
        <f>IF($B311="","",COUNTIFS('Blocker log'!$A:$A,$B311,'Blocker log'!$G:$G,"Hard blocker",'Blocker log'!$L:$L,9))</f>
        <v>0</v>
      </c>
      <c r="P311" s="20">
        <f>IF($B311="","",MAXIFS('Blocker log'!$L:$L,'Blocker log'!$A:$A,$B311,'Blocker log'!$G:$G,"Hard blocker"))</f>
        <v>0</v>
      </c>
      <c r="Q311" s="20" t="str">
        <f>IF($B311="","",IF($K311&lt;&gt;"Complete","Assessment pending",IF($N311=0,"Ready now",VLOOKUP($P311,Lists!$D$2:$E$5,2,FALSE))))</f>
        <v>Assessment pending</v>
      </c>
    </row>
    <row r="312" ht="15.75" customHeight="1">
      <c r="A312" s="35" t="s">
        <v>1213</v>
      </c>
      <c r="B312" s="35" t="s">
        <v>1214</v>
      </c>
      <c r="C312" s="35" t="s">
        <v>76</v>
      </c>
      <c r="D312" s="35" t="s">
        <v>58</v>
      </c>
      <c r="E312" s="35" t="s">
        <v>132</v>
      </c>
      <c r="F312" s="35" t="s">
        <v>559</v>
      </c>
      <c r="G312" s="35" t="s">
        <v>980</v>
      </c>
      <c r="H312" s="76">
        <v>308438.0</v>
      </c>
      <c r="I312" s="35"/>
      <c r="M312" s="20">
        <f>IF($B312="","",COUNTIFS('Blocker log'!$A:$A,$B312,'Blocker log'!$G:$G,"&lt;&gt;"))</f>
        <v>0</v>
      </c>
      <c r="N312" s="20">
        <f>IF($B312="","",COUNTIFS('Blocker log'!$A:$A,$B312,'Blocker log'!$G:$G,"Hard blocker"))</f>
        <v>0</v>
      </c>
      <c r="O312" s="20">
        <f>IF($B312="","",COUNTIFS('Blocker log'!$A:$A,$B312,'Blocker log'!$G:$G,"Hard blocker",'Blocker log'!$L:$L,9))</f>
        <v>0</v>
      </c>
      <c r="P312" s="20">
        <f>IF($B312="","",MAXIFS('Blocker log'!$L:$L,'Blocker log'!$A:$A,$B312,'Blocker log'!$G:$G,"Hard blocker"))</f>
        <v>0</v>
      </c>
      <c r="Q312" s="20" t="str">
        <f>IF($B312="","",IF($K312&lt;&gt;"Complete","Assessment pending",IF($N312=0,"Ready now",VLOOKUP($P312,Lists!$D$2:$E$5,2,FALSE))))</f>
        <v>Assessment pending</v>
      </c>
    </row>
    <row r="313" ht="15.75" customHeight="1">
      <c r="A313" s="35" t="s">
        <v>1215</v>
      </c>
      <c r="B313" s="35" t="s">
        <v>1216</v>
      </c>
      <c r="C313" s="35" t="s">
        <v>76</v>
      </c>
      <c r="D313" s="35" t="s">
        <v>171</v>
      </c>
      <c r="E313" s="35" t="s">
        <v>524</v>
      </c>
      <c r="F313" s="35" t="s">
        <v>1217</v>
      </c>
      <c r="G313" s="35" t="s">
        <v>980</v>
      </c>
      <c r="H313" s="76">
        <v>304405.0</v>
      </c>
      <c r="I313" s="35"/>
      <c r="M313" s="20">
        <f>IF($B313="","",COUNTIFS('Blocker log'!$A:$A,$B313,'Blocker log'!$G:$G,"&lt;&gt;"))</f>
        <v>0</v>
      </c>
      <c r="N313" s="20">
        <f>IF($B313="","",COUNTIFS('Blocker log'!$A:$A,$B313,'Blocker log'!$G:$G,"Hard blocker"))</f>
        <v>0</v>
      </c>
      <c r="O313" s="20">
        <f>IF($B313="","",COUNTIFS('Blocker log'!$A:$A,$B313,'Blocker log'!$G:$G,"Hard blocker",'Blocker log'!$L:$L,9))</f>
        <v>0</v>
      </c>
      <c r="P313" s="20">
        <f>IF($B313="","",MAXIFS('Blocker log'!$L:$L,'Blocker log'!$A:$A,$B313,'Blocker log'!$G:$G,"Hard blocker"))</f>
        <v>0</v>
      </c>
      <c r="Q313" s="20" t="str">
        <f>IF($B313="","",IF($K313&lt;&gt;"Complete","Assessment pending",IF($N313=0,"Ready now",VLOOKUP($P313,Lists!$D$2:$E$5,2,FALSE))))</f>
        <v>Assessment pending</v>
      </c>
    </row>
    <row r="314" ht="15.75" customHeight="1">
      <c r="A314" s="35" t="s">
        <v>1218</v>
      </c>
      <c r="B314" s="35" t="s">
        <v>1219</v>
      </c>
      <c r="C314" s="35" t="s">
        <v>57</v>
      </c>
      <c r="D314" s="35" t="s">
        <v>171</v>
      </c>
      <c r="E314" s="35" t="s">
        <v>773</v>
      </c>
      <c r="F314" s="35" t="s">
        <v>774</v>
      </c>
      <c r="G314" s="35" t="s">
        <v>980</v>
      </c>
      <c r="H314" s="76">
        <v>304000.0</v>
      </c>
      <c r="I314" s="35" t="s">
        <v>400</v>
      </c>
      <c r="M314" s="20">
        <f>IF($B314="","",COUNTIFS('Blocker log'!$A:$A,$B314,'Blocker log'!$G:$G,"&lt;&gt;"))</f>
        <v>0</v>
      </c>
      <c r="N314" s="20">
        <f>IF($B314="","",COUNTIFS('Blocker log'!$A:$A,$B314,'Blocker log'!$G:$G,"Hard blocker"))</f>
        <v>0</v>
      </c>
      <c r="O314" s="20">
        <f>IF($B314="","",COUNTIFS('Blocker log'!$A:$A,$B314,'Blocker log'!$G:$G,"Hard blocker",'Blocker log'!$L:$L,9))</f>
        <v>0</v>
      </c>
      <c r="P314" s="20">
        <f>IF($B314="","",MAXIFS('Blocker log'!$L:$L,'Blocker log'!$A:$A,$B314,'Blocker log'!$G:$G,"Hard blocker"))</f>
        <v>0</v>
      </c>
      <c r="Q314" s="20" t="str">
        <f>IF($B314="","",IF($K314&lt;&gt;"Complete","Assessment pending",IF($N314=0,"Ready now",VLOOKUP($P314,Lists!$D$2:$E$5,2,FALSE))))</f>
        <v>Assessment pending</v>
      </c>
    </row>
    <row r="315" ht="15.75" customHeight="1">
      <c r="A315" s="35" t="s">
        <v>1220</v>
      </c>
      <c r="B315" s="35" t="s">
        <v>1221</v>
      </c>
      <c r="C315" s="35" t="s">
        <v>76</v>
      </c>
      <c r="D315" s="35" t="s">
        <v>58</v>
      </c>
      <c r="E315" s="35" t="s">
        <v>181</v>
      </c>
      <c r="F315" s="35" t="s">
        <v>190</v>
      </c>
      <c r="G315" s="35" t="s">
        <v>980</v>
      </c>
      <c r="H315" s="76">
        <v>298103.0</v>
      </c>
      <c r="I315" s="35"/>
      <c r="M315" s="20">
        <f>IF($B315="","",COUNTIFS('Blocker log'!$A:$A,$B315,'Blocker log'!$G:$G,"&lt;&gt;"))</f>
        <v>0</v>
      </c>
      <c r="N315" s="20">
        <f>IF($B315="","",COUNTIFS('Blocker log'!$A:$A,$B315,'Blocker log'!$G:$G,"Hard blocker"))</f>
        <v>0</v>
      </c>
      <c r="O315" s="20">
        <f>IF($B315="","",COUNTIFS('Blocker log'!$A:$A,$B315,'Blocker log'!$G:$G,"Hard blocker",'Blocker log'!$L:$L,9))</f>
        <v>0</v>
      </c>
      <c r="P315" s="20">
        <f>IF($B315="","",MAXIFS('Blocker log'!$L:$L,'Blocker log'!$A:$A,$B315,'Blocker log'!$G:$G,"Hard blocker"))</f>
        <v>0</v>
      </c>
      <c r="Q315" s="20" t="str">
        <f>IF($B315="","",IF($K315&lt;&gt;"Complete","Assessment pending",IF($N315=0,"Ready now",VLOOKUP($P315,Lists!$D$2:$E$5,2,FALSE))))</f>
        <v>Assessment pending</v>
      </c>
    </row>
    <row r="316" ht="15.75" customHeight="1">
      <c r="A316" s="35" t="s">
        <v>1222</v>
      </c>
      <c r="B316" s="35" t="s">
        <v>1223</v>
      </c>
      <c r="C316" s="35" t="s">
        <v>76</v>
      </c>
      <c r="D316" s="35" t="s">
        <v>171</v>
      </c>
      <c r="E316" s="35" t="s">
        <v>760</v>
      </c>
      <c r="F316" s="35" t="s">
        <v>1178</v>
      </c>
      <c r="G316" s="35" t="s">
        <v>980</v>
      </c>
      <c r="H316" s="76">
        <v>297546.0</v>
      </c>
      <c r="I316" s="35"/>
      <c r="M316" s="20">
        <f>IF($B316="","",COUNTIFS('Blocker log'!$A:$A,$B316,'Blocker log'!$G:$G,"&lt;&gt;"))</f>
        <v>0</v>
      </c>
      <c r="N316" s="20">
        <f>IF($B316="","",COUNTIFS('Blocker log'!$A:$A,$B316,'Blocker log'!$G:$G,"Hard blocker"))</f>
        <v>0</v>
      </c>
      <c r="O316" s="20">
        <f>IF($B316="","",COUNTIFS('Blocker log'!$A:$A,$B316,'Blocker log'!$G:$G,"Hard blocker",'Blocker log'!$L:$L,9))</f>
        <v>0</v>
      </c>
      <c r="P316" s="20">
        <f>IF($B316="","",MAXIFS('Blocker log'!$L:$L,'Blocker log'!$A:$A,$B316,'Blocker log'!$G:$G,"Hard blocker"))</f>
        <v>0</v>
      </c>
      <c r="Q316" s="20" t="str">
        <f>IF($B316="","",IF($K316&lt;&gt;"Complete","Assessment pending",IF($N316=0,"Ready now",VLOOKUP($P316,Lists!$D$2:$E$5,2,FALSE))))</f>
        <v>Assessment pending</v>
      </c>
    </row>
    <row r="317" ht="15.75" customHeight="1">
      <c r="A317" s="35" t="s">
        <v>1224</v>
      </c>
      <c r="B317" s="35" t="s">
        <v>1225</v>
      </c>
      <c r="C317" s="35" t="s">
        <v>76</v>
      </c>
      <c r="D317" s="35" t="s">
        <v>58</v>
      </c>
      <c r="E317" s="35" t="s">
        <v>59</v>
      </c>
      <c r="F317" s="35" t="s">
        <v>77</v>
      </c>
      <c r="G317" s="35" t="s">
        <v>1042</v>
      </c>
      <c r="H317" s="76">
        <v>290577.0</v>
      </c>
      <c r="I317" s="35"/>
      <c r="M317" s="20">
        <f>IF($B317="","",COUNTIFS('Blocker log'!$A:$A,$B317,'Blocker log'!$G:$G,"&lt;&gt;"))</f>
        <v>0</v>
      </c>
      <c r="N317" s="20">
        <f>IF($B317="","",COUNTIFS('Blocker log'!$A:$A,$B317,'Blocker log'!$G:$G,"Hard blocker"))</f>
        <v>0</v>
      </c>
      <c r="O317" s="20">
        <f>IF($B317="","",COUNTIFS('Blocker log'!$A:$A,$B317,'Blocker log'!$G:$G,"Hard blocker",'Blocker log'!$L:$L,9))</f>
        <v>0</v>
      </c>
      <c r="P317" s="20">
        <f>IF($B317="","",MAXIFS('Blocker log'!$L:$L,'Blocker log'!$A:$A,$B317,'Blocker log'!$G:$G,"Hard blocker"))</f>
        <v>0</v>
      </c>
      <c r="Q317" s="20" t="str">
        <f>IF($B317="","",IF($K317&lt;&gt;"Complete","Assessment pending",IF($N317=0,"Ready now",VLOOKUP($P317,Lists!$D$2:$E$5,2,FALSE))))</f>
        <v>Assessment pending</v>
      </c>
    </row>
    <row r="318" ht="15.75" customHeight="1">
      <c r="A318" s="35" t="s">
        <v>1226</v>
      </c>
      <c r="B318" s="35" t="s">
        <v>1227</v>
      </c>
      <c r="C318" s="35" t="s">
        <v>76</v>
      </c>
      <c r="D318" s="35" t="s">
        <v>260</v>
      </c>
      <c r="E318" s="35" t="s">
        <v>576</v>
      </c>
      <c r="F318" s="35" t="s">
        <v>1228</v>
      </c>
      <c r="G318" s="35" t="s">
        <v>980</v>
      </c>
      <c r="H318" s="76">
        <v>288112.0</v>
      </c>
      <c r="I318" s="35"/>
      <c r="M318" s="20">
        <f>IF($B318="","",COUNTIFS('Blocker log'!$A:$A,$B318,'Blocker log'!$G:$G,"&lt;&gt;"))</f>
        <v>0</v>
      </c>
      <c r="N318" s="20">
        <f>IF($B318="","",COUNTIFS('Blocker log'!$A:$A,$B318,'Blocker log'!$G:$G,"Hard blocker"))</f>
        <v>0</v>
      </c>
      <c r="O318" s="20">
        <f>IF($B318="","",COUNTIFS('Blocker log'!$A:$A,$B318,'Blocker log'!$G:$G,"Hard blocker",'Blocker log'!$L:$L,9))</f>
        <v>0</v>
      </c>
      <c r="P318" s="20">
        <f>IF($B318="","",MAXIFS('Blocker log'!$L:$L,'Blocker log'!$A:$A,$B318,'Blocker log'!$G:$G,"Hard blocker"))</f>
        <v>0</v>
      </c>
      <c r="Q318" s="20" t="str">
        <f>IF($B318="","",IF($K318&lt;&gt;"Complete","Assessment pending",IF($N318=0,"Ready now",VLOOKUP($P318,Lists!$D$2:$E$5,2,FALSE))))</f>
        <v>Assessment pending</v>
      </c>
    </row>
    <row r="319" ht="15.75" customHeight="1">
      <c r="A319" s="35" t="s">
        <v>1229</v>
      </c>
      <c r="B319" s="35" t="s">
        <v>1230</v>
      </c>
      <c r="C319" s="35" t="s">
        <v>76</v>
      </c>
      <c r="D319" s="35" t="s">
        <v>58</v>
      </c>
      <c r="E319" s="35" t="s">
        <v>59</v>
      </c>
      <c r="F319" s="35" t="s">
        <v>598</v>
      </c>
      <c r="G319" s="35" t="s">
        <v>980</v>
      </c>
      <c r="H319" s="76">
        <v>285511.0</v>
      </c>
      <c r="I319" s="35"/>
      <c r="M319" s="20">
        <f>IF($B319="","",COUNTIFS('Blocker log'!$A:$A,$B319,'Blocker log'!$G:$G,"&lt;&gt;"))</f>
        <v>0</v>
      </c>
      <c r="N319" s="20">
        <f>IF($B319="","",COUNTIFS('Blocker log'!$A:$A,$B319,'Blocker log'!$G:$G,"Hard blocker"))</f>
        <v>0</v>
      </c>
      <c r="O319" s="20">
        <f>IF($B319="","",COUNTIFS('Blocker log'!$A:$A,$B319,'Blocker log'!$G:$G,"Hard blocker",'Blocker log'!$L:$L,9))</f>
        <v>0</v>
      </c>
      <c r="P319" s="20">
        <f>IF($B319="","",MAXIFS('Blocker log'!$L:$L,'Blocker log'!$A:$A,$B319,'Blocker log'!$G:$G,"Hard blocker"))</f>
        <v>0</v>
      </c>
      <c r="Q319" s="20" t="str">
        <f>IF($B319="","",IF($K319&lt;&gt;"Complete","Assessment pending",IF($N319=0,"Ready now",VLOOKUP($P319,Lists!$D$2:$E$5,2,FALSE))))</f>
        <v>Assessment pending</v>
      </c>
    </row>
    <row r="320" ht="15.75" customHeight="1">
      <c r="A320" s="35" t="s">
        <v>1231</v>
      </c>
      <c r="B320" s="35" t="s">
        <v>1232</v>
      </c>
      <c r="C320" s="35" t="s">
        <v>76</v>
      </c>
      <c r="D320" s="35" t="s">
        <v>58</v>
      </c>
      <c r="E320" s="35" t="s">
        <v>59</v>
      </c>
      <c r="F320" s="35" t="s">
        <v>77</v>
      </c>
      <c r="G320" s="35" t="s">
        <v>980</v>
      </c>
      <c r="H320" s="76">
        <v>281846.0</v>
      </c>
      <c r="I320" s="35"/>
      <c r="M320" s="20">
        <f>IF($B320="","",COUNTIFS('Blocker log'!$A:$A,$B320,'Blocker log'!$G:$G,"&lt;&gt;"))</f>
        <v>0</v>
      </c>
      <c r="N320" s="20">
        <f>IF($B320="","",COUNTIFS('Blocker log'!$A:$A,$B320,'Blocker log'!$G:$G,"Hard blocker"))</f>
        <v>0</v>
      </c>
      <c r="O320" s="20">
        <f>IF($B320="","",COUNTIFS('Blocker log'!$A:$A,$B320,'Blocker log'!$G:$G,"Hard blocker",'Blocker log'!$L:$L,9))</f>
        <v>0</v>
      </c>
      <c r="P320" s="20">
        <f>IF($B320="","",MAXIFS('Blocker log'!$L:$L,'Blocker log'!$A:$A,$B320,'Blocker log'!$G:$G,"Hard blocker"))</f>
        <v>0</v>
      </c>
      <c r="Q320" s="20" t="str">
        <f>IF($B320="","",IF($K320&lt;&gt;"Complete","Assessment pending",IF($N320=0,"Ready now",VLOOKUP($P320,Lists!$D$2:$E$5,2,FALSE))))</f>
        <v>Assessment pending</v>
      </c>
    </row>
    <row r="321" ht="15.75" customHeight="1">
      <c r="A321" s="35" t="s">
        <v>1233</v>
      </c>
      <c r="B321" s="35" t="s">
        <v>1234</v>
      </c>
      <c r="C321" s="35" t="s">
        <v>76</v>
      </c>
      <c r="D321" s="35" t="s">
        <v>171</v>
      </c>
      <c r="E321" s="35" t="s">
        <v>512</v>
      </c>
      <c r="F321" s="35" t="s">
        <v>821</v>
      </c>
      <c r="G321" s="35" t="s">
        <v>1042</v>
      </c>
      <c r="H321" s="76">
        <v>272379.0</v>
      </c>
      <c r="I321" s="35"/>
      <c r="M321" s="20">
        <f>IF($B321="","",COUNTIFS('Blocker log'!$A:$A,$B321,'Blocker log'!$G:$G,"&lt;&gt;"))</f>
        <v>0</v>
      </c>
      <c r="N321" s="20">
        <f>IF($B321="","",COUNTIFS('Blocker log'!$A:$A,$B321,'Blocker log'!$G:$G,"Hard blocker"))</f>
        <v>0</v>
      </c>
      <c r="O321" s="20">
        <f>IF($B321="","",COUNTIFS('Blocker log'!$A:$A,$B321,'Blocker log'!$G:$G,"Hard blocker",'Blocker log'!$L:$L,9))</f>
        <v>0</v>
      </c>
      <c r="P321" s="20">
        <f>IF($B321="","",MAXIFS('Blocker log'!$L:$L,'Blocker log'!$A:$A,$B321,'Blocker log'!$G:$G,"Hard blocker"))</f>
        <v>0</v>
      </c>
      <c r="Q321" s="20" t="str">
        <f>IF($B321="","",IF($K321&lt;&gt;"Complete","Assessment pending",IF($N321=0,"Ready now",VLOOKUP($P321,Lists!$D$2:$E$5,2,FALSE))))</f>
        <v>Assessment pending</v>
      </c>
    </row>
    <row r="322" ht="15.75" customHeight="1">
      <c r="A322" s="35" t="s">
        <v>1235</v>
      </c>
      <c r="B322" s="35" t="s">
        <v>1236</v>
      </c>
      <c r="C322" s="35" t="s">
        <v>76</v>
      </c>
      <c r="D322" s="35" t="s">
        <v>58</v>
      </c>
      <c r="E322" s="35" t="s">
        <v>59</v>
      </c>
      <c r="F322" s="35" t="s">
        <v>598</v>
      </c>
      <c r="G322" s="35" t="s">
        <v>1042</v>
      </c>
      <c r="H322" s="76">
        <v>268704.0</v>
      </c>
      <c r="I322" s="35"/>
      <c r="M322" s="20">
        <f>IF($B322="","",COUNTIFS('Blocker log'!$A:$A,$B322,'Blocker log'!$G:$G,"&lt;&gt;"))</f>
        <v>0</v>
      </c>
      <c r="N322" s="20">
        <f>IF($B322="","",COUNTIFS('Blocker log'!$A:$A,$B322,'Blocker log'!$G:$G,"Hard blocker"))</f>
        <v>0</v>
      </c>
      <c r="O322" s="20">
        <f>IF($B322="","",COUNTIFS('Blocker log'!$A:$A,$B322,'Blocker log'!$G:$G,"Hard blocker",'Blocker log'!$L:$L,9))</f>
        <v>0</v>
      </c>
      <c r="P322" s="20">
        <f>IF($B322="","",MAXIFS('Blocker log'!$L:$L,'Blocker log'!$A:$A,$B322,'Blocker log'!$G:$G,"Hard blocker"))</f>
        <v>0</v>
      </c>
      <c r="Q322" s="20" t="str">
        <f>IF($B322="","",IF($K322&lt;&gt;"Complete","Assessment pending",IF($N322=0,"Ready now",VLOOKUP($P322,Lists!$D$2:$E$5,2,FALSE))))</f>
        <v>Assessment pending</v>
      </c>
    </row>
    <row r="323" ht="15.75" customHeight="1">
      <c r="A323" s="35" t="s">
        <v>1237</v>
      </c>
      <c r="B323" s="35" t="s">
        <v>1238</v>
      </c>
      <c r="C323" s="35" t="s">
        <v>76</v>
      </c>
      <c r="D323" s="35" t="s">
        <v>171</v>
      </c>
      <c r="E323" s="35" t="s">
        <v>524</v>
      </c>
      <c r="F323" s="35" t="s">
        <v>525</v>
      </c>
      <c r="G323" s="35" t="s">
        <v>980</v>
      </c>
      <c r="H323" s="76">
        <v>268348.0</v>
      </c>
      <c r="I323" s="35"/>
      <c r="M323" s="20">
        <f>IF($B323="","",COUNTIFS('Blocker log'!$A:$A,$B323,'Blocker log'!$G:$G,"&lt;&gt;"))</f>
        <v>0</v>
      </c>
      <c r="N323" s="20">
        <f>IF($B323="","",COUNTIFS('Blocker log'!$A:$A,$B323,'Blocker log'!$G:$G,"Hard blocker"))</f>
        <v>0</v>
      </c>
      <c r="O323" s="20">
        <f>IF($B323="","",COUNTIFS('Blocker log'!$A:$A,$B323,'Blocker log'!$G:$G,"Hard blocker",'Blocker log'!$L:$L,9))</f>
        <v>0</v>
      </c>
      <c r="P323" s="20">
        <f>IF($B323="","",MAXIFS('Blocker log'!$L:$L,'Blocker log'!$A:$A,$B323,'Blocker log'!$G:$G,"Hard blocker"))</f>
        <v>0</v>
      </c>
      <c r="Q323" s="20" t="str">
        <f>IF($B323="","",IF($K323&lt;&gt;"Complete","Assessment pending",IF($N323=0,"Ready now",VLOOKUP($P323,Lists!$D$2:$E$5,2,FALSE))))</f>
        <v>Assessment pending</v>
      </c>
    </row>
    <row r="324" ht="15.75" customHeight="1">
      <c r="A324" s="35" t="s">
        <v>1239</v>
      </c>
      <c r="B324" s="35" t="s">
        <v>1240</v>
      </c>
      <c r="C324" s="35" t="s">
        <v>76</v>
      </c>
      <c r="D324" s="35" t="s">
        <v>58</v>
      </c>
      <c r="E324" s="35" t="s">
        <v>59</v>
      </c>
      <c r="F324" s="35" t="s">
        <v>278</v>
      </c>
      <c r="G324" s="35" t="s">
        <v>1042</v>
      </c>
      <c r="H324" s="76">
        <v>268093.0</v>
      </c>
      <c r="I324" s="35"/>
      <c r="M324" s="20">
        <f>IF($B324="","",COUNTIFS('Blocker log'!$A:$A,$B324,'Blocker log'!$G:$G,"&lt;&gt;"))</f>
        <v>0</v>
      </c>
      <c r="N324" s="20">
        <f>IF($B324="","",COUNTIFS('Blocker log'!$A:$A,$B324,'Blocker log'!$G:$G,"Hard blocker"))</f>
        <v>0</v>
      </c>
      <c r="O324" s="20">
        <f>IF($B324="","",COUNTIFS('Blocker log'!$A:$A,$B324,'Blocker log'!$G:$G,"Hard blocker",'Blocker log'!$L:$L,9))</f>
        <v>0</v>
      </c>
      <c r="P324" s="20">
        <f>IF($B324="","",MAXIFS('Blocker log'!$L:$L,'Blocker log'!$A:$A,$B324,'Blocker log'!$G:$G,"Hard blocker"))</f>
        <v>0</v>
      </c>
      <c r="Q324" s="20" t="str">
        <f>IF($B324="","",IF($K324&lt;&gt;"Complete","Assessment pending",IF($N324=0,"Ready now",VLOOKUP($P324,Lists!$D$2:$E$5,2,FALSE))))</f>
        <v>Assessment pending</v>
      </c>
    </row>
    <row r="325" ht="15.75" customHeight="1">
      <c r="A325" s="35" t="s">
        <v>1241</v>
      </c>
      <c r="B325" s="35" t="s">
        <v>1242</v>
      </c>
      <c r="C325" s="35" t="s">
        <v>76</v>
      </c>
      <c r="D325" s="35" t="s">
        <v>58</v>
      </c>
      <c r="E325" s="35" t="s">
        <v>59</v>
      </c>
      <c r="F325" s="35" t="s">
        <v>598</v>
      </c>
      <c r="G325" s="35" t="s">
        <v>999</v>
      </c>
      <c r="H325" s="76">
        <v>262938.0</v>
      </c>
      <c r="I325" s="35"/>
      <c r="M325" s="20">
        <f>IF($B325="","",COUNTIFS('Blocker log'!$A:$A,$B325,'Blocker log'!$G:$G,"&lt;&gt;"))</f>
        <v>0</v>
      </c>
      <c r="N325" s="20">
        <f>IF($B325="","",COUNTIFS('Blocker log'!$A:$A,$B325,'Blocker log'!$G:$G,"Hard blocker"))</f>
        <v>0</v>
      </c>
      <c r="O325" s="20">
        <f>IF($B325="","",COUNTIFS('Blocker log'!$A:$A,$B325,'Blocker log'!$G:$G,"Hard blocker",'Blocker log'!$L:$L,9))</f>
        <v>0</v>
      </c>
      <c r="P325" s="20">
        <f>IF($B325="","",MAXIFS('Blocker log'!$L:$L,'Blocker log'!$A:$A,$B325,'Blocker log'!$G:$G,"Hard blocker"))</f>
        <v>0</v>
      </c>
      <c r="Q325" s="20" t="str">
        <f>IF($B325="","",IF($K325&lt;&gt;"Complete","Assessment pending",IF($N325=0,"Ready now",VLOOKUP($P325,Lists!$D$2:$E$5,2,FALSE))))</f>
        <v>Assessment pending</v>
      </c>
    </row>
    <row r="326" ht="15.75" customHeight="1">
      <c r="A326" s="35" t="s">
        <v>1243</v>
      </c>
      <c r="B326" s="35" t="s">
        <v>1244</v>
      </c>
      <c r="C326" s="35" t="s">
        <v>76</v>
      </c>
      <c r="D326" s="35" t="s">
        <v>58</v>
      </c>
      <c r="E326" s="35" t="s">
        <v>181</v>
      </c>
      <c r="F326" s="35" t="s">
        <v>190</v>
      </c>
      <c r="G326" s="35" t="s">
        <v>1006</v>
      </c>
      <c r="H326" s="76">
        <v>261533.0</v>
      </c>
      <c r="I326" s="35"/>
      <c r="M326" s="20">
        <f>IF($B326="","",COUNTIFS('Blocker log'!$A:$A,$B326,'Blocker log'!$G:$G,"&lt;&gt;"))</f>
        <v>0</v>
      </c>
      <c r="N326" s="20">
        <f>IF($B326="","",COUNTIFS('Blocker log'!$A:$A,$B326,'Blocker log'!$G:$G,"Hard blocker"))</f>
        <v>0</v>
      </c>
      <c r="O326" s="20">
        <f>IF($B326="","",COUNTIFS('Blocker log'!$A:$A,$B326,'Blocker log'!$G:$G,"Hard blocker",'Blocker log'!$L:$L,9))</f>
        <v>0</v>
      </c>
      <c r="P326" s="20">
        <f>IF($B326="","",MAXIFS('Blocker log'!$L:$L,'Blocker log'!$A:$A,$B326,'Blocker log'!$G:$G,"Hard blocker"))</f>
        <v>0</v>
      </c>
      <c r="Q326" s="20" t="str">
        <f>IF($B326="","",IF($K326&lt;&gt;"Complete","Assessment pending",IF($N326=0,"Ready now",VLOOKUP($P326,Lists!$D$2:$E$5,2,FALSE))))</f>
        <v>Assessment pending</v>
      </c>
    </row>
    <row r="327" ht="15.75" customHeight="1">
      <c r="A327" s="35" t="s">
        <v>1245</v>
      </c>
      <c r="B327" s="35" t="s">
        <v>1246</v>
      </c>
      <c r="C327" s="35" t="s">
        <v>76</v>
      </c>
      <c r="D327" s="35" t="s">
        <v>171</v>
      </c>
      <c r="E327" s="35" t="s">
        <v>668</v>
      </c>
      <c r="F327" s="35" t="s">
        <v>669</v>
      </c>
      <c r="G327" s="35" t="s">
        <v>980</v>
      </c>
      <c r="H327" s="76">
        <v>253545.0</v>
      </c>
      <c r="I327" s="35"/>
      <c r="M327" s="20">
        <f>IF($B327="","",COUNTIFS('Blocker log'!$A:$A,$B327,'Blocker log'!$G:$G,"&lt;&gt;"))</f>
        <v>0</v>
      </c>
      <c r="N327" s="20">
        <f>IF($B327="","",COUNTIFS('Blocker log'!$A:$A,$B327,'Blocker log'!$G:$G,"Hard blocker"))</f>
        <v>0</v>
      </c>
      <c r="O327" s="20">
        <f>IF($B327="","",COUNTIFS('Blocker log'!$A:$A,$B327,'Blocker log'!$G:$G,"Hard blocker",'Blocker log'!$L:$L,9))</f>
        <v>0</v>
      </c>
      <c r="P327" s="20">
        <f>IF($B327="","",MAXIFS('Blocker log'!$L:$L,'Blocker log'!$A:$A,$B327,'Blocker log'!$G:$G,"Hard blocker"))</f>
        <v>0</v>
      </c>
      <c r="Q327" s="20" t="str">
        <f>IF($B327="","",IF($K327&lt;&gt;"Complete","Assessment pending",IF($N327=0,"Ready now",VLOOKUP($P327,Lists!$D$2:$E$5,2,FALSE))))</f>
        <v>Assessment pending</v>
      </c>
    </row>
    <row r="328" ht="15.75" customHeight="1">
      <c r="A328" s="35" t="s">
        <v>1247</v>
      </c>
      <c r="B328" s="35" t="s">
        <v>1248</v>
      </c>
      <c r="C328" s="35" t="s">
        <v>76</v>
      </c>
      <c r="D328" s="35" t="s">
        <v>58</v>
      </c>
      <c r="E328" s="35" t="s">
        <v>59</v>
      </c>
      <c r="F328" s="35" t="s">
        <v>225</v>
      </c>
      <c r="G328" s="35" t="s">
        <v>980</v>
      </c>
      <c r="H328" s="76">
        <v>250442.0</v>
      </c>
      <c r="I328" s="35"/>
      <c r="M328" s="20">
        <f>IF($B328="","",COUNTIFS('Blocker log'!$A:$A,$B328,'Blocker log'!$G:$G,"&lt;&gt;"))</f>
        <v>0</v>
      </c>
      <c r="N328" s="20">
        <f>IF($B328="","",COUNTIFS('Blocker log'!$A:$A,$B328,'Blocker log'!$G:$G,"Hard blocker"))</f>
        <v>0</v>
      </c>
      <c r="O328" s="20">
        <f>IF($B328="","",COUNTIFS('Blocker log'!$A:$A,$B328,'Blocker log'!$G:$G,"Hard blocker",'Blocker log'!$L:$L,9))</f>
        <v>0</v>
      </c>
      <c r="P328" s="20">
        <f>IF($B328="","",MAXIFS('Blocker log'!$L:$L,'Blocker log'!$A:$A,$B328,'Blocker log'!$G:$G,"Hard blocker"))</f>
        <v>0</v>
      </c>
      <c r="Q328" s="20" t="str">
        <f>IF($B328="","",IF($K328&lt;&gt;"Complete","Assessment pending",IF($N328=0,"Ready now",VLOOKUP($P328,Lists!$D$2:$E$5,2,FALSE))))</f>
        <v>Assessment pending</v>
      </c>
    </row>
    <row r="329" ht="15.75" customHeight="1">
      <c r="A329" s="35" t="s">
        <v>1249</v>
      </c>
      <c r="B329" s="35" t="s">
        <v>1250</v>
      </c>
      <c r="C329" s="35" t="s">
        <v>76</v>
      </c>
      <c r="D329" s="35" t="s">
        <v>171</v>
      </c>
      <c r="E329" s="35" t="s">
        <v>542</v>
      </c>
      <c r="F329" s="35" t="s">
        <v>543</v>
      </c>
      <c r="G329" s="35" t="s">
        <v>980</v>
      </c>
      <c r="H329" s="76">
        <v>250333.0</v>
      </c>
      <c r="I329" s="35"/>
      <c r="M329" s="20">
        <f>IF($B329="","",COUNTIFS('Blocker log'!$A:$A,$B329,'Blocker log'!$G:$G,"&lt;&gt;"))</f>
        <v>0</v>
      </c>
      <c r="N329" s="20">
        <f>IF($B329="","",COUNTIFS('Blocker log'!$A:$A,$B329,'Blocker log'!$G:$G,"Hard blocker"))</f>
        <v>0</v>
      </c>
      <c r="O329" s="20">
        <f>IF($B329="","",COUNTIFS('Blocker log'!$A:$A,$B329,'Blocker log'!$G:$G,"Hard blocker",'Blocker log'!$L:$L,9))</f>
        <v>0</v>
      </c>
      <c r="P329" s="20">
        <f>IF($B329="","",MAXIFS('Blocker log'!$L:$L,'Blocker log'!$A:$A,$B329,'Blocker log'!$G:$G,"Hard blocker"))</f>
        <v>0</v>
      </c>
      <c r="Q329" s="20" t="str">
        <f>IF($B329="","",IF($K329&lt;&gt;"Complete","Assessment pending",IF($N329=0,"Ready now",VLOOKUP($P329,Lists!$D$2:$E$5,2,FALSE))))</f>
        <v>Assessment pending</v>
      </c>
    </row>
    <row r="330" ht="15.75" customHeight="1">
      <c r="A330" s="35" t="s">
        <v>1251</v>
      </c>
      <c r="B330" s="35" t="s">
        <v>1252</v>
      </c>
      <c r="C330" s="35" t="s">
        <v>76</v>
      </c>
      <c r="D330" s="35" t="s">
        <v>171</v>
      </c>
      <c r="E330" s="35" t="s">
        <v>713</v>
      </c>
      <c r="F330" s="35" t="s">
        <v>714</v>
      </c>
      <c r="G330" s="35" t="s">
        <v>999</v>
      </c>
      <c r="H330" s="76">
        <v>249153.0</v>
      </c>
      <c r="I330" s="35"/>
      <c r="M330" s="20">
        <f>IF($B330="","",COUNTIFS('Blocker log'!$A:$A,$B330,'Blocker log'!$G:$G,"&lt;&gt;"))</f>
        <v>0</v>
      </c>
      <c r="N330" s="20">
        <f>IF($B330="","",COUNTIFS('Blocker log'!$A:$A,$B330,'Blocker log'!$G:$G,"Hard blocker"))</f>
        <v>0</v>
      </c>
      <c r="O330" s="20">
        <f>IF($B330="","",COUNTIFS('Blocker log'!$A:$A,$B330,'Blocker log'!$G:$G,"Hard blocker",'Blocker log'!$L:$L,9))</f>
        <v>0</v>
      </c>
      <c r="P330" s="20">
        <f>IF($B330="","",MAXIFS('Blocker log'!$L:$L,'Blocker log'!$A:$A,$B330,'Blocker log'!$G:$G,"Hard blocker"))</f>
        <v>0</v>
      </c>
      <c r="Q330" s="20" t="str">
        <f>IF($B330="","",IF($K330&lt;&gt;"Complete","Assessment pending",IF($N330=0,"Ready now",VLOOKUP($P330,Lists!$D$2:$E$5,2,FALSE))))</f>
        <v>Assessment pending</v>
      </c>
    </row>
    <row r="331" ht="15.75" customHeight="1">
      <c r="A331" s="35" t="s">
        <v>1253</v>
      </c>
      <c r="B331" s="35" t="s">
        <v>1254</v>
      </c>
      <c r="C331" s="35" t="s">
        <v>76</v>
      </c>
      <c r="D331" s="35" t="s">
        <v>58</v>
      </c>
      <c r="E331" s="35" t="s">
        <v>140</v>
      </c>
      <c r="F331" s="35" t="s">
        <v>141</v>
      </c>
      <c r="G331" s="35" t="s">
        <v>980</v>
      </c>
      <c r="H331" s="76">
        <v>248712.0</v>
      </c>
      <c r="I331" s="35"/>
      <c r="M331" s="20">
        <f>IF($B331="","",COUNTIFS('Blocker log'!$A:$A,$B331,'Blocker log'!$G:$G,"&lt;&gt;"))</f>
        <v>0</v>
      </c>
      <c r="N331" s="20">
        <f>IF($B331="","",COUNTIFS('Blocker log'!$A:$A,$B331,'Blocker log'!$G:$G,"Hard blocker"))</f>
        <v>0</v>
      </c>
      <c r="O331" s="20">
        <f>IF($B331="","",COUNTIFS('Blocker log'!$A:$A,$B331,'Blocker log'!$G:$G,"Hard blocker",'Blocker log'!$L:$L,9))</f>
        <v>0</v>
      </c>
      <c r="P331" s="20">
        <f>IF($B331="","",MAXIFS('Blocker log'!$L:$L,'Blocker log'!$A:$A,$B331,'Blocker log'!$G:$G,"Hard blocker"))</f>
        <v>0</v>
      </c>
      <c r="Q331" s="20" t="str">
        <f>IF($B331="","",IF($K331&lt;&gt;"Complete","Assessment pending",IF($N331=0,"Ready now",VLOOKUP($P331,Lists!$D$2:$E$5,2,FALSE))))</f>
        <v>Assessment pending</v>
      </c>
    </row>
    <row r="332" ht="15.75" customHeight="1">
      <c r="A332" s="35" t="s">
        <v>1255</v>
      </c>
      <c r="B332" s="35" t="s">
        <v>1256</v>
      </c>
      <c r="C332" s="35" t="s">
        <v>76</v>
      </c>
      <c r="D332" s="35" t="s">
        <v>58</v>
      </c>
      <c r="E332" s="35" t="s">
        <v>59</v>
      </c>
      <c r="F332" s="35" t="s">
        <v>77</v>
      </c>
      <c r="G332" s="35" t="s">
        <v>1042</v>
      </c>
      <c r="H332" s="76">
        <v>244984.0</v>
      </c>
      <c r="I332" s="35"/>
      <c r="M332" s="20">
        <f>IF($B332="","",COUNTIFS('Blocker log'!$A:$A,$B332,'Blocker log'!$G:$G,"&lt;&gt;"))</f>
        <v>0</v>
      </c>
      <c r="N332" s="20">
        <f>IF($B332="","",COUNTIFS('Blocker log'!$A:$A,$B332,'Blocker log'!$G:$G,"Hard blocker"))</f>
        <v>0</v>
      </c>
      <c r="O332" s="20">
        <f>IF($B332="","",COUNTIFS('Blocker log'!$A:$A,$B332,'Blocker log'!$G:$G,"Hard blocker",'Blocker log'!$L:$L,9))</f>
        <v>0</v>
      </c>
      <c r="P332" s="20">
        <f>IF($B332="","",MAXIFS('Blocker log'!$L:$L,'Blocker log'!$A:$A,$B332,'Blocker log'!$G:$G,"Hard blocker"))</f>
        <v>0</v>
      </c>
      <c r="Q332" s="20" t="str">
        <f>IF($B332="","",IF($K332&lt;&gt;"Complete","Assessment pending",IF($N332=0,"Ready now",VLOOKUP($P332,Lists!$D$2:$E$5,2,FALSE))))</f>
        <v>Assessment pending</v>
      </c>
    </row>
    <row r="333" ht="15.75" customHeight="1">
      <c r="A333" s="35" t="s">
        <v>1257</v>
      </c>
      <c r="B333" s="35" t="s">
        <v>1258</v>
      </c>
      <c r="C333" s="35" t="s">
        <v>76</v>
      </c>
      <c r="D333" s="35" t="s">
        <v>58</v>
      </c>
      <c r="E333" s="35" t="s">
        <v>181</v>
      </c>
      <c r="F333" s="35" t="s">
        <v>653</v>
      </c>
      <c r="G333" s="35" t="s">
        <v>1006</v>
      </c>
      <c r="H333" s="76">
        <v>241942.0</v>
      </c>
      <c r="I333" s="35" t="s">
        <v>125</v>
      </c>
      <c r="M333" s="20">
        <f>IF($B333="","",COUNTIFS('Blocker log'!$A:$A,$B333,'Blocker log'!$G:$G,"&lt;&gt;"))</f>
        <v>0</v>
      </c>
      <c r="N333" s="20">
        <f>IF($B333="","",COUNTIFS('Blocker log'!$A:$A,$B333,'Blocker log'!$G:$G,"Hard blocker"))</f>
        <v>0</v>
      </c>
      <c r="O333" s="20">
        <f>IF($B333="","",COUNTIFS('Blocker log'!$A:$A,$B333,'Blocker log'!$G:$G,"Hard blocker",'Blocker log'!$L:$L,9))</f>
        <v>0</v>
      </c>
      <c r="P333" s="20">
        <f>IF($B333="","",MAXIFS('Blocker log'!$L:$L,'Blocker log'!$A:$A,$B333,'Blocker log'!$G:$G,"Hard blocker"))</f>
        <v>0</v>
      </c>
      <c r="Q333" s="20" t="str">
        <f>IF($B333="","",IF($K333&lt;&gt;"Complete","Assessment pending",IF($N333=0,"Ready now",VLOOKUP($P333,Lists!$D$2:$E$5,2,FALSE))))</f>
        <v>Assessment pending</v>
      </c>
    </row>
    <row r="334" ht="15.75" customHeight="1">
      <c r="A334" s="35" t="s">
        <v>1259</v>
      </c>
      <c r="B334" s="35" t="s">
        <v>1260</v>
      </c>
      <c r="C334" s="35" t="s">
        <v>57</v>
      </c>
      <c r="D334" s="35" t="s">
        <v>58</v>
      </c>
      <c r="E334" s="35" t="s">
        <v>181</v>
      </c>
      <c r="F334" s="35" t="s">
        <v>217</v>
      </c>
      <c r="G334" s="35" t="s">
        <v>980</v>
      </c>
      <c r="H334" s="76">
        <v>237115.0</v>
      </c>
      <c r="I334" s="35" t="s">
        <v>183</v>
      </c>
      <c r="M334" s="20">
        <f>IF($B334="","",COUNTIFS('Blocker log'!$A:$A,$B334,'Blocker log'!$G:$G,"&lt;&gt;"))</f>
        <v>0</v>
      </c>
      <c r="N334" s="20">
        <f>IF($B334="","",COUNTIFS('Blocker log'!$A:$A,$B334,'Blocker log'!$G:$G,"Hard blocker"))</f>
        <v>0</v>
      </c>
      <c r="O334" s="20">
        <f>IF($B334="","",COUNTIFS('Blocker log'!$A:$A,$B334,'Blocker log'!$G:$G,"Hard blocker",'Blocker log'!$L:$L,9))</f>
        <v>0</v>
      </c>
      <c r="P334" s="20">
        <f>IF($B334="","",MAXIFS('Blocker log'!$L:$L,'Blocker log'!$A:$A,$B334,'Blocker log'!$G:$G,"Hard blocker"))</f>
        <v>0</v>
      </c>
      <c r="Q334" s="20" t="str">
        <f>IF($B334="","",IF($K334&lt;&gt;"Complete","Assessment pending",IF($N334=0,"Ready now",VLOOKUP($P334,Lists!$D$2:$E$5,2,FALSE))))</f>
        <v>Assessment pending</v>
      </c>
    </row>
    <row r="335" ht="15.75" customHeight="1">
      <c r="A335" s="35" t="s">
        <v>1261</v>
      </c>
      <c r="B335" s="35" t="s">
        <v>1262</v>
      </c>
      <c r="C335" s="35" t="s">
        <v>76</v>
      </c>
      <c r="D335" s="35" t="s">
        <v>58</v>
      </c>
      <c r="E335" s="35" t="s">
        <v>181</v>
      </c>
      <c r="F335" s="35" t="s">
        <v>217</v>
      </c>
      <c r="G335" s="35" t="s">
        <v>1042</v>
      </c>
      <c r="H335" s="76">
        <v>236013.0</v>
      </c>
      <c r="I335" s="35" t="s">
        <v>384</v>
      </c>
      <c r="M335" s="20">
        <f>IF($B335="","",COUNTIFS('Blocker log'!$A:$A,$B335,'Blocker log'!$G:$G,"&lt;&gt;"))</f>
        <v>0</v>
      </c>
      <c r="N335" s="20">
        <f>IF($B335="","",COUNTIFS('Blocker log'!$A:$A,$B335,'Blocker log'!$G:$G,"Hard blocker"))</f>
        <v>0</v>
      </c>
      <c r="O335" s="20">
        <f>IF($B335="","",COUNTIFS('Blocker log'!$A:$A,$B335,'Blocker log'!$G:$G,"Hard blocker",'Blocker log'!$L:$L,9))</f>
        <v>0</v>
      </c>
      <c r="P335" s="20">
        <f>IF($B335="","",MAXIFS('Blocker log'!$L:$L,'Blocker log'!$A:$A,$B335,'Blocker log'!$G:$G,"Hard blocker"))</f>
        <v>0</v>
      </c>
      <c r="Q335" s="20" t="str">
        <f>IF($B335="","",IF($K335&lt;&gt;"Complete","Assessment pending",IF($N335=0,"Ready now",VLOOKUP($P335,Lists!$D$2:$E$5,2,FALSE))))</f>
        <v>Assessment pending</v>
      </c>
    </row>
    <row r="336" ht="15.75" customHeight="1">
      <c r="A336" s="35" t="s">
        <v>1263</v>
      </c>
      <c r="B336" s="35" t="s">
        <v>1264</v>
      </c>
      <c r="C336" s="35" t="s">
        <v>76</v>
      </c>
      <c r="D336" s="35" t="s">
        <v>58</v>
      </c>
      <c r="E336" s="35" t="s">
        <v>140</v>
      </c>
      <c r="F336" s="35" t="s">
        <v>156</v>
      </c>
      <c r="G336" s="35" t="s">
        <v>980</v>
      </c>
      <c r="H336" s="76">
        <v>235912.0</v>
      </c>
      <c r="I336" s="35"/>
      <c r="M336" s="20">
        <f>IF($B336="","",COUNTIFS('Blocker log'!$A:$A,$B336,'Blocker log'!$G:$G,"&lt;&gt;"))</f>
        <v>0</v>
      </c>
      <c r="N336" s="20">
        <f>IF($B336="","",COUNTIFS('Blocker log'!$A:$A,$B336,'Blocker log'!$G:$G,"Hard blocker"))</f>
        <v>0</v>
      </c>
      <c r="O336" s="20">
        <f>IF($B336="","",COUNTIFS('Blocker log'!$A:$A,$B336,'Blocker log'!$G:$G,"Hard blocker",'Blocker log'!$L:$L,9))</f>
        <v>0</v>
      </c>
      <c r="P336" s="20">
        <f>IF($B336="","",MAXIFS('Blocker log'!$L:$L,'Blocker log'!$A:$A,$B336,'Blocker log'!$G:$G,"Hard blocker"))</f>
        <v>0</v>
      </c>
      <c r="Q336" s="20" t="str">
        <f>IF($B336="","",IF($K336&lt;&gt;"Complete","Assessment pending",IF($N336=0,"Ready now",VLOOKUP($P336,Lists!$D$2:$E$5,2,FALSE))))</f>
        <v>Assessment pending</v>
      </c>
    </row>
    <row r="337" ht="15.75" customHeight="1">
      <c r="A337" s="35" t="s">
        <v>1265</v>
      </c>
      <c r="B337" s="35" t="s">
        <v>1266</v>
      </c>
      <c r="C337" s="35" t="s">
        <v>76</v>
      </c>
      <c r="D337" s="35" t="s">
        <v>171</v>
      </c>
      <c r="E337" s="35" t="s">
        <v>524</v>
      </c>
      <c r="F337" s="35" t="s">
        <v>1085</v>
      </c>
      <c r="G337" s="35" t="s">
        <v>980</v>
      </c>
      <c r="H337" s="76">
        <v>235728.0</v>
      </c>
      <c r="I337" s="35"/>
      <c r="M337" s="20">
        <f>IF($B337="","",COUNTIFS('Blocker log'!$A:$A,$B337,'Blocker log'!$G:$G,"&lt;&gt;"))</f>
        <v>0</v>
      </c>
      <c r="N337" s="20">
        <f>IF($B337="","",COUNTIFS('Blocker log'!$A:$A,$B337,'Blocker log'!$G:$G,"Hard blocker"))</f>
        <v>0</v>
      </c>
      <c r="O337" s="20">
        <f>IF($B337="","",COUNTIFS('Blocker log'!$A:$A,$B337,'Blocker log'!$G:$G,"Hard blocker",'Blocker log'!$L:$L,9))</f>
        <v>0</v>
      </c>
      <c r="P337" s="20">
        <f>IF($B337="","",MAXIFS('Blocker log'!$L:$L,'Blocker log'!$A:$A,$B337,'Blocker log'!$G:$G,"Hard blocker"))</f>
        <v>0</v>
      </c>
      <c r="Q337" s="20" t="str">
        <f>IF($B337="","",IF($K337&lt;&gt;"Complete","Assessment pending",IF($N337=0,"Ready now",VLOOKUP($P337,Lists!$D$2:$E$5,2,FALSE))))</f>
        <v>Assessment pending</v>
      </c>
    </row>
    <row r="338" ht="15.75" customHeight="1">
      <c r="A338" s="35" t="s">
        <v>1267</v>
      </c>
      <c r="B338" s="35" t="s">
        <v>1268</v>
      </c>
      <c r="C338" s="35" t="s">
        <v>76</v>
      </c>
      <c r="D338" s="35" t="s">
        <v>58</v>
      </c>
      <c r="E338" s="35" t="s">
        <v>140</v>
      </c>
      <c r="F338" s="35" t="s">
        <v>200</v>
      </c>
      <c r="G338" s="35" t="s">
        <v>999</v>
      </c>
      <c r="H338" s="76">
        <v>235555.0</v>
      </c>
      <c r="I338" s="35"/>
      <c r="M338" s="20">
        <f>IF($B338="","",COUNTIFS('Blocker log'!$A:$A,$B338,'Blocker log'!$G:$G,"&lt;&gt;"))</f>
        <v>0</v>
      </c>
      <c r="N338" s="20">
        <f>IF($B338="","",COUNTIFS('Blocker log'!$A:$A,$B338,'Blocker log'!$G:$G,"Hard blocker"))</f>
        <v>0</v>
      </c>
      <c r="O338" s="20">
        <f>IF($B338="","",COUNTIFS('Blocker log'!$A:$A,$B338,'Blocker log'!$G:$G,"Hard blocker",'Blocker log'!$L:$L,9))</f>
        <v>0</v>
      </c>
      <c r="P338" s="20">
        <f>IF($B338="","",MAXIFS('Blocker log'!$L:$L,'Blocker log'!$A:$A,$B338,'Blocker log'!$G:$G,"Hard blocker"))</f>
        <v>0</v>
      </c>
      <c r="Q338" s="20" t="str">
        <f>IF($B338="","",IF($K338&lt;&gt;"Complete","Assessment pending",IF($N338=0,"Ready now",VLOOKUP($P338,Lists!$D$2:$E$5,2,FALSE))))</f>
        <v>Assessment pending</v>
      </c>
    </row>
    <row r="339" ht="15.75" customHeight="1">
      <c r="A339" s="35" t="s">
        <v>1269</v>
      </c>
      <c r="B339" s="35" t="s">
        <v>1270</v>
      </c>
      <c r="C339" s="35" t="s">
        <v>76</v>
      </c>
      <c r="D339" s="35" t="s">
        <v>260</v>
      </c>
      <c r="E339" s="35" t="s">
        <v>576</v>
      </c>
      <c r="F339" s="35" t="s">
        <v>1228</v>
      </c>
      <c r="G339" s="35" t="s">
        <v>980</v>
      </c>
      <c r="H339" s="76">
        <v>234361.0</v>
      </c>
      <c r="I339" s="35"/>
      <c r="M339" s="20">
        <f>IF($B339="","",COUNTIFS('Blocker log'!$A:$A,$B339,'Blocker log'!$G:$G,"&lt;&gt;"))</f>
        <v>0</v>
      </c>
      <c r="N339" s="20">
        <f>IF($B339="","",COUNTIFS('Blocker log'!$A:$A,$B339,'Blocker log'!$G:$G,"Hard blocker"))</f>
        <v>0</v>
      </c>
      <c r="O339" s="20">
        <f>IF($B339="","",COUNTIFS('Blocker log'!$A:$A,$B339,'Blocker log'!$G:$G,"Hard blocker",'Blocker log'!$L:$L,9))</f>
        <v>0</v>
      </c>
      <c r="P339" s="20">
        <f>IF($B339="","",MAXIFS('Blocker log'!$L:$L,'Blocker log'!$A:$A,$B339,'Blocker log'!$G:$G,"Hard blocker"))</f>
        <v>0</v>
      </c>
      <c r="Q339" s="20" t="str">
        <f>IF($B339="","",IF($K339&lt;&gt;"Complete","Assessment pending",IF($N339=0,"Ready now",VLOOKUP($P339,Lists!$D$2:$E$5,2,FALSE))))</f>
        <v>Assessment pending</v>
      </c>
    </row>
    <row r="340" ht="15.75" customHeight="1">
      <c r="A340" s="35" t="s">
        <v>1271</v>
      </c>
      <c r="B340" s="35" t="s">
        <v>1272</v>
      </c>
      <c r="C340" s="35" t="s">
        <v>76</v>
      </c>
      <c r="D340" s="35" t="s">
        <v>58</v>
      </c>
      <c r="E340" s="35" t="s">
        <v>59</v>
      </c>
      <c r="F340" s="35" t="s">
        <v>124</v>
      </c>
      <c r="G340" s="35" t="s">
        <v>980</v>
      </c>
      <c r="H340" s="76">
        <v>234360.0</v>
      </c>
      <c r="I340" s="35"/>
      <c r="M340" s="20">
        <f>IF($B340="","",COUNTIFS('Blocker log'!$A:$A,$B340,'Blocker log'!$G:$G,"&lt;&gt;"))</f>
        <v>0</v>
      </c>
      <c r="N340" s="20">
        <f>IF($B340="","",COUNTIFS('Blocker log'!$A:$A,$B340,'Blocker log'!$G:$G,"Hard blocker"))</f>
        <v>0</v>
      </c>
      <c r="O340" s="20">
        <f>IF($B340="","",COUNTIFS('Blocker log'!$A:$A,$B340,'Blocker log'!$G:$G,"Hard blocker",'Blocker log'!$L:$L,9))</f>
        <v>0</v>
      </c>
      <c r="P340" s="20">
        <f>IF($B340="","",MAXIFS('Blocker log'!$L:$L,'Blocker log'!$A:$A,$B340,'Blocker log'!$G:$G,"Hard blocker"))</f>
        <v>0</v>
      </c>
      <c r="Q340" s="20" t="str">
        <f>IF($B340="","",IF($K340&lt;&gt;"Complete","Assessment pending",IF($N340=0,"Ready now",VLOOKUP($P340,Lists!$D$2:$E$5,2,FALSE))))</f>
        <v>Assessment pending</v>
      </c>
    </row>
    <row r="341" ht="15.75" customHeight="1">
      <c r="A341" s="35" t="s">
        <v>1273</v>
      </c>
      <c r="B341" s="35" t="s">
        <v>1274</v>
      </c>
      <c r="C341" s="35" t="s">
        <v>76</v>
      </c>
      <c r="D341" s="35" t="s">
        <v>58</v>
      </c>
      <c r="E341" s="35" t="s">
        <v>132</v>
      </c>
      <c r="F341" s="35" t="s">
        <v>693</v>
      </c>
      <c r="G341" s="35" t="s">
        <v>980</v>
      </c>
      <c r="H341" s="76">
        <v>233275.0</v>
      </c>
      <c r="I341" s="35"/>
      <c r="M341" s="20">
        <f>IF($B341="","",COUNTIFS('Blocker log'!$A:$A,$B341,'Blocker log'!$G:$G,"&lt;&gt;"))</f>
        <v>0</v>
      </c>
      <c r="N341" s="20">
        <f>IF($B341="","",COUNTIFS('Blocker log'!$A:$A,$B341,'Blocker log'!$G:$G,"Hard blocker"))</f>
        <v>0</v>
      </c>
      <c r="O341" s="20">
        <f>IF($B341="","",COUNTIFS('Blocker log'!$A:$A,$B341,'Blocker log'!$G:$G,"Hard blocker",'Blocker log'!$L:$L,9))</f>
        <v>0</v>
      </c>
      <c r="P341" s="20">
        <f>IF($B341="","",MAXIFS('Blocker log'!$L:$L,'Blocker log'!$A:$A,$B341,'Blocker log'!$G:$G,"Hard blocker"))</f>
        <v>0</v>
      </c>
      <c r="Q341" s="20" t="str">
        <f>IF($B341="","",IF($K341&lt;&gt;"Complete","Assessment pending",IF($N341=0,"Ready now",VLOOKUP($P341,Lists!$D$2:$E$5,2,FALSE))))</f>
        <v>Assessment pending</v>
      </c>
    </row>
    <row r="342" ht="15.75" customHeight="1">
      <c r="A342" s="35" t="s">
        <v>1275</v>
      </c>
      <c r="B342" s="35" t="s">
        <v>1276</v>
      </c>
      <c r="C342" s="35" t="s">
        <v>76</v>
      </c>
      <c r="D342" s="35" t="s">
        <v>58</v>
      </c>
      <c r="E342" s="35" t="s">
        <v>140</v>
      </c>
      <c r="F342" s="35" t="s">
        <v>246</v>
      </c>
      <c r="G342" s="35" t="s">
        <v>1042</v>
      </c>
      <c r="H342" s="76">
        <v>232900.0</v>
      </c>
      <c r="I342" s="35"/>
      <c r="M342" s="20">
        <f>IF($B342="","",COUNTIFS('Blocker log'!$A:$A,$B342,'Blocker log'!$G:$G,"&lt;&gt;"))</f>
        <v>0</v>
      </c>
      <c r="N342" s="20">
        <f>IF($B342="","",COUNTIFS('Blocker log'!$A:$A,$B342,'Blocker log'!$G:$G,"Hard blocker"))</f>
        <v>0</v>
      </c>
      <c r="O342" s="20">
        <f>IF($B342="","",COUNTIFS('Blocker log'!$A:$A,$B342,'Blocker log'!$G:$G,"Hard blocker",'Blocker log'!$L:$L,9))</f>
        <v>0</v>
      </c>
      <c r="P342" s="20">
        <f>IF($B342="","",MAXIFS('Blocker log'!$L:$L,'Blocker log'!$A:$A,$B342,'Blocker log'!$G:$G,"Hard blocker"))</f>
        <v>0</v>
      </c>
      <c r="Q342" s="20" t="str">
        <f>IF($B342="","",IF($K342&lt;&gt;"Complete","Assessment pending",IF($N342=0,"Ready now",VLOOKUP($P342,Lists!$D$2:$E$5,2,FALSE))))</f>
        <v>Assessment pending</v>
      </c>
    </row>
    <row r="343" ht="15.75" customHeight="1">
      <c r="A343" s="35" t="s">
        <v>1277</v>
      </c>
      <c r="B343" s="35" t="s">
        <v>1278</v>
      </c>
      <c r="C343" s="35" t="s">
        <v>76</v>
      </c>
      <c r="D343" s="35" t="s">
        <v>260</v>
      </c>
      <c r="E343" s="35" t="s">
        <v>576</v>
      </c>
      <c r="F343" s="35" t="s">
        <v>577</v>
      </c>
      <c r="G343" s="35" t="s">
        <v>980</v>
      </c>
      <c r="H343" s="76">
        <v>232501.0</v>
      </c>
      <c r="I343" s="35"/>
      <c r="M343" s="20">
        <f>IF($B343="","",COUNTIFS('Blocker log'!$A:$A,$B343,'Blocker log'!$G:$G,"&lt;&gt;"))</f>
        <v>0</v>
      </c>
      <c r="N343" s="20">
        <f>IF($B343="","",COUNTIFS('Blocker log'!$A:$A,$B343,'Blocker log'!$G:$G,"Hard blocker"))</f>
        <v>0</v>
      </c>
      <c r="O343" s="20">
        <f>IF($B343="","",COUNTIFS('Blocker log'!$A:$A,$B343,'Blocker log'!$G:$G,"Hard blocker",'Blocker log'!$L:$L,9))</f>
        <v>0</v>
      </c>
      <c r="P343" s="20">
        <f>IF($B343="","",MAXIFS('Blocker log'!$L:$L,'Blocker log'!$A:$A,$B343,'Blocker log'!$G:$G,"Hard blocker"))</f>
        <v>0</v>
      </c>
      <c r="Q343" s="20" t="str">
        <f>IF($B343="","",IF($K343&lt;&gt;"Complete","Assessment pending",IF($N343=0,"Ready now",VLOOKUP($P343,Lists!$D$2:$E$5,2,FALSE))))</f>
        <v>Assessment pending</v>
      </c>
    </row>
    <row r="344" ht="15.75" customHeight="1">
      <c r="A344" s="35" t="s">
        <v>1279</v>
      </c>
      <c r="B344" s="35" t="s">
        <v>1280</v>
      </c>
      <c r="C344" s="35" t="s">
        <v>76</v>
      </c>
      <c r="D344" s="35" t="s">
        <v>301</v>
      </c>
      <c r="E344" s="35" t="s">
        <v>1281</v>
      </c>
      <c r="F344" s="35" t="s">
        <v>1281</v>
      </c>
      <c r="G344" s="35" t="s">
        <v>1042</v>
      </c>
      <c r="H344" s="76">
        <v>230890.0</v>
      </c>
      <c r="I344" s="35"/>
      <c r="M344" s="20">
        <f>IF($B344="","",COUNTIFS('Blocker log'!$A:$A,$B344,'Blocker log'!$G:$G,"&lt;&gt;"))</f>
        <v>0</v>
      </c>
      <c r="N344" s="20">
        <f>IF($B344="","",COUNTIFS('Blocker log'!$A:$A,$B344,'Blocker log'!$G:$G,"Hard blocker"))</f>
        <v>0</v>
      </c>
      <c r="O344" s="20">
        <f>IF($B344="","",COUNTIFS('Blocker log'!$A:$A,$B344,'Blocker log'!$G:$G,"Hard blocker",'Blocker log'!$L:$L,9))</f>
        <v>0</v>
      </c>
      <c r="P344" s="20">
        <f>IF($B344="","",MAXIFS('Blocker log'!$L:$L,'Blocker log'!$A:$A,$B344,'Blocker log'!$G:$G,"Hard blocker"))</f>
        <v>0</v>
      </c>
      <c r="Q344" s="20" t="str">
        <f>IF($B344="","",IF($K344&lt;&gt;"Complete","Assessment pending",IF($N344=0,"Ready now",VLOOKUP($P344,Lists!$D$2:$E$5,2,FALSE))))</f>
        <v>Assessment pending</v>
      </c>
    </row>
    <row r="345" ht="15.75" customHeight="1">
      <c r="A345" s="35" t="s">
        <v>1282</v>
      </c>
      <c r="B345" s="35" t="s">
        <v>1283</v>
      </c>
      <c r="C345" s="35" t="s">
        <v>76</v>
      </c>
      <c r="D345" s="35" t="s">
        <v>58</v>
      </c>
      <c r="E345" s="35" t="s">
        <v>59</v>
      </c>
      <c r="F345" s="35" t="s">
        <v>278</v>
      </c>
      <c r="G345" s="35" t="s">
        <v>1042</v>
      </c>
      <c r="H345" s="76">
        <v>229824.0</v>
      </c>
      <c r="I345" s="47" t="s">
        <v>396</v>
      </c>
      <c r="M345" s="20">
        <f>IF($B345="","",COUNTIFS('Blocker log'!$A:$A,$B345,'Blocker log'!$G:$G,"&lt;&gt;"))</f>
        <v>0</v>
      </c>
      <c r="N345" s="20">
        <f>IF($B345="","",COUNTIFS('Blocker log'!$A:$A,$B345,'Blocker log'!$G:$G,"Hard blocker"))</f>
        <v>0</v>
      </c>
      <c r="O345" s="20">
        <f>IF($B345="","",COUNTIFS('Blocker log'!$A:$A,$B345,'Blocker log'!$G:$G,"Hard blocker",'Blocker log'!$L:$L,9))</f>
        <v>0</v>
      </c>
      <c r="P345" s="20">
        <f>IF($B345="","",MAXIFS('Blocker log'!$L:$L,'Blocker log'!$A:$A,$B345,'Blocker log'!$G:$G,"Hard blocker"))</f>
        <v>0</v>
      </c>
      <c r="Q345" s="20" t="str">
        <f>IF($B345="","",IF($K345&lt;&gt;"Complete","Assessment pending",IF($N345=0,"Ready now",VLOOKUP($P345,Lists!$D$2:$E$5,2,FALSE))))</f>
        <v>Assessment pending</v>
      </c>
    </row>
    <row r="346" ht="15.75" customHeight="1">
      <c r="A346" s="35" t="s">
        <v>1284</v>
      </c>
      <c r="B346" s="35" t="s">
        <v>1285</v>
      </c>
      <c r="C346" s="35" t="s">
        <v>1286</v>
      </c>
      <c r="D346" s="35" t="s">
        <v>58</v>
      </c>
      <c r="E346" s="35" t="s">
        <v>494</v>
      </c>
      <c r="F346" s="35" t="s">
        <v>629</v>
      </c>
      <c r="G346" s="35" t="s">
        <v>1161</v>
      </c>
      <c r="H346" s="76">
        <v>227797.0</v>
      </c>
      <c r="I346" s="35" t="s">
        <v>401</v>
      </c>
      <c r="M346" s="20">
        <f>IF($B346="","",COUNTIFS('Blocker log'!$A:$A,$B346,'Blocker log'!$G:$G,"&lt;&gt;"))</f>
        <v>0</v>
      </c>
      <c r="N346" s="20">
        <f>IF($B346="","",COUNTIFS('Blocker log'!$A:$A,$B346,'Blocker log'!$G:$G,"Hard blocker"))</f>
        <v>0</v>
      </c>
      <c r="O346" s="20">
        <f>IF($B346="","",COUNTIFS('Blocker log'!$A:$A,$B346,'Blocker log'!$G:$G,"Hard blocker",'Blocker log'!$L:$L,9))</f>
        <v>0</v>
      </c>
      <c r="P346" s="20">
        <f>IF($B346="","",MAXIFS('Blocker log'!$L:$L,'Blocker log'!$A:$A,$B346,'Blocker log'!$G:$G,"Hard blocker"))</f>
        <v>0</v>
      </c>
      <c r="Q346" s="20" t="str">
        <f>IF($B346="","",IF($K346&lt;&gt;"Complete","Assessment pending",IF($N346=0,"Ready now",VLOOKUP($P346,Lists!$D$2:$E$5,2,FALSE))))</f>
        <v>Assessment pending</v>
      </c>
    </row>
    <row r="347" ht="15.75" customHeight="1">
      <c r="A347" s="35" t="s">
        <v>1287</v>
      </c>
      <c r="B347" s="35" t="s">
        <v>1288</v>
      </c>
      <c r="C347" s="35" t="s">
        <v>76</v>
      </c>
      <c r="D347" s="35" t="s">
        <v>260</v>
      </c>
      <c r="E347" s="35" t="s">
        <v>576</v>
      </c>
      <c r="F347" s="35" t="s">
        <v>1228</v>
      </c>
      <c r="G347" s="35" t="s">
        <v>999</v>
      </c>
      <c r="H347" s="76">
        <v>226805.0</v>
      </c>
      <c r="I347" s="35"/>
      <c r="M347" s="20">
        <f>IF($B347="","",COUNTIFS('Blocker log'!$A:$A,$B347,'Blocker log'!$G:$G,"&lt;&gt;"))</f>
        <v>0</v>
      </c>
      <c r="N347" s="20">
        <f>IF($B347="","",COUNTIFS('Blocker log'!$A:$A,$B347,'Blocker log'!$G:$G,"Hard blocker"))</f>
        <v>0</v>
      </c>
      <c r="O347" s="20">
        <f>IF($B347="","",COUNTIFS('Blocker log'!$A:$A,$B347,'Blocker log'!$G:$G,"Hard blocker",'Blocker log'!$L:$L,9))</f>
        <v>0</v>
      </c>
      <c r="P347" s="20">
        <f>IF($B347="","",MAXIFS('Blocker log'!$L:$L,'Blocker log'!$A:$A,$B347,'Blocker log'!$G:$G,"Hard blocker"))</f>
        <v>0</v>
      </c>
      <c r="Q347" s="20" t="str">
        <f>IF($B347="","",IF($K347&lt;&gt;"Complete","Assessment pending",IF($N347=0,"Ready now",VLOOKUP($P347,Lists!$D$2:$E$5,2,FALSE))))</f>
        <v>Assessment pending</v>
      </c>
    </row>
    <row r="348" ht="15.75" customHeight="1">
      <c r="A348" s="35" t="s">
        <v>1289</v>
      </c>
      <c r="B348" s="35" t="s">
        <v>1290</v>
      </c>
      <c r="C348" s="35" t="s">
        <v>76</v>
      </c>
      <c r="D348" s="35" t="s">
        <v>58</v>
      </c>
      <c r="E348" s="35" t="s">
        <v>494</v>
      </c>
      <c r="F348" s="35" t="s">
        <v>629</v>
      </c>
      <c r="G348" s="35" t="s">
        <v>980</v>
      </c>
      <c r="H348" s="76">
        <v>226798.0</v>
      </c>
      <c r="I348" s="35"/>
      <c r="M348" s="20">
        <f>IF($B348="","",COUNTIFS('Blocker log'!$A:$A,$B348,'Blocker log'!$G:$G,"&lt;&gt;"))</f>
        <v>0</v>
      </c>
      <c r="N348" s="20">
        <f>IF($B348="","",COUNTIFS('Blocker log'!$A:$A,$B348,'Blocker log'!$G:$G,"Hard blocker"))</f>
        <v>0</v>
      </c>
      <c r="O348" s="20">
        <f>IF($B348="","",COUNTIFS('Blocker log'!$A:$A,$B348,'Blocker log'!$G:$G,"Hard blocker",'Blocker log'!$L:$L,9))</f>
        <v>0</v>
      </c>
      <c r="P348" s="20">
        <f>IF($B348="","",MAXIFS('Blocker log'!$L:$L,'Blocker log'!$A:$A,$B348,'Blocker log'!$G:$G,"Hard blocker"))</f>
        <v>0</v>
      </c>
      <c r="Q348" s="20" t="str">
        <f>IF($B348="","",IF($K348&lt;&gt;"Complete","Assessment pending",IF($N348=0,"Ready now",VLOOKUP($P348,Lists!$D$2:$E$5,2,FALSE))))</f>
        <v>Assessment pending</v>
      </c>
    </row>
    <row r="349" ht="15.75" customHeight="1">
      <c r="A349" s="35" t="s">
        <v>1291</v>
      </c>
      <c r="B349" s="35" t="s">
        <v>1292</v>
      </c>
      <c r="C349" s="35" t="s">
        <v>76</v>
      </c>
      <c r="D349" s="35" t="s">
        <v>58</v>
      </c>
      <c r="E349" s="35" t="s">
        <v>101</v>
      </c>
      <c r="F349" s="35" t="s">
        <v>116</v>
      </c>
      <c r="G349" s="35" t="s">
        <v>980</v>
      </c>
      <c r="H349" s="76">
        <v>226363.0</v>
      </c>
      <c r="I349" s="35"/>
      <c r="M349" s="20">
        <f>IF($B349="","",COUNTIFS('Blocker log'!$A:$A,$B349,'Blocker log'!$G:$G,"&lt;&gt;"))</f>
        <v>0</v>
      </c>
      <c r="N349" s="20">
        <f>IF($B349="","",COUNTIFS('Blocker log'!$A:$A,$B349,'Blocker log'!$G:$G,"Hard blocker"))</f>
        <v>0</v>
      </c>
      <c r="O349" s="20">
        <f>IF($B349="","",COUNTIFS('Blocker log'!$A:$A,$B349,'Blocker log'!$G:$G,"Hard blocker",'Blocker log'!$L:$L,9))</f>
        <v>0</v>
      </c>
      <c r="P349" s="20">
        <f>IF($B349="","",MAXIFS('Blocker log'!$L:$L,'Blocker log'!$A:$A,$B349,'Blocker log'!$G:$G,"Hard blocker"))</f>
        <v>0</v>
      </c>
      <c r="Q349" s="20" t="str">
        <f>IF($B349="","",IF($K349&lt;&gt;"Complete","Assessment pending",IF($N349=0,"Ready now",VLOOKUP($P349,Lists!$D$2:$E$5,2,FALSE))))</f>
        <v>Assessment pending</v>
      </c>
    </row>
    <row r="350" ht="15.75" customHeight="1">
      <c r="A350" s="35" t="s">
        <v>1293</v>
      </c>
      <c r="B350" s="35" t="s">
        <v>1294</v>
      </c>
      <c r="C350" s="35" t="s">
        <v>76</v>
      </c>
      <c r="D350" s="35" t="s">
        <v>58</v>
      </c>
      <c r="E350" s="35" t="s">
        <v>59</v>
      </c>
      <c r="F350" s="35" t="s">
        <v>225</v>
      </c>
      <c r="G350" s="35" t="s">
        <v>999</v>
      </c>
      <c r="H350" s="76">
        <v>226333.0</v>
      </c>
      <c r="I350" s="35"/>
      <c r="M350" s="20">
        <f>IF($B350="","",COUNTIFS('Blocker log'!$A:$A,$B350,'Blocker log'!$G:$G,"&lt;&gt;"))</f>
        <v>0</v>
      </c>
      <c r="N350" s="20">
        <f>IF($B350="","",COUNTIFS('Blocker log'!$A:$A,$B350,'Blocker log'!$G:$G,"Hard blocker"))</f>
        <v>0</v>
      </c>
      <c r="O350" s="20">
        <f>IF($B350="","",COUNTIFS('Blocker log'!$A:$A,$B350,'Blocker log'!$G:$G,"Hard blocker",'Blocker log'!$L:$L,9))</f>
        <v>0</v>
      </c>
      <c r="P350" s="20">
        <f>IF($B350="","",MAXIFS('Blocker log'!$L:$L,'Blocker log'!$A:$A,$B350,'Blocker log'!$G:$G,"Hard blocker"))</f>
        <v>0</v>
      </c>
      <c r="Q350" s="20" t="str">
        <f>IF($B350="","",IF($K350&lt;&gt;"Complete","Assessment pending",IF($N350=0,"Ready now",VLOOKUP($P350,Lists!$D$2:$E$5,2,FALSE))))</f>
        <v>Assessment pending</v>
      </c>
    </row>
    <row r="351" ht="15.75" customHeight="1">
      <c r="A351" s="35" t="s">
        <v>1295</v>
      </c>
      <c r="B351" s="35" t="s">
        <v>1296</v>
      </c>
      <c r="C351" s="35" t="s">
        <v>76</v>
      </c>
      <c r="D351" s="35" t="s">
        <v>58</v>
      </c>
      <c r="E351" s="35" t="s">
        <v>140</v>
      </c>
      <c r="F351" s="35" t="s">
        <v>663</v>
      </c>
      <c r="G351" s="35" t="s">
        <v>980</v>
      </c>
      <c r="H351" s="76">
        <v>222698.0</v>
      </c>
      <c r="I351" s="35"/>
      <c r="M351" s="20">
        <f>IF($B351="","",COUNTIFS('Blocker log'!$A:$A,$B351,'Blocker log'!$G:$G,"&lt;&gt;"))</f>
        <v>0</v>
      </c>
      <c r="N351" s="20">
        <f>IF($B351="","",COUNTIFS('Blocker log'!$A:$A,$B351,'Blocker log'!$G:$G,"Hard blocker"))</f>
        <v>0</v>
      </c>
      <c r="O351" s="20">
        <f>IF($B351="","",COUNTIFS('Blocker log'!$A:$A,$B351,'Blocker log'!$G:$G,"Hard blocker",'Blocker log'!$L:$L,9))</f>
        <v>0</v>
      </c>
      <c r="P351" s="20">
        <f>IF($B351="","",MAXIFS('Blocker log'!$L:$L,'Blocker log'!$A:$A,$B351,'Blocker log'!$G:$G,"Hard blocker"))</f>
        <v>0</v>
      </c>
      <c r="Q351" s="20" t="str">
        <f>IF($B351="","",IF($K351&lt;&gt;"Complete","Assessment pending",IF($N351=0,"Ready now",VLOOKUP($P351,Lists!$D$2:$E$5,2,FALSE))))</f>
        <v>Assessment pending</v>
      </c>
    </row>
    <row r="352" ht="15.75" customHeight="1">
      <c r="A352" s="35" t="s">
        <v>1297</v>
      </c>
      <c r="B352" s="35" t="s">
        <v>1298</v>
      </c>
      <c r="C352" s="35" t="s">
        <v>76</v>
      </c>
      <c r="D352" s="35" t="s">
        <v>171</v>
      </c>
      <c r="E352" s="35" t="s">
        <v>512</v>
      </c>
      <c r="F352" s="35" t="s">
        <v>537</v>
      </c>
      <c r="G352" s="35" t="s">
        <v>1006</v>
      </c>
      <c r="H352" s="76">
        <v>221111.0</v>
      </c>
      <c r="I352" s="35"/>
      <c r="M352" s="20">
        <f>IF($B352="","",COUNTIFS('Blocker log'!$A:$A,$B352,'Blocker log'!$G:$G,"&lt;&gt;"))</f>
        <v>0</v>
      </c>
      <c r="N352" s="20">
        <f>IF($B352="","",COUNTIFS('Blocker log'!$A:$A,$B352,'Blocker log'!$G:$G,"Hard blocker"))</f>
        <v>0</v>
      </c>
      <c r="O352" s="20">
        <f>IF($B352="","",COUNTIFS('Blocker log'!$A:$A,$B352,'Blocker log'!$G:$G,"Hard blocker",'Blocker log'!$L:$L,9))</f>
        <v>0</v>
      </c>
      <c r="P352" s="20">
        <f>IF($B352="","",MAXIFS('Blocker log'!$L:$L,'Blocker log'!$A:$A,$B352,'Blocker log'!$G:$G,"Hard blocker"))</f>
        <v>0</v>
      </c>
      <c r="Q352" s="20" t="str">
        <f>IF($B352="","",IF($K352&lt;&gt;"Complete","Assessment pending",IF($N352=0,"Ready now",VLOOKUP($P352,Lists!$D$2:$E$5,2,FALSE))))</f>
        <v>Assessment pending</v>
      </c>
    </row>
    <row r="353" ht="15.75" customHeight="1">
      <c r="A353" s="35" t="s">
        <v>1299</v>
      </c>
      <c r="B353" s="35" t="s">
        <v>1300</v>
      </c>
      <c r="C353" s="35" t="s">
        <v>76</v>
      </c>
      <c r="D353" s="35" t="s">
        <v>58</v>
      </c>
      <c r="E353" s="35" t="s">
        <v>494</v>
      </c>
      <c r="F353" s="35" t="s">
        <v>495</v>
      </c>
      <c r="G353" s="35" t="s">
        <v>980</v>
      </c>
      <c r="H353" s="76">
        <v>216001.0</v>
      </c>
      <c r="I353" s="35"/>
      <c r="M353" s="20">
        <f>IF($B353="","",COUNTIFS('Blocker log'!$A:$A,$B353,'Blocker log'!$G:$G,"&lt;&gt;"))</f>
        <v>0</v>
      </c>
      <c r="N353" s="20">
        <f>IF($B353="","",COUNTIFS('Blocker log'!$A:$A,$B353,'Blocker log'!$G:$G,"Hard blocker"))</f>
        <v>0</v>
      </c>
      <c r="O353" s="20">
        <f>IF($B353="","",COUNTIFS('Blocker log'!$A:$A,$B353,'Blocker log'!$G:$G,"Hard blocker",'Blocker log'!$L:$L,9))</f>
        <v>0</v>
      </c>
      <c r="P353" s="20">
        <f>IF($B353="","",MAXIFS('Blocker log'!$L:$L,'Blocker log'!$A:$A,$B353,'Blocker log'!$G:$G,"Hard blocker"))</f>
        <v>0</v>
      </c>
      <c r="Q353" s="20" t="str">
        <f>IF($B353="","",IF($K353&lt;&gt;"Complete","Assessment pending",IF($N353=0,"Ready now",VLOOKUP($P353,Lists!$D$2:$E$5,2,FALSE))))</f>
        <v>Assessment pending</v>
      </c>
    </row>
    <row r="354" ht="15.75" customHeight="1">
      <c r="A354" s="35" t="s">
        <v>1301</v>
      </c>
      <c r="B354" s="35" t="s">
        <v>1302</v>
      </c>
      <c r="C354" s="35" t="s">
        <v>76</v>
      </c>
      <c r="D354" s="35" t="s">
        <v>260</v>
      </c>
      <c r="E354" s="35" t="s">
        <v>506</v>
      </c>
      <c r="F354" s="35" t="s">
        <v>798</v>
      </c>
      <c r="G354" s="35" t="s">
        <v>999</v>
      </c>
      <c r="H354" s="76">
        <v>213417.0</v>
      </c>
      <c r="I354" s="35"/>
      <c r="M354" s="20">
        <f>IF($B354="","",COUNTIFS('Blocker log'!$A:$A,$B354,'Blocker log'!$G:$G,"&lt;&gt;"))</f>
        <v>0</v>
      </c>
      <c r="N354" s="20">
        <f>IF($B354="","",COUNTIFS('Blocker log'!$A:$A,$B354,'Blocker log'!$G:$G,"Hard blocker"))</f>
        <v>0</v>
      </c>
      <c r="O354" s="20">
        <f>IF($B354="","",COUNTIFS('Blocker log'!$A:$A,$B354,'Blocker log'!$G:$G,"Hard blocker",'Blocker log'!$L:$L,9))</f>
        <v>0</v>
      </c>
      <c r="P354" s="20">
        <f>IF($B354="","",MAXIFS('Blocker log'!$L:$L,'Blocker log'!$A:$A,$B354,'Blocker log'!$G:$G,"Hard blocker"))</f>
        <v>0</v>
      </c>
      <c r="Q354" s="20" t="str">
        <f>IF($B354="","",IF($K354&lt;&gt;"Complete","Assessment pending",IF($N354=0,"Ready now",VLOOKUP($P354,Lists!$D$2:$E$5,2,FALSE))))</f>
        <v>Assessment pending</v>
      </c>
    </row>
    <row r="355" ht="15.75" customHeight="1">
      <c r="A355" s="35" t="s">
        <v>1303</v>
      </c>
      <c r="B355" s="35" t="s">
        <v>1304</v>
      </c>
      <c r="C355" s="35" t="s">
        <v>76</v>
      </c>
      <c r="D355" s="35" t="s">
        <v>58</v>
      </c>
      <c r="E355" s="35" t="s">
        <v>494</v>
      </c>
      <c r="F355" s="35" t="s">
        <v>495</v>
      </c>
      <c r="G355" s="35" t="s">
        <v>980</v>
      </c>
      <c r="H355" s="76">
        <v>208832.0</v>
      </c>
      <c r="I355" s="35"/>
      <c r="M355" s="20">
        <f>IF($B355="","",COUNTIFS('Blocker log'!$A:$A,$B355,'Blocker log'!$G:$G,"&lt;&gt;"))</f>
        <v>0</v>
      </c>
      <c r="N355" s="20">
        <f>IF($B355="","",COUNTIFS('Blocker log'!$A:$A,$B355,'Blocker log'!$G:$G,"Hard blocker"))</f>
        <v>0</v>
      </c>
      <c r="O355" s="20">
        <f>IF($B355="","",COUNTIFS('Blocker log'!$A:$A,$B355,'Blocker log'!$G:$G,"Hard blocker",'Blocker log'!$L:$L,9))</f>
        <v>0</v>
      </c>
      <c r="P355" s="20">
        <f>IF($B355="","",MAXIFS('Blocker log'!$L:$L,'Blocker log'!$A:$A,$B355,'Blocker log'!$G:$G,"Hard blocker"))</f>
        <v>0</v>
      </c>
      <c r="Q355" s="20" t="str">
        <f>IF($B355="","",IF($K355&lt;&gt;"Complete","Assessment pending",IF($N355=0,"Ready now",VLOOKUP($P355,Lists!$D$2:$E$5,2,FALSE))))</f>
        <v>Assessment pending</v>
      </c>
    </row>
    <row r="356" ht="15.75" customHeight="1">
      <c r="A356" s="35" t="s">
        <v>1305</v>
      </c>
      <c r="B356" s="35" t="s">
        <v>1306</v>
      </c>
      <c r="C356" s="35" t="s">
        <v>76</v>
      </c>
      <c r="D356" s="35" t="s">
        <v>58</v>
      </c>
      <c r="E356" s="35" t="s">
        <v>181</v>
      </c>
      <c r="F356" s="35" t="s">
        <v>653</v>
      </c>
      <c r="G356" s="35" t="s">
        <v>999</v>
      </c>
      <c r="H356" s="76">
        <v>206572.0</v>
      </c>
      <c r="I356" s="35"/>
      <c r="M356" s="20">
        <f>IF($B356="","",COUNTIFS('Blocker log'!$A:$A,$B356,'Blocker log'!$G:$G,"&lt;&gt;"))</f>
        <v>0</v>
      </c>
      <c r="N356" s="20">
        <f>IF($B356="","",COUNTIFS('Blocker log'!$A:$A,$B356,'Blocker log'!$G:$G,"Hard blocker"))</f>
        <v>0</v>
      </c>
      <c r="O356" s="20">
        <f>IF($B356="","",COUNTIFS('Blocker log'!$A:$A,$B356,'Blocker log'!$G:$G,"Hard blocker",'Blocker log'!$L:$L,9))</f>
        <v>0</v>
      </c>
      <c r="P356" s="20">
        <f>IF($B356="","",MAXIFS('Blocker log'!$L:$L,'Blocker log'!$A:$A,$B356,'Blocker log'!$G:$G,"Hard blocker"))</f>
        <v>0</v>
      </c>
      <c r="Q356" s="20" t="str">
        <f>IF($B356="","",IF($K356&lt;&gt;"Complete","Assessment pending",IF($N356=0,"Ready now",VLOOKUP($P356,Lists!$D$2:$E$5,2,FALSE))))</f>
        <v>Assessment pending</v>
      </c>
    </row>
    <row r="357" ht="15.75" customHeight="1">
      <c r="A357" s="35" t="s">
        <v>1307</v>
      </c>
      <c r="B357" s="35" t="s">
        <v>1308</v>
      </c>
      <c r="C357" s="35" t="s">
        <v>76</v>
      </c>
      <c r="D357" s="35" t="s">
        <v>58</v>
      </c>
      <c r="E357" s="35" t="s">
        <v>140</v>
      </c>
      <c r="F357" s="35" t="s">
        <v>370</v>
      </c>
      <c r="G357" s="35" t="s">
        <v>980</v>
      </c>
      <c r="H357" s="76">
        <v>206054.0</v>
      </c>
      <c r="I357" s="35"/>
      <c r="M357" s="20">
        <f>IF($B357="","",COUNTIFS('Blocker log'!$A:$A,$B357,'Blocker log'!$G:$G,"&lt;&gt;"))</f>
        <v>0</v>
      </c>
      <c r="N357" s="20">
        <f>IF($B357="","",COUNTIFS('Blocker log'!$A:$A,$B357,'Blocker log'!$G:$G,"Hard blocker"))</f>
        <v>0</v>
      </c>
      <c r="O357" s="20">
        <f>IF($B357="","",COUNTIFS('Blocker log'!$A:$A,$B357,'Blocker log'!$G:$G,"Hard blocker",'Blocker log'!$L:$L,9))</f>
        <v>0</v>
      </c>
      <c r="P357" s="20">
        <f>IF($B357="","",MAXIFS('Blocker log'!$L:$L,'Blocker log'!$A:$A,$B357,'Blocker log'!$G:$G,"Hard blocker"))</f>
        <v>0</v>
      </c>
      <c r="Q357" s="20" t="str">
        <f>IF($B357="","",IF($K357&lt;&gt;"Complete","Assessment pending",IF($N357=0,"Ready now",VLOOKUP($P357,Lists!$D$2:$E$5,2,FALSE))))</f>
        <v>Assessment pending</v>
      </c>
    </row>
    <row r="358" ht="15.75" customHeight="1">
      <c r="A358" s="35" t="s">
        <v>1309</v>
      </c>
      <c r="B358" s="35" t="s">
        <v>1310</v>
      </c>
      <c r="C358" s="35" t="s">
        <v>76</v>
      </c>
      <c r="D358" s="35" t="s">
        <v>171</v>
      </c>
      <c r="E358" s="35" t="s">
        <v>512</v>
      </c>
      <c r="F358" s="35" t="s">
        <v>944</v>
      </c>
      <c r="G358" s="35" t="s">
        <v>980</v>
      </c>
      <c r="H358" s="76">
        <v>203796.0</v>
      </c>
      <c r="I358" s="35"/>
      <c r="M358" s="20">
        <f>IF($B358="","",COUNTIFS('Blocker log'!$A:$A,$B358,'Blocker log'!$G:$G,"&lt;&gt;"))</f>
        <v>0</v>
      </c>
      <c r="N358" s="20">
        <f>IF($B358="","",COUNTIFS('Blocker log'!$A:$A,$B358,'Blocker log'!$G:$G,"Hard blocker"))</f>
        <v>0</v>
      </c>
      <c r="O358" s="20">
        <f>IF($B358="","",COUNTIFS('Blocker log'!$A:$A,$B358,'Blocker log'!$G:$G,"Hard blocker",'Blocker log'!$L:$L,9))</f>
        <v>0</v>
      </c>
      <c r="P358" s="20">
        <f>IF($B358="","",MAXIFS('Blocker log'!$L:$L,'Blocker log'!$A:$A,$B358,'Blocker log'!$G:$G,"Hard blocker"))</f>
        <v>0</v>
      </c>
      <c r="Q358" s="20" t="str">
        <f>IF($B358="","",IF($K358&lt;&gt;"Complete","Assessment pending",IF($N358=0,"Ready now",VLOOKUP($P358,Lists!$D$2:$E$5,2,FALSE))))</f>
        <v>Assessment pending</v>
      </c>
    </row>
    <row r="359" ht="15.75" customHeight="1">
      <c r="A359" s="35" t="s">
        <v>1311</v>
      </c>
      <c r="B359" s="35" t="s">
        <v>1312</v>
      </c>
      <c r="C359" s="35" t="s">
        <v>76</v>
      </c>
      <c r="D359" s="35" t="s">
        <v>260</v>
      </c>
      <c r="E359" s="35" t="s">
        <v>261</v>
      </c>
      <c r="F359" s="35" t="s">
        <v>261</v>
      </c>
      <c r="G359" s="35" t="s">
        <v>999</v>
      </c>
      <c r="H359" s="76">
        <v>200400.0</v>
      </c>
      <c r="I359" s="35"/>
      <c r="M359" s="20">
        <f>IF($B359="","",COUNTIFS('Blocker log'!$A:$A,$B359,'Blocker log'!$G:$G,"&lt;&gt;"))</f>
        <v>0</v>
      </c>
      <c r="N359" s="20">
        <f>IF($B359="","",COUNTIFS('Blocker log'!$A:$A,$B359,'Blocker log'!$G:$G,"Hard blocker"))</f>
        <v>0</v>
      </c>
      <c r="O359" s="20">
        <f>IF($B359="","",COUNTIFS('Blocker log'!$A:$A,$B359,'Blocker log'!$G:$G,"Hard blocker",'Blocker log'!$L:$L,9))</f>
        <v>0</v>
      </c>
      <c r="P359" s="20">
        <f>IF($B359="","",MAXIFS('Blocker log'!$L:$L,'Blocker log'!$A:$A,$B359,'Blocker log'!$G:$G,"Hard blocker"))</f>
        <v>0</v>
      </c>
      <c r="Q359" s="20" t="str">
        <f>IF($B359="","",IF($K359&lt;&gt;"Complete","Assessment pending",IF($N359=0,"Ready now",VLOOKUP($P359,Lists!$D$2:$E$5,2,FALSE))))</f>
        <v>Assessment pending</v>
      </c>
    </row>
    <row r="360" ht="15.75" customHeight="1">
      <c r="A360" s="35" t="s">
        <v>1313</v>
      </c>
      <c r="B360" s="35" t="s">
        <v>1314</v>
      </c>
      <c r="C360" s="35" t="s">
        <v>76</v>
      </c>
      <c r="D360" s="35" t="s">
        <v>58</v>
      </c>
      <c r="E360" s="35" t="s">
        <v>1315</v>
      </c>
      <c r="F360" s="35" t="s">
        <v>1315</v>
      </c>
      <c r="G360" s="35" t="s">
        <v>980</v>
      </c>
      <c r="H360" s="76">
        <v>198990.0</v>
      </c>
      <c r="I360" s="35"/>
      <c r="M360" s="20">
        <f>IF($B360="","",COUNTIFS('Blocker log'!$A:$A,$B360,'Blocker log'!$G:$G,"&lt;&gt;"))</f>
        <v>0</v>
      </c>
      <c r="N360" s="20">
        <f>IF($B360="","",COUNTIFS('Blocker log'!$A:$A,$B360,'Blocker log'!$G:$G,"Hard blocker"))</f>
        <v>0</v>
      </c>
      <c r="O360" s="20">
        <f>IF($B360="","",COUNTIFS('Blocker log'!$A:$A,$B360,'Blocker log'!$G:$G,"Hard blocker",'Blocker log'!$L:$L,9))</f>
        <v>0</v>
      </c>
      <c r="P360" s="20">
        <f>IF($B360="","",MAXIFS('Blocker log'!$L:$L,'Blocker log'!$A:$A,$B360,'Blocker log'!$G:$G,"Hard blocker"))</f>
        <v>0</v>
      </c>
      <c r="Q360" s="20" t="str">
        <f>IF($B360="","",IF($K360&lt;&gt;"Complete","Assessment pending",IF($N360=0,"Ready now",VLOOKUP($P360,Lists!$D$2:$E$5,2,FALSE))))</f>
        <v>Assessment pending</v>
      </c>
    </row>
    <row r="361" ht="15.75" customHeight="1">
      <c r="A361" s="35" t="s">
        <v>1316</v>
      </c>
      <c r="B361" s="35" t="s">
        <v>1317</v>
      </c>
      <c r="C361" s="35" t="s">
        <v>76</v>
      </c>
      <c r="D361" s="35" t="s">
        <v>58</v>
      </c>
      <c r="E361" s="35" t="s">
        <v>181</v>
      </c>
      <c r="F361" s="35" t="s">
        <v>182</v>
      </c>
      <c r="G361" s="35" t="s">
        <v>999</v>
      </c>
      <c r="H361" s="76">
        <v>198720.0</v>
      </c>
      <c r="I361" s="35"/>
      <c r="M361" s="20">
        <f>IF($B361="","",COUNTIFS('Blocker log'!$A:$A,$B361,'Blocker log'!$G:$G,"&lt;&gt;"))</f>
        <v>0</v>
      </c>
      <c r="N361" s="20">
        <f>IF($B361="","",COUNTIFS('Blocker log'!$A:$A,$B361,'Blocker log'!$G:$G,"Hard blocker"))</f>
        <v>0</v>
      </c>
      <c r="O361" s="20">
        <f>IF($B361="","",COUNTIFS('Blocker log'!$A:$A,$B361,'Blocker log'!$G:$G,"Hard blocker",'Blocker log'!$L:$L,9))</f>
        <v>0</v>
      </c>
      <c r="P361" s="20">
        <f>IF($B361="","",MAXIFS('Blocker log'!$L:$L,'Blocker log'!$A:$A,$B361,'Blocker log'!$G:$G,"Hard blocker"))</f>
        <v>0</v>
      </c>
      <c r="Q361" s="20" t="str">
        <f>IF($B361="","",IF($K361&lt;&gt;"Complete","Assessment pending",IF($N361=0,"Ready now",VLOOKUP($P361,Lists!$D$2:$E$5,2,FALSE))))</f>
        <v>Assessment pending</v>
      </c>
    </row>
    <row r="362" ht="15.75" customHeight="1">
      <c r="A362" s="35" t="s">
        <v>1318</v>
      </c>
      <c r="B362" s="35" t="s">
        <v>1319</v>
      </c>
      <c r="C362" s="35" t="s">
        <v>76</v>
      </c>
      <c r="D362" s="35" t="s">
        <v>171</v>
      </c>
      <c r="E362" s="35" t="s">
        <v>205</v>
      </c>
      <c r="F362" s="35" t="s">
        <v>206</v>
      </c>
      <c r="G362" s="35" t="s">
        <v>980</v>
      </c>
      <c r="H362" s="76">
        <v>198360.0</v>
      </c>
      <c r="I362" s="35"/>
      <c r="M362" s="20">
        <f>IF($B362="","",COUNTIFS('Blocker log'!$A:$A,$B362,'Blocker log'!$G:$G,"&lt;&gt;"))</f>
        <v>0</v>
      </c>
      <c r="N362" s="20">
        <f>IF($B362="","",COUNTIFS('Blocker log'!$A:$A,$B362,'Blocker log'!$G:$G,"Hard blocker"))</f>
        <v>0</v>
      </c>
      <c r="O362" s="20">
        <f>IF($B362="","",COUNTIFS('Blocker log'!$A:$A,$B362,'Blocker log'!$G:$G,"Hard blocker",'Blocker log'!$L:$L,9))</f>
        <v>0</v>
      </c>
      <c r="P362" s="20">
        <f>IF($B362="","",MAXIFS('Blocker log'!$L:$L,'Blocker log'!$A:$A,$B362,'Blocker log'!$G:$G,"Hard blocker"))</f>
        <v>0</v>
      </c>
      <c r="Q362" s="20" t="str">
        <f>IF($B362="","",IF($K362&lt;&gt;"Complete","Assessment pending",IF($N362=0,"Ready now",VLOOKUP($P362,Lists!$D$2:$E$5,2,FALSE))))</f>
        <v>Assessment pending</v>
      </c>
    </row>
    <row r="363" ht="15.75" customHeight="1">
      <c r="A363" s="35" t="s">
        <v>1320</v>
      </c>
      <c r="B363" s="35" t="s">
        <v>1321</v>
      </c>
      <c r="C363" s="35" t="s">
        <v>76</v>
      </c>
      <c r="D363" s="35" t="s">
        <v>58</v>
      </c>
      <c r="E363" s="35" t="s">
        <v>101</v>
      </c>
      <c r="F363" s="35" t="s">
        <v>116</v>
      </c>
      <c r="G363" s="35" t="s">
        <v>999</v>
      </c>
      <c r="H363" s="76">
        <v>197154.0</v>
      </c>
      <c r="I363" s="35"/>
      <c r="M363" s="20">
        <f>IF($B363="","",COUNTIFS('Blocker log'!$A:$A,$B363,'Blocker log'!$G:$G,"&lt;&gt;"))</f>
        <v>0</v>
      </c>
      <c r="N363" s="20">
        <f>IF($B363="","",COUNTIFS('Blocker log'!$A:$A,$B363,'Blocker log'!$G:$G,"Hard blocker"))</f>
        <v>0</v>
      </c>
      <c r="O363" s="20">
        <f>IF($B363="","",COUNTIFS('Blocker log'!$A:$A,$B363,'Blocker log'!$G:$G,"Hard blocker",'Blocker log'!$L:$L,9))</f>
        <v>0</v>
      </c>
      <c r="P363" s="20">
        <f>IF($B363="","",MAXIFS('Blocker log'!$L:$L,'Blocker log'!$A:$A,$B363,'Blocker log'!$G:$G,"Hard blocker"))</f>
        <v>0</v>
      </c>
      <c r="Q363" s="20" t="str">
        <f>IF($B363="","",IF($K363&lt;&gt;"Complete","Assessment pending",IF($N363=0,"Ready now",VLOOKUP($P363,Lists!$D$2:$E$5,2,FALSE))))</f>
        <v>Assessment pending</v>
      </c>
    </row>
    <row r="364" ht="15.75" customHeight="1">
      <c r="A364" s="35" t="s">
        <v>1322</v>
      </c>
      <c r="B364" s="35" t="s">
        <v>1323</v>
      </c>
      <c r="C364" s="35" t="s">
        <v>76</v>
      </c>
      <c r="D364" s="35" t="s">
        <v>58</v>
      </c>
      <c r="E364" s="35" t="s">
        <v>181</v>
      </c>
      <c r="F364" s="35" t="s">
        <v>217</v>
      </c>
      <c r="G364" s="35" t="s">
        <v>999</v>
      </c>
      <c r="H364" s="76">
        <v>195370.0</v>
      </c>
      <c r="I364" s="35"/>
      <c r="M364" s="20">
        <f>IF($B364="","",COUNTIFS('Blocker log'!$A:$A,$B364,'Blocker log'!$G:$G,"&lt;&gt;"))</f>
        <v>0</v>
      </c>
      <c r="N364" s="20">
        <f>IF($B364="","",COUNTIFS('Blocker log'!$A:$A,$B364,'Blocker log'!$G:$G,"Hard blocker"))</f>
        <v>0</v>
      </c>
      <c r="O364" s="20">
        <f>IF($B364="","",COUNTIFS('Blocker log'!$A:$A,$B364,'Blocker log'!$G:$G,"Hard blocker",'Blocker log'!$L:$L,9))</f>
        <v>0</v>
      </c>
      <c r="P364" s="20">
        <f>IF($B364="","",MAXIFS('Blocker log'!$L:$L,'Blocker log'!$A:$A,$B364,'Blocker log'!$G:$G,"Hard blocker"))</f>
        <v>0</v>
      </c>
      <c r="Q364" s="20" t="str">
        <f>IF($B364="","",IF($K364&lt;&gt;"Complete","Assessment pending",IF($N364=0,"Ready now",VLOOKUP($P364,Lists!$D$2:$E$5,2,FALSE))))</f>
        <v>Assessment pending</v>
      </c>
    </row>
    <row r="365" ht="15.75" customHeight="1">
      <c r="A365" s="35" t="s">
        <v>1324</v>
      </c>
      <c r="B365" s="35" t="s">
        <v>1325</v>
      </c>
      <c r="C365" s="35" t="s">
        <v>57</v>
      </c>
      <c r="D365" s="35" t="s">
        <v>58</v>
      </c>
      <c r="E365" s="35" t="s">
        <v>59</v>
      </c>
      <c r="F365" s="35" t="s">
        <v>124</v>
      </c>
      <c r="G365" s="35" t="s">
        <v>999</v>
      </c>
      <c r="H365" s="76">
        <v>195294.0</v>
      </c>
      <c r="I365" s="35"/>
      <c r="M365" s="20">
        <f>IF($B365="","",COUNTIFS('Blocker log'!$A:$A,$B365,'Blocker log'!$G:$G,"&lt;&gt;"))</f>
        <v>0</v>
      </c>
      <c r="N365" s="20">
        <f>IF($B365="","",COUNTIFS('Blocker log'!$A:$A,$B365,'Blocker log'!$G:$G,"Hard blocker"))</f>
        <v>0</v>
      </c>
      <c r="O365" s="20">
        <f>IF($B365="","",COUNTIFS('Blocker log'!$A:$A,$B365,'Blocker log'!$G:$G,"Hard blocker",'Blocker log'!$L:$L,9))</f>
        <v>0</v>
      </c>
      <c r="P365" s="20">
        <f>IF($B365="","",MAXIFS('Blocker log'!$L:$L,'Blocker log'!$A:$A,$B365,'Blocker log'!$G:$G,"Hard blocker"))</f>
        <v>0</v>
      </c>
      <c r="Q365" s="20" t="str">
        <f>IF($B365="","",IF($K365&lt;&gt;"Complete","Assessment pending",IF($N365=0,"Ready now",VLOOKUP($P365,Lists!$D$2:$E$5,2,FALSE))))</f>
        <v>Assessment pending</v>
      </c>
    </row>
    <row r="366" ht="15.75" customHeight="1">
      <c r="A366" s="35" t="s">
        <v>1326</v>
      </c>
      <c r="B366" s="35" t="s">
        <v>1327</v>
      </c>
      <c r="C366" s="35" t="s">
        <v>76</v>
      </c>
      <c r="D366" s="35" t="s">
        <v>260</v>
      </c>
      <c r="E366" s="35" t="s">
        <v>351</v>
      </c>
      <c r="F366" s="35" t="s">
        <v>886</v>
      </c>
      <c r="G366" s="35" t="s">
        <v>980</v>
      </c>
      <c r="H366" s="76">
        <v>193583.0</v>
      </c>
      <c r="I366" s="35"/>
      <c r="M366" s="20">
        <f>IF($B366="","",COUNTIFS('Blocker log'!$A:$A,$B366,'Blocker log'!$G:$G,"&lt;&gt;"))</f>
        <v>0</v>
      </c>
      <c r="N366" s="20">
        <f>IF($B366="","",COUNTIFS('Blocker log'!$A:$A,$B366,'Blocker log'!$G:$G,"Hard blocker"))</f>
        <v>0</v>
      </c>
      <c r="O366" s="20">
        <f>IF($B366="","",COUNTIFS('Blocker log'!$A:$A,$B366,'Blocker log'!$G:$G,"Hard blocker",'Blocker log'!$L:$L,9))</f>
        <v>0</v>
      </c>
      <c r="P366" s="20">
        <f>IF($B366="","",MAXIFS('Blocker log'!$L:$L,'Blocker log'!$A:$A,$B366,'Blocker log'!$G:$G,"Hard blocker"))</f>
        <v>0</v>
      </c>
      <c r="Q366" s="20" t="str">
        <f>IF($B366="","",IF($K366&lt;&gt;"Complete","Assessment pending",IF($N366=0,"Ready now",VLOOKUP($P366,Lists!$D$2:$E$5,2,FALSE))))</f>
        <v>Assessment pending</v>
      </c>
    </row>
    <row r="367" ht="15.75" customHeight="1">
      <c r="A367" s="35" t="s">
        <v>1328</v>
      </c>
      <c r="B367" s="35" t="s">
        <v>1329</v>
      </c>
      <c r="C367" s="35" t="s">
        <v>76</v>
      </c>
      <c r="D367" s="35" t="s">
        <v>58</v>
      </c>
      <c r="E367" s="35" t="s">
        <v>59</v>
      </c>
      <c r="F367" s="35" t="s">
        <v>225</v>
      </c>
      <c r="G367" s="35" t="s">
        <v>1042</v>
      </c>
      <c r="H367" s="76">
        <v>191617.0</v>
      </c>
      <c r="I367" s="35"/>
      <c r="M367" s="20">
        <f>IF($B367="","",COUNTIFS('Blocker log'!$A:$A,$B367,'Blocker log'!$G:$G,"&lt;&gt;"))</f>
        <v>0</v>
      </c>
      <c r="N367" s="20">
        <f>IF($B367="","",COUNTIFS('Blocker log'!$A:$A,$B367,'Blocker log'!$G:$G,"Hard blocker"))</f>
        <v>0</v>
      </c>
      <c r="O367" s="20">
        <f>IF($B367="","",COUNTIFS('Blocker log'!$A:$A,$B367,'Blocker log'!$G:$G,"Hard blocker",'Blocker log'!$L:$L,9))</f>
        <v>0</v>
      </c>
      <c r="P367" s="20">
        <f>IF($B367="","",MAXIFS('Blocker log'!$L:$L,'Blocker log'!$A:$A,$B367,'Blocker log'!$G:$G,"Hard blocker"))</f>
        <v>0</v>
      </c>
      <c r="Q367" s="20" t="str">
        <f>IF($B367="","",IF($K367&lt;&gt;"Complete","Assessment pending",IF($N367=0,"Ready now",VLOOKUP($P367,Lists!$D$2:$E$5,2,FALSE))))</f>
        <v>Assessment pending</v>
      </c>
    </row>
    <row r="368" ht="15.75" customHeight="1">
      <c r="A368" s="35" t="s">
        <v>1330</v>
      </c>
      <c r="B368" s="35" t="s">
        <v>1331</v>
      </c>
      <c r="C368" s="35" t="s">
        <v>76</v>
      </c>
      <c r="D368" s="35" t="s">
        <v>58</v>
      </c>
      <c r="E368" s="35" t="s">
        <v>140</v>
      </c>
      <c r="F368" s="35" t="s">
        <v>663</v>
      </c>
      <c r="G368" s="35" t="s">
        <v>980</v>
      </c>
      <c r="H368" s="76">
        <v>191317.0</v>
      </c>
      <c r="I368" s="35"/>
      <c r="M368" s="20">
        <f>IF($B368="","",COUNTIFS('Blocker log'!$A:$A,$B368,'Blocker log'!$G:$G,"&lt;&gt;"))</f>
        <v>0</v>
      </c>
      <c r="N368" s="20">
        <f>IF($B368="","",COUNTIFS('Blocker log'!$A:$A,$B368,'Blocker log'!$G:$G,"Hard blocker"))</f>
        <v>0</v>
      </c>
      <c r="O368" s="20">
        <f>IF($B368="","",COUNTIFS('Blocker log'!$A:$A,$B368,'Blocker log'!$G:$G,"Hard blocker",'Blocker log'!$L:$L,9))</f>
        <v>0</v>
      </c>
      <c r="P368" s="20">
        <f>IF($B368="","",MAXIFS('Blocker log'!$L:$L,'Blocker log'!$A:$A,$B368,'Blocker log'!$G:$G,"Hard blocker"))</f>
        <v>0</v>
      </c>
      <c r="Q368" s="20" t="str">
        <f>IF($B368="","",IF($K368&lt;&gt;"Complete","Assessment pending",IF($N368=0,"Ready now",VLOOKUP($P368,Lists!$D$2:$E$5,2,FALSE))))</f>
        <v>Assessment pending</v>
      </c>
    </row>
    <row r="369" ht="15.75" customHeight="1">
      <c r="A369" s="35" t="s">
        <v>1332</v>
      </c>
      <c r="B369" s="35" t="s">
        <v>1333</v>
      </c>
      <c r="C369" s="35" t="s">
        <v>76</v>
      </c>
      <c r="D369" s="35" t="s">
        <v>58</v>
      </c>
      <c r="E369" s="35" t="s">
        <v>494</v>
      </c>
      <c r="F369" s="35" t="s">
        <v>495</v>
      </c>
      <c r="G369" s="35" t="s">
        <v>999</v>
      </c>
      <c r="H369" s="76">
        <v>189002.0</v>
      </c>
      <c r="I369" s="35"/>
      <c r="M369" s="20">
        <f>IF($B369="","",COUNTIFS('Blocker log'!$A:$A,$B369,'Blocker log'!$G:$G,"&lt;&gt;"))</f>
        <v>0</v>
      </c>
      <c r="N369" s="20">
        <f>IF($B369="","",COUNTIFS('Blocker log'!$A:$A,$B369,'Blocker log'!$G:$G,"Hard blocker"))</f>
        <v>0</v>
      </c>
      <c r="O369" s="20">
        <f>IF($B369="","",COUNTIFS('Blocker log'!$A:$A,$B369,'Blocker log'!$G:$G,"Hard blocker",'Blocker log'!$L:$L,9))</f>
        <v>0</v>
      </c>
      <c r="P369" s="20">
        <f>IF($B369="","",MAXIFS('Blocker log'!$L:$L,'Blocker log'!$A:$A,$B369,'Blocker log'!$G:$G,"Hard blocker"))</f>
        <v>0</v>
      </c>
      <c r="Q369" s="20" t="str">
        <f>IF($B369="","",IF($K369&lt;&gt;"Complete","Assessment pending",IF($N369=0,"Ready now",VLOOKUP($P369,Lists!$D$2:$E$5,2,FALSE))))</f>
        <v>Assessment pending</v>
      </c>
    </row>
    <row r="370" ht="15.75" customHeight="1">
      <c r="A370" s="35" t="s">
        <v>1334</v>
      </c>
      <c r="B370" s="35" t="s">
        <v>1335</v>
      </c>
      <c r="C370" s="35" t="s">
        <v>76</v>
      </c>
      <c r="D370" s="35" t="s">
        <v>58</v>
      </c>
      <c r="E370" s="35" t="s">
        <v>140</v>
      </c>
      <c r="F370" s="35" t="s">
        <v>141</v>
      </c>
      <c r="G370" s="35" t="s">
        <v>980</v>
      </c>
      <c r="H370" s="76">
        <v>189000.0</v>
      </c>
      <c r="I370" s="35"/>
      <c r="M370" s="20">
        <f>IF($B370="","",COUNTIFS('Blocker log'!$A:$A,$B370,'Blocker log'!$G:$G,"&lt;&gt;"))</f>
        <v>0</v>
      </c>
      <c r="N370" s="20">
        <f>IF($B370="","",COUNTIFS('Blocker log'!$A:$A,$B370,'Blocker log'!$G:$G,"Hard blocker"))</f>
        <v>0</v>
      </c>
      <c r="O370" s="20">
        <f>IF($B370="","",COUNTIFS('Blocker log'!$A:$A,$B370,'Blocker log'!$G:$G,"Hard blocker",'Blocker log'!$L:$L,9))</f>
        <v>0</v>
      </c>
      <c r="P370" s="20">
        <f>IF($B370="","",MAXIFS('Blocker log'!$L:$L,'Blocker log'!$A:$A,$B370,'Blocker log'!$G:$G,"Hard blocker"))</f>
        <v>0</v>
      </c>
      <c r="Q370" s="20" t="str">
        <f>IF($B370="","",IF($K370&lt;&gt;"Complete","Assessment pending",IF($N370=0,"Ready now",VLOOKUP($P370,Lists!$D$2:$E$5,2,FALSE))))</f>
        <v>Assessment pending</v>
      </c>
    </row>
    <row r="371" ht="15.75" customHeight="1">
      <c r="A371" s="35" t="s">
        <v>1336</v>
      </c>
      <c r="B371" s="35" t="s">
        <v>1337</v>
      </c>
      <c r="C371" s="35" t="s">
        <v>76</v>
      </c>
      <c r="D371" s="35" t="s">
        <v>58</v>
      </c>
      <c r="E371" s="35" t="s">
        <v>181</v>
      </c>
      <c r="F371" s="35" t="s">
        <v>653</v>
      </c>
      <c r="G371" s="35" t="s">
        <v>980</v>
      </c>
      <c r="H371" s="76">
        <v>186830.0</v>
      </c>
      <c r="I371" s="35"/>
      <c r="M371" s="20">
        <f>IF($B371="","",COUNTIFS('Blocker log'!$A:$A,$B371,'Blocker log'!$G:$G,"&lt;&gt;"))</f>
        <v>0</v>
      </c>
      <c r="N371" s="20">
        <f>IF($B371="","",COUNTIFS('Blocker log'!$A:$A,$B371,'Blocker log'!$G:$G,"Hard blocker"))</f>
        <v>0</v>
      </c>
      <c r="O371" s="20">
        <f>IF($B371="","",COUNTIFS('Blocker log'!$A:$A,$B371,'Blocker log'!$G:$G,"Hard blocker",'Blocker log'!$L:$L,9))</f>
        <v>0</v>
      </c>
      <c r="P371" s="20">
        <f>IF($B371="","",MAXIFS('Blocker log'!$L:$L,'Blocker log'!$A:$A,$B371,'Blocker log'!$G:$G,"Hard blocker"))</f>
        <v>0</v>
      </c>
      <c r="Q371" s="20" t="str">
        <f>IF($B371="","",IF($K371&lt;&gt;"Complete","Assessment pending",IF($N371=0,"Ready now",VLOOKUP($P371,Lists!$D$2:$E$5,2,FALSE))))</f>
        <v>Assessment pending</v>
      </c>
    </row>
    <row r="372" ht="15.75" customHeight="1">
      <c r="A372" s="35" t="s">
        <v>1338</v>
      </c>
      <c r="B372" s="35" t="s">
        <v>1339</v>
      </c>
      <c r="C372" s="35" t="s">
        <v>76</v>
      </c>
      <c r="D372" s="35" t="s">
        <v>58</v>
      </c>
      <c r="E372" s="35" t="s">
        <v>59</v>
      </c>
      <c r="F372" s="35" t="s">
        <v>225</v>
      </c>
      <c r="G372" s="35" t="s">
        <v>980</v>
      </c>
      <c r="H372" s="76">
        <v>186570.0</v>
      </c>
      <c r="I372" s="35"/>
      <c r="M372" s="20">
        <f>IF($B372="","",COUNTIFS('Blocker log'!$A:$A,$B372,'Blocker log'!$G:$G,"&lt;&gt;"))</f>
        <v>0</v>
      </c>
      <c r="N372" s="20">
        <f>IF($B372="","",COUNTIFS('Blocker log'!$A:$A,$B372,'Blocker log'!$G:$G,"Hard blocker"))</f>
        <v>0</v>
      </c>
      <c r="O372" s="20">
        <f>IF($B372="","",COUNTIFS('Blocker log'!$A:$A,$B372,'Blocker log'!$G:$G,"Hard blocker",'Blocker log'!$L:$L,9))</f>
        <v>0</v>
      </c>
      <c r="P372" s="20">
        <f>IF($B372="","",MAXIFS('Blocker log'!$L:$L,'Blocker log'!$A:$A,$B372,'Blocker log'!$G:$G,"Hard blocker"))</f>
        <v>0</v>
      </c>
      <c r="Q372" s="20" t="str">
        <f>IF($B372="","",IF($K372&lt;&gt;"Complete","Assessment pending",IF($N372=0,"Ready now",VLOOKUP($P372,Lists!$D$2:$E$5,2,FALSE))))</f>
        <v>Assessment pending</v>
      </c>
    </row>
    <row r="373" ht="15.75" customHeight="1">
      <c r="A373" s="35" t="s">
        <v>1340</v>
      </c>
      <c r="B373" s="35" t="s">
        <v>1341</v>
      </c>
      <c r="C373" s="35" t="s">
        <v>76</v>
      </c>
      <c r="D373" s="35" t="s">
        <v>171</v>
      </c>
      <c r="E373" s="35" t="s">
        <v>172</v>
      </c>
      <c r="F373" s="35" t="s">
        <v>1110</v>
      </c>
      <c r="G373" s="35" t="s">
        <v>1042</v>
      </c>
      <c r="H373" s="76">
        <v>186291.0</v>
      </c>
      <c r="I373" s="35"/>
      <c r="M373" s="20">
        <f>IF($B373="","",COUNTIFS('Blocker log'!$A:$A,$B373,'Blocker log'!$G:$G,"&lt;&gt;"))</f>
        <v>0</v>
      </c>
      <c r="N373" s="20">
        <f>IF($B373="","",COUNTIFS('Blocker log'!$A:$A,$B373,'Blocker log'!$G:$G,"Hard blocker"))</f>
        <v>0</v>
      </c>
      <c r="O373" s="20">
        <f>IF($B373="","",COUNTIFS('Blocker log'!$A:$A,$B373,'Blocker log'!$G:$G,"Hard blocker",'Blocker log'!$L:$L,9))</f>
        <v>0</v>
      </c>
      <c r="P373" s="20">
        <f>IF($B373="","",MAXIFS('Blocker log'!$L:$L,'Blocker log'!$A:$A,$B373,'Blocker log'!$G:$G,"Hard blocker"))</f>
        <v>0</v>
      </c>
      <c r="Q373" s="20" t="str">
        <f>IF($B373="","",IF($K373&lt;&gt;"Complete","Assessment pending",IF($N373=0,"Ready now",VLOOKUP($P373,Lists!$D$2:$E$5,2,FALSE))))</f>
        <v>Assessment pending</v>
      </c>
    </row>
    <row r="374" ht="15.75" customHeight="1">
      <c r="A374" s="35" t="s">
        <v>1342</v>
      </c>
      <c r="B374" s="35" t="s">
        <v>1343</v>
      </c>
      <c r="C374" s="35" t="s">
        <v>76</v>
      </c>
      <c r="D374" s="35" t="s">
        <v>260</v>
      </c>
      <c r="E374" s="35" t="s">
        <v>506</v>
      </c>
      <c r="F374" s="35" t="s">
        <v>685</v>
      </c>
      <c r="G374" s="35" t="s">
        <v>980</v>
      </c>
      <c r="H374" s="76">
        <v>186242.0</v>
      </c>
      <c r="I374" s="35"/>
      <c r="M374" s="20">
        <f>IF($B374="","",COUNTIFS('Blocker log'!$A:$A,$B374,'Blocker log'!$G:$G,"&lt;&gt;"))</f>
        <v>0</v>
      </c>
      <c r="N374" s="20">
        <f>IF($B374="","",COUNTIFS('Blocker log'!$A:$A,$B374,'Blocker log'!$G:$G,"Hard blocker"))</f>
        <v>0</v>
      </c>
      <c r="O374" s="20">
        <f>IF($B374="","",COUNTIFS('Blocker log'!$A:$A,$B374,'Blocker log'!$G:$G,"Hard blocker",'Blocker log'!$L:$L,9))</f>
        <v>0</v>
      </c>
      <c r="P374" s="20">
        <f>IF($B374="","",MAXIFS('Blocker log'!$L:$L,'Blocker log'!$A:$A,$B374,'Blocker log'!$G:$G,"Hard blocker"))</f>
        <v>0</v>
      </c>
      <c r="Q374" s="20" t="str">
        <f>IF($B374="","",IF($K374&lt;&gt;"Complete","Assessment pending",IF($N374=0,"Ready now",VLOOKUP($P374,Lists!$D$2:$E$5,2,FALSE))))</f>
        <v>Assessment pending</v>
      </c>
    </row>
    <row r="375" ht="15.75" customHeight="1">
      <c r="A375" s="35" t="s">
        <v>1344</v>
      </c>
      <c r="B375" s="35" t="s">
        <v>1345</v>
      </c>
      <c r="C375" s="35" t="s">
        <v>76</v>
      </c>
      <c r="D375" s="35" t="s">
        <v>58</v>
      </c>
      <c r="E375" s="35" t="s">
        <v>140</v>
      </c>
      <c r="F375" s="35" t="s">
        <v>370</v>
      </c>
      <c r="G375" s="35" t="s">
        <v>980</v>
      </c>
      <c r="H375" s="76">
        <v>185720.0</v>
      </c>
      <c r="I375" s="35"/>
      <c r="M375" s="20">
        <f>IF($B375="","",COUNTIFS('Blocker log'!$A:$A,$B375,'Blocker log'!$G:$G,"&lt;&gt;"))</f>
        <v>0</v>
      </c>
      <c r="N375" s="20">
        <f>IF($B375="","",COUNTIFS('Blocker log'!$A:$A,$B375,'Blocker log'!$G:$G,"Hard blocker"))</f>
        <v>0</v>
      </c>
      <c r="O375" s="20">
        <f>IF($B375="","",COUNTIFS('Blocker log'!$A:$A,$B375,'Blocker log'!$G:$G,"Hard blocker",'Blocker log'!$L:$L,9))</f>
        <v>0</v>
      </c>
      <c r="P375" s="20">
        <f>IF($B375="","",MAXIFS('Blocker log'!$L:$L,'Blocker log'!$A:$A,$B375,'Blocker log'!$G:$G,"Hard blocker"))</f>
        <v>0</v>
      </c>
      <c r="Q375" s="20" t="str">
        <f>IF($B375="","",IF($K375&lt;&gt;"Complete","Assessment pending",IF($N375=0,"Ready now",VLOOKUP($P375,Lists!$D$2:$E$5,2,FALSE))))</f>
        <v>Assessment pending</v>
      </c>
    </row>
    <row r="376" ht="15.75" customHeight="1">
      <c r="A376" s="35" t="s">
        <v>1346</v>
      </c>
      <c r="B376" s="35" t="s">
        <v>1347</v>
      </c>
      <c r="C376" s="35" t="s">
        <v>76</v>
      </c>
      <c r="D376" s="35" t="s">
        <v>58</v>
      </c>
      <c r="E376" s="35" t="s">
        <v>181</v>
      </c>
      <c r="F376" s="35" t="s">
        <v>190</v>
      </c>
      <c r="G376" s="35" t="s">
        <v>1006</v>
      </c>
      <c r="H376" s="76">
        <v>185117.0</v>
      </c>
      <c r="I376" s="35"/>
      <c r="M376" s="20">
        <f>IF($B376="","",COUNTIFS('Blocker log'!$A:$A,$B376,'Blocker log'!$G:$G,"&lt;&gt;"))</f>
        <v>0</v>
      </c>
      <c r="N376" s="20">
        <f>IF($B376="","",COUNTIFS('Blocker log'!$A:$A,$B376,'Blocker log'!$G:$G,"Hard blocker"))</f>
        <v>0</v>
      </c>
      <c r="O376" s="20">
        <f>IF($B376="","",COUNTIFS('Blocker log'!$A:$A,$B376,'Blocker log'!$G:$G,"Hard blocker",'Blocker log'!$L:$L,9))</f>
        <v>0</v>
      </c>
      <c r="P376" s="20">
        <f>IF($B376="","",MAXIFS('Blocker log'!$L:$L,'Blocker log'!$A:$A,$B376,'Blocker log'!$G:$G,"Hard blocker"))</f>
        <v>0</v>
      </c>
      <c r="Q376" s="20" t="str">
        <f>IF($B376="","",IF($K376&lt;&gt;"Complete","Assessment pending",IF($N376=0,"Ready now",VLOOKUP($P376,Lists!$D$2:$E$5,2,FALSE))))</f>
        <v>Assessment pending</v>
      </c>
    </row>
    <row r="377" ht="15.75" customHeight="1">
      <c r="A377" s="35" t="s">
        <v>1348</v>
      </c>
      <c r="B377" s="35" t="s">
        <v>1349</v>
      </c>
      <c r="C377" s="35" t="s">
        <v>76</v>
      </c>
      <c r="D377" s="35" t="s">
        <v>260</v>
      </c>
      <c r="E377" s="35" t="s">
        <v>530</v>
      </c>
      <c r="F377" s="35" t="s">
        <v>1350</v>
      </c>
      <c r="G377" s="35" t="s">
        <v>980</v>
      </c>
      <c r="H377" s="76">
        <v>184248.0</v>
      </c>
      <c r="I377" s="35"/>
      <c r="M377" s="20">
        <f>IF($B377="","",COUNTIFS('Blocker log'!$A:$A,$B377,'Blocker log'!$G:$G,"&lt;&gt;"))</f>
        <v>0</v>
      </c>
      <c r="N377" s="20">
        <f>IF($B377="","",COUNTIFS('Blocker log'!$A:$A,$B377,'Blocker log'!$G:$G,"Hard blocker"))</f>
        <v>0</v>
      </c>
      <c r="O377" s="20">
        <f>IF($B377="","",COUNTIFS('Blocker log'!$A:$A,$B377,'Blocker log'!$G:$G,"Hard blocker",'Blocker log'!$L:$L,9))</f>
        <v>0</v>
      </c>
      <c r="P377" s="20">
        <f>IF($B377="","",MAXIFS('Blocker log'!$L:$L,'Blocker log'!$A:$A,$B377,'Blocker log'!$G:$G,"Hard blocker"))</f>
        <v>0</v>
      </c>
      <c r="Q377" s="20" t="str">
        <f>IF($B377="","",IF($K377&lt;&gt;"Complete","Assessment pending",IF($N377=0,"Ready now",VLOOKUP($P377,Lists!$D$2:$E$5,2,FALSE))))</f>
        <v>Assessment pending</v>
      </c>
    </row>
    <row r="378" ht="15.75" customHeight="1">
      <c r="A378" s="35" t="s">
        <v>1351</v>
      </c>
      <c r="B378" s="35" t="s">
        <v>1352</v>
      </c>
      <c r="C378" s="35" t="s">
        <v>76</v>
      </c>
      <c r="D378" s="35" t="s">
        <v>260</v>
      </c>
      <c r="E378" s="35" t="s">
        <v>506</v>
      </c>
      <c r="F378" s="35" t="s">
        <v>507</v>
      </c>
      <c r="G378" s="35" t="s">
        <v>980</v>
      </c>
      <c r="H378" s="76">
        <v>181546.0</v>
      </c>
      <c r="I378" s="35"/>
      <c r="M378" s="20">
        <f>IF($B378="","",COUNTIFS('Blocker log'!$A:$A,$B378,'Blocker log'!$G:$G,"&lt;&gt;"))</f>
        <v>0</v>
      </c>
      <c r="N378" s="20">
        <f>IF($B378="","",COUNTIFS('Blocker log'!$A:$A,$B378,'Blocker log'!$G:$G,"Hard blocker"))</f>
        <v>0</v>
      </c>
      <c r="O378" s="20">
        <f>IF($B378="","",COUNTIFS('Blocker log'!$A:$A,$B378,'Blocker log'!$G:$G,"Hard blocker",'Blocker log'!$L:$L,9))</f>
        <v>0</v>
      </c>
      <c r="P378" s="20">
        <f>IF($B378="","",MAXIFS('Blocker log'!$L:$L,'Blocker log'!$A:$A,$B378,'Blocker log'!$G:$G,"Hard blocker"))</f>
        <v>0</v>
      </c>
      <c r="Q378" s="20" t="str">
        <f>IF($B378="","",IF($K378&lt;&gt;"Complete","Assessment pending",IF($N378=0,"Ready now",VLOOKUP($P378,Lists!$D$2:$E$5,2,FALSE))))</f>
        <v>Assessment pending</v>
      </c>
    </row>
    <row r="379" ht="15.75" customHeight="1">
      <c r="A379" s="35" t="s">
        <v>1353</v>
      </c>
      <c r="B379" s="35" t="s">
        <v>1354</v>
      </c>
      <c r="C379" s="35" t="s">
        <v>76</v>
      </c>
      <c r="D379" s="35" t="s">
        <v>58</v>
      </c>
      <c r="E379" s="35" t="s">
        <v>132</v>
      </c>
      <c r="F379" s="35" t="s">
        <v>559</v>
      </c>
      <c r="G379" s="35" t="s">
        <v>980</v>
      </c>
      <c r="H379" s="76">
        <v>180152.0</v>
      </c>
      <c r="I379" s="35"/>
      <c r="M379" s="20">
        <f>IF($B379="","",COUNTIFS('Blocker log'!$A:$A,$B379,'Blocker log'!$G:$G,"&lt;&gt;"))</f>
        <v>0</v>
      </c>
      <c r="N379" s="20">
        <f>IF($B379="","",COUNTIFS('Blocker log'!$A:$A,$B379,'Blocker log'!$G:$G,"Hard blocker"))</f>
        <v>0</v>
      </c>
      <c r="O379" s="20">
        <f>IF($B379="","",COUNTIFS('Blocker log'!$A:$A,$B379,'Blocker log'!$G:$G,"Hard blocker",'Blocker log'!$L:$L,9))</f>
        <v>0</v>
      </c>
      <c r="P379" s="20">
        <f>IF($B379="","",MAXIFS('Blocker log'!$L:$L,'Blocker log'!$A:$A,$B379,'Blocker log'!$G:$G,"Hard blocker"))</f>
        <v>0</v>
      </c>
      <c r="Q379" s="20" t="str">
        <f>IF($B379="","",IF($K379&lt;&gt;"Complete","Assessment pending",IF($N379=0,"Ready now",VLOOKUP($P379,Lists!$D$2:$E$5,2,FALSE))))</f>
        <v>Assessment pending</v>
      </c>
    </row>
    <row r="380" ht="15.75" customHeight="1">
      <c r="A380" s="35" t="s">
        <v>1355</v>
      </c>
      <c r="B380" s="35" t="s">
        <v>1356</v>
      </c>
      <c r="C380" s="35" t="s">
        <v>76</v>
      </c>
      <c r="D380" s="35" t="s">
        <v>171</v>
      </c>
      <c r="E380" s="35" t="s">
        <v>172</v>
      </c>
      <c r="F380" s="35" t="s">
        <v>1357</v>
      </c>
      <c r="G380" s="35" t="s">
        <v>980</v>
      </c>
      <c r="H380" s="76">
        <v>179340.0</v>
      </c>
      <c r="I380" s="35"/>
      <c r="M380" s="20">
        <f>IF($B380="","",COUNTIFS('Blocker log'!$A:$A,$B380,'Blocker log'!$G:$G,"&lt;&gt;"))</f>
        <v>0</v>
      </c>
      <c r="N380" s="20">
        <f>IF($B380="","",COUNTIFS('Blocker log'!$A:$A,$B380,'Blocker log'!$G:$G,"Hard blocker"))</f>
        <v>0</v>
      </c>
      <c r="O380" s="20">
        <f>IF($B380="","",COUNTIFS('Blocker log'!$A:$A,$B380,'Blocker log'!$G:$G,"Hard blocker",'Blocker log'!$L:$L,9))</f>
        <v>0</v>
      </c>
      <c r="P380" s="20">
        <f>IF($B380="","",MAXIFS('Blocker log'!$L:$L,'Blocker log'!$A:$A,$B380,'Blocker log'!$G:$G,"Hard blocker"))</f>
        <v>0</v>
      </c>
      <c r="Q380" s="20" t="str">
        <f>IF($B380="","",IF($K380&lt;&gt;"Complete","Assessment pending",IF($N380=0,"Ready now",VLOOKUP($P380,Lists!$D$2:$E$5,2,FALSE))))</f>
        <v>Assessment pending</v>
      </c>
    </row>
    <row r="381" ht="15.75" customHeight="1">
      <c r="A381" s="35" t="s">
        <v>1358</v>
      </c>
      <c r="B381" s="35" t="s">
        <v>1359</v>
      </c>
      <c r="C381" s="35" t="s">
        <v>76</v>
      </c>
      <c r="D381" s="35" t="s">
        <v>58</v>
      </c>
      <c r="E381" s="35" t="s">
        <v>494</v>
      </c>
      <c r="F381" s="35" t="s">
        <v>495</v>
      </c>
      <c r="G381" s="35" t="s">
        <v>999</v>
      </c>
      <c r="H381" s="76">
        <v>175828.0</v>
      </c>
      <c r="I381" s="35"/>
      <c r="M381" s="20">
        <f>IF($B381="","",COUNTIFS('Blocker log'!$A:$A,$B381,'Blocker log'!$G:$G,"&lt;&gt;"))</f>
        <v>0</v>
      </c>
      <c r="N381" s="20">
        <f>IF($B381="","",COUNTIFS('Blocker log'!$A:$A,$B381,'Blocker log'!$G:$G,"Hard blocker"))</f>
        <v>0</v>
      </c>
      <c r="O381" s="20">
        <f>IF($B381="","",COUNTIFS('Blocker log'!$A:$A,$B381,'Blocker log'!$G:$G,"Hard blocker",'Blocker log'!$L:$L,9))</f>
        <v>0</v>
      </c>
      <c r="P381" s="20">
        <f>IF($B381="","",MAXIFS('Blocker log'!$L:$L,'Blocker log'!$A:$A,$B381,'Blocker log'!$G:$G,"Hard blocker"))</f>
        <v>0</v>
      </c>
      <c r="Q381" s="20" t="str">
        <f>IF($B381="","",IF($K381&lt;&gt;"Complete","Assessment pending",IF($N381=0,"Ready now",VLOOKUP($P381,Lists!$D$2:$E$5,2,FALSE))))</f>
        <v>Assessment pending</v>
      </c>
    </row>
    <row r="382" ht="15.75" customHeight="1">
      <c r="A382" s="35" t="s">
        <v>1360</v>
      </c>
      <c r="B382" s="35" t="s">
        <v>1361</v>
      </c>
      <c r="C382" s="35" t="s">
        <v>76</v>
      </c>
      <c r="D382" s="35" t="s">
        <v>171</v>
      </c>
      <c r="E382" s="35" t="s">
        <v>713</v>
      </c>
      <c r="F382" s="35" t="s">
        <v>714</v>
      </c>
      <c r="G382" s="35" t="s">
        <v>980</v>
      </c>
      <c r="H382" s="76">
        <v>175200.0</v>
      </c>
      <c r="I382" s="35"/>
      <c r="M382" s="20">
        <f>IF($B382="","",COUNTIFS('Blocker log'!$A:$A,$B382,'Blocker log'!$G:$G,"&lt;&gt;"))</f>
        <v>0</v>
      </c>
      <c r="N382" s="20">
        <f>IF($B382="","",COUNTIFS('Blocker log'!$A:$A,$B382,'Blocker log'!$G:$G,"Hard blocker"))</f>
        <v>0</v>
      </c>
      <c r="O382" s="20">
        <f>IF($B382="","",COUNTIFS('Blocker log'!$A:$A,$B382,'Blocker log'!$G:$G,"Hard blocker",'Blocker log'!$L:$L,9))</f>
        <v>0</v>
      </c>
      <c r="P382" s="20">
        <f>IF($B382="","",MAXIFS('Blocker log'!$L:$L,'Blocker log'!$A:$A,$B382,'Blocker log'!$G:$G,"Hard blocker"))</f>
        <v>0</v>
      </c>
      <c r="Q382" s="20" t="str">
        <f>IF($B382="","",IF($K382&lt;&gt;"Complete","Assessment pending",IF($N382=0,"Ready now",VLOOKUP($P382,Lists!$D$2:$E$5,2,FALSE))))</f>
        <v>Assessment pending</v>
      </c>
    </row>
    <row r="383" ht="15.75" customHeight="1">
      <c r="A383" s="35" t="s">
        <v>1362</v>
      </c>
      <c r="B383" s="35" t="s">
        <v>1363</v>
      </c>
      <c r="C383" s="35" t="s">
        <v>76</v>
      </c>
      <c r="D383" s="35" t="s">
        <v>58</v>
      </c>
      <c r="E383" s="35" t="s">
        <v>140</v>
      </c>
      <c r="F383" s="35" t="s">
        <v>200</v>
      </c>
      <c r="G383" s="35" t="s">
        <v>1042</v>
      </c>
      <c r="H383" s="76">
        <v>175140.0</v>
      </c>
      <c r="I383" s="35"/>
      <c r="M383" s="20">
        <f>IF($B383="","",COUNTIFS('Blocker log'!$A:$A,$B383,'Blocker log'!$G:$G,"&lt;&gt;"))</f>
        <v>0</v>
      </c>
      <c r="N383" s="20">
        <f>IF($B383="","",COUNTIFS('Blocker log'!$A:$A,$B383,'Blocker log'!$G:$G,"Hard blocker"))</f>
        <v>0</v>
      </c>
      <c r="O383" s="20">
        <f>IF($B383="","",COUNTIFS('Blocker log'!$A:$A,$B383,'Blocker log'!$G:$G,"Hard blocker",'Blocker log'!$L:$L,9))</f>
        <v>0</v>
      </c>
      <c r="P383" s="20">
        <f>IF($B383="","",MAXIFS('Blocker log'!$L:$L,'Blocker log'!$A:$A,$B383,'Blocker log'!$G:$G,"Hard blocker"))</f>
        <v>0</v>
      </c>
      <c r="Q383" s="20" t="str">
        <f>IF($B383="","",IF($K383&lt;&gt;"Complete","Assessment pending",IF($N383=0,"Ready now",VLOOKUP($P383,Lists!$D$2:$E$5,2,FALSE))))</f>
        <v>Assessment pending</v>
      </c>
    </row>
    <row r="384" ht="15.75" customHeight="1">
      <c r="A384" s="35" t="s">
        <v>1364</v>
      </c>
      <c r="B384" s="35" t="s">
        <v>1365</v>
      </c>
      <c r="C384" s="35" t="s">
        <v>76</v>
      </c>
      <c r="D384" s="35" t="s">
        <v>260</v>
      </c>
      <c r="E384" s="35" t="s">
        <v>1096</v>
      </c>
      <c r="F384" s="35" t="s">
        <v>1366</v>
      </c>
      <c r="G384" s="35" t="s">
        <v>977</v>
      </c>
      <c r="H384" s="76">
        <v>173482.0</v>
      </c>
      <c r="I384" s="35"/>
      <c r="M384" s="20">
        <f>IF($B384="","",COUNTIFS('Blocker log'!$A:$A,$B384,'Blocker log'!$G:$G,"&lt;&gt;"))</f>
        <v>0</v>
      </c>
      <c r="N384" s="20">
        <f>IF($B384="","",COUNTIFS('Blocker log'!$A:$A,$B384,'Blocker log'!$G:$G,"Hard blocker"))</f>
        <v>0</v>
      </c>
      <c r="O384" s="20">
        <f>IF($B384="","",COUNTIFS('Blocker log'!$A:$A,$B384,'Blocker log'!$G:$G,"Hard blocker",'Blocker log'!$L:$L,9))</f>
        <v>0</v>
      </c>
      <c r="P384" s="20">
        <f>IF($B384="","",MAXIFS('Blocker log'!$L:$L,'Blocker log'!$A:$A,$B384,'Blocker log'!$G:$G,"Hard blocker"))</f>
        <v>0</v>
      </c>
      <c r="Q384" s="20" t="str">
        <f>IF($B384="","",IF($K384&lt;&gt;"Complete","Assessment pending",IF($N384=0,"Ready now",VLOOKUP($P384,Lists!$D$2:$E$5,2,FALSE))))</f>
        <v>Assessment pending</v>
      </c>
    </row>
    <row r="385" ht="15.75" customHeight="1">
      <c r="A385" s="35" t="s">
        <v>1367</v>
      </c>
      <c r="B385" s="35" t="s">
        <v>1368</v>
      </c>
      <c r="C385" s="35" t="s">
        <v>76</v>
      </c>
      <c r="D385" s="35" t="s">
        <v>171</v>
      </c>
      <c r="E385" s="35" t="s">
        <v>587</v>
      </c>
      <c r="F385" s="35" t="s">
        <v>1369</v>
      </c>
      <c r="G385" s="35" t="s">
        <v>980</v>
      </c>
      <c r="H385" s="76">
        <v>172178.0</v>
      </c>
      <c r="I385" s="35"/>
      <c r="M385" s="20">
        <f>IF($B385="","",COUNTIFS('Blocker log'!$A:$A,$B385,'Blocker log'!$G:$G,"&lt;&gt;"))</f>
        <v>0</v>
      </c>
      <c r="N385" s="20">
        <f>IF($B385="","",COUNTIFS('Blocker log'!$A:$A,$B385,'Blocker log'!$G:$G,"Hard blocker"))</f>
        <v>0</v>
      </c>
      <c r="O385" s="20">
        <f>IF($B385="","",COUNTIFS('Blocker log'!$A:$A,$B385,'Blocker log'!$G:$G,"Hard blocker",'Blocker log'!$L:$L,9))</f>
        <v>0</v>
      </c>
      <c r="P385" s="20">
        <f>IF($B385="","",MAXIFS('Blocker log'!$L:$L,'Blocker log'!$A:$A,$B385,'Blocker log'!$G:$G,"Hard blocker"))</f>
        <v>0</v>
      </c>
      <c r="Q385" s="20" t="str">
        <f>IF($B385="","",IF($K385&lt;&gt;"Complete","Assessment pending",IF($N385=0,"Ready now",VLOOKUP($P385,Lists!$D$2:$E$5,2,FALSE))))</f>
        <v>Assessment pending</v>
      </c>
    </row>
    <row r="386" ht="15.75" customHeight="1">
      <c r="A386" s="35" t="s">
        <v>1370</v>
      </c>
      <c r="B386" s="35" t="s">
        <v>1371</v>
      </c>
      <c r="C386" s="35" t="s">
        <v>76</v>
      </c>
      <c r="D386" s="35" t="s">
        <v>58</v>
      </c>
      <c r="E386" s="35" t="s">
        <v>59</v>
      </c>
      <c r="F386" s="35" t="s">
        <v>60</v>
      </c>
      <c r="G386" s="35" t="s">
        <v>999</v>
      </c>
      <c r="H386" s="76">
        <v>171427.0</v>
      </c>
      <c r="I386" s="35"/>
      <c r="M386" s="20">
        <f>IF($B386="","",COUNTIFS('Blocker log'!$A:$A,$B386,'Blocker log'!$G:$G,"&lt;&gt;"))</f>
        <v>0</v>
      </c>
      <c r="N386" s="20">
        <f>IF($B386="","",COUNTIFS('Blocker log'!$A:$A,$B386,'Blocker log'!$G:$G,"Hard blocker"))</f>
        <v>0</v>
      </c>
      <c r="O386" s="20">
        <f>IF($B386="","",COUNTIFS('Blocker log'!$A:$A,$B386,'Blocker log'!$G:$G,"Hard blocker",'Blocker log'!$L:$L,9))</f>
        <v>0</v>
      </c>
      <c r="P386" s="20">
        <f>IF($B386="","",MAXIFS('Blocker log'!$L:$L,'Blocker log'!$A:$A,$B386,'Blocker log'!$G:$G,"Hard blocker"))</f>
        <v>0</v>
      </c>
      <c r="Q386" s="20" t="str">
        <f>IF($B386="","",IF($K386&lt;&gt;"Complete","Assessment pending",IF($N386=0,"Ready now",VLOOKUP($P386,Lists!$D$2:$E$5,2,FALSE))))</f>
        <v>Assessment pending</v>
      </c>
    </row>
    <row r="387" ht="15.75" customHeight="1">
      <c r="A387" s="35" t="s">
        <v>1372</v>
      </c>
      <c r="B387" s="35" t="s">
        <v>1373</v>
      </c>
      <c r="C387" s="35" t="s">
        <v>76</v>
      </c>
      <c r="D387" s="35" t="s">
        <v>58</v>
      </c>
      <c r="E387" s="35" t="s">
        <v>140</v>
      </c>
      <c r="F387" s="35" t="s">
        <v>141</v>
      </c>
      <c r="G387" s="35" t="s">
        <v>980</v>
      </c>
      <c r="H387" s="76">
        <v>171000.0</v>
      </c>
      <c r="I387" s="35"/>
      <c r="M387" s="20">
        <f>IF($B387="","",COUNTIFS('Blocker log'!$A:$A,$B387,'Blocker log'!$G:$G,"&lt;&gt;"))</f>
        <v>0</v>
      </c>
      <c r="N387" s="20">
        <f>IF($B387="","",COUNTIFS('Blocker log'!$A:$A,$B387,'Blocker log'!$G:$G,"Hard blocker"))</f>
        <v>0</v>
      </c>
      <c r="O387" s="20">
        <f>IF($B387="","",COUNTIFS('Blocker log'!$A:$A,$B387,'Blocker log'!$G:$G,"Hard blocker",'Blocker log'!$L:$L,9))</f>
        <v>0</v>
      </c>
      <c r="P387" s="20">
        <f>IF($B387="","",MAXIFS('Blocker log'!$L:$L,'Blocker log'!$A:$A,$B387,'Blocker log'!$G:$G,"Hard blocker"))</f>
        <v>0</v>
      </c>
      <c r="Q387" s="20" t="str">
        <f>IF($B387="","",IF($K387&lt;&gt;"Complete","Assessment pending",IF($N387=0,"Ready now",VLOOKUP($P387,Lists!$D$2:$E$5,2,FALSE))))</f>
        <v>Assessment pending</v>
      </c>
    </row>
    <row r="388" ht="15.75" customHeight="1">
      <c r="A388" s="35" t="s">
        <v>1374</v>
      </c>
      <c r="B388" s="35" t="s">
        <v>1375</v>
      </c>
      <c r="C388" s="35" t="s">
        <v>76</v>
      </c>
      <c r="D388" s="35" t="s">
        <v>58</v>
      </c>
      <c r="E388" s="35" t="s">
        <v>140</v>
      </c>
      <c r="F388" s="35" t="s">
        <v>663</v>
      </c>
      <c r="G388" s="35" t="s">
        <v>980</v>
      </c>
      <c r="H388" s="76">
        <v>170642.0</v>
      </c>
      <c r="I388" s="35"/>
      <c r="M388" s="20">
        <f>IF($B388="","",COUNTIFS('Blocker log'!$A:$A,$B388,'Blocker log'!$G:$G,"&lt;&gt;"))</f>
        <v>0</v>
      </c>
      <c r="N388" s="20">
        <f>IF($B388="","",COUNTIFS('Blocker log'!$A:$A,$B388,'Blocker log'!$G:$G,"Hard blocker"))</f>
        <v>0</v>
      </c>
      <c r="O388" s="20">
        <f>IF($B388="","",COUNTIFS('Blocker log'!$A:$A,$B388,'Blocker log'!$G:$G,"Hard blocker",'Blocker log'!$L:$L,9))</f>
        <v>0</v>
      </c>
      <c r="P388" s="20">
        <f>IF($B388="","",MAXIFS('Blocker log'!$L:$L,'Blocker log'!$A:$A,$B388,'Blocker log'!$G:$G,"Hard blocker"))</f>
        <v>0</v>
      </c>
      <c r="Q388" s="20" t="str">
        <f>IF($B388="","",IF($K388&lt;&gt;"Complete","Assessment pending",IF($N388=0,"Ready now",VLOOKUP($P388,Lists!$D$2:$E$5,2,FALSE))))</f>
        <v>Assessment pending</v>
      </c>
    </row>
    <row r="389" ht="15.75" customHeight="1">
      <c r="A389" s="35" t="s">
        <v>1376</v>
      </c>
      <c r="B389" s="35" t="s">
        <v>1377</v>
      </c>
      <c r="C389" s="35" t="s">
        <v>76</v>
      </c>
      <c r="D389" s="35" t="s">
        <v>171</v>
      </c>
      <c r="E389" s="35" t="s">
        <v>524</v>
      </c>
      <c r="F389" s="35" t="s">
        <v>525</v>
      </c>
      <c r="G389" s="35" t="s">
        <v>977</v>
      </c>
      <c r="H389" s="76">
        <v>170106.0</v>
      </c>
      <c r="I389" s="35"/>
      <c r="M389" s="20">
        <f>IF($B389="","",COUNTIFS('Blocker log'!$A:$A,$B389,'Blocker log'!$G:$G,"&lt;&gt;"))</f>
        <v>0</v>
      </c>
      <c r="N389" s="20">
        <f>IF($B389="","",COUNTIFS('Blocker log'!$A:$A,$B389,'Blocker log'!$G:$G,"Hard blocker"))</f>
        <v>0</v>
      </c>
      <c r="O389" s="20">
        <f>IF($B389="","",COUNTIFS('Blocker log'!$A:$A,$B389,'Blocker log'!$G:$G,"Hard blocker",'Blocker log'!$L:$L,9))</f>
        <v>0</v>
      </c>
      <c r="P389" s="20">
        <f>IF($B389="","",MAXIFS('Blocker log'!$L:$L,'Blocker log'!$A:$A,$B389,'Blocker log'!$G:$G,"Hard blocker"))</f>
        <v>0</v>
      </c>
      <c r="Q389" s="20" t="str">
        <f>IF($B389="","",IF($K389&lt;&gt;"Complete","Assessment pending",IF($N389=0,"Ready now",VLOOKUP($P389,Lists!$D$2:$E$5,2,FALSE))))</f>
        <v>Assessment pending</v>
      </c>
    </row>
    <row r="390" ht="15.75" customHeight="1">
      <c r="A390" s="35" t="s">
        <v>1378</v>
      </c>
      <c r="B390" s="35" t="s">
        <v>1379</v>
      </c>
      <c r="C390" s="35" t="s">
        <v>76</v>
      </c>
      <c r="D390" s="35" t="s">
        <v>171</v>
      </c>
      <c r="E390" s="35" t="s">
        <v>172</v>
      </c>
      <c r="F390" s="35" t="s">
        <v>173</v>
      </c>
      <c r="G390" s="35" t="s">
        <v>980</v>
      </c>
      <c r="H390" s="76">
        <v>169386.0</v>
      </c>
      <c r="I390" s="35"/>
      <c r="M390" s="20">
        <f>IF($B390="","",COUNTIFS('Blocker log'!$A:$A,$B390,'Blocker log'!$G:$G,"&lt;&gt;"))</f>
        <v>0</v>
      </c>
      <c r="N390" s="20">
        <f>IF($B390="","",COUNTIFS('Blocker log'!$A:$A,$B390,'Blocker log'!$G:$G,"Hard blocker"))</f>
        <v>0</v>
      </c>
      <c r="O390" s="20">
        <f>IF($B390="","",COUNTIFS('Blocker log'!$A:$A,$B390,'Blocker log'!$G:$G,"Hard blocker",'Blocker log'!$L:$L,9))</f>
        <v>0</v>
      </c>
      <c r="P390" s="20">
        <f>IF($B390="","",MAXIFS('Blocker log'!$L:$L,'Blocker log'!$A:$A,$B390,'Blocker log'!$G:$G,"Hard blocker"))</f>
        <v>0</v>
      </c>
      <c r="Q390" s="20" t="str">
        <f>IF($B390="","",IF($K390&lt;&gt;"Complete","Assessment pending",IF($N390=0,"Ready now",VLOOKUP($P390,Lists!$D$2:$E$5,2,FALSE))))</f>
        <v>Assessment pending</v>
      </c>
    </row>
    <row r="391" ht="15.75" customHeight="1">
      <c r="A391" s="35" t="s">
        <v>1380</v>
      </c>
      <c r="B391" s="35" t="s">
        <v>1381</v>
      </c>
      <c r="C391" s="35" t="s">
        <v>76</v>
      </c>
      <c r="D391" s="35" t="s">
        <v>58</v>
      </c>
      <c r="E391" s="35" t="s">
        <v>181</v>
      </c>
      <c r="F391" s="35" t="s">
        <v>653</v>
      </c>
      <c r="G391" s="35" t="s">
        <v>999</v>
      </c>
      <c r="H391" s="76">
        <v>168885.0</v>
      </c>
      <c r="I391" s="35"/>
      <c r="M391" s="20">
        <f>IF($B391="","",COUNTIFS('Blocker log'!$A:$A,$B391,'Blocker log'!$G:$G,"&lt;&gt;"))</f>
        <v>0</v>
      </c>
      <c r="N391" s="20">
        <f>IF($B391="","",COUNTIFS('Blocker log'!$A:$A,$B391,'Blocker log'!$G:$G,"Hard blocker"))</f>
        <v>0</v>
      </c>
      <c r="O391" s="20">
        <f>IF($B391="","",COUNTIFS('Blocker log'!$A:$A,$B391,'Blocker log'!$G:$G,"Hard blocker",'Blocker log'!$L:$L,9))</f>
        <v>0</v>
      </c>
      <c r="P391" s="20">
        <f>IF($B391="","",MAXIFS('Blocker log'!$L:$L,'Blocker log'!$A:$A,$B391,'Blocker log'!$G:$G,"Hard blocker"))</f>
        <v>0</v>
      </c>
      <c r="Q391" s="20" t="str">
        <f>IF($B391="","",IF($K391&lt;&gt;"Complete","Assessment pending",IF($N391=0,"Ready now",VLOOKUP($P391,Lists!$D$2:$E$5,2,FALSE))))</f>
        <v>Assessment pending</v>
      </c>
    </row>
    <row r="392" ht="15.75" customHeight="1">
      <c r="A392" s="35" t="s">
        <v>1382</v>
      </c>
      <c r="B392" s="35" t="s">
        <v>1383</v>
      </c>
      <c r="C392" s="35" t="s">
        <v>76</v>
      </c>
      <c r="D392" s="35" t="s">
        <v>58</v>
      </c>
      <c r="E392" s="35" t="s">
        <v>101</v>
      </c>
      <c r="F392" s="35" t="s">
        <v>116</v>
      </c>
      <c r="G392" s="35" t="s">
        <v>999</v>
      </c>
      <c r="H392" s="76">
        <v>168320.0</v>
      </c>
      <c r="I392" s="35"/>
      <c r="M392" s="20">
        <f>IF($B392="","",COUNTIFS('Blocker log'!$A:$A,$B392,'Blocker log'!$G:$G,"&lt;&gt;"))</f>
        <v>0</v>
      </c>
      <c r="N392" s="20">
        <f>IF($B392="","",COUNTIFS('Blocker log'!$A:$A,$B392,'Blocker log'!$G:$G,"Hard blocker"))</f>
        <v>0</v>
      </c>
      <c r="O392" s="20">
        <f>IF($B392="","",COUNTIFS('Blocker log'!$A:$A,$B392,'Blocker log'!$G:$G,"Hard blocker",'Blocker log'!$L:$L,9))</f>
        <v>0</v>
      </c>
      <c r="P392" s="20">
        <f>IF($B392="","",MAXIFS('Blocker log'!$L:$L,'Blocker log'!$A:$A,$B392,'Blocker log'!$G:$G,"Hard blocker"))</f>
        <v>0</v>
      </c>
      <c r="Q392" s="20" t="str">
        <f>IF($B392="","",IF($K392&lt;&gt;"Complete","Assessment pending",IF($N392=0,"Ready now",VLOOKUP($P392,Lists!$D$2:$E$5,2,FALSE))))</f>
        <v>Assessment pending</v>
      </c>
    </row>
    <row r="393" ht="15.75" customHeight="1">
      <c r="A393" s="35" t="s">
        <v>1384</v>
      </c>
      <c r="B393" s="35" t="s">
        <v>1385</v>
      </c>
      <c r="C393" s="35" t="s">
        <v>76</v>
      </c>
      <c r="D393" s="35" t="s">
        <v>58</v>
      </c>
      <c r="E393" s="35" t="s">
        <v>101</v>
      </c>
      <c r="F393" s="35" t="s">
        <v>1386</v>
      </c>
      <c r="G393" s="35" t="s">
        <v>980</v>
      </c>
      <c r="H393" s="76">
        <v>166380.0</v>
      </c>
      <c r="I393" s="35"/>
      <c r="M393" s="20">
        <f>IF($B393="","",COUNTIFS('Blocker log'!$A:$A,$B393,'Blocker log'!$G:$G,"&lt;&gt;"))</f>
        <v>0</v>
      </c>
      <c r="N393" s="20">
        <f>IF($B393="","",COUNTIFS('Blocker log'!$A:$A,$B393,'Blocker log'!$G:$G,"Hard blocker"))</f>
        <v>0</v>
      </c>
      <c r="O393" s="20">
        <f>IF($B393="","",COUNTIFS('Blocker log'!$A:$A,$B393,'Blocker log'!$G:$G,"Hard blocker",'Blocker log'!$L:$L,9))</f>
        <v>0</v>
      </c>
      <c r="P393" s="20">
        <f>IF($B393="","",MAXIFS('Blocker log'!$L:$L,'Blocker log'!$A:$A,$B393,'Blocker log'!$G:$G,"Hard blocker"))</f>
        <v>0</v>
      </c>
      <c r="Q393" s="20" t="str">
        <f>IF($B393="","",IF($K393&lt;&gt;"Complete","Assessment pending",IF($N393=0,"Ready now",VLOOKUP($P393,Lists!$D$2:$E$5,2,FALSE))))</f>
        <v>Assessment pending</v>
      </c>
    </row>
    <row r="394" ht="15.75" customHeight="1">
      <c r="A394" s="35" t="s">
        <v>1387</v>
      </c>
      <c r="B394" s="35" t="s">
        <v>1388</v>
      </c>
      <c r="C394" s="35" t="s">
        <v>76</v>
      </c>
      <c r="D394" s="35" t="s">
        <v>58</v>
      </c>
      <c r="E394" s="35" t="s">
        <v>494</v>
      </c>
      <c r="F394" s="35" t="s">
        <v>495</v>
      </c>
      <c r="G394" s="35" t="s">
        <v>980</v>
      </c>
      <c r="H394" s="76">
        <v>166323.0</v>
      </c>
      <c r="I394" s="35"/>
      <c r="M394" s="20">
        <f>IF($B394="","",COUNTIFS('Blocker log'!$A:$A,$B394,'Blocker log'!$G:$G,"&lt;&gt;"))</f>
        <v>0</v>
      </c>
      <c r="N394" s="20">
        <f>IF($B394="","",COUNTIFS('Blocker log'!$A:$A,$B394,'Blocker log'!$G:$G,"Hard blocker"))</f>
        <v>0</v>
      </c>
      <c r="O394" s="20">
        <f>IF($B394="","",COUNTIFS('Blocker log'!$A:$A,$B394,'Blocker log'!$G:$G,"Hard blocker",'Blocker log'!$L:$L,9))</f>
        <v>0</v>
      </c>
      <c r="P394" s="20">
        <f>IF($B394="","",MAXIFS('Blocker log'!$L:$L,'Blocker log'!$A:$A,$B394,'Blocker log'!$G:$G,"Hard blocker"))</f>
        <v>0</v>
      </c>
      <c r="Q394" s="20" t="str">
        <f>IF($B394="","",IF($K394&lt;&gt;"Complete","Assessment pending",IF($N394=0,"Ready now",VLOOKUP($P394,Lists!$D$2:$E$5,2,FALSE))))</f>
        <v>Assessment pending</v>
      </c>
    </row>
    <row r="395" ht="15.75" customHeight="1">
      <c r="A395" s="35" t="s">
        <v>1389</v>
      </c>
      <c r="B395" s="35" t="s">
        <v>1390</v>
      </c>
      <c r="C395" s="35" t="s">
        <v>76</v>
      </c>
      <c r="D395" s="35" t="s">
        <v>171</v>
      </c>
      <c r="E395" s="35" t="s">
        <v>542</v>
      </c>
      <c r="F395" s="35" t="s">
        <v>543</v>
      </c>
      <c r="G395" s="35" t="s">
        <v>980</v>
      </c>
      <c r="H395" s="76">
        <v>162400.0</v>
      </c>
      <c r="I395" s="35"/>
      <c r="M395" s="20">
        <f>IF($B395="","",COUNTIFS('Blocker log'!$A:$A,$B395,'Blocker log'!$G:$G,"&lt;&gt;"))</f>
        <v>0</v>
      </c>
      <c r="N395" s="20">
        <f>IF($B395="","",COUNTIFS('Blocker log'!$A:$A,$B395,'Blocker log'!$G:$G,"Hard blocker"))</f>
        <v>0</v>
      </c>
      <c r="O395" s="20">
        <f>IF($B395="","",COUNTIFS('Blocker log'!$A:$A,$B395,'Blocker log'!$G:$G,"Hard blocker",'Blocker log'!$L:$L,9))</f>
        <v>0</v>
      </c>
      <c r="P395" s="20">
        <f>IF($B395="","",MAXIFS('Blocker log'!$L:$L,'Blocker log'!$A:$A,$B395,'Blocker log'!$G:$G,"Hard blocker"))</f>
        <v>0</v>
      </c>
      <c r="Q395" s="20" t="str">
        <f>IF($B395="","",IF($K395&lt;&gt;"Complete","Assessment pending",IF($N395=0,"Ready now",VLOOKUP($P395,Lists!$D$2:$E$5,2,FALSE))))</f>
        <v>Assessment pending</v>
      </c>
    </row>
    <row r="396" ht="15.75" customHeight="1">
      <c r="A396" s="35" t="s">
        <v>1391</v>
      </c>
      <c r="B396" s="35" t="s">
        <v>1392</v>
      </c>
      <c r="C396" s="35" t="s">
        <v>76</v>
      </c>
      <c r="D396" s="35" t="s">
        <v>301</v>
      </c>
      <c r="E396" s="35" t="s">
        <v>490</v>
      </c>
      <c r="F396" s="35" t="s">
        <v>490</v>
      </c>
      <c r="G396" s="35" t="s">
        <v>980</v>
      </c>
      <c r="H396" s="76">
        <v>162000.0</v>
      </c>
      <c r="I396" s="35"/>
      <c r="M396" s="20">
        <f>IF($B396="","",COUNTIFS('Blocker log'!$A:$A,$B396,'Blocker log'!$G:$G,"&lt;&gt;"))</f>
        <v>0</v>
      </c>
      <c r="N396" s="20">
        <f>IF($B396="","",COUNTIFS('Blocker log'!$A:$A,$B396,'Blocker log'!$G:$G,"Hard blocker"))</f>
        <v>0</v>
      </c>
      <c r="O396" s="20">
        <f>IF($B396="","",COUNTIFS('Blocker log'!$A:$A,$B396,'Blocker log'!$G:$G,"Hard blocker",'Blocker log'!$L:$L,9))</f>
        <v>0</v>
      </c>
      <c r="P396" s="20">
        <f>IF($B396="","",MAXIFS('Blocker log'!$L:$L,'Blocker log'!$A:$A,$B396,'Blocker log'!$G:$G,"Hard blocker"))</f>
        <v>0</v>
      </c>
      <c r="Q396" s="20" t="str">
        <f>IF($B396="","",IF($K396&lt;&gt;"Complete","Assessment pending",IF($N396=0,"Ready now",VLOOKUP($P396,Lists!$D$2:$E$5,2,FALSE))))</f>
        <v>Assessment pending</v>
      </c>
    </row>
    <row r="397" ht="15.75" customHeight="1">
      <c r="A397" s="35" t="s">
        <v>1393</v>
      </c>
      <c r="B397" s="35" t="s">
        <v>1394</v>
      </c>
      <c r="C397" s="35" t="s">
        <v>76</v>
      </c>
      <c r="D397" s="35" t="s">
        <v>260</v>
      </c>
      <c r="E397" s="35" t="s">
        <v>351</v>
      </c>
      <c r="F397" s="35" t="s">
        <v>352</v>
      </c>
      <c r="G397" s="35" t="s">
        <v>980</v>
      </c>
      <c r="H397" s="76">
        <v>161726.0</v>
      </c>
      <c r="I397" s="35"/>
      <c r="M397" s="20">
        <f>IF($B397="","",COUNTIFS('Blocker log'!$A:$A,$B397,'Blocker log'!$G:$G,"&lt;&gt;"))</f>
        <v>0</v>
      </c>
      <c r="N397" s="20">
        <f>IF($B397="","",COUNTIFS('Blocker log'!$A:$A,$B397,'Blocker log'!$G:$G,"Hard blocker"))</f>
        <v>0</v>
      </c>
      <c r="O397" s="20">
        <f>IF($B397="","",COUNTIFS('Blocker log'!$A:$A,$B397,'Blocker log'!$G:$G,"Hard blocker",'Blocker log'!$L:$L,9))</f>
        <v>0</v>
      </c>
      <c r="P397" s="20">
        <f>IF($B397="","",MAXIFS('Blocker log'!$L:$L,'Blocker log'!$A:$A,$B397,'Blocker log'!$G:$G,"Hard blocker"))</f>
        <v>0</v>
      </c>
      <c r="Q397" s="20" t="str">
        <f>IF($B397="","",IF($K397&lt;&gt;"Complete","Assessment pending",IF($N397=0,"Ready now",VLOOKUP($P397,Lists!$D$2:$E$5,2,FALSE))))</f>
        <v>Assessment pending</v>
      </c>
    </row>
    <row r="398" ht="15.75" customHeight="1">
      <c r="A398" s="35" t="s">
        <v>1395</v>
      </c>
      <c r="B398" s="35" t="s">
        <v>1396</v>
      </c>
      <c r="C398" s="35" t="s">
        <v>76</v>
      </c>
      <c r="D398" s="35" t="s">
        <v>260</v>
      </c>
      <c r="E398" s="35" t="s">
        <v>576</v>
      </c>
      <c r="F398" s="35" t="s">
        <v>658</v>
      </c>
      <c r="G398" s="35" t="s">
        <v>1042</v>
      </c>
      <c r="H398" s="76">
        <v>159922.0</v>
      </c>
      <c r="I398" s="35"/>
      <c r="M398" s="20">
        <f>IF($B398="","",COUNTIFS('Blocker log'!$A:$A,$B398,'Blocker log'!$G:$G,"&lt;&gt;"))</f>
        <v>0</v>
      </c>
      <c r="N398" s="20">
        <f>IF($B398="","",COUNTIFS('Blocker log'!$A:$A,$B398,'Blocker log'!$G:$G,"Hard blocker"))</f>
        <v>0</v>
      </c>
      <c r="O398" s="20">
        <f>IF($B398="","",COUNTIFS('Blocker log'!$A:$A,$B398,'Blocker log'!$G:$G,"Hard blocker",'Blocker log'!$L:$L,9))</f>
        <v>0</v>
      </c>
      <c r="P398" s="20">
        <f>IF($B398="","",MAXIFS('Blocker log'!$L:$L,'Blocker log'!$A:$A,$B398,'Blocker log'!$G:$G,"Hard blocker"))</f>
        <v>0</v>
      </c>
      <c r="Q398" s="20" t="str">
        <f>IF($B398="","",IF($K398&lt;&gt;"Complete","Assessment pending",IF($N398=0,"Ready now",VLOOKUP($P398,Lists!$D$2:$E$5,2,FALSE))))</f>
        <v>Assessment pending</v>
      </c>
    </row>
    <row r="399" ht="15.75" customHeight="1">
      <c r="A399" s="35" t="s">
        <v>1397</v>
      </c>
      <c r="B399" s="35" t="s">
        <v>1398</v>
      </c>
      <c r="C399" s="35" t="s">
        <v>76</v>
      </c>
      <c r="D399" s="35" t="s">
        <v>58</v>
      </c>
      <c r="E399" s="35" t="s">
        <v>59</v>
      </c>
      <c r="F399" s="35" t="s">
        <v>77</v>
      </c>
      <c r="G399" s="35" t="s">
        <v>980</v>
      </c>
      <c r="H399" s="76">
        <v>159408.0</v>
      </c>
      <c r="I399" s="35"/>
      <c r="M399" s="20">
        <f>IF($B399="","",COUNTIFS('Blocker log'!$A:$A,$B399,'Blocker log'!$G:$G,"&lt;&gt;"))</f>
        <v>0</v>
      </c>
      <c r="N399" s="20">
        <f>IF($B399="","",COUNTIFS('Blocker log'!$A:$A,$B399,'Blocker log'!$G:$G,"Hard blocker"))</f>
        <v>0</v>
      </c>
      <c r="O399" s="20">
        <f>IF($B399="","",COUNTIFS('Blocker log'!$A:$A,$B399,'Blocker log'!$G:$G,"Hard blocker",'Blocker log'!$L:$L,9))</f>
        <v>0</v>
      </c>
      <c r="P399" s="20">
        <f>IF($B399="","",MAXIFS('Blocker log'!$L:$L,'Blocker log'!$A:$A,$B399,'Blocker log'!$G:$G,"Hard blocker"))</f>
        <v>0</v>
      </c>
      <c r="Q399" s="20" t="str">
        <f>IF($B399="","",IF($K399&lt;&gt;"Complete","Assessment pending",IF($N399=0,"Ready now",VLOOKUP($P399,Lists!$D$2:$E$5,2,FALSE))))</f>
        <v>Assessment pending</v>
      </c>
    </row>
    <row r="400" ht="15.75" customHeight="1">
      <c r="A400" s="35" t="s">
        <v>1399</v>
      </c>
      <c r="B400" s="35" t="s">
        <v>1400</v>
      </c>
      <c r="C400" s="35" t="s">
        <v>76</v>
      </c>
      <c r="D400" s="35" t="s">
        <v>260</v>
      </c>
      <c r="E400" s="35" t="s">
        <v>506</v>
      </c>
      <c r="F400" s="35" t="s">
        <v>674</v>
      </c>
      <c r="G400" s="35" t="s">
        <v>980</v>
      </c>
      <c r="H400" s="76">
        <v>159360.0</v>
      </c>
      <c r="I400" s="35"/>
      <c r="M400" s="20">
        <f>IF($B400="","",COUNTIFS('Blocker log'!$A:$A,$B400,'Blocker log'!$G:$G,"&lt;&gt;"))</f>
        <v>0</v>
      </c>
      <c r="N400" s="20">
        <f>IF($B400="","",COUNTIFS('Blocker log'!$A:$A,$B400,'Blocker log'!$G:$G,"Hard blocker"))</f>
        <v>0</v>
      </c>
      <c r="O400" s="20">
        <f>IF($B400="","",COUNTIFS('Blocker log'!$A:$A,$B400,'Blocker log'!$G:$G,"Hard blocker",'Blocker log'!$L:$L,9))</f>
        <v>0</v>
      </c>
      <c r="P400" s="20">
        <f>IF($B400="","",MAXIFS('Blocker log'!$L:$L,'Blocker log'!$A:$A,$B400,'Blocker log'!$G:$G,"Hard blocker"))</f>
        <v>0</v>
      </c>
      <c r="Q400" s="20" t="str">
        <f>IF($B400="","",IF($K400&lt;&gt;"Complete","Assessment pending",IF($N400=0,"Ready now",VLOOKUP($P400,Lists!$D$2:$E$5,2,FALSE))))</f>
        <v>Assessment pending</v>
      </c>
    </row>
    <row r="401" ht="15.75" customHeight="1">
      <c r="A401" s="35" t="s">
        <v>1401</v>
      </c>
      <c r="B401" s="35" t="s">
        <v>1402</v>
      </c>
      <c r="C401" s="35" t="s">
        <v>76</v>
      </c>
      <c r="D401" s="35" t="s">
        <v>171</v>
      </c>
      <c r="E401" s="35" t="s">
        <v>205</v>
      </c>
      <c r="F401" s="35" t="s">
        <v>1403</v>
      </c>
      <c r="G401" s="35" t="s">
        <v>980</v>
      </c>
      <c r="H401" s="76">
        <v>157783.0</v>
      </c>
      <c r="I401" s="35"/>
      <c r="M401" s="20">
        <f>IF($B401="","",COUNTIFS('Blocker log'!$A:$A,$B401,'Blocker log'!$G:$G,"&lt;&gt;"))</f>
        <v>0</v>
      </c>
      <c r="N401" s="20">
        <f>IF($B401="","",COUNTIFS('Blocker log'!$A:$A,$B401,'Blocker log'!$G:$G,"Hard blocker"))</f>
        <v>0</v>
      </c>
      <c r="O401" s="20">
        <f>IF($B401="","",COUNTIFS('Blocker log'!$A:$A,$B401,'Blocker log'!$G:$G,"Hard blocker",'Blocker log'!$L:$L,9))</f>
        <v>0</v>
      </c>
      <c r="P401" s="20">
        <f>IF($B401="","",MAXIFS('Blocker log'!$L:$L,'Blocker log'!$A:$A,$B401,'Blocker log'!$G:$G,"Hard blocker"))</f>
        <v>0</v>
      </c>
      <c r="Q401" s="20" t="str">
        <f>IF($B401="","",IF($K401&lt;&gt;"Complete","Assessment pending",IF($N401=0,"Ready now",VLOOKUP($P401,Lists!$D$2:$E$5,2,FALSE))))</f>
        <v>Assessment pending</v>
      </c>
    </row>
    <row r="402" ht="15.75" customHeight="1">
      <c r="A402" s="35" t="s">
        <v>1404</v>
      </c>
      <c r="B402" s="35" t="s">
        <v>1405</v>
      </c>
      <c r="C402" s="35" t="s">
        <v>76</v>
      </c>
      <c r="D402" s="35" t="s">
        <v>260</v>
      </c>
      <c r="E402" s="35" t="s">
        <v>1096</v>
      </c>
      <c r="F402" s="35" t="s">
        <v>1366</v>
      </c>
      <c r="G402" s="35" t="s">
        <v>999</v>
      </c>
      <c r="H402" s="76">
        <v>157726.0</v>
      </c>
      <c r="I402" s="35"/>
      <c r="M402" s="20">
        <f>IF($B402="","",COUNTIFS('Blocker log'!$A:$A,$B402,'Blocker log'!$G:$G,"&lt;&gt;"))</f>
        <v>0</v>
      </c>
      <c r="N402" s="20">
        <f>IF($B402="","",COUNTIFS('Blocker log'!$A:$A,$B402,'Blocker log'!$G:$G,"Hard blocker"))</f>
        <v>0</v>
      </c>
      <c r="O402" s="20">
        <f>IF($B402="","",COUNTIFS('Blocker log'!$A:$A,$B402,'Blocker log'!$G:$G,"Hard blocker",'Blocker log'!$L:$L,9))</f>
        <v>0</v>
      </c>
      <c r="P402" s="20">
        <f>IF($B402="","",MAXIFS('Blocker log'!$L:$L,'Blocker log'!$A:$A,$B402,'Blocker log'!$G:$G,"Hard blocker"))</f>
        <v>0</v>
      </c>
      <c r="Q402" s="20" t="str">
        <f>IF($B402="","",IF($K402&lt;&gt;"Complete","Assessment pending",IF($N402=0,"Ready now",VLOOKUP($P402,Lists!$D$2:$E$5,2,FALSE))))</f>
        <v>Assessment pending</v>
      </c>
    </row>
    <row r="403" ht="15.75" customHeight="1">
      <c r="A403" s="35" t="s">
        <v>1406</v>
      </c>
      <c r="B403" s="35" t="s">
        <v>1407</v>
      </c>
      <c r="C403" s="35" t="s">
        <v>76</v>
      </c>
      <c r="D403" s="35" t="s">
        <v>58</v>
      </c>
      <c r="E403" s="35" t="s">
        <v>59</v>
      </c>
      <c r="F403" s="35" t="s">
        <v>77</v>
      </c>
      <c r="G403" s="35" t="s">
        <v>1042</v>
      </c>
      <c r="H403" s="76">
        <v>157335.0</v>
      </c>
      <c r="I403" s="35"/>
      <c r="M403" s="20">
        <f>IF($B403="","",COUNTIFS('Blocker log'!$A:$A,$B403,'Blocker log'!$G:$G,"&lt;&gt;"))</f>
        <v>0</v>
      </c>
      <c r="N403" s="20">
        <f>IF($B403="","",COUNTIFS('Blocker log'!$A:$A,$B403,'Blocker log'!$G:$G,"Hard blocker"))</f>
        <v>0</v>
      </c>
      <c r="O403" s="20">
        <f>IF($B403="","",COUNTIFS('Blocker log'!$A:$A,$B403,'Blocker log'!$G:$G,"Hard blocker",'Blocker log'!$L:$L,9))</f>
        <v>0</v>
      </c>
      <c r="P403" s="20">
        <f>IF($B403="","",MAXIFS('Blocker log'!$L:$L,'Blocker log'!$A:$A,$B403,'Blocker log'!$G:$G,"Hard blocker"))</f>
        <v>0</v>
      </c>
      <c r="Q403" s="20" t="str">
        <f>IF($B403="","",IF($K403&lt;&gt;"Complete","Assessment pending",IF($N403=0,"Ready now",VLOOKUP($P403,Lists!$D$2:$E$5,2,FALSE))))</f>
        <v>Assessment pending</v>
      </c>
    </row>
    <row r="404" ht="15.75" customHeight="1">
      <c r="A404" s="35" t="s">
        <v>1408</v>
      </c>
      <c r="B404" s="35" t="s">
        <v>1409</v>
      </c>
      <c r="C404" s="35" t="s">
        <v>76</v>
      </c>
      <c r="D404" s="35" t="s">
        <v>171</v>
      </c>
      <c r="E404" s="35" t="s">
        <v>512</v>
      </c>
      <c r="F404" s="35" t="s">
        <v>1410</v>
      </c>
      <c r="G404" s="35" t="s">
        <v>980</v>
      </c>
      <c r="H404" s="76">
        <v>155120.0</v>
      </c>
      <c r="I404" s="35"/>
      <c r="M404" s="20">
        <f>IF($B404="","",COUNTIFS('Blocker log'!$A:$A,$B404,'Blocker log'!$G:$G,"&lt;&gt;"))</f>
        <v>0</v>
      </c>
      <c r="N404" s="20">
        <f>IF($B404="","",COUNTIFS('Blocker log'!$A:$A,$B404,'Blocker log'!$G:$G,"Hard blocker"))</f>
        <v>0</v>
      </c>
      <c r="O404" s="20">
        <f>IF($B404="","",COUNTIFS('Blocker log'!$A:$A,$B404,'Blocker log'!$G:$G,"Hard blocker",'Blocker log'!$L:$L,9))</f>
        <v>0</v>
      </c>
      <c r="P404" s="20">
        <f>IF($B404="","",MAXIFS('Blocker log'!$L:$L,'Blocker log'!$A:$A,$B404,'Blocker log'!$G:$G,"Hard blocker"))</f>
        <v>0</v>
      </c>
      <c r="Q404" s="20" t="str">
        <f>IF($B404="","",IF($K404&lt;&gt;"Complete","Assessment pending",IF($N404=0,"Ready now",VLOOKUP($P404,Lists!$D$2:$E$5,2,FALSE))))</f>
        <v>Assessment pending</v>
      </c>
    </row>
    <row r="405" ht="15.75" customHeight="1">
      <c r="A405" s="35" t="s">
        <v>1411</v>
      </c>
      <c r="B405" s="35" t="s">
        <v>1412</v>
      </c>
      <c r="C405" s="35" t="s">
        <v>76</v>
      </c>
      <c r="D405" s="35" t="s">
        <v>260</v>
      </c>
      <c r="E405" s="35" t="s">
        <v>1096</v>
      </c>
      <c r="F405" s="35" t="s">
        <v>1097</v>
      </c>
      <c r="G405" s="35" t="s">
        <v>980</v>
      </c>
      <c r="H405" s="76">
        <v>155056.0</v>
      </c>
      <c r="I405" s="35"/>
      <c r="M405" s="20">
        <f>IF($B405="","",COUNTIFS('Blocker log'!$A:$A,$B405,'Blocker log'!$G:$G,"&lt;&gt;"))</f>
        <v>0</v>
      </c>
      <c r="N405" s="20">
        <f>IF($B405="","",COUNTIFS('Blocker log'!$A:$A,$B405,'Blocker log'!$G:$G,"Hard blocker"))</f>
        <v>0</v>
      </c>
      <c r="O405" s="20">
        <f>IF($B405="","",COUNTIFS('Blocker log'!$A:$A,$B405,'Blocker log'!$G:$G,"Hard blocker",'Blocker log'!$L:$L,9))</f>
        <v>0</v>
      </c>
      <c r="P405" s="20">
        <f>IF($B405="","",MAXIFS('Blocker log'!$L:$L,'Blocker log'!$A:$A,$B405,'Blocker log'!$G:$G,"Hard blocker"))</f>
        <v>0</v>
      </c>
      <c r="Q405" s="20" t="str">
        <f>IF($B405="","",IF($K405&lt;&gt;"Complete","Assessment pending",IF($N405=0,"Ready now",VLOOKUP($P405,Lists!$D$2:$E$5,2,FALSE))))</f>
        <v>Assessment pending</v>
      </c>
    </row>
    <row r="406" ht="15.75" customHeight="1">
      <c r="A406" s="35" t="s">
        <v>1413</v>
      </c>
      <c r="B406" s="35" t="s">
        <v>1414</v>
      </c>
      <c r="C406" s="35" t="s">
        <v>76</v>
      </c>
      <c r="D406" s="35" t="s">
        <v>260</v>
      </c>
      <c r="E406" s="35" t="s">
        <v>1096</v>
      </c>
      <c r="F406" s="35" t="s">
        <v>1097</v>
      </c>
      <c r="G406" s="35" t="s">
        <v>980</v>
      </c>
      <c r="H406" s="76">
        <v>153199.0</v>
      </c>
      <c r="I406" s="35"/>
      <c r="M406" s="20">
        <f>IF($B406="","",COUNTIFS('Blocker log'!$A:$A,$B406,'Blocker log'!$G:$G,"&lt;&gt;"))</f>
        <v>0</v>
      </c>
      <c r="N406" s="20">
        <f>IF($B406="","",COUNTIFS('Blocker log'!$A:$A,$B406,'Blocker log'!$G:$G,"Hard blocker"))</f>
        <v>0</v>
      </c>
      <c r="O406" s="20">
        <f>IF($B406="","",COUNTIFS('Blocker log'!$A:$A,$B406,'Blocker log'!$G:$G,"Hard blocker",'Blocker log'!$L:$L,9))</f>
        <v>0</v>
      </c>
      <c r="P406" s="20">
        <f>IF($B406="","",MAXIFS('Blocker log'!$L:$L,'Blocker log'!$A:$A,$B406,'Blocker log'!$G:$G,"Hard blocker"))</f>
        <v>0</v>
      </c>
      <c r="Q406" s="20" t="str">
        <f>IF($B406="","",IF($K406&lt;&gt;"Complete","Assessment pending",IF($N406=0,"Ready now",VLOOKUP($P406,Lists!$D$2:$E$5,2,FALSE))))</f>
        <v>Assessment pending</v>
      </c>
    </row>
    <row r="407" ht="15.75" customHeight="1">
      <c r="A407" s="35" t="s">
        <v>1415</v>
      </c>
      <c r="B407" s="35" t="s">
        <v>1416</v>
      </c>
      <c r="C407" s="35" t="s">
        <v>76</v>
      </c>
      <c r="D407" s="35" t="s">
        <v>260</v>
      </c>
      <c r="E407" s="35" t="s">
        <v>576</v>
      </c>
      <c r="F407" s="35" t="s">
        <v>1228</v>
      </c>
      <c r="G407" s="35" t="s">
        <v>1006</v>
      </c>
      <c r="H407" s="76">
        <v>151585.0</v>
      </c>
      <c r="I407" s="35"/>
      <c r="M407" s="20">
        <f>IF($B407="","",COUNTIFS('Blocker log'!$A:$A,$B407,'Blocker log'!$G:$G,"&lt;&gt;"))</f>
        <v>0</v>
      </c>
      <c r="N407" s="20">
        <f>IF($B407="","",COUNTIFS('Blocker log'!$A:$A,$B407,'Blocker log'!$G:$G,"Hard blocker"))</f>
        <v>0</v>
      </c>
      <c r="O407" s="20">
        <f>IF($B407="","",COUNTIFS('Blocker log'!$A:$A,$B407,'Blocker log'!$G:$G,"Hard blocker",'Blocker log'!$L:$L,9))</f>
        <v>0</v>
      </c>
      <c r="P407" s="20">
        <f>IF($B407="","",MAXIFS('Blocker log'!$L:$L,'Blocker log'!$A:$A,$B407,'Blocker log'!$G:$G,"Hard blocker"))</f>
        <v>0</v>
      </c>
      <c r="Q407" s="20" t="str">
        <f>IF($B407="","",IF($K407&lt;&gt;"Complete","Assessment pending",IF($N407=0,"Ready now",VLOOKUP($P407,Lists!$D$2:$E$5,2,FALSE))))</f>
        <v>Assessment pending</v>
      </c>
    </row>
    <row r="408" ht="15.75" customHeight="1">
      <c r="A408" s="35" t="s">
        <v>1417</v>
      </c>
      <c r="B408" s="35" t="s">
        <v>1418</v>
      </c>
      <c r="C408" s="35" t="s">
        <v>76</v>
      </c>
      <c r="D408" s="35" t="s">
        <v>58</v>
      </c>
      <c r="E408" s="35" t="s">
        <v>132</v>
      </c>
      <c r="F408" s="35" t="s">
        <v>693</v>
      </c>
      <c r="G408" s="35" t="s">
        <v>980</v>
      </c>
      <c r="H408" s="76">
        <v>151534.0</v>
      </c>
      <c r="I408" s="35"/>
      <c r="M408" s="20">
        <f>IF($B408="","",COUNTIFS('Blocker log'!$A:$A,$B408,'Blocker log'!$G:$G,"&lt;&gt;"))</f>
        <v>0</v>
      </c>
      <c r="N408" s="20">
        <f>IF($B408="","",COUNTIFS('Blocker log'!$A:$A,$B408,'Blocker log'!$G:$G,"Hard blocker"))</f>
        <v>0</v>
      </c>
      <c r="O408" s="20">
        <f>IF($B408="","",COUNTIFS('Blocker log'!$A:$A,$B408,'Blocker log'!$G:$G,"Hard blocker",'Blocker log'!$L:$L,9))</f>
        <v>0</v>
      </c>
      <c r="P408" s="20">
        <f>IF($B408="","",MAXIFS('Blocker log'!$L:$L,'Blocker log'!$A:$A,$B408,'Blocker log'!$G:$G,"Hard blocker"))</f>
        <v>0</v>
      </c>
      <c r="Q408" s="20" t="str">
        <f>IF($B408="","",IF($K408&lt;&gt;"Complete","Assessment pending",IF($N408=0,"Ready now",VLOOKUP($P408,Lists!$D$2:$E$5,2,FALSE))))</f>
        <v>Assessment pending</v>
      </c>
    </row>
    <row r="409" ht="15.75" customHeight="1">
      <c r="A409" s="35" t="s">
        <v>1419</v>
      </c>
      <c r="B409" s="35" t="s">
        <v>1420</v>
      </c>
      <c r="C409" s="35" t="s">
        <v>76</v>
      </c>
      <c r="D409" s="35" t="s">
        <v>58</v>
      </c>
      <c r="E409" s="35" t="s">
        <v>181</v>
      </c>
      <c r="F409" s="35" t="s">
        <v>653</v>
      </c>
      <c r="G409" s="35" t="s">
        <v>1006</v>
      </c>
      <c r="H409" s="76">
        <v>151200.0</v>
      </c>
      <c r="I409" s="35"/>
      <c r="M409" s="20">
        <f>IF($B409="","",COUNTIFS('Blocker log'!$A:$A,$B409,'Blocker log'!$G:$G,"&lt;&gt;"))</f>
        <v>0</v>
      </c>
      <c r="N409" s="20">
        <f>IF($B409="","",COUNTIFS('Blocker log'!$A:$A,$B409,'Blocker log'!$G:$G,"Hard blocker"))</f>
        <v>0</v>
      </c>
      <c r="O409" s="20">
        <f>IF($B409="","",COUNTIFS('Blocker log'!$A:$A,$B409,'Blocker log'!$G:$G,"Hard blocker",'Blocker log'!$L:$L,9))</f>
        <v>0</v>
      </c>
      <c r="P409" s="20">
        <f>IF($B409="","",MAXIFS('Blocker log'!$L:$L,'Blocker log'!$A:$A,$B409,'Blocker log'!$G:$G,"Hard blocker"))</f>
        <v>0</v>
      </c>
      <c r="Q409" s="20" t="str">
        <f>IF($B409="","",IF($K409&lt;&gt;"Complete","Assessment pending",IF($N409=0,"Ready now",VLOOKUP($P409,Lists!$D$2:$E$5,2,FALSE))))</f>
        <v>Assessment pending</v>
      </c>
    </row>
    <row r="410" ht="15.75" customHeight="1">
      <c r="A410" s="35" t="s">
        <v>1421</v>
      </c>
      <c r="B410" s="35" t="s">
        <v>1422</v>
      </c>
      <c r="C410" s="35" t="s">
        <v>76</v>
      </c>
      <c r="D410" s="35" t="s">
        <v>260</v>
      </c>
      <c r="E410" s="35" t="s">
        <v>351</v>
      </c>
      <c r="F410" s="35" t="s">
        <v>352</v>
      </c>
      <c r="G410" s="35" t="s">
        <v>980</v>
      </c>
      <c r="H410" s="76">
        <v>150930.0</v>
      </c>
      <c r="I410" s="35"/>
      <c r="M410" s="20">
        <f>IF($B410="","",COUNTIFS('Blocker log'!$A:$A,$B410,'Blocker log'!$G:$G,"&lt;&gt;"))</f>
        <v>0</v>
      </c>
      <c r="N410" s="20">
        <f>IF($B410="","",COUNTIFS('Blocker log'!$A:$A,$B410,'Blocker log'!$G:$G,"Hard blocker"))</f>
        <v>0</v>
      </c>
      <c r="O410" s="20">
        <f>IF($B410="","",COUNTIFS('Blocker log'!$A:$A,$B410,'Blocker log'!$G:$G,"Hard blocker",'Blocker log'!$L:$L,9))</f>
        <v>0</v>
      </c>
      <c r="P410" s="20">
        <f>IF($B410="","",MAXIFS('Blocker log'!$L:$L,'Blocker log'!$A:$A,$B410,'Blocker log'!$G:$G,"Hard blocker"))</f>
        <v>0</v>
      </c>
      <c r="Q410" s="20" t="str">
        <f>IF($B410="","",IF($K410&lt;&gt;"Complete","Assessment pending",IF($N410=0,"Ready now",VLOOKUP($P410,Lists!$D$2:$E$5,2,FALSE))))</f>
        <v>Assessment pending</v>
      </c>
    </row>
    <row r="411" ht="15.75" customHeight="1">
      <c r="A411" s="35" t="s">
        <v>1423</v>
      </c>
      <c r="B411" s="35" t="s">
        <v>1424</v>
      </c>
      <c r="C411" s="35" t="s">
        <v>76</v>
      </c>
      <c r="D411" s="35" t="s">
        <v>260</v>
      </c>
      <c r="E411" s="35" t="s">
        <v>506</v>
      </c>
      <c r="F411" s="35" t="s">
        <v>708</v>
      </c>
      <c r="G411" s="35" t="s">
        <v>980</v>
      </c>
      <c r="H411" s="76">
        <v>150811.0</v>
      </c>
      <c r="I411" s="35"/>
      <c r="M411" s="20">
        <f>IF($B411="","",COUNTIFS('Blocker log'!$A:$A,$B411,'Blocker log'!$G:$G,"&lt;&gt;"))</f>
        <v>0</v>
      </c>
      <c r="N411" s="20">
        <f>IF($B411="","",COUNTIFS('Blocker log'!$A:$A,$B411,'Blocker log'!$G:$G,"Hard blocker"))</f>
        <v>0</v>
      </c>
      <c r="O411" s="20">
        <f>IF($B411="","",COUNTIFS('Blocker log'!$A:$A,$B411,'Blocker log'!$G:$G,"Hard blocker",'Blocker log'!$L:$L,9))</f>
        <v>0</v>
      </c>
      <c r="P411" s="20">
        <f>IF($B411="","",MAXIFS('Blocker log'!$L:$L,'Blocker log'!$A:$A,$B411,'Blocker log'!$G:$G,"Hard blocker"))</f>
        <v>0</v>
      </c>
      <c r="Q411" s="20" t="str">
        <f>IF($B411="","",IF($K411&lt;&gt;"Complete","Assessment pending",IF($N411=0,"Ready now",VLOOKUP($P411,Lists!$D$2:$E$5,2,FALSE))))</f>
        <v>Assessment pending</v>
      </c>
    </row>
    <row r="412" ht="15.75" customHeight="1">
      <c r="A412" s="35" t="s">
        <v>1425</v>
      </c>
      <c r="B412" s="35" t="s">
        <v>1426</v>
      </c>
      <c r="C412" s="35" t="s">
        <v>76</v>
      </c>
      <c r="D412" s="35" t="s">
        <v>58</v>
      </c>
      <c r="E412" s="35" t="s">
        <v>101</v>
      </c>
      <c r="F412" s="35" t="s">
        <v>102</v>
      </c>
      <c r="G412" s="35" t="s">
        <v>980</v>
      </c>
      <c r="H412" s="76">
        <v>147406.0</v>
      </c>
      <c r="I412" s="35"/>
      <c r="M412" s="20">
        <f>IF($B412="","",COUNTIFS('Blocker log'!$A:$A,$B412,'Blocker log'!$G:$G,"&lt;&gt;"))</f>
        <v>0</v>
      </c>
      <c r="N412" s="20">
        <f>IF($B412="","",COUNTIFS('Blocker log'!$A:$A,$B412,'Blocker log'!$G:$G,"Hard blocker"))</f>
        <v>0</v>
      </c>
      <c r="O412" s="20">
        <f>IF($B412="","",COUNTIFS('Blocker log'!$A:$A,$B412,'Blocker log'!$G:$G,"Hard blocker",'Blocker log'!$L:$L,9))</f>
        <v>0</v>
      </c>
      <c r="P412" s="20">
        <f>IF($B412="","",MAXIFS('Blocker log'!$L:$L,'Blocker log'!$A:$A,$B412,'Blocker log'!$G:$G,"Hard blocker"))</f>
        <v>0</v>
      </c>
      <c r="Q412" s="20" t="str">
        <f>IF($B412="","",IF($K412&lt;&gt;"Complete","Assessment pending",IF($N412=0,"Ready now",VLOOKUP($P412,Lists!$D$2:$E$5,2,FALSE))))</f>
        <v>Assessment pending</v>
      </c>
    </row>
    <row r="413" ht="15.75" customHeight="1">
      <c r="A413" s="35" t="s">
        <v>1427</v>
      </c>
      <c r="B413" s="35" t="s">
        <v>1428</v>
      </c>
      <c r="C413" s="35" t="s">
        <v>76</v>
      </c>
      <c r="D413" s="35" t="s">
        <v>58</v>
      </c>
      <c r="E413" s="35" t="s">
        <v>181</v>
      </c>
      <c r="F413" s="35" t="s">
        <v>217</v>
      </c>
      <c r="G413" s="35" t="s">
        <v>1006</v>
      </c>
      <c r="H413" s="76">
        <v>146640.0</v>
      </c>
      <c r="I413" s="35"/>
      <c r="M413" s="20">
        <f>IF($B413="","",COUNTIFS('Blocker log'!$A:$A,$B413,'Blocker log'!$G:$G,"&lt;&gt;"))</f>
        <v>0</v>
      </c>
      <c r="N413" s="20">
        <f>IF($B413="","",COUNTIFS('Blocker log'!$A:$A,$B413,'Blocker log'!$G:$G,"Hard blocker"))</f>
        <v>0</v>
      </c>
      <c r="O413" s="20">
        <f>IF($B413="","",COUNTIFS('Blocker log'!$A:$A,$B413,'Blocker log'!$G:$G,"Hard blocker",'Blocker log'!$L:$L,9))</f>
        <v>0</v>
      </c>
      <c r="P413" s="20">
        <f>IF($B413="","",MAXIFS('Blocker log'!$L:$L,'Blocker log'!$A:$A,$B413,'Blocker log'!$G:$G,"Hard blocker"))</f>
        <v>0</v>
      </c>
      <c r="Q413" s="20" t="str">
        <f>IF($B413="","",IF($K413&lt;&gt;"Complete","Assessment pending",IF($N413=0,"Ready now",VLOOKUP($P413,Lists!$D$2:$E$5,2,FALSE))))</f>
        <v>Assessment pending</v>
      </c>
    </row>
    <row r="414" ht="15.75" customHeight="1">
      <c r="A414" s="35" t="s">
        <v>1429</v>
      </c>
      <c r="B414" s="35" t="s">
        <v>1430</v>
      </c>
      <c r="C414" s="35" t="s">
        <v>76</v>
      </c>
      <c r="D414" s="35" t="s">
        <v>301</v>
      </c>
      <c r="E414" s="35" t="s">
        <v>1281</v>
      </c>
      <c r="F414" s="35" t="s">
        <v>1281</v>
      </c>
      <c r="G414" s="35" t="s">
        <v>980</v>
      </c>
      <c r="H414" s="76">
        <v>145800.0</v>
      </c>
      <c r="I414" s="35"/>
      <c r="M414" s="20">
        <f>IF($B414="","",COUNTIFS('Blocker log'!$A:$A,$B414,'Blocker log'!$G:$G,"&lt;&gt;"))</f>
        <v>0</v>
      </c>
      <c r="N414" s="20">
        <f>IF($B414="","",COUNTIFS('Blocker log'!$A:$A,$B414,'Blocker log'!$G:$G,"Hard blocker"))</f>
        <v>0</v>
      </c>
      <c r="O414" s="20">
        <f>IF($B414="","",COUNTIFS('Blocker log'!$A:$A,$B414,'Blocker log'!$G:$G,"Hard blocker",'Blocker log'!$L:$L,9))</f>
        <v>0</v>
      </c>
      <c r="P414" s="20">
        <f>IF($B414="","",MAXIFS('Blocker log'!$L:$L,'Blocker log'!$A:$A,$B414,'Blocker log'!$G:$G,"Hard blocker"))</f>
        <v>0</v>
      </c>
      <c r="Q414" s="20" t="str">
        <f>IF($B414="","",IF($K414&lt;&gt;"Complete","Assessment pending",IF($N414=0,"Ready now",VLOOKUP($P414,Lists!$D$2:$E$5,2,FALSE))))</f>
        <v>Assessment pending</v>
      </c>
    </row>
    <row r="415" ht="15.75" customHeight="1">
      <c r="A415" s="35" t="s">
        <v>1431</v>
      </c>
      <c r="B415" s="35" t="s">
        <v>1432</v>
      </c>
      <c r="C415" s="35" t="s">
        <v>76</v>
      </c>
      <c r="D415" s="35" t="s">
        <v>58</v>
      </c>
      <c r="E415" s="35" t="s">
        <v>494</v>
      </c>
      <c r="F415" s="35" t="s">
        <v>690</v>
      </c>
      <c r="G415" s="35" t="s">
        <v>999</v>
      </c>
      <c r="H415" s="76">
        <v>145049.0</v>
      </c>
      <c r="I415" s="35"/>
      <c r="M415" s="20">
        <f>IF($B415="","",COUNTIFS('Blocker log'!$A:$A,$B415,'Blocker log'!$G:$G,"&lt;&gt;"))</f>
        <v>0</v>
      </c>
      <c r="N415" s="20">
        <f>IF($B415="","",COUNTIFS('Blocker log'!$A:$A,$B415,'Blocker log'!$G:$G,"Hard blocker"))</f>
        <v>0</v>
      </c>
      <c r="O415" s="20">
        <f>IF($B415="","",COUNTIFS('Blocker log'!$A:$A,$B415,'Blocker log'!$G:$G,"Hard blocker",'Blocker log'!$L:$L,9))</f>
        <v>0</v>
      </c>
      <c r="P415" s="20">
        <f>IF($B415="","",MAXIFS('Blocker log'!$L:$L,'Blocker log'!$A:$A,$B415,'Blocker log'!$G:$G,"Hard blocker"))</f>
        <v>0</v>
      </c>
      <c r="Q415" s="20" t="str">
        <f>IF($B415="","",IF($K415&lt;&gt;"Complete","Assessment pending",IF($N415=0,"Ready now",VLOOKUP($P415,Lists!$D$2:$E$5,2,FALSE))))</f>
        <v>Assessment pending</v>
      </c>
    </row>
    <row r="416" ht="15.75" customHeight="1">
      <c r="A416" s="35" t="s">
        <v>1433</v>
      </c>
      <c r="B416" s="35" t="s">
        <v>1434</v>
      </c>
      <c r="C416" s="35" t="s">
        <v>76</v>
      </c>
      <c r="D416" s="35" t="s">
        <v>58</v>
      </c>
      <c r="E416" s="35" t="s">
        <v>140</v>
      </c>
      <c r="F416" s="35" t="s">
        <v>156</v>
      </c>
      <c r="G416" s="35" t="s">
        <v>977</v>
      </c>
      <c r="H416" s="76">
        <v>144840.0</v>
      </c>
      <c r="I416" s="35"/>
      <c r="M416" s="20">
        <f>IF($B416="","",COUNTIFS('Blocker log'!$A:$A,$B416,'Blocker log'!$G:$G,"&lt;&gt;"))</f>
        <v>0</v>
      </c>
      <c r="N416" s="20">
        <f>IF($B416="","",COUNTIFS('Blocker log'!$A:$A,$B416,'Blocker log'!$G:$G,"Hard blocker"))</f>
        <v>0</v>
      </c>
      <c r="O416" s="20">
        <f>IF($B416="","",COUNTIFS('Blocker log'!$A:$A,$B416,'Blocker log'!$G:$G,"Hard blocker",'Blocker log'!$L:$L,9))</f>
        <v>0</v>
      </c>
      <c r="P416" s="20">
        <f>IF($B416="","",MAXIFS('Blocker log'!$L:$L,'Blocker log'!$A:$A,$B416,'Blocker log'!$G:$G,"Hard blocker"))</f>
        <v>0</v>
      </c>
      <c r="Q416" s="20" t="str">
        <f>IF($B416="","",IF($K416&lt;&gt;"Complete","Assessment pending",IF($N416=0,"Ready now",VLOOKUP($P416,Lists!$D$2:$E$5,2,FALSE))))</f>
        <v>Assessment pending</v>
      </c>
    </row>
    <row r="417" ht="15.75" customHeight="1">
      <c r="A417" s="35" t="s">
        <v>1435</v>
      </c>
      <c r="B417" s="35" t="s">
        <v>1436</v>
      </c>
      <c r="C417" s="35" t="s">
        <v>76</v>
      </c>
      <c r="D417" s="35" t="s">
        <v>171</v>
      </c>
      <c r="E417" s="35" t="s">
        <v>172</v>
      </c>
      <c r="F417" s="35" t="s">
        <v>1437</v>
      </c>
      <c r="G417" s="35" t="s">
        <v>980</v>
      </c>
      <c r="H417" s="76">
        <v>144300.0</v>
      </c>
      <c r="I417" s="35"/>
      <c r="M417" s="20">
        <f>IF($B417="","",COUNTIFS('Blocker log'!$A:$A,$B417,'Blocker log'!$G:$G,"&lt;&gt;"))</f>
        <v>0</v>
      </c>
      <c r="N417" s="20">
        <f>IF($B417="","",COUNTIFS('Blocker log'!$A:$A,$B417,'Blocker log'!$G:$G,"Hard blocker"))</f>
        <v>0</v>
      </c>
      <c r="O417" s="20">
        <f>IF($B417="","",COUNTIFS('Blocker log'!$A:$A,$B417,'Blocker log'!$G:$G,"Hard blocker",'Blocker log'!$L:$L,9))</f>
        <v>0</v>
      </c>
      <c r="P417" s="20">
        <f>IF($B417="","",MAXIFS('Blocker log'!$L:$L,'Blocker log'!$A:$A,$B417,'Blocker log'!$G:$G,"Hard blocker"))</f>
        <v>0</v>
      </c>
      <c r="Q417" s="20" t="str">
        <f>IF($B417="","",IF($K417&lt;&gt;"Complete","Assessment pending",IF($N417=0,"Ready now",VLOOKUP($P417,Lists!$D$2:$E$5,2,FALSE))))</f>
        <v>Assessment pending</v>
      </c>
    </row>
    <row r="418" ht="15.75" customHeight="1">
      <c r="A418" s="35" t="s">
        <v>1438</v>
      </c>
      <c r="B418" s="35" t="s">
        <v>1439</v>
      </c>
      <c r="C418" s="35" t="s">
        <v>76</v>
      </c>
      <c r="D418" s="35" t="s">
        <v>301</v>
      </c>
      <c r="E418" s="35" t="s">
        <v>490</v>
      </c>
      <c r="F418" s="35" t="s">
        <v>490</v>
      </c>
      <c r="G418" s="35" t="s">
        <v>1042</v>
      </c>
      <c r="H418" s="76">
        <v>144002.0</v>
      </c>
      <c r="I418" s="35"/>
      <c r="M418" s="20">
        <f>IF($B418="","",COUNTIFS('Blocker log'!$A:$A,$B418,'Blocker log'!$G:$G,"&lt;&gt;"))</f>
        <v>0</v>
      </c>
      <c r="N418" s="20">
        <f>IF($B418="","",COUNTIFS('Blocker log'!$A:$A,$B418,'Blocker log'!$G:$G,"Hard blocker"))</f>
        <v>0</v>
      </c>
      <c r="O418" s="20">
        <f>IF($B418="","",COUNTIFS('Blocker log'!$A:$A,$B418,'Blocker log'!$G:$G,"Hard blocker",'Blocker log'!$L:$L,9))</f>
        <v>0</v>
      </c>
      <c r="P418" s="20">
        <f>IF($B418="","",MAXIFS('Blocker log'!$L:$L,'Blocker log'!$A:$A,$B418,'Blocker log'!$G:$G,"Hard blocker"))</f>
        <v>0</v>
      </c>
      <c r="Q418" s="20" t="str">
        <f>IF($B418="","",IF($K418&lt;&gt;"Complete","Assessment pending",IF($N418=0,"Ready now",VLOOKUP($P418,Lists!$D$2:$E$5,2,FALSE))))</f>
        <v>Assessment pending</v>
      </c>
    </row>
    <row r="419" ht="15.75" customHeight="1">
      <c r="A419" s="35" t="s">
        <v>1440</v>
      </c>
      <c r="B419" s="35" t="s">
        <v>1441</v>
      </c>
      <c r="C419" s="35" t="s">
        <v>76</v>
      </c>
      <c r="D419" s="35" t="s">
        <v>58</v>
      </c>
      <c r="E419" s="35" t="s">
        <v>101</v>
      </c>
      <c r="F419" s="35" t="s">
        <v>116</v>
      </c>
      <c r="G419" s="35" t="s">
        <v>999</v>
      </c>
      <c r="H419" s="76">
        <v>143273.0</v>
      </c>
      <c r="I419" s="35"/>
      <c r="M419" s="20">
        <f>IF($B419="","",COUNTIFS('Blocker log'!$A:$A,$B419,'Blocker log'!$G:$G,"&lt;&gt;"))</f>
        <v>0</v>
      </c>
      <c r="N419" s="20">
        <f>IF($B419="","",COUNTIFS('Blocker log'!$A:$A,$B419,'Blocker log'!$G:$G,"Hard blocker"))</f>
        <v>0</v>
      </c>
      <c r="O419" s="20">
        <f>IF($B419="","",COUNTIFS('Blocker log'!$A:$A,$B419,'Blocker log'!$G:$G,"Hard blocker",'Blocker log'!$L:$L,9))</f>
        <v>0</v>
      </c>
      <c r="P419" s="20">
        <f>IF($B419="","",MAXIFS('Blocker log'!$L:$L,'Blocker log'!$A:$A,$B419,'Blocker log'!$G:$G,"Hard blocker"))</f>
        <v>0</v>
      </c>
      <c r="Q419" s="20" t="str">
        <f>IF($B419="","",IF($K419&lt;&gt;"Complete","Assessment pending",IF($N419=0,"Ready now",VLOOKUP($P419,Lists!$D$2:$E$5,2,FALSE))))</f>
        <v>Assessment pending</v>
      </c>
    </row>
    <row r="420" ht="15.75" customHeight="1">
      <c r="A420" s="35" t="s">
        <v>1442</v>
      </c>
      <c r="B420" s="35" t="s">
        <v>1443</v>
      </c>
      <c r="C420" s="35" t="s">
        <v>57</v>
      </c>
      <c r="D420" s="35" t="s">
        <v>171</v>
      </c>
      <c r="E420" s="35" t="s">
        <v>587</v>
      </c>
      <c r="F420" s="35" t="s">
        <v>588</v>
      </c>
      <c r="G420" s="35" t="s">
        <v>980</v>
      </c>
      <c r="H420" s="76">
        <v>141999.0</v>
      </c>
      <c r="I420" s="35" t="s">
        <v>402</v>
      </c>
      <c r="M420" s="20">
        <f>IF($B420="","",COUNTIFS('Blocker log'!$A:$A,$B420,'Blocker log'!$G:$G,"&lt;&gt;"))</f>
        <v>0</v>
      </c>
      <c r="N420" s="20">
        <f>IF($B420="","",COUNTIFS('Blocker log'!$A:$A,$B420,'Blocker log'!$G:$G,"Hard blocker"))</f>
        <v>0</v>
      </c>
      <c r="O420" s="20">
        <f>IF($B420="","",COUNTIFS('Blocker log'!$A:$A,$B420,'Blocker log'!$G:$G,"Hard blocker",'Blocker log'!$L:$L,9))</f>
        <v>0</v>
      </c>
      <c r="P420" s="20">
        <f>IF($B420="","",MAXIFS('Blocker log'!$L:$L,'Blocker log'!$A:$A,$B420,'Blocker log'!$G:$G,"Hard blocker"))</f>
        <v>0</v>
      </c>
      <c r="Q420" s="20" t="str">
        <f>IF($B420="","",IF($K420&lt;&gt;"Complete","Assessment pending",IF($N420=0,"Ready now",VLOOKUP($P420,Lists!$D$2:$E$5,2,FALSE))))</f>
        <v>Assessment pending</v>
      </c>
    </row>
    <row r="421" ht="15.75" customHeight="1">
      <c r="A421" s="35" t="s">
        <v>1444</v>
      </c>
      <c r="B421" s="35" t="s">
        <v>1445</v>
      </c>
      <c r="C421" s="35" t="s">
        <v>57</v>
      </c>
      <c r="D421" s="35" t="s">
        <v>58</v>
      </c>
      <c r="E421" s="35" t="s">
        <v>59</v>
      </c>
      <c r="F421" s="35" t="s">
        <v>60</v>
      </c>
      <c r="G421" s="35" t="s">
        <v>980</v>
      </c>
      <c r="H421" s="76">
        <v>139707.0</v>
      </c>
      <c r="I421" s="35" t="s">
        <v>318</v>
      </c>
      <c r="M421" s="20">
        <f>IF($B421="","",COUNTIFS('Blocker log'!$A:$A,$B421,'Blocker log'!$G:$G,"&lt;&gt;"))</f>
        <v>0</v>
      </c>
      <c r="N421" s="20">
        <f>IF($B421="","",COUNTIFS('Blocker log'!$A:$A,$B421,'Blocker log'!$G:$G,"Hard blocker"))</f>
        <v>0</v>
      </c>
      <c r="O421" s="20">
        <f>IF($B421="","",COUNTIFS('Blocker log'!$A:$A,$B421,'Blocker log'!$G:$G,"Hard blocker",'Blocker log'!$L:$L,9))</f>
        <v>0</v>
      </c>
      <c r="P421" s="20">
        <f>IF($B421="","",MAXIFS('Blocker log'!$L:$L,'Blocker log'!$A:$A,$B421,'Blocker log'!$G:$G,"Hard blocker"))</f>
        <v>0</v>
      </c>
      <c r="Q421" s="20" t="str">
        <f>IF($B421="","",IF($K421&lt;&gt;"Complete","Assessment pending",IF($N421=0,"Ready now",VLOOKUP($P421,Lists!$D$2:$E$5,2,FALSE))))</f>
        <v>Assessment pending</v>
      </c>
    </row>
    <row r="422" ht="15.75" customHeight="1">
      <c r="A422" s="35" t="s">
        <v>1446</v>
      </c>
      <c r="B422" s="35" t="s">
        <v>1447</v>
      </c>
      <c r="C422" s="35" t="s">
        <v>76</v>
      </c>
      <c r="D422" s="35" t="s">
        <v>58</v>
      </c>
      <c r="E422" s="35" t="s">
        <v>140</v>
      </c>
      <c r="F422" s="35" t="s">
        <v>370</v>
      </c>
      <c r="G422" s="35" t="s">
        <v>980</v>
      </c>
      <c r="H422" s="76">
        <v>139392.0</v>
      </c>
      <c r="I422" s="35"/>
      <c r="M422" s="20">
        <f>IF($B422="","",COUNTIFS('Blocker log'!$A:$A,$B422,'Blocker log'!$G:$G,"&lt;&gt;"))</f>
        <v>0</v>
      </c>
      <c r="N422" s="20">
        <f>IF($B422="","",COUNTIFS('Blocker log'!$A:$A,$B422,'Blocker log'!$G:$G,"Hard blocker"))</f>
        <v>0</v>
      </c>
      <c r="O422" s="20">
        <f>IF($B422="","",COUNTIFS('Blocker log'!$A:$A,$B422,'Blocker log'!$G:$G,"Hard blocker",'Blocker log'!$L:$L,9))</f>
        <v>0</v>
      </c>
      <c r="P422" s="20">
        <f>IF($B422="","",MAXIFS('Blocker log'!$L:$L,'Blocker log'!$A:$A,$B422,'Blocker log'!$G:$G,"Hard blocker"))</f>
        <v>0</v>
      </c>
      <c r="Q422" s="20" t="str">
        <f>IF($B422="","",IF($K422&lt;&gt;"Complete","Assessment pending",IF($N422=0,"Ready now",VLOOKUP($P422,Lists!$D$2:$E$5,2,FALSE))))</f>
        <v>Assessment pending</v>
      </c>
    </row>
    <row r="423" ht="15.75" customHeight="1">
      <c r="A423" s="35" t="s">
        <v>1448</v>
      </c>
      <c r="B423" s="35" t="s">
        <v>1449</v>
      </c>
      <c r="C423" s="35" t="s">
        <v>1286</v>
      </c>
      <c r="D423" s="35" t="s">
        <v>58</v>
      </c>
      <c r="E423" s="35" t="s">
        <v>132</v>
      </c>
      <c r="F423" s="35" t="s">
        <v>1450</v>
      </c>
      <c r="G423" s="35" t="s">
        <v>1161</v>
      </c>
      <c r="H423" s="76">
        <v>139287.0</v>
      </c>
      <c r="I423" s="35"/>
      <c r="M423" s="20">
        <f>IF($B423="","",COUNTIFS('Blocker log'!$A:$A,$B423,'Blocker log'!$G:$G,"&lt;&gt;"))</f>
        <v>0</v>
      </c>
      <c r="N423" s="20">
        <f>IF($B423="","",COUNTIFS('Blocker log'!$A:$A,$B423,'Blocker log'!$G:$G,"Hard blocker"))</f>
        <v>0</v>
      </c>
      <c r="O423" s="20">
        <f>IF($B423="","",COUNTIFS('Blocker log'!$A:$A,$B423,'Blocker log'!$G:$G,"Hard blocker",'Blocker log'!$L:$L,9))</f>
        <v>0</v>
      </c>
      <c r="P423" s="20">
        <f>IF($B423="","",MAXIFS('Blocker log'!$L:$L,'Blocker log'!$A:$A,$B423,'Blocker log'!$G:$G,"Hard blocker"))</f>
        <v>0</v>
      </c>
      <c r="Q423" s="20" t="str">
        <f>IF($B423="","",IF($K423&lt;&gt;"Complete","Assessment pending",IF($N423=0,"Ready now",VLOOKUP($P423,Lists!$D$2:$E$5,2,FALSE))))</f>
        <v>Assessment pending</v>
      </c>
    </row>
    <row r="424" ht="15.75" customHeight="1">
      <c r="A424" s="35" t="s">
        <v>1451</v>
      </c>
      <c r="B424" s="35" t="s">
        <v>1452</v>
      </c>
      <c r="C424" s="35" t="s">
        <v>76</v>
      </c>
      <c r="D424" s="35" t="s">
        <v>58</v>
      </c>
      <c r="E424" s="35" t="s">
        <v>59</v>
      </c>
      <c r="F424" s="35" t="s">
        <v>225</v>
      </c>
      <c r="G424" s="35" t="s">
        <v>980</v>
      </c>
      <c r="H424" s="76">
        <v>138758.0</v>
      </c>
      <c r="I424" s="35"/>
      <c r="M424" s="20">
        <f>IF($B424="","",COUNTIFS('Blocker log'!$A:$A,$B424,'Blocker log'!$G:$G,"&lt;&gt;"))</f>
        <v>0</v>
      </c>
      <c r="N424" s="20">
        <f>IF($B424="","",COUNTIFS('Blocker log'!$A:$A,$B424,'Blocker log'!$G:$G,"Hard blocker"))</f>
        <v>0</v>
      </c>
      <c r="O424" s="20">
        <f>IF($B424="","",COUNTIFS('Blocker log'!$A:$A,$B424,'Blocker log'!$G:$G,"Hard blocker",'Blocker log'!$L:$L,9))</f>
        <v>0</v>
      </c>
      <c r="P424" s="20">
        <f>IF($B424="","",MAXIFS('Blocker log'!$L:$L,'Blocker log'!$A:$A,$B424,'Blocker log'!$G:$G,"Hard blocker"))</f>
        <v>0</v>
      </c>
      <c r="Q424" s="20" t="str">
        <f>IF($B424="","",IF($K424&lt;&gt;"Complete","Assessment pending",IF($N424=0,"Ready now",VLOOKUP($P424,Lists!$D$2:$E$5,2,FALSE))))</f>
        <v>Assessment pending</v>
      </c>
    </row>
    <row r="425" ht="15.75" customHeight="1">
      <c r="A425" s="35" t="s">
        <v>1453</v>
      </c>
      <c r="B425" s="35" t="s">
        <v>1454</v>
      </c>
      <c r="C425" s="35" t="s">
        <v>76</v>
      </c>
      <c r="D425" s="35" t="s">
        <v>171</v>
      </c>
      <c r="E425" s="35" t="s">
        <v>760</v>
      </c>
      <c r="F425" s="35" t="s">
        <v>1178</v>
      </c>
      <c r="G425" s="35" t="s">
        <v>980</v>
      </c>
      <c r="H425" s="76">
        <v>138006.0</v>
      </c>
      <c r="I425" s="35"/>
      <c r="M425" s="20">
        <f>IF($B425="","",COUNTIFS('Blocker log'!$A:$A,$B425,'Blocker log'!$G:$G,"&lt;&gt;"))</f>
        <v>0</v>
      </c>
      <c r="N425" s="20">
        <f>IF($B425="","",COUNTIFS('Blocker log'!$A:$A,$B425,'Blocker log'!$G:$G,"Hard blocker"))</f>
        <v>0</v>
      </c>
      <c r="O425" s="20">
        <f>IF($B425="","",COUNTIFS('Blocker log'!$A:$A,$B425,'Blocker log'!$G:$G,"Hard blocker",'Blocker log'!$L:$L,9))</f>
        <v>0</v>
      </c>
      <c r="P425" s="20">
        <f>IF($B425="","",MAXIFS('Blocker log'!$L:$L,'Blocker log'!$A:$A,$B425,'Blocker log'!$G:$G,"Hard blocker"))</f>
        <v>0</v>
      </c>
      <c r="Q425" s="20" t="str">
        <f>IF($B425="","",IF($K425&lt;&gt;"Complete","Assessment pending",IF($N425=0,"Ready now",VLOOKUP($P425,Lists!$D$2:$E$5,2,FALSE))))</f>
        <v>Assessment pending</v>
      </c>
    </row>
    <row r="426" ht="15.75" customHeight="1">
      <c r="A426" s="35" t="s">
        <v>1455</v>
      </c>
      <c r="B426" s="35" t="s">
        <v>1456</v>
      </c>
      <c r="C426" s="35" t="s">
        <v>76</v>
      </c>
      <c r="D426" s="35" t="s">
        <v>58</v>
      </c>
      <c r="E426" s="35" t="s">
        <v>101</v>
      </c>
      <c r="F426" s="35" t="s">
        <v>102</v>
      </c>
      <c r="G426" s="35" t="s">
        <v>1006</v>
      </c>
      <c r="H426" s="76">
        <v>137894.0</v>
      </c>
      <c r="I426" s="35"/>
      <c r="M426" s="20">
        <f>IF($B426="","",COUNTIFS('Blocker log'!$A:$A,$B426,'Blocker log'!$G:$G,"&lt;&gt;"))</f>
        <v>0</v>
      </c>
      <c r="N426" s="20">
        <f>IF($B426="","",COUNTIFS('Blocker log'!$A:$A,$B426,'Blocker log'!$G:$G,"Hard blocker"))</f>
        <v>0</v>
      </c>
      <c r="O426" s="20">
        <f>IF($B426="","",COUNTIFS('Blocker log'!$A:$A,$B426,'Blocker log'!$G:$G,"Hard blocker",'Blocker log'!$L:$L,9))</f>
        <v>0</v>
      </c>
      <c r="P426" s="20">
        <f>IF($B426="","",MAXIFS('Blocker log'!$L:$L,'Blocker log'!$A:$A,$B426,'Blocker log'!$G:$G,"Hard blocker"))</f>
        <v>0</v>
      </c>
      <c r="Q426" s="20" t="str">
        <f>IF($B426="","",IF($K426&lt;&gt;"Complete","Assessment pending",IF($N426=0,"Ready now",VLOOKUP($P426,Lists!$D$2:$E$5,2,FALSE))))</f>
        <v>Assessment pending</v>
      </c>
    </row>
    <row r="427" ht="15.75" customHeight="1">
      <c r="A427" s="35" t="s">
        <v>1457</v>
      </c>
      <c r="B427" s="35" t="s">
        <v>1458</v>
      </c>
      <c r="C427" s="35" t="s">
        <v>76</v>
      </c>
      <c r="D427" s="35" t="s">
        <v>58</v>
      </c>
      <c r="E427" s="35" t="s">
        <v>494</v>
      </c>
      <c r="F427" s="35" t="s">
        <v>495</v>
      </c>
      <c r="G427" s="35" t="s">
        <v>980</v>
      </c>
      <c r="H427" s="76">
        <v>136752.0</v>
      </c>
      <c r="I427" s="35"/>
      <c r="M427" s="20">
        <f>IF($B427="","",COUNTIFS('Blocker log'!$A:$A,$B427,'Blocker log'!$G:$G,"&lt;&gt;"))</f>
        <v>0</v>
      </c>
      <c r="N427" s="20">
        <f>IF($B427="","",COUNTIFS('Blocker log'!$A:$A,$B427,'Blocker log'!$G:$G,"Hard blocker"))</f>
        <v>0</v>
      </c>
      <c r="O427" s="20">
        <f>IF($B427="","",COUNTIFS('Blocker log'!$A:$A,$B427,'Blocker log'!$G:$G,"Hard blocker",'Blocker log'!$L:$L,9))</f>
        <v>0</v>
      </c>
      <c r="P427" s="20">
        <f>IF($B427="","",MAXIFS('Blocker log'!$L:$L,'Blocker log'!$A:$A,$B427,'Blocker log'!$G:$G,"Hard blocker"))</f>
        <v>0</v>
      </c>
      <c r="Q427" s="20" t="str">
        <f>IF($B427="","",IF($K427&lt;&gt;"Complete","Assessment pending",IF($N427=0,"Ready now",VLOOKUP($P427,Lists!$D$2:$E$5,2,FALSE))))</f>
        <v>Assessment pending</v>
      </c>
    </row>
    <row r="428" ht="15.75" customHeight="1">
      <c r="A428" s="35" t="s">
        <v>1459</v>
      </c>
      <c r="B428" s="35" t="s">
        <v>1460</v>
      </c>
      <c r="C428" s="35" t="s">
        <v>76</v>
      </c>
      <c r="D428" s="35" t="s">
        <v>171</v>
      </c>
      <c r="E428" s="35" t="s">
        <v>512</v>
      </c>
      <c r="F428" s="35" t="s">
        <v>821</v>
      </c>
      <c r="G428" s="35" t="s">
        <v>980</v>
      </c>
      <c r="H428" s="76">
        <v>135613.0</v>
      </c>
      <c r="I428" s="35"/>
      <c r="M428" s="20">
        <f>IF($B428="","",COUNTIFS('Blocker log'!$A:$A,$B428,'Blocker log'!$G:$G,"&lt;&gt;"))</f>
        <v>0</v>
      </c>
      <c r="N428" s="20">
        <f>IF($B428="","",COUNTIFS('Blocker log'!$A:$A,$B428,'Blocker log'!$G:$G,"Hard blocker"))</f>
        <v>0</v>
      </c>
      <c r="O428" s="20">
        <f>IF($B428="","",COUNTIFS('Blocker log'!$A:$A,$B428,'Blocker log'!$G:$G,"Hard blocker",'Blocker log'!$L:$L,9))</f>
        <v>0</v>
      </c>
      <c r="P428" s="20">
        <f>IF($B428="","",MAXIFS('Blocker log'!$L:$L,'Blocker log'!$A:$A,$B428,'Blocker log'!$G:$G,"Hard blocker"))</f>
        <v>0</v>
      </c>
      <c r="Q428" s="20" t="str">
        <f>IF($B428="","",IF($K428&lt;&gt;"Complete","Assessment pending",IF($N428=0,"Ready now",VLOOKUP($P428,Lists!$D$2:$E$5,2,FALSE))))</f>
        <v>Assessment pending</v>
      </c>
    </row>
    <row r="429" ht="15.75" customHeight="1">
      <c r="A429" s="35" t="s">
        <v>1461</v>
      </c>
      <c r="B429" s="35" t="s">
        <v>1462</v>
      </c>
      <c r="C429" s="35" t="s">
        <v>76</v>
      </c>
      <c r="D429" s="35" t="s">
        <v>58</v>
      </c>
      <c r="E429" s="35" t="s">
        <v>59</v>
      </c>
      <c r="F429" s="35" t="s">
        <v>225</v>
      </c>
      <c r="G429" s="35" t="s">
        <v>999</v>
      </c>
      <c r="H429" s="76">
        <v>135277.0</v>
      </c>
      <c r="I429" s="35"/>
      <c r="M429" s="20">
        <f>IF($B429="","",COUNTIFS('Blocker log'!$A:$A,$B429,'Blocker log'!$G:$G,"&lt;&gt;"))</f>
        <v>0</v>
      </c>
      <c r="N429" s="20">
        <f>IF($B429="","",COUNTIFS('Blocker log'!$A:$A,$B429,'Blocker log'!$G:$G,"Hard blocker"))</f>
        <v>0</v>
      </c>
      <c r="O429" s="20">
        <f>IF($B429="","",COUNTIFS('Blocker log'!$A:$A,$B429,'Blocker log'!$G:$G,"Hard blocker",'Blocker log'!$L:$L,9))</f>
        <v>0</v>
      </c>
      <c r="P429" s="20">
        <f>IF($B429="","",MAXIFS('Blocker log'!$L:$L,'Blocker log'!$A:$A,$B429,'Blocker log'!$G:$G,"Hard blocker"))</f>
        <v>0</v>
      </c>
      <c r="Q429" s="20" t="str">
        <f>IF($B429="","",IF($K429&lt;&gt;"Complete","Assessment pending",IF($N429=0,"Ready now",VLOOKUP($P429,Lists!$D$2:$E$5,2,FALSE))))</f>
        <v>Assessment pending</v>
      </c>
    </row>
    <row r="430" ht="15.75" customHeight="1">
      <c r="A430" s="35" t="s">
        <v>1463</v>
      </c>
      <c r="B430" s="35" t="s">
        <v>1464</v>
      </c>
      <c r="C430" s="35" t="s">
        <v>76</v>
      </c>
      <c r="D430" s="35" t="s">
        <v>171</v>
      </c>
      <c r="E430" s="35" t="s">
        <v>1465</v>
      </c>
      <c r="F430" s="35" t="s">
        <v>1466</v>
      </c>
      <c r="G430" s="35" t="s">
        <v>999</v>
      </c>
      <c r="H430" s="76">
        <v>135162.0</v>
      </c>
      <c r="I430" s="35"/>
      <c r="M430" s="20">
        <f>IF($B430="","",COUNTIFS('Blocker log'!$A:$A,$B430,'Blocker log'!$G:$G,"&lt;&gt;"))</f>
        <v>0</v>
      </c>
      <c r="N430" s="20">
        <f>IF($B430="","",COUNTIFS('Blocker log'!$A:$A,$B430,'Blocker log'!$G:$G,"Hard blocker"))</f>
        <v>0</v>
      </c>
      <c r="O430" s="20">
        <f>IF($B430="","",COUNTIFS('Blocker log'!$A:$A,$B430,'Blocker log'!$G:$G,"Hard blocker",'Blocker log'!$L:$L,9))</f>
        <v>0</v>
      </c>
      <c r="P430" s="20">
        <f>IF($B430="","",MAXIFS('Blocker log'!$L:$L,'Blocker log'!$A:$A,$B430,'Blocker log'!$G:$G,"Hard blocker"))</f>
        <v>0</v>
      </c>
      <c r="Q430" s="20" t="str">
        <f>IF($B430="","",IF($K430&lt;&gt;"Complete","Assessment pending",IF($N430=0,"Ready now",VLOOKUP($P430,Lists!$D$2:$E$5,2,FALSE))))</f>
        <v>Assessment pending</v>
      </c>
    </row>
    <row r="431" ht="15.75" customHeight="1">
      <c r="A431" s="35" t="s">
        <v>1467</v>
      </c>
      <c r="B431" s="35" t="s">
        <v>1468</v>
      </c>
      <c r="C431" s="35" t="s">
        <v>76</v>
      </c>
      <c r="D431" s="35" t="s">
        <v>260</v>
      </c>
      <c r="E431" s="35" t="s">
        <v>351</v>
      </c>
      <c r="F431" s="35" t="s">
        <v>352</v>
      </c>
      <c r="G431" s="35" t="s">
        <v>980</v>
      </c>
      <c r="H431" s="76">
        <v>135120.0</v>
      </c>
      <c r="I431" s="35"/>
      <c r="M431" s="20">
        <f>IF($B431="","",COUNTIFS('Blocker log'!$A:$A,$B431,'Blocker log'!$G:$G,"&lt;&gt;"))</f>
        <v>0</v>
      </c>
      <c r="N431" s="20">
        <f>IF($B431="","",COUNTIFS('Blocker log'!$A:$A,$B431,'Blocker log'!$G:$G,"Hard blocker"))</f>
        <v>0</v>
      </c>
      <c r="O431" s="20">
        <f>IF($B431="","",COUNTIFS('Blocker log'!$A:$A,$B431,'Blocker log'!$G:$G,"Hard blocker",'Blocker log'!$L:$L,9))</f>
        <v>0</v>
      </c>
      <c r="P431" s="20">
        <f>IF($B431="","",MAXIFS('Blocker log'!$L:$L,'Blocker log'!$A:$A,$B431,'Blocker log'!$G:$G,"Hard blocker"))</f>
        <v>0</v>
      </c>
      <c r="Q431" s="20" t="str">
        <f>IF($B431="","",IF($K431&lt;&gt;"Complete","Assessment pending",IF($N431=0,"Ready now",VLOOKUP($P431,Lists!$D$2:$E$5,2,FALSE))))</f>
        <v>Assessment pending</v>
      </c>
    </row>
    <row r="432" ht="15.75" customHeight="1">
      <c r="A432" s="35" t="s">
        <v>1469</v>
      </c>
      <c r="B432" s="35" t="s">
        <v>1470</v>
      </c>
      <c r="C432" s="35" t="s">
        <v>76</v>
      </c>
      <c r="D432" s="35" t="s">
        <v>58</v>
      </c>
      <c r="E432" s="35" t="s">
        <v>140</v>
      </c>
      <c r="F432" s="35" t="s">
        <v>663</v>
      </c>
      <c r="G432" s="35" t="s">
        <v>1006</v>
      </c>
      <c r="H432" s="76">
        <v>134568.0</v>
      </c>
      <c r="I432" s="35"/>
      <c r="M432" s="20">
        <f>IF($B432="","",COUNTIFS('Blocker log'!$A:$A,$B432,'Blocker log'!$G:$G,"&lt;&gt;"))</f>
        <v>0</v>
      </c>
      <c r="N432" s="20">
        <f>IF($B432="","",COUNTIFS('Blocker log'!$A:$A,$B432,'Blocker log'!$G:$G,"Hard blocker"))</f>
        <v>0</v>
      </c>
      <c r="O432" s="20">
        <f>IF($B432="","",COUNTIFS('Blocker log'!$A:$A,$B432,'Blocker log'!$G:$G,"Hard blocker",'Blocker log'!$L:$L,9))</f>
        <v>0</v>
      </c>
      <c r="P432" s="20">
        <f>IF($B432="","",MAXIFS('Blocker log'!$L:$L,'Blocker log'!$A:$A,$B432,'Blocker log'!$G:$G,"Hard blocker"))</f>
        <v>0</v>
      </c>
      <c r="Q432" s="20" t="str">
        <f>IF($B432="","",IF($K432&lt;&gt;"Complete","Assessment pending",IF($N432=0,"Ready now",VLOOKUP($P432,Lists!$D$2:$E$5,2,FALSE))))</f>
        <v>Assessment pending</v>
      </c>
    </row>
    <row r="433" ht="15.75" customHeight="1">
      <c r="A433" s="35" t="s">
        <v>1471</v>
      </c>
      <c r="B433" s="35" t="s">
        <v>1472</v>
      </c>
      <c r="C433" s="35" t="s">
        <v>1286</v>
      </c>
      <c r="D433" s="35" t="s">
        <v>260</v>
      </c>
      <c r="E433" s="35" t="s">
        <v>1096</v>
      </c>
      <c r="F433" s="35" t="s">
        <v>1366</v>
      </c>
      <c r="G433" s="35" t="s">
        <v>1161</v>
      </c>
      <c r="H433" s="76">
        <v>133632.0</v>
      </c>
      <c r="I433" s="35"/>
      <c r="M433" s="20">
        <f>IF($B433="","",COUNTIFS('Blocker log'!$A:$A,$B433,'Blocker log'!$G:$G,"&lt;&gt;"))</f>
        <v>0</v>
      </c>
      <c r="N433" s="20">
        <f>IF($B433="","",COUNTIFS('Blocker log'!$A:$A,$B433,'Blocker log'!$G:$G,"Hard blocker"))</f>
        <v>0</v>
      </c>
      <c r="O433" s="20">
        <f>IF($B433="","",COUNTIFS('Blocker log'!$A:$A,$B433,'Blocker log'!$G:$G,"Hard blocker",'Blocker log'!$L:$L,9))</f>
        <v>0</v>
      </c>
      <c r="P433" s="20">
        <f>IF($B433="","",MAXIFS('Blocker log'!$L:$L,'Blocker log'!$A:$A,$B433,'Blocker log'!$G:$G,"Hard blocker"))</f>
        <v>0</v>
      </c>
      <c r="Q433" s="20" t="str">
        <f>IF($B433="","",IF($K433&lt;&gt;"Complete","Assessment pending",IF($N433=0,"Ready now",VLOOKUP($P433,Lists!$D$2:$E$5,2,FALSE))))</f>
        <v>Assessment pending</v>
      </c>
    </row>
    <row r="434" ht="15.75" customHeight="1">
      <c r="A434" s="35" t="s">
        <v>1473</v>
      </c>
      <c r="B434" s="35" t="s">
        <v>1474</v>
      </c>
      <c r="C434" s="35" t="s">
        <v>76</v>
      </c>
      <c r="D434" s="35" t="s">
        <v>171</v>
      </c>
      <c r="E434" s="35" t="s">
        <v>760</v>
      </c>
      <c r="F434" s="35" t="s">
        <v>1178</v>
      </c>
      <c r="G434" s="35" t="s">
        <v>980</v>
      </c>
      <c r="H434" s="76">
        <v>131670.0</v>
      </c>
      <c r="I434" s="35"/>
      <c r="M434" s="20">
        <f>IF($B434="","",COUNTIFS('Blocker log'!$A:$A,$B434,'Blocker log'!$G:$G,"&lt;&gt;"))</f>
        <v>0</v>
      </c>
      <c r="N434" s="20">
        <f>IF($B434="","",COUNTIFS('Blocker log'!$A:$A,$B434,'Blocker log'!$G:$G,"Hard blocker"))</f>
        <v>0</v>
      </c>
      <c r="O434" s="20">
        <f>IF($B434="","",COUNTIFS('Blocker log'!$A:$A,$B434,'Blocker log'!$G:$G,"Hard blocker",'Blocker log'!$L:$L,9))</f>
        <v>0</v>
      </c>
      <c r="P434" s="20">
        <f>IF($B434="","",MAXIFS('Blocker log'!$L:$L,'Blocker log'!$A:$A,$B434,'Blocker log'!$G:$G,"Hard blocker"))</f>
        <v>0</v>
      </c>
      <c r="Q434" s="20" t="str">
        <f>IF($B434="","",IF($K434&lt;&gt;"Complete","Assessment pending",IF($N434=0,"Ready now",VLOOKUP($P434,Lists!$D$2:$E$5,2,FALSE))))</f>
        <v>Assessment pending</v>
      </c>
    </row>
    <row r="435" ht="15.75" customHeight="1">
      <c r="A435" s="35" t="s">
        <v>1475</v>
      </c>
      <c r="B435" s="35" t="s">
        <v>1476</v>
      </c>
      <c r="C435" s="35" t="s">
        <v>76</v>
      </c>
      <c r="D435" s="35" t="s">
        <v>58</v>
      </c>
      <c r="E435" s="35" t="s">
        <v>59</v>
      </c>
      <c r="F435" s="35" t="s">
        <v>598</v>
      </c>
      <c r="G435" s="35" t="s">
        <v>980</v>
      </c>
      <c r="H435" s="76">
        <v>131625.0</v>
      </c>
      <c r="I435" s="35"/>
      <c r="M435" s="20">
        <f>IF($B435="","",COUNTIFS('Blocker log'!$A:$A,$B435,'Blocker log'!$G:$G,"&lt;&gt;"))</f>
        <v>0</v>
      </c>
      <c r="N435" s="20">
        <f>IF($B435="","",COUNTIFS('Blocker log'!$A:$A,$B435,'Blocker log'!$G:$G,"Hard blocker"))</f>
        <v>0</v>
      </c>
      <c r="O435" s="20">
        <f>IF($B435="","",COUNTIFS('Blocker log'!$A:$A,$B435,'Blocker log'!$G:$G,"Hard blocker",'Blocker log'!$L:$L,9))</f>
        <v>0</v>
      </c>
      <c r="P435" s="20">
        <f>IF($B435="","",MAXIFS('Blocker log'!$L:$L,'Blocker log'!$A:$A,$B435,'Blocker log'!$G:$G,"Hard blocker"))</f>
        <v>0</v>
      </c>
      <c r="Q435" s="20" t="str">
        <f>IF($B435="","",IF($K435&lt;&gt;"Complete","Assessment pending",IF($N435=0,"Ready now",VLOOKUP($P435,Lists!$D$2:$E$5,2,FALSE))))</f>
        <v>Assessment pending</v>
      </c>
    </row>
    <row r="436" ht="15.75" customHeight="1">
      <c r="A436" s="35" t="s">
        <v>1477</v>
      </c>
      <c r="B436" s="35" t="s">
        <v>1478</v>
      </c>
      <c r="C436" s="35" t="s">
        <v>76</v>
      </c>
      <c r="D436" s="35" t="s">
        <v>260</v>
      </c>
      <c r="E436" s="35" t="s">
        <v>506</v>
      </c>
      <c r="F436" s="35" t="s">
        <v>708</v>
      </c>
      <c r="G436" s="35" t="s">
        <v>1006</v>
      </c>
      <c r="H436" s="76">
        <v>131234.0</v>
      </c>
      <c r="I436" s="35"/>
      <c r="M436" s="20">
        <f>IF($B436="","",COUNTIFS('Blocker log'!$A:$A,$B436,'Blocker log'!$G:$G,"&lt;&gt;"))</f>
        <v>0</v>
      </c>
      <c r="N436" s="20">
        <f>IF($B436="","",COUNTIFS('Blocker log'!$A:$A,$B436,'Blocker log'!$G:$G,"Hard blocker"))</f>
        <v>0</v>
      </c>
      <c r="O436" s="20">
        <f>IF($B436="","",COUNTIFS('Blocker log'!$A:$A,$B436,'Blocker log'!$G:$G,"Hard blocker",'Blocker log'!$L:$L,9))</f>
        <v>0</v>
      </c>
      <c r="P436" s="20">
        <f>IF($B436="","",MAXIFS('Blocker log'!$L:$L,'Blocker log'!$A:$A,$B436,'Blocker log'!$G:$G,"Hard blocker"))</f>
        <v>0</v>
      </c>
      <c r="Q436" s="20" t="str">
        <f>IF($B436="","",IF($K436&lt;&gt;"Complete","Assessment pending",IF($N436=0,"Ready now",VLOOKUP($P436,Lists!$D$2:$E$5,2,FALSE))))</f>
        <v>Assessment pending</v>
      </c>
    </row>
    <row r="437" ht="15.75" customHeight="1">
      <c r="A437" s="35" t="s">
        <v>1479</v>
      </c>
      <c r="B437" s="35" t="s">
        <v>1480</v>
      </c>
      <c r="C437" s="35" t="s">
        <v>76</v>
      </c>
      <c r="D437" s="35" t="s">
        <v>171</v>
      </c>
      <c r="E437" s="35" t="s">
        <v>1465</v>
      </c>
      <c r="F437" s="35" t="s">
        <v>1466</v>
      </c>
      <c r="G437" s="35" t="s">
        <v>999</v>
      </c>
      <c r="H437" s="76">
        <v>130240.0</v>
      </c>
      <c r="I437" s="35"/>
      <c r="M437" s="20">
        <f>IF($B437="","",COUNTIFS('Blocker log'!$A:$A,$B437,'Blocker log'!$G:$G,"&lt;&gt;"))</f>
        <v>0</v>
      </c>
      <c r="N437" s="20">
        <f>IF($B437="","",COUNTIFS('Blocker log'!$A:$A,$B437,'Blocker log'!$G:$G,"Hard blocker"))</f>
        <v>0</v>
      </c>
      <c r="O437" s="20">
        <f>IF($B437="","",COUNTIFS('Blocker log'!$A:$A,$B437,'Blocker log'!$G:$G,"Hard blocker",'Blocker log'!$L:$L,9))</f>
        <v>0</v>
      </c>
      <c r="P437" s="20">
        <f>IF($B437="","",MAXIFS('Blocker log'!$L:$L,'Blocker log'!$A:$A,$B437,'Blocker log'!$G:$G,"Hard blocker"))</f>
        <v>0</v>
      </c>
      <c r="Q437" s="20" t="str">
        <f>IF($B437="","",IF($K437&lt;&gt;"Complete","Assessment pending",IF($N437=0,"Ready now",VLOOKUP($P437,Lists!$D$2:$E$5,2,FALSE))))</f>
        <v>Assessment pending</v>
      </c>
    </row>
    <row r="438" ht="15.75" customHeight="1">
      <c r="A438" s="35" t="s">
        <v>1481</v>
      </c>
      <c r="B438" s="35" t="s">
        <v>1482</v>
      </c>
      <c r="C438" s="35" t="s">
        <v>1286</v>
      </c>
      <c r="D438" s="35" t="s">
        <v>260</v>
      </c>
      <c r="E438" s="35" t="s">
        <v>576</v>
      </c>
      <c r="F438" s="35" t="s">
        <v>804</v>
      </c>
      <c r="G438" s="35" t="s">
        <v>1161</v>
      </c>
      <c r="H438" s="76">
        <v>130122.0</v>
      </c>
      <c r="I438" s="35" t="s">
        <v>403</v>
      </c>
      <c r="M438" s="20">
        <f>IF($B438="","",COUNTIFS('Blocker log'!$A:$A,$B438,'Blocker log'!$G:$G,"&lt;&gt;"))</f>
        <v>0</v>
      </c>
      <c r="N438" s="20">
        <f>IF($B438="","",COUNTIFS('Blocker log'!$A:$A,$B438,'Blocker log'!$G:$G,"Hard blocker"))</f>
        <v>0</v>
      </c>
      <c r="O438" s="20">
        <f>IF($B438="","",COUNTIFS('Blocker log'!$A:$A,$B438,'Blocker log'!$G:$G,"Hard blocker",'Blocker log'!$L:$L,9))</f>
        <v>0</v>
      </c>
      <c r="P438" s="20">
        <f>IF($B438="","",MAXIFS('Blocker log'!$L:$L,'Blocker log'!$A:$A,$B438,'Blocker log'!$G:$G,"Hard blocker"))</f>
        <v>0</v>
      </c>
      <c r="Q438" s="20" t="str">
        <f>IF($B438="","",IF($K438&lt;&gt;"Complete","Assessment pending",IF($N438=0,"Ready now",VLOOKUP($P438,Lists!$D$2:$E$5,2,FALSE))))</f>
        <v>Assessment pending</v>
      </c>
    </row>
    <row r="439" ht="15.75" customHeight="1">
      <c r="A439" s="35" t="s">
        <v>1483</v>
      </c>
      <c r="B439" s="35" t="s">
        <v>1484</v>
      </c>
      <c r="C439" s="35" t="s">
        <v>76</v>
      </c>
      <c r="D439" s="35" t="s">
        <v>58</v>
      </c>
      <c r="E439" s="35" t="s">
        <v>59</v>
      </c>
      <c r="F439" s="35" t="s">
        <v>225</v>
      </c>
      <c r="G439" s="35" t="s">
        <v>980</v>
      </c>
      <c r="H439" s="76">
        <v>129600.0</v>
      </c>
      <c r="I439" s="35"/>
      <c r="M439" s="20">
        <f>IF($B439="","",COUNTIFS('Blocker log'!$A:$A,$B439,'Blocker log'!$G:$G,"&lt;&gt;"))</f>
        <v>0</v>
      </c>
      <c r="N439" s="20">
        <f>IF($B439="","",COUNTIFS('Blocker log'!$A:$A,$B439,'Blocker log'!$G:$G,"Hard blocker"))</f>
        <v>0</v>
      </c>
      <c r="O439" s="20">
        <f>IF($B439="","",COUNTIFS('Blocker log'!$A:$A,$B439,'Blocker log'!$G:$G,"Hard blocker",'Blocker log'!$L:$L,9))</f>
        <v>0</v>
      </c>
      <c r="P439" s="20">
        <f>IF($B439="","",MAXIFS('Blocker log'!$L:$L,'Blocker log'!$A:$A,$B439,'Blocker log'!$G:$G,"Hard blocker"))</f>
        <v>0</v>
      </c>
      <c r="Q439" s="20" t="str">
        <f>IF($B439="","",IF($K439&lt;&gt;"Complete","Assessment pending",IF($N439=0,"Ready now",VLOOKUP($P439,Lists!$D$2:$E$5,2,FALSE))))</f>
        <v>Assessment pending</v>
      </c>
    </row>
    <row r="440" ht="15.75" customHeight="1">
      <c r="A440" s="35" t="s">
        <v>1485</v>
      </c>
      <c r="B440" s="35" t="s">
        <v>1486</v>
      </c>
      <c r="C440" s="35" t="s">
        <v>76</v>
      </c>
      <c r="D440" s="35" t="s">
        <v>301</v>
      </c>
      <c r="E440" s="35" t="s">
        <v>1281</v>
      </c>
      <c r="F440" s="35" t="s">
        <v>1281</v>
      </c>
      <c r="G440" s="35" t="s">
        <v>1042</v>
      </c>
      <c r="H440" s="76">
        <v>129298.0</v>
      </c>
      <c r="I440" s="35"/>
      <c r="M440" s="20">
        <f>IF($B440="","",COUNTIFS('Blocker log'!$A:$A,$B440,'Blocker log'!$G:$G,"&lt;&gt;"))</f>
        <v>0</v>
      </c>
      <c r="N440" s="20">
        <f>IF($B440="","",COUNTIFS('Blocker log'!$A:$A,$B440,'Blocker log'!$G:$G,"Hard blocker"))</f>
        <v>0</v>
      </c>
      <c r="O440" s="20">
        <f>IF($B440="","",COUNTIFS('Blocker log'!$A:$A,$B440,'Blocker log'!$G:$G,"Hard blocker",'Blocker log'!$L:$L,9))</f>
        <v>0</v>
      </c>
      <c r="P440" s="20">
        <f>IF($B440="","",MAXIFS('Blocker log'!$L:$L,'Blocker log'!$A:$A,$B440,'Blocker log'!$G:$G,"Hard blocker"))</f>
        <v>0</v>
      </c>
      <c r="Q440" s="20" t="str">
        <f>IF($B440="","",IF($K440&lt;&gt;"Complete","Assessment pending",IF($N440=0,"Ready now",VLOOKUP($P440,Lists!$D$2:$E$5,2,FALSE))))</f>
        <v>Assessment pending</v>
      </c>
    </row>
    <row r="441" ht="15.75" customHeight="1">
      <c r="A441" s="35" t="s">
        <v>1487</v>
      </c>
      <c r="B441" s="35" t="s">
        <v>1488</v>
      </c>
      <c r="C441" s="35" t="s">
        <v>76</v>
      </c>
      <c r="D441" s="35" t="s">
        <v>58</v>
      </c>
      <c r="E441" s="35" t="s">
        <v>101</v>
      </c>
      <c r="F441" s="35" t="s">
        <v>554</v>
      </c>
      <c r="G441" s="35" t="s">
        <v>980</v>
      </c>
      <c r="H441" s="76">
        <v>127980.0</v>
      </c>
      <c r="I441" s="35"/>
      <c r="M441" s="20">
        <f>IF($B441="","",COUNTIFS('Blocker log'!$A:$A,$B441,'Blocker log'!$G:$G,"&lt;&gt;"))</f>
        <v>0</v>
      </c>
      <c r="N441" s="20">
        <f>IF($B441="","",COUNTIFS('Blocker log'!$A:$A,$B441,'Blocker log'!$G:$G,"Hard blocker"))</f>
        <v>0</v>
      </c>
      <c r="O441" s="20">
        <f>IF($B441="","",COUNTIFS('Blocker log'!$A:$A,$B441,'Blocker log'!$G:$G,"Hard blocker",'Blocker log'!$L:$L,9))</f>
        <v>0</v>
      </c>
      <c r="P441" s="20">
        <f>IF($B441="","",MAXIFS('Blocker log'!$L:$L,'Blocker log'!$A:$A,$B441,'Blocker log'!$G:$G,"Hard blocker"))</f>
        <v>0</v>
      </c>
      <c r="Q441" s="20" t="str">
        <f>IF($B441="","",IF($K441&lt;&gt;"Complete","Assessment pending",IF($N441=0,"Ready now",VLOOKUP($P441,Lists!$D$2:$E$5,2,FALSE))))</f>
        <v>Assessment pending</v>
      </c>
    </row>
    <row r="442" ht="15.75" customHeight="1">
      <c r="A442" s="35" t="s">
        <v>1489</v>
      </c>
      <c r="B442" s="35" t="s">
        <v>1490</v>
      </c>
      <c r="C442" s="35" t="s">
        <v>76</v>
      </c>
      <c r="D442" s="35" t="s">
        <v>58</v>
      </c>
      <c r="E442" s="35" t="s">
        <v>59</v>
      </c>
      <c r="F442" s="35" t="s">
        <v>598</v>
      </c>
      <c r="G442" s="35" t="s">
        <v>1042</v>
      </c>
      <c r="H442" s="76">
        <v>127728.0</v>
      </c>
      <c r="I442" s="35"/>
      <c r="M442" s="20">
        <f>IF($B442="","",COUNTIFS('Blocker log'!$A:$A,$B442,'Blocker log'!$G:$G,"&lt;&gt;"))</f>
        <v>0</v>
      </c>
      <c r="N442" s="20">
        <f>IF($B442="","",COUNTIFS('Blocker log'!$A:$A,$B442,'Blocker log'!$G:$G,"Hard blocker"))</f>
        <v>0</v>
      </c>
      <c r="O442" s="20">
        <f>IF($B442="","",COUNTIFS('Blocker log'!$A:$A,$B442,'Blocker log'!$G:$G,"Hard blocker",'Blocker log'!$L:$L,9))</f>
        <v>0</v>
      </c>
      <c r="P442" s="20">
        <f>IF($B442="","",MAXIFS('Blocker log'!$L:$L,'Blocker log'!$A:$A,$B442,'Blocker log'!$G:$G,"Hard blocker"))</f>
        <v>0</v>
      </c>
      <c r="Q442" s="20" t="str">
        <f>IF($B442="","",IF($K442&lt;&gt;"Complete","Assessment pending",IF($N442=0,"Ready now",VLOOKUP($P442,Lists!$D$2:$E$5,2,FALSE))))</f>
        <v>Assessment pending</v>
      </c>
    </row>
    <row r="443" ht="15.75" customHeight="1">
      <c r="A443" s="35" t="s">
        <v>1491</v>
      </c>
      <c r="B443" s="35" t="s">
        <v>1492</v>
      </c>
      <c r="C443" s="35" t="s">
        <v>76</v>
      </c>
      <c r="D443" s="35" t="s">
        <v>260</v>
      </c>
      <c r="E443" s="35" t="s">
        <v>530</v>
      </c>
      <c r="F443" s="35" t="s">
        <v>1493</v>
      </c>
      <c r="G443" s="35" t="s">
        <v>980</v>
      </c>
      <c r="H443" s="76">
        <v>127440.0</v>
      </c>
      <c r="I443" s="35"/>
      <c r="M443" s="20">
        <f>IF($B443="","",COUNTIFS('Blocker log'!$A:$A,$B443,'Blocker log'!$G:$G,"&lt;&gt;"))</f>
        <v>0</v>
      </c>
      <c r="N443" s="20">
        <f>IF($B443="","",COUNTIFS('Blocker log'!$A:$A,$B443,'Blocker log'!$G:$G,"Hard blocker"))</f>
        <v>0</v>
      </c>
      <c r="O443" s="20">
        <f>IF($B443="","",COUNTIFS('Blocker log'!$A:$A,$B443,'Blocker log'!$G:$G,"Hard blocker",'Blocker log'!$L:$L,9))</f>
        <v>0</v>
      </c>
      <c r="P443" s="20">
        <f>IF($B443="","",MAXIFS('Blocker log'!$L:$L,'Blocker log'!$A:$A,$B443,'Blocker log'!$G:$G,"Hard blocker"))</f>
        <v>0</v>
      </c>
      <c r="Q443" s="20" t="str">
        <f>IF($B443="","",IF($K443&lt;&gt;"Complete","Assessment pending",IF($N443=0,"Ready now",VLOOKUP($P443,Lists!$D$2:$E$5,2,FALSE))))</f>
        <v>Assessment pending</v>
      </c>
    </row>
    <row r="444" ht="15.75" customHeight="1">
      <c r="A444" s="35" t="s">
        <v>1494</v>
      </c>
      <c r="B444" s="35" t="s">
        <v>1495</v>
      </c>
      <c r="C444" s="35" t="s">
        <v>76</v>
      </c>
      <c r="D444" s="35" t="s">
        <v>171</v>
      </c>
      <c r="E444" s="35" t="s">
        <v>512</v>
      </c>
      <c r="F444" s="35" t="s">
        <v>537</v>
      </c>
      <c r="G444" s="35" t="s">
        <v>999</v>
      </c>
      <c r="H444" s="76">
        <v>127296.0</v>
      </c>
      <c r="I444" s="35"/>
      <c r="M444" s="20">
        <f>IF($B444="","",COUNTIFS('Blocker log'!$A:$A,$B444,'Blocker log'!$G:$G,"&lt;&gt;"))</f>
        <v>0</v>
      </c>
      <c r="N444" s="20">
        <f>IF($B444="","",COUNTIFS('Blocker log'!$A:$A,$B444,'Blocker log'!$G:$G,"Hard blocker"))</f>
        <v>0</v>
      </c>
      <c r="O444" s="20">
        <f>IF($B444="","",COUNTIFS('Blocker log'!$A:$A,$B444,'Blocker log'!$G:$G,"Hard blocker",'Blocker log'!$L:$L,9))</f>
        <v>0</v>
      </c>
      <c r="P444" s="20">
        <f>IF($B444="","",MAXIFS('Blocker log'!$L:$L,'Blocker log'!$A:$A,$B444,'Blocker log'!$G:$G,"Hard blocker"))</f>
        <v>0</v>
      </c>
      <c r="Q444" s="20" t="str">
        <f>IF($B444="","",IF($K444&lt;&gt;"Complete","Assessment pending",IF($N444=0,"Ready now",VLOOKUP($P444,Lists!$D$2:$E$5,2,FALSE))))</f>
        <v>Assessment pending</v>
      </c>
    </row>
    <row r="445" ht="15.75" customHeight="1">
      <c r="A445" s="35" t="s">
        <v>1496</v>
      </c>
      <c r="B445" s="35" t="s">
        <v>1497</v>
      </c>
      <c r="C445" s="35" t="s">
        <v>76</v>
      </c>
      <c r="D445" s="35" t="s">
        <v>58</v>
      </c>
      <c r="E445" s="35" t="s">
        <v>140</v>
      </c>
      <c r="F445" s="35" t="s">
        <v>141</v>
      </c>
      <c r="G445" s="35" t="s">
        <v>999</v>
      </c>
      <c r="H445" s="76">
        <v>126724.0</v>
      </c>
      <c r="I445" s="35"/>
      <c r="M445" s="20">
        <f>IF($B445="","",COUNTIFS('Blocker log'!$A:$A,$B445,'Blocker log'!$G:$G,"&lt;&gt;"))</f>
        <v>0</v>
      </c>
      <c r="N445" s="20">
        <f>IF($B445="","",COUNTIFS('Blocker log'!$A:$A,$B445,'Blocker log'!$G:$G,"Hard blocker"))</f>
        <v>0</v>
      </c>
      <c r="O445" s="20">
        <f>IF($B445="","",COUNTIFS('Blocker log'!$A:$A,$B445,'Blocker log'!$G:$G,"Hard blocker",'Blocker log'!$L:$L,9))</f>
        <v>0</v>
      </c>
      <c r="P445" s="20">
        <f>IF($B445="","",MAXIFS('Blocker log'!$L:$L,'Blocker log'!$A:$A,$B445,'Blocker log'!$G:$G,"Hard blocker"))</f>
        <v>0</v>
      </c>
      <c r="Q445" s="20" t="str">
        <f>IF($B445="","",IF($K445&lt;&gt;"Complete","Assessment pending",IF($N445=0,"Ready now",VLOOKUP($P445,Lists!$D$2:$E$5,2,FALSE))))</f>
        <v>Assessment pending</v>
      </c>
    </row>
    <row r="446" ht="15.75" customHeight="1">
      <c r="A446" s="35" t="s">
        <v>1498</v>
      </c>
      <c r="B446" s="35" t="s">
        <v>1499</v>
      </c>
      <c r="C446" s="35" t="s">
        <v>76</v>
      </c>
      <c r="D446" s="35" t="s">
        <v>171</v>
      </c>
      <c r="E446" s="35" t="s">
        <v>542</v>
      </c>
      <c r="F446" s="35" t="s">
        <v>543</v>
      </c>
      <c r="G446" s="35" t="s">
        <v>1006</v>
      </c>
      <c r="H446" s="76">
        <v>126095.0</v>
      </c>
      <c r="I446" s="35"/>
      <c r="M446" s="20">
        <f>IF($B446="","",COUNTIFS('Blocker log'!$A:$A,$B446,'Blocker log'!$G:$G,"&lt;&gt;"))</f>
        <v>0</v>
      </c>
      <c r="N446" s="20">
        <f>IF($B446="","",COUNTIFS('Blocker log'!$A:$A,$B446,'Blocker log'!$G:$G,"Hard blocker"))</f>
        <v>0</v>
      </c>
      <c r="O446" s="20">
        <f>IF($B446="","",COUNTIFS('Blocker log'!$A:$A,$B446,'Blocker log'!$G:$G,"Hard blocker",'Blocker log'!$L:$L,9))</f>
        <v>0</v>
      </c>
      <c r="P446" s="20">
        <f>IF($B446="","",MAXIFS('Blocker log'!$L:$L,'Blocker log'!$A:$A,$B446,'Blocker log'!$G:$G,"Hard blocker"))</f>
        <v>0</v>
      </c>
      <c r="Q446" s="20" t="str">
        <f>IF($B446="","",IF($K446&lt;&gt;"Complete","Assessment pending",IF($N446=0,"Ready now",VLOOKUP($P446,Lists!$D$2:$E$5,2,FALSE))))</f>
        <v>Assessment pending</v>
      </c>
    </row>
    <row r="447" ht="15.75" customHeight="1">
      <c r="A447" s="35" t="s">
        <v>1500</v>
      </c>
      <c r="B447" s="35" t="s">
        <v>1501</v>
      </c>
      <c r="C447" s="35" t="s">
        <v>76</v>
      </c>
      <c r="D447" s="35" t="s">
        <v>171</v>
      </c>
      <c r="E447" s="35" t="s">
        <v>668</v>
      </c>
      <c r="F447" s="35" t="s">
        <v>669</v>
      </c>
      <c r="G447" s="35" t="s">
        <v>980</v>
      </c>
      <c r="H447" s="76">
        <v>123952.0</v>
      </c>
      <c r="I447" s="35"/>
      <c r="M447" s="20">
        <f>IF($B447="","",COUNTIFS('Blocker log'!$A:$A,$B447,'Blocker log'!$G:$G,"&lt;&gt;"))</f>
        <v>0</v>
      </c>
      <c r="N447" s="20">
        <f>IF($B447="","",COUNTIFS('Blocker log'!$A:$A,$B447,'Blocker log'!$G:$G,"Hard blocker"))</f>
        <v>0</v>
      </c>
      <c r="O447" s="20">
        <f>IF($B447="","",COUNTIFS('Blocker log'!$A:$A,$B447,'Blocker log'!$G:$G,"Hard blocker",'Blocker log'!$L:$L,9))</f>
        <v>0</v>
      </c>
      <c r="P447" s="20">
        <f>IF($B447="","",MAXIFS('Blocker log'!$L:$L,'Blocker log'!$A:$A,$B447,'Blocker log'!$G:$G,"Hard blocker"))</f>
        <v>0</v>
      </c>
      <c r="Q447" s="20" t="str">
        <f>IF($B447="","",IF($K447&lt;&gt;"Complete","Assessment pending",IF($N447=0,"Ready now",VLOOKUP($P447,Lists!$D$2:$E$5,2,FALSE))))</f>
        <v>Assessment pending</v>
      </c>
    </row>
    <row r="448" ht="15.75" customHeight="1">
      <c r="A448" s="35" t="s">
        <v>1502</v>
      </c>
      <c r="B448" s="35" t="s">
        <v>1503</v>
      </c>
      <c r="C448" s="35" t="s">
        <v>76</v>
      </c>
      <c r="D448" s="35" t="s">
        <v>58</v>
      </c>
      <c r="E448" s="35" t="s">
        <v>181</v>
      </c>
      <c r="F448" s="35" t="s">
        <v>217</v>
      </c>
      <c r="G448" s="35" t="s">
        <v>980</v>
      </c>
      <c r="H448" s="76">
        <v>122817.0</v>
      </c>
      <c r="I448" s="35"/>
      <c r="M448" s="20">
        <f>IF($B448="","",COUNTIFS('Blocker log'!$A:$A,$B448,'Blocker log'!$G:$G,"&lt;&gt;"))</f>
        <v>0</v>
      </c>
      <c r="N448" s="20">
        <f>IF($B448="","",COUNTIFS('Blocker log'!$A:$A,$B448,'Blocker log'!$G:$G,"Hard blocker"))</f>
        <v>0</v>
      </c>
      <c r="O448" s="20">
        <f>IF($B448="","",COUNTIFS('Blocker log'!$A:$A,$B448,'Blocker log'!$G:$G,"Hard blocker",'Blocker log'!$L:$L,9))</f>
        <v>0</v>
      </c>
      <c r="P448" s="20">
        <f>IF($B448="","",MAXIFS('Blocker log'!$L:$L,'Blocker log'!$A:$A,$B448,'Blocker log'!$G:$G,"Hard blocker"))</f>
        <v>0</v>
      </c>
      <c r="Q448" s="20" t="str">
        <f>IF($B448="","",IF($K448&lt;&gt;"Complete","Assessment pending",IF($N448=0,"Ready now",VLOOKUP($P448,Lists!$D$2:$E$5,2,FALSE))))</f>
        <v>Assessment pending</v>
      </c>
    </row>
    <row r="449" ht="15.75" customHeight="1">
      <c r="A449" s="35" t="s">
        <v>1504</v>
      </c>
      <c r="B449" s="35" t="s">
        <v>1505</v>
      </c>
      <c r="C449" s="35" t="s">
        <v>76</v>
      </c>
      <c r="D449" s="35" t="s">
        <v>171</v>
      </c>
      <c r="E449" s="35" t="s">
        <v>677</v>
      </c>
      <c r="F449" s="35" t="s">
        <v>678</v>
      </c>
      <c r="G449" s="35" t="s">
        <v>999</v>
      </c>
      <c r="H449" s="76">
        <v>122500.0</v>
      </c>
      <c r="I449" s="35"/>
      <c r="M449" s="20">
        <f>IF($B449="","",COUNTIFS('Blocker log'!$A:$A,$B449,'Blocker log'!$G:$G,"&lt;&gt;"))</f>
        <v>0</v>
      </c>
      <c r="N449" s="20">
        <f>IF($B449="","",COUNTIFS('Blocker log'!$A:$A,$B449,'Blocker log'!$G:$G,"Hard blocker"))</f>
        <v>0</v>
      </c>
      <c r="O449" s="20">
        <f>IF($B449="","",COUNTIFS('Blocker log'!$A:$A,$B449,'Blocker log'!$G:$G,"Hard blocker",'Blocker log'!$L:$L,9))</f>
        <v>0</v>
      </c>
      <c r="P449" s="20">
        <f>IF($B449="","",MAXIFS('Blocker log'!$L:$L,'Blocker log'!$A:$A,$B449,'Blocker log'!$G:$G,"Hard blocker"))</f>
        <v>0</v>
      </c>
      <c r="Q449" s="20" t="str">
        <f>IF($B449="","",IF($K449&lt;&gt;"Complete","Assessment pending",IF($N449=0,"Ready now",VLOOKUP($P449,Lists!$D$2:$E$5,2,FALSE))))</f>
        <v>Assessment pending</v>
      </c>
    </row>
    <row r="450" ht="15.75" customHeight="1">
      <c r="A450" s="35" t="s">
        <v>1506</v>
      </c>
      <c r="B450" s="35" t="s">
        <v>1507</v>
      </c>
      <c r="C450" s="35" t="s">
        <v>76</v>
      </c>
      <c r="D450" s="35" t="s">
        <v>58</v>
      </c>
      <c r="E450" s="35" t="s">
        <v>59</v>
      </c>
      <c r="F450" s="35" t="s">
        <v>225</v>
      </c>
      <c r="G450" s="35" t="s">
        <v>1042</v>
      </c>
      <c r="H450" s="76">
        <v>122003.0</v>
      </c>
      <c r="I450" s="35"/>
      <c r="M450" s="20">
        <f>IF($B450="","",COUNTIFS('Blocker log'!$A:$A,$B450,'Blocker log'!$G:$G,"&lt;&gt;"))</f>
        <v>0</v>
      </c>
      <c r="N450" s="20">
        <f>IF($B450="","",COUNTIFS('Blocker log'!$A:$A,$B450,'Blocker log'!$G:$G,"Hard blocker"))</f>
        <v>0</v>
      </c>
      <c r="O450" s="20">
        <f>IF($B450="","",COUNTIFS('Blocker log'!$A:$A,$B450,'Blocker log'!$G:$G,"Hard blocker",'Blocker log'!$L:$L,9))</f>
        <v>0</v>
      </c>
      <c r="P450" s="20">
        <f>IF($B450="","",MAXIFS('Blocker log'!$L:$L,'Blocker log'!$A:$A,$B450,'Blocker log'!$G:$G,"Hard blocker"))</f>
        <v>0</v>
      </c>
      <c r="Q450" s="20" t="str">
        <f>IF($B450="","",IF($K450&lt;&gt;"Complete","Assessment pending",IF($N450=0,"Ready now",VLOOKUP($P450,Lists!$D$2:$E$5,2,FALSE))))</f>
        <v>Assessment pending</v>
      </c>
    </row>
    <row r="451" ht="15.75" customHeight="1">
      <c r="A451" s="35" t="s">
        <v>1508</v>
      </c>
      <c r="B451" s="35" t="s">
        <v>1509</v>
      </c>
      <c r="C451" s="35" t="s">
        <v>1286</v>
      </c>
      <c r="D451" s="35" t="s">
        <v>171</v>
      </c>
      <c r="E451" s="35" t="s">
        <v>587</v>
      </c>
      <c r="F451" s="35" t="s">
        <v>1369</v>
      </c>
      <c r="G451" s="35" t="s">
        <v>1161</v>
      </c>
      <c r="H451" s="76">
        <v>118800.0</v>
      </c>
      <c r="I451" s="35"/>
      <c r="M451" s="20">
        <f>IF($B451="","",COUNTIFS('Blocker log'!$A:$A,$B451,'Blocker log'!$G:$G,"&lt;&gt;"))</f>
        <v>0</v>
      </c>
      <c r="N451" s="20">
        <f>IF($B451="","",COUNTIFS('Blocker log'!$A:$A,$B451,'Blocker log'!$G:$G,"Hard blocker"))</f>
        <v>0</v>
      </c>
      <c r="O451" s="20">
        <f>IF($B451="","",COUNTIFS('Blocker log'!$A:$A,$B451,'Blocker log'!$G:$G,"Hard blocker",'Blocker log'!$L:$L,9))</f>
        <v>0</v>
      </c>
      <c r="P451" s="20">
        <f>IF($B451="","",MAXIFS('Blocker log'!$L:$L,'Blocker log'!$A:$A,$B451,'Blocker log'!$G:$G,"Hard blocker"))</f>
        <v>0</v>
      </c>
      <c r="Q451" s="20" t="str">
        <f>IF($B451="","",IF($K451&lt;&gt;"Complete","Assessment pending",IF($N451=0,"Ready now",VLOOKUP($P451,Lists!$D$2:$E$5,2,FALSE))))</f>
        <v>Assessment pending</v>
      </c>
    </row>
    <row r="452" ht="15.75" customHeight="1">
      <c r="A452" s="35" t="s">
        <v>1510</v>
      </c>
      <c r="B452" s="35" t="s">
        <v>1511</v>
      </c>
      <c r="C452" s="35"/>
      <c r="D452" s="35" t="s">
        <v>301</v>
      </c>
      <c r="E452" s="35" t="s">
        <v>484</v>
      </c>
      <c r="F452" s="35" t="s">
        <v>484</v>
      </c>
      <c r="G452" s="35" t="s">
        <v>1161</v>
      </c>
      <c r="H452" s="76">
        <v>118200.0</v>
      </c>
      <c r="I452" s="35"/>
      <c r="M452" s="20">
        <f>IF($B452="","",COUNTIFS('Blocker log'!$A:$A,$B452,'Blocker log'!$G:$G,"&lt;&gt;"))</f>
        <v>0</v>
      </c>
      <c r="N452" s="20">
        <f>IF($B452="","",COUNTIFS('Blocker log'!$A:$A,$B452,'Blocker log'!$G:$G,"Hard blocker"))</f>
        <v>0</v>
      </c>
      <c r="O452" s="20">
        <f>IF($B452="","",COUNTIFS('Blocker log'!$A:$A,$B452,'Blocker log'!$G:$G,"Hard blocker",'Blocker log'!$L:$L,9))</f>
        <v>0</v>
      </c>
      <c r="P452" s="20">
        <f>IF($B452="","",MAXIFS('Blocker log'!$L:$L,'Blocker log'!$A:$A,$B452,'Blocker log'!$G:$G,"Hard blocker"))</f>
        <v>0</v>
      </c>
      <c r="Q452" s="20" t="str">
        <f>IF($B452="","",IF($K452&lt;&gt;"Complete","Assessment pending",IF($N452=0,"Ready now",VLOOKUP($P452,Lists!$D$2:$E$5,2,FALSE))))</f>
        <v>Assessment pending</v>
      </c>
    </row>
    <row r="453" ht="15.75" customHeight="1">
      <c r="A453" s="35" t="s">
        <v>1512</v>
      </c>
      <c r="B453" s="35" t="s">
        <v>1513</v>
      </c>
      <c r="C453" s="35" t="s">
        <v>1286</v>
      </c>
      <c r="D453" s="35" t="s">
        <v>171</v>
      </c>
      <c r="E453" s="35" t="s">
        <v>587</v>
      </c>
      <c r="F453" s="35" t="s">
        <v>588</v>
      </c>
      <c r="G453" s="35" t="s">
        <v>1161</v>
      </c>
      <c r="H453" s="76">
        <v>118115.0</v>
      </c>
      <c r="I453" s="35"/>
      <c r="M453" s="20">
        <f>IF($B453="","",COUNTIFS('Blocker log'!$A:$A,$B453,'Blocker log'!$G:$G,"&lt;&gt;"))</f>
        <v>0</v>
      </c>
      <c r="N453" s="20">
        <f>IF($B453="","",COUNTIFS('Blocker log'!$A:$A,$B453,'Blocker log'!$G:$G,"Hard blocker"))</f>
        <v>0</v>
      </c>
      <c r="O453" s="20">
        <f>IF($B453="","",COUNTIFS('Blocker log'!$A:$A,$B453,'Blocker log'!$G:$G,"Hard blocker",'Blocker log'!$L:$L,9))</f>
        <v>0</v>
      </c>
      <c r="P453" s="20">
        <f>IF($B453="","",MAXIFS('Blocker log'!$L:$L,'Blocker log'!$A:$A,$B453,'Blocker log'!$G:$G,"Hard blocker"))</f>
        <v>0</v>
      </c>
      <c r="Q453" s="20" t="str">
        <f>IF($B453="","",IF($K453&lt;&gt;"Complete","Assessment pending",IF($N453=0,"Ready now",VLOOKUP($P453,Lists!$D$2:$E$5,2,FALSE))))</f>
        <v>Assessment pending</v>
      </c>
    </row>
    <row r="454" ht="15.75" customHeight="1">
      <c r="A454" s="35" t="s">
        <v>1514</v>
      </c>
      <c r="B454" s="35" t="s">
        <v>1515</v>
      </c>
      <c r="C454" s="35" t="s">
        <v>1286</v>
      </c>
      <c r="D454" s="35" t="s">
        <v>301</v>
      </c>
      <c r="E454" s="35" t="s">
        <v>490</v>
      </c>
      <c r="F454" s="35" t="s">
        <v>490</v>
      </c>
      <c r="G454" s="35" t="s">
        <v>1161</v>
      </c>
      <c r="H454" s="76">
        <v>116899.0</v>
      </c>
      <c r="I454" s="35"/>
      <c r="M454" s="20">
        <f>IF($B454="","",COUNTIFS('Blocker log'!$A:$A,$B454,'Blocker log'!$G:$G,"&lt;&gt;"))</f>
        <v>0</v>
      </c>
      <c r="N454" s="20">
        <f>IF($B454="","",COUNTIFS('Blocker log'!$A:$A,$B454,'Blocker log'!$G:$G,"Hard blocker"))</f>
        <v>0</v>
      </c>
      <c r="O454" s="20">
        <f>IF($B454="","",COUNTIFS('Blocker log'!$A:$A,$B454,'Blocker log'!$G:$G,"Hard blocker",'Blocker log'!$L:$L,9))</f>
        <v>0</v>
      </c>
      <c r="P454" s="20">
        <f>IF($B454="","",MAXIFS('Blocker log'!$L:$L,'Blocker log'!$A:$A,$B454,'Blocker log'!$G:$G,"Hard blocker"))</f>
        <v>0</v>
      </c>
      <c r="Q454" s="20" t="str">
        <f>IF($B454="","",IF($K454&lt;&gt;"Complete","Assessment pending",IF($N454=0,"Ready now",VLOOKUP($P454,Lists!$D$2:$E$5,2,FALSE))))</f>
        <v>Assessment pending</v>
      </c>
    </row>
    <row r="455" ht="15.75" customHeight="1">
      <c r="A455" s="35" t="s">
        <v>1516</v>
      </c>
      <c r="B455" s="35" t="s">
        <v>1517</v>
      </c>
      <c r="C455" s="35" t="s">
        <v>1286</v>
      </c>
      <c r="D455" s="35" t="s">
        <v>58</v>
      </c>
      <c r="E455" s="35" t="s">
        <v>59</v>
      </c>
      <c r="F455" s="35" t="s">
        <v>225</v>
      </c>
      <c r="G455" s="35" t="s">
        <v>1161</v>
      </c>
      <c r="H455" s="76">
        <v>116210.0</v>
      </c>
      <c r="I455" s="35" t="s">
        <v>404</v>
      </c>
      <c r="M455" s="20">
        <f>IF($B455="","",COUNTIFS('Blocker log'!$A:$A,$B455,'Blocker log'!$G:$G,"&lt;&gt;"))</f>
        <v>0</v>
      </c>
      <c r="N455" s="20">
        <f>IF($B455="","",COUNTIFS('Blocker log'!$A:$A,$B455,'Blocker log'!$G:$G,"Hard blocker"))</f>
        <v>0</v>
      </c>
      <c r="O455" s="20">
        <f>IF($B455="","",COUNTIFS('Blocker log'!$A:$A,$B455,'Blocker log'!$G:$G,"Hard blocker",'Blocker log'!$L:$L,9))</f>
        <v>0</v>
      </c>
      <c r="P455" s="20">
        <f>IF($B455="","",MAXIFS('Blocker log'!$L:$L,'Blocker log'!$A:$A,$B455,'Blocker log'!$G:$G,"Hard blocker"))</f>
        <v>0</v>
      </c>
      <c r="Q455" s="20" t="str">
        <f>IF($B455="","",IF($K455&lt;&gt;"Complete","Assessment pending",IF($N455=0,"Ready now",VLOOKUP($P455,Lists!$D$2:$E$5,2,FALSE))))</f>
        <v>Assessment pending</v>
      </c>
    </row>
    <row r="456" ht="15.75" customHeight="1">
      <c r="A456" s="35" t="s">
        <v>1518</v>
      </c>
      <c r="B456" s="35" t="s">
        <v>1519</v>
      </c>
      <c r="C456" s="35" t="s">
        <v>76</v>
      </c>
      <c r="D456" s="35" t="s">
        <v>260</v>
      </c>
      <c r="E456" s="35" t="s">
        <v>506</v>
      </c>
      <c r="F456" s="35" t="s">
        <v>798</v>
      </c>
      <c r="G456" s="35" t="s">
        <v>999</v>
      </c>
      <c r="H456" s="76">
        <v>115568.0</v>
      </c>
      <c r="I456" s="35"/>
      <c r="M456" s="20">
        <f>IF($B456="","",COUNTIFS('Blocker log'!$A:$A,$B456,'Blocker log'!$G:$G,"&lt;&gt;"))</f>
        <v>0</v>
      </c>
      <c r="N456" s="20">
        <f>IF($B456="","",COUNTIFS('Blocker log'!$A:$A,$B456,'Blocker log'!$G:$G,"Hard blocker"))</f>
        <v>0</v>
      </c>
      <c r="O456" s="20">
        <f>IF($B456="","",COUNTIFS('Blocker log'!$A:$A,$B456,'Blocker log'!$G:$G,"Hard blocker",'Blocker log'!$L:$L,9))</f>
        <v>0</v>
      </c>
      <c r="P456" s="20">
        <f>IF($B456="","",MAXIFS('Blocker log'!$L:$L,'Blocker log'!$A:$A,$B456,'Blocker log'!$G:$G,"Hard blocker"))</f>
        <v>0</v>
      </c>
      <c r="Q456" s="20" t="str">
        <f>IF($B456="","",IF($K456&lt;&gt;"Complete","Assessment pending",IF($N456=0,"Ready now",VLOOKUP($P456,Lists!$D$2:$E$5,2,FALSE))))</f>
        <v>Assessment pending</v>
      </c>
    </row>
    <row r="457" ht="15.75" customHeight="1">
      <c r="A457" s="35" t="s">
        <v>1520</v>
      </c>
      <c r="B457" s="35" t="s">
        <v>1521</v>
      </c>
      <c r="C457" s="35" t="s">
        <v>1286</v>
      </c>
      <c r="D457" s="35" t="s">
        <v>58</v>
      </c>
      <c r="E457" s="35" t="s">
        <v>101</v>
      </c>
      <c r="F457" s="35" t="s">
        <v>554</v>
      </c>
      <c r="G457" s="35" t="s">
        <v>1161</v>
      </c>
      <c r="H457" s="76">
        <v>115371.0</v>
      </c>
      <c r="I457" s="35" t="s">
        <v>405</v>
      </c>
      <c r="M457" s="20">
        <f>IF($B457="","",COUNTIFS('Blocker log'!$A:$A,$B457,'Blocker log'!$G:$G,"&lt;&gt;"))</f>
        <v>0</v>
      </c>
      <c r="N457" s="20">
        <f>IF($B457="","",COUNTIFS('Blocker log'!$A:$A,$B457,'Blocker log'!$G:$G,"Hard blocker"))</f>
        <v>0</v>
      </c>
      <c r="O457" s="20">
        <f>IF($B457="","",COUNTIFS('Blocker log'!$A:$A,$B457,'Blocker log'!$G:$G,"Hard blocker",'Blocker log'!$L:$L,9))</f>
        <v>0</v>
      </c>
      <c r="P457" s="20">
        <f>IF($B457="","",MAXIFS('Blocker log'!$L:$L,'Blocker log'!$A:$A,$B457,'Blocker log'!$G:$G,"Hard blocker"))</f>
        <v>0</v>
      </c>
      <c r="Q457" s="20" t="str">
        <f>IF($B457="","",IF($K457&lt;&gt;"Complete","Assessment pending",IF($N457=0,"Ready now",VLOOKUP($P457,Lists!$D$2:$E$5,2,FALSE))))</f>
        <v>Assessment pending</v>
      </c>
    </row>
    <row r="458" ht="15.75" customHeight="1">
      <c r="A458" s="35" t="s">
        <v>1522</v>
      </c>
      <c r="B458" s="35" t="s">
        <v>1523</v>
      </c>
      <c r="C458" s="35" t="s">
        <v>76</v>
      </c>
      <c r="D458" s="35" t="s">
        <v>58</v>
      </c>
      <c r="E458" s="35" t="s">
        <v>59</v>
      </c>
      <c r="F458" s="35" t="s">
        <v>77</v>
      </c>
      <c r="G458" s="35" t="s">
        <v>999</v>
      </c>
      <c r="H458" s="76">
        <v>114716.0</v>
      </c>
      <c r="I458" s="35"/>
      <c r="M458" s="20">
        <f>IF($B458="","",COUNTIFS('Blocker log'!$A:$A,$B458,'Blocker log'!$G:$G,"&lt;&gt;"))</f>
        <v>0</v>
      </c>
      <c r="N458" s="20">
        <f>IF($B458="","",COUNTIFS('Blocker log'!$A:$A,$B458,'Blocker log'!$G:$G,"Hard blocker"))</f>
        <v>0</v>
      </c>
      <c r="O458" s="20">
        <f>IF($B458="","",COUNTIFS('Blocker log'!$A:$A,$B458,'Blocker log'!$G:$G,"Hard blocker",'Blocker log'!$L:$L,9))</f>
        <v>0</v>
      </c>
      <c r="P458" s="20">
        <f>IF($B458="","",MAXIFS('Blocker log'!$L:$L,'Blocker log'!$A:$A,$B458,'Blocker log'!$G:$G,"Hard blocker"))</f>
        <v>0</v>
      </c>
      <c r="Q458" s="20" t="str">
        <f>IF($B458="","",IF($K458&lt;&gt;"Complete","Assessment pending",IF($N458=0,"Ready now",VLOOKUP($P458,Lists!$D$2:$E$5,2,FALSE))))</f>
        <v>Assessment pending</v>
      </c>
    </row>
    <row r="459" ht="15.75" customHeight="1">
      <c r="A459" s="35" t="s">
        <v>1524</v>
      </c>
      <c r="B459" s="35" t="s">
        <v>1525</v>
      </c>
      <c r="C459" s="35" t="s">
        <v>76</v>
      </c>
      <c r="D459" s="35" t="s">
        <v>58</v>
      </c>
      <c r="E459" s="35" t="s">
        <v>59</v>
      </c>
      <c r="F459" s="35" t="s">
        <v>278</v>
      </c>
      <c r="G459" s="35" t="s">
        <v>999</v>
      </c>
      <c r="H459" s="76">
        <v>114048.0</v>
      </c>
      <c r="I459" s="35"/>
      <c r="M459" s="20">
        <f>IF($B459="","",COUNTIFS('Blocker log'!$A:$A,$B459,'Blocker log'!$G:$G,"&lt;&gt;"))</f>
        <v>0</v>
      </c>
      <c r="N459" s="20">
        <f>IF($B459="","",COUNTIFS('Blocker log'!$A:$A,$B459,'Blocker log'!$G:$G,"Hard blocker"))</f>
        <v>0</v>
      </c>
      <c r="O459" s="20">
        <f>IF($B459="","",COUNTIFS('Blocker log'!$A:$A,$B459,'Blocker log'!$G:$G,"Hard blocker",'Blocker log'!$L:$L,9))</f>
        <v>0</v>
      </c>
      <c r="P459" s="20">
        <f>IF($B459="","",MAXIFS('Blocker log'!$L:$L,'Blocker log'!$A:$A,$B459,'Blocker log'!$G:$G,"Hard blocker"))</f>
        <v>0</v>
      </c>
      <c r="Q459" s="20" t="str">
        <f>IF($B459="","",IF($K459&lt;&gt;"Complete","Assessment pending",IF($N459=0,"Ready now",VLOOKUP($P459,Lists!$D$2:$E$5,2,FALSE))))</f>
        <v>Assessment pending</v>
      </c>
    </row>
    <row r="460" ht="15.75" customHeight="1">
      <c r="A460" s="35" t="s">
        <v>1526</v>
      </c>
      <c r="B460" s="35" t="s">
        <v>1527</v>
      </c>
      <c r="C460" s="35" t="s">
        <v>76</v>
      </c>
      <c r="D460" s="35" t="s">
        <v>171</v>
      </c>
      <c r="E460" s="35" t="s">
        <v>542</v>
      </c>
      <c r="F460" s="35" t="s">
        <v>543</v>
      </c>
      <c r="G460" s="35" t="s">
        <v>980</v>
      </c>
      <c r="H460" s="76">
        <v>112953.0</v>
      </c>
      <c r="I460" s="35"/>
      <c r="M460" s="20">
        <f>IF($B460="","",COUNTIFS('Blocker log'!$A:$A,$B460,'Blocker log'!$G:$G,"&lt;&gt;"))</f>
        <v>0</v>
      </c>
      <c r="N460" s="20">
        <f>IF($B460="","",COUNTIFS('Blocker log'!$A:$A,$B460,'Blocker log'!$G:$G,"Hard blocker"))</f>
        <v>0</v>
      </c>
      <c r="O460" s="20">
        <f>IF($B460="","",COUNTIFS('Blocker log'!$A:$A,$B460,'Blocker log'!$G:$G,"Hard blocker",'Blocker log'!$L:$L,9))</f>
        <v>0</v>
      </c>
      <c r="P460" s="20">
        <f>IF($B460="","",MAXIFS('Blocker log'!$L:$L,'Blocker log'!$A:$A,$B460,'Blocker log'!$G:$G,"Hard blocker"))</f>
        <v>0</v>
      </c>
      <c r="Q460" s="20" t="str">
        <f>IF($B460="","",IF($K460&lt;&gt;"Complete","Assessment pending",IF($N460=0,"Ready now",VLOOKUP($P460,Lists!$D$2:$E$5,2,FALSE))))</f>
        <v>Assessment pending</v>
      </c>
    </row>
    <row r="461" ht="15.75" customHeight="1">
      <c r="A461" s="35" t="s">
        <v>1528</v>
      </c>
      <c r="B461" s="35" t="s">
        <v>1529</v>
      </c>
      <c r="C461" s="35" t="s">
        <v>1286</v>
      </c>
      <c r="D461" s="35" t="s">
        <v>171</v>
      </c>
      <c r="E461" s="35" t="s">
        <v>512</v>
      </c>
      <c r="F461" s="35" t="s">
        <v>537</v>
      </c>
      <c r="G461" s="35" t="s">
        <v>1161</v>
      </c>
      <c r="H461" s="76">
        <v>112883.0</v>
      </c>
      <c r="I461" s="35" t="s">
        <v>406</v>
      </c>
      <c r="M461" s="20">
        <f>IF($B461="","",COUNTIFS('Blocker log'!$A:$A,$B461,'Blocker log'!$G:$G,"&lt;&gt;"))</f>
        <v>0</v>
      </c>
      <c r="N461" s="20">
        <f>IF($B461="","",COUNTIFS('Blocker log'!$A:$A,$B461,'Blocker log'!$G:$G,"Hard blocker"))</f>
        <v>0</v>
      </c>
      <c r="O461" s="20">
        <f>IF($B461="","",COUNTIFS('Blocker log'!$A:$A,$B461,'Blocker log'!$G:$G,"Hard blocker",'Blocker log'!$L:$L,9))</f>
        <v>0</v>
      </c>
      <c r="P461" s="20">
        <f>IF($B461="","",MAXIFS('Blocker log'!$L:$L,'Blocker log'!$A:$A,$B461,'Blocker log'!$G:$G,"Hard blocker"))</f>
        <v>0</v>
      </c>
      <c r="Q461" s="20" t="str">
        <f>IF($B461="","",IF($K461&lt;&gt;"Complete","Assessment pending",IF($N461=0,"Ready now",VLOOKUP($P461,Lists!$D$2:$E$5,2,FALSE))))</f>
        <v>Assessment pending</v>
      </c>
    </row>
    <row r="462" ht="15.75" customHeight="1">
      <c r="A462" s="35" t="s">
        <v>1530</v>
      </c>
      <c r="B462" s="35" t="s">
        <v>1531</v>
      </c>
      <c r="C462" s="35" t="s">
        <v>1286</v>
      </c>
      <c r="D462" s="35" t="s">
        <v>171</v>
      </c>
      <c r="E462" s="35" t="s">
        <v>773</v>
      </c>
      <c r="F462" s="35" t="s">
        <v>774</v>
      </c>
      <c r="G462" s="35" t="s">
        <v>1161</v>
      </c>
      <c r="H462" s="76">
        <v>112419.0</v>
      </c>
      <c r="I462" s="35" t="s">
        <v>407</v>
      </c>
      <c r="M462" s="20">
        <f>IF($B462="","",COUNTIFS('Blocker log'!$A:$A,$B462,'Blocker log'!$G:$G,"&lt;&gt;"))</f>
        <v>0</v>
      </c>
      <c r="N462" s="20">
        <f>IF($B462="","",COUNTIFS('Blocker log'!$A:$A,$B462,'Blocker log'!$G:$G,"Hard blocker"))</f>
        <v>0</v>
      </c>
      <c r="O462" s="20">
        <f>IF($B462="","",COUNTIFS('Blocker log'!$A:$A,$B462,'Blocker log'!$G:$G,"Hard blocker",'Blocker log'!$L:$L,9))</f>
        <v>0</v>
      </c>
      <c r="P462" s="20">
        <f>IF($B462="","",MAXIFS('Blocker log'!$L:$L,'Blocker log'!$A:$A,$B462,'Blocker log'!$G:$G,"Hard blocker"))</f>
        <v>0</v>
      </c>
      <c r="Q462" s="20" t="str">
        <f>IF($B462="","",IF($K462&lt;&gt;"Complete","Assessment pending",IF($N462=0,"Ready now",VLOOKUP($P462,Lists!$D$2:$E$5,2,FALSE))))</f>
        <v>Assessment pending</v>
      </c>
    </row>
    <row r="463" ht="15.75" customHeight="1">
      <c r="A463" s="35" t="s">
        <v>1532</v>
      </c>
      <c r="B463" s="35" t="s">
        <v>1533</v>
      </c>
      <c r="C463" s="35" t="s">
        <v>1286</v>
      </c>
      <c r="D463" s="35" t="s">
        <v>58</v>
      </c>
      <c r="E463" s="35" t="s">
        <v>59</v>
      </c>
      <c r="F463" s="35" t="s">
        <v>225</v>
      </c>
      <c r="G463" s="35" t="s">
        <v>1042</v>
      </c>
      <c r="H463" s="76">
        <v>112247.0</v>
      </c>
      <c r="I463" s="35" t="s">
        <v>408</v>
      </c>
      <c r="M463" s="20">
        <f>IF($B463="","",COUNTIFS('Blocker log'!$A:$A,$B463,'Blocker log'!$G:$G,"&lt;&gt;"))</f>
        <v>0</v>
      </c>
      <c r="N463" s="20">
        <f>IF($B463="","",COUNTIFS('Blocker log'!$A:$A,$B463,'Blocker log'!$G:$G,"Hard blocker"))</f>
        <v>0</v>
      </c>
      <c r="O463" s="20">
        <f>IF($B463="","",COUNTIFS('Blocker log'!$A:$A,$B463,'Blocker log'!$G:$G,"Hard blocker",'Blocker log'!$L:$L,9))</f>
        <v>0</v>
      </c>
      <c r="P463" s="20">
        <f>IF($B463="","",MAXIFS('Blocker log'!$L:$L,'Blocker log'!$A:$A,$B463,'Blocker log'!$G:$G,"Hard blocker"))</f>
        <v>0</v>
      </c>
      <c r="Q463" s="20" t="str">
        <f>IF($B463="","",IF($K463&lt;&gt;"Complete","Assessment pending",IF($N463=0,"Ready now",VLOOKUP($P463,Lists!$D$2:$E$5,2,FALSE))))</f>
        <v>Assessment pending</v>
      </c>
    </row>
    <row r="464" ht="15.75" customHeight="1">
      <c r="A464" s="35" t="s">
        <v>1534</v>
      </c>
      <c r="B464" s="35" t="s">
        <v>1535</v>
      </c>
      <c r="C464" s="35" t="s">
        <v>1286</v>
      </c>
      <c r="D464" s="35" t="s">
        <v>58</v>
      </c>
      <c r="E464" s="35" t="s">
        <v>181</v>
      </c>
      <c r="F464" s="35" t="s">
        <v>217</v>
      </c>
      <c r="G464" s="35" t="s">
        <v>1161</v>
      </c>
      <c r="H464" s="76">
        <v>111202.0</v>
      </c>
      <c r="I464" s="35" t="s">
        <v>409</v>
      </c>
      <c r="M464" s="20">
        <f>IF($B464="","",COUNTIFS('Blocker log'!$A:$A,$B464,'Blocker log'!$G:$G,"&lt;&gt;"))</f>
        <v>0</v>
      </c>
      <c r="N464" s="20">
        <f>IF($B464="","",COUNTIFS('Blocker log'!$A:$A,$B464,'Blocker log'!$G:$G,"Hard blocker"))</f>
        <v>0</v>
      </c>
      <c r="O464" s="20">
        <f>IF($B464="","",COUNTIFS('Blocker log'!$A:$A,$B464,'Blocker log'!$G:$G,"Hard blocker",'Blocker log'!$L:$L,9))</f>
        <v>0</v>
      </c>
      <c r="P464" s="20">
        <f>IF($B464="","",MAXIFS('Blocker log'!$L:$L,'Blocker log'!$A:$A,$B464,'Blocker log'!$G:$G,"Hard blocker"))</f>
        <v>0</v>
      </c>
      <c r="Q464" s="20" t="str">
        <f>IF($B464="","",IF($K464&lt;&gt;"Complete","Assessment pending",IF($N464=0,"Ready now",VLOOKUP($P464,Lists!$D$2:$E$5,2,FALSE))))</f>
        <v>Assessment pending</v>
      </c>
    </row>
    <row r="465" ht="15.75" customHeight="1">
      <c r="A465" s="35" t="s">
        <v>1536</v>
      </c>
      <c r="B465" s="35" t="s">
        <v>1537</v>
      </c>
      <c r="C465" s="35" t="s">
        <v>1286</v>
      </c>
      <c r="D465" s="35" t="s">
        <v>171</v>
      </c>
      <c r="E465" s="35" t="s">
        <v>773</v>
      </c>
      <c r="F465" s="35" t="s">
        <v>774</v>
      </c>
      <c r="G465" s="35" t="s">
        <v>1161</v>
      </c>
      <c r="H465" s="76">
        <v>110880.0</v>
      </c>
      <c r="I465" s="35" t="s">
        <v>406</v>
      </c>
      <c r="M465" s="20">
        <f>IF($B465="","",COUNTIFS('Blocker log'!$A:$A,$B465,'Blocker log'!$G:$G,"&lt;&gt;"))</f>
        <v>0</v>
      </c>
      <c r="N465" s="20">
        <f>IF($B465="","",COUNTIFS('Blocker log'!$A:$A,$B465,'Blocker log'!$G:$G,"Hard blocker"))</f>
        <v>0</v>
      </c>
      <c r="O465" s="20">
        <f>IF($B465="","",COUNTIFS('Blocker log'!$A:$A,$B465,'Blocker log'!$G:$G,"Hard blocker",'Blocker log'!$L:$L,9))</f>
        <v>0</v>
      </c>
      <c r="P465" s="20">
        <f>IF($B465="","",MAXIFS('Blocker log'!$L:$L,'Blocker log'!$A:$A,$B465,'Blocker log'!$G:$G,"Hard blocker"))</f>
        <v>0</v>
      </c>
      <c r="Q465" s="20" t="str">
        <f>IF($B465="","",IF($K465&lt;&gt;"Complete","Assessment pending",IF($N465=0,"Ready now",VLOOKUP($P465,Lists!$D$2:$E$5,2,FALSE))))</f>
        <v>Assessment pending</v>
      </c>
    </row>
    <row r="466" ht="15.75" customHeight="1">
      <c r="A466" s="35" t="s">
        <v>1538</v>
      </c>
      <c r="B466" s="35" t="s">
        <v>1539</v>
      </c>
      <c r="C466" s="35" t="s">
        <v>1286</v>
      </c>
      <c r="D466" s="35" t="s">
        <v>301</v>
      </c>
      <c r="E466" s="35" t="s">
        <v>490</v>
      </c>
      <c r="F466" s="35" t="s">
        <v>490</v>
      </c>
      <c r="G466" s="35" t="s">
        <v>1161</v>
      </c>
      <c r="H466" s="76">
        <v>110601.0</v>
      </c>
      <c r="I466" s="35" t="s">
        <v>410</v>
      </c>
      <c r="M466" s="20">
        <f>IF($B466="","",COUNTIFS('Blocker log'!$A:$A,$B466,'Blocker log'!$G:$G,"&lt;&gt;"))</f>
        <v>0</v>
      </c>
      <c r="N466" s="20">
        <f>IF($B466="","",COUNTIFS('Blocker log'!$A:$A,$B466,'Blocker log'!$G:$G,"Hard blocker"))</f>
        <v>0</v>
      </c>
      <c r="O466" s="20">
        <f>IF($B466="","",COUNTIFS('Blocker log'!$A:$A,$B466,'Blocker log'!$G:$G,"Hard blocker",'Blocker log'!$L:$L,9))</f>
        <v>0</v>
      </c>
      <c r="P466" s="20">
        <f>IF($B466="","",MAXIFS('Blocker log'!$L:$L,'Blocker log'!$A:$A,$B466,'Blocker log'!$G:$G,"Hard blocker"))</f>
        <v>0</v>
      </c>
      <c r="Q466" s="20" t="str">
        <f>IF($B466="","",IF($K466&lt;&gt;"Complete","Assessment pending",IF($N466=0,"Ready now",VLOOKUP($P466,Lists!$D$2:$E$5,2,FALSE))))</f>
        <v>Assessment pending</v>
      </c>
    </row>
    <row r="467" ht="15.75" customHeight="1">
      <c r="A467" s="35" t="s">
        <v>1540</v>
      </c>
      <c r="B467" s="35" t="s">
        <v>1541</v>
      </c>
      <c r="C467" s="35" t="s">
        <v>76</v>
      </c>
      <c r="D467" s="35" t="s">
        <v>301</v>
      </c>
      <c r="E467" s="35" t="s">
        <v>490</v>
      </c>
      <c r="F467" s="35" t="s">
        <v>490</v>
      </c>
      <c r="G467" s="35" t="s">
        <v>1042</v>
      </c>
      <c r="H467" s="76">
        <v>109688.0</v>
      </c>
      <c r="I467" s="35"/>
      <c r="M467" s="20">
        <f>IF($B467="","",COUNTIFS('Blocker log'!$A:$A,$B467,'Blocker log'!$G:$G,"&lt;&gt;"))</f>
        <v>0</v>
      </c>
      <c r="N467" s="20">
        <f>IF($B467="","",COUNTIFS('Blocker log'!$A:$A,$B467,'Blocker log'!$G:$G,"Hard blocker"))</f>
        <v>0</v>
      </c>
      <c r="O467" s="20">
        <f>IF($B467="","",COUNTIFS('Blocker log'!$A:$A,$B467,'Blocker log'!$G:$G,"Hard blocker",'Blocker log'!$L:$L,9))</f>
        <v>0</v>
      </c>
      <c r="P467" s="20">
        <f>IF($B467="","",MAXIFS('Blocker log'!$L:$L,'Blocker log'!$A:$A,$B467,'Blocker log'!$G:$G,"Hard blocker"))</f>
        <v>0</v>
      </c>
      <c r="Q467" s="20" t="str">
        <f>IF($B467="","",IF($K467&lt;&gt;"Complete","Assessment pending",IF($N467=0,"Ready now",VLOOKUP($P467,Lists!$D$2:$E$5,2,FALSE))))</f>
        <v>Assessment pending</v>
      </c>
    </row>
    <row r="468" ht="15.75" customHeight="1">
      <c r="A468" s="35" t="s">
        <v>1542</v>
      </c>
      <c r="B468" s="35" t="s">
        <v>1543</v>
      </c>
      <c r="C468" s="35" t="s">
        <v>1286</v>
      </c>
      <c r="D468" s="35" t="s">
        <v>58</v>
      </c>
      <c r="E468" s="35" t="s">
        <v>181</v>
      </c>
      <c r="F468" s="35" t="s">
        <v>190</v>
      </c>
      <c r="G468" s="35" t="s">
        <v>1161</v>
      </c>
      <c r="H468" s="76">
        <v>109296.0</v>
      </c>
      <c r="I468" s="35" t="s">
        <v>411</v>
      </c>
      <c r="M468" s="20">
        <f>IF($B468="","",COUNTIFS('Blocker log'!$A:$A,$B468,'Blocker log'!$G:$G,"&lt;&gt;"))</f>
        <v>0</v>
      </c>
      <c r="N468" s="20">
        <f>IF($B468="","",COUNTIFS('Blocker log'!$A:$A,$B468,'Blocker log'!$G:$G,"Hard blocker"))</f>
        <v>0</v>
      </c>
      <c r="O468" s="20">
        <f>IF($B468="","",COUNTIFS('Blocker log'!$A:$A,$B468,'Blocker log'!$G:$G,"Hard blocker",'Blocker log'!$L:$L,9))</f>
        <v>0</v>
      </c>
      <c r="P468" s="20">
        <f>IF($B468="","",MAXIFS('Blocker log'!$L:$L,'Blocker log'!$A:$A,$B468,'Blocker log'!$G:$G,"Hard blocker"))</f>
        <v>0</v>
      </c>
      <c r="Q468" s="20" t="str">
        <f>IF($B468="","",IF($K468&lt;&gt;"Complete","Assessment pending",IF($N468=0,"Ready now",VLOOKUP($P468,Lists!$D$2:$E$5,2,FALSE))))</f>
        <v>Assessment pending</v>
      </c>
    </row>
    <row r="469" ht="15.75" customHeight="1">
      <c r="A469" s="35" t="s">
        <v>1544</v>
      </c>
      <c r="B469" s="35" t="s">
        <v>1545</v>
      </c>
      <c r="C469" s="35" t="s">
        <v>1286</v>
      </c>
      <c r="D469" s="35" t="s">
        <v>301</v>
      </c>
      <c r="E469" s="35" t="s">
        <v>1281</v>
      </c>
      <c r="F469" s="35" t="s">
        <v>1281</v>
      </c>
      <c r="G469" s="35" t="s">
        <v>1042</v>
      </c>
      <c r="H469" s="76">
        <v>108810.0</v>
      </c>
      <c r="I469" s="35" t="s">
        <v>412</v>
      </c>
      <c r="M469" s="20">
        <f>IF($B469="","",COUNTIFS('Blocker log'!$A:$A,$B469,'Blocker log'!$G:$G,"&lt;&gt;"))</f>
        <v>0</v>
      </c>
      <c r="N469" s="20">
        <f>IF($B469="","",COUNTIFS('Blocker log'!$A:$A,$B469,'Blocker log'!$G:$G,"Hard blocker"))</f>
        <v>0</v>
      </c>
      <c r="O469" s="20">
        <f>IF($B469="","",COUNTIFS('Blocker log'!$A:$A,$B469,'Blocker log'!$G:$G,"Hard blocker",'Blocker log'!$L:$L,9))</f>
        <v>0</v>
      </c>
      <c r="P469" s="20">
        <f>IF($B469="","",MAXIFS('Blocker log'!$L:$L,'Blocker log'!$A:$A,$B469,'Blocker log'!$G:$G,"Hard blocker"))</f>
        <v>0</v>
      </c>
      <c r="Q469" s="20" t="str">
        <f>IF($B469="","",IF($K469&lt;&gt;"Complete","Assessment pending",IF($N469=0,"Ready now",VLOOKUP($P469,Lists!$D$2:$E$5,2,FALSE))))</f>
        <v>Assessment pending</v>
      </c>
    </row>
    <row r="470" ht="15.75" customHeight="1">
      <c r="A470" s="35" t="s">
        <v>1546</v>
      </c>
      <c r="B470" s="35" t="s">
        <v>1547</v>
      </c>
      <c r="C470" s="35" t="s">
        <v>1286</v>
      </c>
      <c r="D470" s="35" t="s">
        <v>171</v>
      </c>
      <c r="E470" s="35" t="s">
        <v>587</v>
      </c>
      <c r="F470" s="35" t="s">
        <v>1369</v>
      </c>
      <c r="G470" s="35" t="s">
        <v>1161</v>
      </c>
      <c r="H470" s="76">
        <v>108810.0</v>
      </c>
      <c r="I470" s="35"/>
      <c r="M470" s="20">
        <f>IF($B470="","",COUNTIFS('Blocker log'!$A:$A,$B470,'Blocker log'!$G:$G,"&lt;&gt;"))</f>
        <v>0</v>
      </c>
      <c r="N470" s="20">
        <f>IF($B470="","",COUNTIFS('Blocker log'!$A:$A,$B470,'Blocker log'!$G:$G,"Hard blocker"))</f>
        <v>0</v>
      </c>
      <c r="O470" s="20">
        <f>IF($B470="","",COUNTIFS('Blocker log'!$A:$A,$B470,'Blocker log'!$G:$G,"Hard blocker",'Blocker log'!$L:$L,9))</f>
        <v>0</v>
      </c>
      <c r="P470" s="20">
        <f>IF($B470="","",MAXIFS('Blocker log'!$L:$L,'Blocker log'!$A:$A,$B470,'Blocker log'!$G:$G,"Hard blocker"))</f>
        <v>0</v>
      </c>
      <c r="Q470" s="20" t="str">
        <f>IF($B470="","",IF($K470&lt;&gt;"Complete","Assessment pending",IF($N470=0,"Ready now",VLOOKUP($P470,Lists!$D$2:$E$5,2,FALSE))))</f>
        <v>Assessment pending</v>
      </c>
    </row>
    <row r="471" ht="15.75" customHeight="1">
      <c r="A471" s="35" t="s">
        <v>1548</v>
      </c>
      <c r="B471" s="35" t="s">
        <v>1549</v>
      </c>
      <c r="C471" s="35" t="s">
        <v>76</v>
      </c>
      <c r="D471" s="35" t="s">
        <v>260</v>
      </c>
      <c r="E471" s="35" t="s">
        <v>1096</v>
      </c>
      <c r="F471" s="35" t="s">
        <v>1366</v>
      </c>
      <c r="G471" s="35" t="s">
        <v>977</v>
      </c>
      <c r="H471" s="76">
        <v>108377.0</v>
      </c>
      <c r="I471" s="35"/>
      <c r="M471" s="20">
        <f>IF($B471="","",COUNTIFS('Blocker log'!$A:$A,$B471,'Blocker log'!$G:$G,"&lt;&gt;"))</f>
        <v>0</v>
      </c>
      <c r="N471" s="20">
        <f>IF($B471="","",COUNTIFS('Blocker log'!$A:$A,$B471,'Blocker log'!$G:$G,"Hard blocker"))</f>
        <v>0</v>
      </c>
      <c r="O471" s="20">
        <f>IF($B471="","",COUNTIFS('Blocker log'!$A:$A,$B471,'Blocker log'!$G:$G,"Hard blocker",'Blocker log'!$L:$L,9))</f>
        <v>0</v>
      </c>
      <c r="P471" s="20">
        <f>IF($B471="","",MAXIFS('Blocker log'!$L:$L,'Blocker log'!$A:$A,$B471,'Blocker log'!$G:$G,"Hard blocker"))</f>
        <v>0</v>
      </c>
      <c r="Q471" s="20" t="str">
        <f>IF($B471="","",IF($K471&lt;&gt;"Complete","Assessment pending",IF($N471=0,"Ready now",VLOOKUP($P471,Lists!$D$2:$E$5,2,FALSE))))</f>
        <v>Assessment pending</v>
      </c>
    </row>
    <row r="472" ht="15.75" customHeight="1">
      <c r="A472" s="35" t="s">
        <v>1550</v>
      </c>
      <c r="B472" s="35" t="s">
        <v>1551</v>
      </c>
      <c r="C472" s="35" t="s">
        <v>1286</v>
      </c>
      <c r="D472" s="35" t="s">
        <v>58</v>
      </c>
      <c r="E472" s="35" t="s">
        <v>101</v>
      </c>
      <c r="F472" s="35" t="s">
        <v>116</v>
      </c>
      <c r="G472" s="35" t="s">
        <v>1161</v>
      </c>
      <c r="H472" s="76">
        <v>108346.0</v>
      </c>
      <c r="I472" s="35"/>
      <c r="M472" s="20">
        <f>IF($B472="","",COUNTIFS('Blocker log'!$A:$A,$B472,'Blocker log'!$G:$G,"&lt;&gt;"))</f>
        <v>0</v>
      </c>
      <c r="N472" s="20">
        <f>IF($B472="","",COUNTIFS('Blocker log'!$A:$A,$B472,'Blocker log'!$G:$G,"Hard blocker"))</f>
        <v>0</v>
      </c>
      <c r="O472" s="20">
        <f>IF($B472="","",COUNTIFS('Blocker log'!$A:$A,$B472,'Blocker log'!$G:$G,"Hard blocker",'Blocker log'!$L:$L,9))</f>
        <v>0</v>
      </c>
      <c r="P472" s="20">
        <f>IF($B472="","",MAXIFS('Blocker log'!$L:$L,'Blocker log'!$A:$A,$B472,'Blocker log'!$G:$G,"Hard blocker"))</f>
        <v>0</v>
      </c>
      <c r="Q472" s="20" t="str">
        <f>IF($B472="","",IF($K472&lt;&gt;"Complete","Assessment pending",IF($N472=0,"Ready now",VLOOKUP($P472,Lists!$D$2:$E$5,2,FALSE))))</f>
        <v>Assessment pending</v>
      </c>
    </row>
    <row r="473" ht="15.75" customHeight="1">
      <c r="A473" s="35" t="s">
        <v>1552</v>
      </c>
      <c r="B473" s="35" t="s">
        <v>1553</v>
      </c>
      <c r="C473" s="35" t="s">
        <v>76</v>
      </c>
      <c r="D473" s="35" t="s">
        <v>171</v>
      </c>
      <c r="E473" s="35" t="s">
        <v>512</v>
      </c>
      <c r="F473" s="35" t="s">
        <v>513</v>
      </c>
      <c r="G473" s="35" t="s">
        <v>999</v>
      </c>
      <c r="H473" s="76">
        <v>106795.0</v>
      </c>
      <c r="I473" s="35"/>
      <c r="M473" s="20">
        <f>IF($B473="","",COUNTIFS('Blocker log'!$A:$A,$B473,'Blocker log'!$G:$G,"&lt;&gt;"))</f>
        <v>0</v>
      </c>
      <c r="N473" s="20">
        <f>IF($B473="","",COUNTIFS('Blocker log'!$A:$A,$B473,'Blocker log'!$G:$G,"Hard blocker"))</f>
        <v>0</v>
      </c>
      <c r="O473" s="20">
        <f>IF($B473="","",COUNTIFS('Blocker log'!$A:$A,$B473,'Blocker log'!$G:$G,"Hard blocker",'Blocker log'!$L:$L,9))</f>
        <v>0</v>
      </c>
      <c r="P473" s="20">
        <f>IF($B473="","",MAXIFS('Blocker log'!$L:$L,'Blocker log'!$A:$A,$B473,'Blocker log'!$G:$G,"Hard blocker"))</f>
        <v>0</v>
      </c>
      <c r="Q473" s="20" t="str">
        <f>IF($B473="","",IF($K473&lt;&gt;"Complete","Assessment pending",IF($N473=0,"Ready now",VLOOKUP($P473,Lists!$D$2:$E$5,2,FALSE))))</f>
        <v>Assessment pending</v>
      </c>
    </row>
    <row r="474" ht="15.75" customHeight="1">
      <c r="A474" s="35" t="s">
        <v>1554</v>
      </c>
      <c r="B474" s="35" t="s">
        <v>1555</v>
      </c>
      <c r="C474" s="35" t="s">
        <v>76</v>
      </c>
      <c r="D474" s="35" t="s">
        <v>58</v>
      </c>
      <c r="E474" s="35" t="s">
        <v>59</v>
      </c>
      <c r="F474" s="35" t="s">
        <v>598</v>
      </c>
      <c r="G474" s="35" t="s">
        <v>980</v>
      </c>
      <c r="H474" s="76">
        <v>106726.0</v>
      </c>
      <c r="I474" s="35"/>
      <c r="M474" s="20">
        <f>IF($B474="","",COUNTIFS('Blocker log'!$A:$A,$B474,'Blocker log'!$G:$G,"&lt;&gt;"))</f>
        <v>0</v>
      </c>
      <c r="N474" s="20">
        <f>IF($B474="","",COUNTIFS('Blocker log'!$A:$A,$B474,'Blocker log'!$G:$G,"Hard blocker"))</f>
        <v>0</v>
      </c>
      <c r="O474" s="20">
        <f>IF($B474="","",COUNTIFS('Blocker log'!$A:$A,$B474,'Blocker log'!$G:$G,"Hard blocker",'Blocker log'!$L:$L,9))</f>
        <v>0</v>
      </c>
      <c r="P474" s="20">
        <f>IF($B474="","",MAXIFS('Blocker log'!$L:$L,'Blocker log'!$A:$A,$B474,'Blocker log'!$G:$G,"Hard blocker"))</f>
        <v>0</v>
      </c>
      <c r="Q474" s="20" t="str">
        <f>IF($B474="","",IF($K474&lt;&gt;"Complete","Assessment pending",IF($N474=0,"Ready now",VLOOKUP($P474,Lists!$D$2:$E$5,2,FALSE))))</f>
        <v>Assessment pending</v>
      </c>
    </row>
    <row r="475" ht="15.75" customHeight="1">
      <c r="A475" s="35" t="s">
        <v>1556</v>
      </c>
      <c r="B475" s="35" t="s">
        <v>1557</v>
      </c>
      <c r="C475" s="35" t="s">
        <v>1286</v>
      </c>
      <c r="D475" s="35" t="s">
        <v>58</v>
      </c>
      <c r="E475" s="35" t="s">
        <v>101</v>
      </c>
      <c r="F475" s="35" t="s">
        <v>102</v>
      </c>
      <c r="G475" s="35" t="s">
        <v>1161</v>
      </c>
      <c r="H475" s="76">
        <v>106407.0</v>
      </c>
      <c r="I475" s="35" t="s">
        <v>413</v>
      </c>
      <c r="M475" s="20">
        <f>IF($B475="","",COUNTIFS('Blocker log'!$A:$A,$B475,'Blocker log'!$G:$G,"&lt;&gt;"))</f>
        <v>0</v>
      </c>
      <c r="N475" s="20">
        <f>IF($B475="","",COUNTIFS('Blocker log'!$A:$A,$B475,'Blocker log'!$G:$G,"Hard blocker"))</f>
        <v>0</v>
      </c>
      <c r="O475" s="20">
        <f>IF($B475="","",COUNTIFS('Blocker log'!$A:$A,$B475,'Blocker log'!$G:$G,"Hard blocker",'Blocker log'!$L:$L,9))</f>
        <v>0</v>
      </c>
      <c r="P475" s="20">
        <f>IF($B475="","",MAXIFS('Blocker log'!$L:$L,'Blocker log'!$A:$A,$B475,'Blocker log'!$G:$G,"Hard blocker"))</f>
        <v>0</v>
      </c>
      <c r="Q475" s="20" t="str">
        <f>IF($B475="","",IF($K475&lt;&gt;"Complete","Assessment pending",IF($N475=0,"Ready now",VLOOKUP($P475,Lists!$D$2:$E$5,2,FALSE))))</f>
        <v>Assessment pending</v>
      </c>
    </row>
    <row r="476" ht="15.75" customHeight="1">
      <c r="A476" s="35" t="s">
        <v>1558</v>
      </c>
      <c r="B476" s="35" t="s">
        <v>1559</v>
      </c>
      <c r="C476" s="35" t="s">
        <v>76</v>
      </c>
      <c r="D476" s="35" t="s">
        <v>58</v>
      </c>
      <c r="E476" s="35" t="s">
        <v>132</v>
      </c>
      <c r="F476" s="35" t="s">
        <v>949</v>
      </c>
      <c r="G476" s="35" t="s">
        <v>980</v>
      </c>
      <c r="H476" s="76">
        <v>106382.0</v>
      </c>
      <c r="I476" s="35"/>
      <c r="M476" s="20">
        <f>IF($B476="","",COUNTIFS('Blocker log'!$A:$A,$B476,'Blocker log'!$G:$G,"&lt;&gt;"))</f>
        <v>0</v>
      </c>
      <c r="N476" s="20">
        <f>IF($B476="","",COUNTIFS('Blocker log'!$A:$A,$B476,'Blocker log'!$G:$G,"Hard blocker"))</f>
        <v>0</v>
      </c>
      <c r="O476" s="20">
        <f>IF($B476="","",COUNTIFS('Blocker log'!$A:$A,$B476,'Blocker log'!$G:$G,"Hard blocker",'Blocker log'!$L:$L,9))</f>
        <v>0</v>
      </c>
      <c r="P476" s="20">
        <f>IF($B476="","",MAXIFS('Blocker log'!$L:$L,'Blocker log'!$A:$A,$B476,'Blocker log'!$G:$G,"Hard blocker"))</f>
        <v>0</v>
      </c>
      <c r="Q476" s="20" t="str">
        <f>IF($B476="","",IF($K476&lt;&gt;"Complete","Assessment pending",IF($N476=0,"Ready now",VLOOKUP($P476,Lists!$D$2:$E$5,2,FALSE))))</f>
        <v>Assessment pending</v>
      </c>
    </row>
    <row r="477" ht="15.75" customHeight="1">
      <c r="A477" s="35" t="s">
        <v>1560</v>
      </c>
      <c r="B477" s="35" t="s">
        <v>1561</v>
      </c>
      <c r="C477" s="35" t="s">
        <v>1286</v>
      </c>
      <c r="D477" s="35" t="s">
        <v>58</v>
      </c>
      <c r="E477" s="35" t="s">
        <v>181</v>
      </c>
      <c r="F477" s="35" t="s">
        <v>217</v>
      </c>
      <c r="G477" s="35" t="s">
        <v>1161</v>
      </c>
      <c r="H477" s="76">
        <v>106260.0</v>
      </c>
      <c r="I477" s="35" t="s">
        <v>414</v>
      </c>
      <c r="M477" s="20">
        <f>IF($B477="","",COUNTIFS('Blocker log'!$A:$A,$B477,'Blocker log'!$G:$G,"&lt;&gt;"))</f>
        <v>0</v>
      </c>
      <c r="N477" s="20">
        <f>IF($B477="","",COUNTIFS('Blocker log'!$A:$A,$B477,'Blocker log'!$G:$G,"Hard blocker"))</f>
        <v>0</v>
      </c>
      <c r="O477" s="20">
        <f>IF($B477="","",COUNTIFS('Blocker log'!$A:$A,$B477,'Blocker log'!$G:$G,"Hard blocker",'Blocker log'!$L:$L,9))</f>
        <v>0</v>
      </c>
      <c r="P477" s="20">
        <f>IF($B477="","",MAXIFS('Blocker log'!$L:$L,'Blocker log'!$A:$A,$B477,'Blocker log'!$G:$G,"Hard blocker"))</f>
        <v>0</v>
      </c>
      <c r="Q477" s="20" t="str">
        <f>IF($B477="","",IF($K477&lt;&gt;"Complete","Assessment pending",IF($N477=0,"Ready now",VLOOKUP($P477,Lists!$D$2:$E$5,2,FALSE))))</f>
        <v>Assessment pending</v>
      </c>
    </row>
    <row r="478" ht="15.75" customHeight="1">
      <c r="A478" s="35" t="s">
        <v>1562</v>
      </c>
      <c r="B478" s="35" t="s">
        <v>1563</v>
      </c>
      <c r="C478" s="35" t="s">
        <v>1286</v>
      </c>
      <c r="D478" s="35" t="s">
        <v>260</v>
      </c>
      <c r="E478" s="35" t="s">
        <v>576</v>
      </c>
      <c r="F478" s="35" t="s">
        <v>1228</v>
      </c>
      <c r="G478" s="35" t="s">
        <v>1161</v>
      </c>
      <c r="H478" s="76">
        <v>105807.0</v>
      </c>
      <c r="I478" s="35" t="s">
        <v>403</v>
      </c>
      <c r="M478" s="20">
        <f>IF($B478="","",COUNTIFS('Blocker log'!$A:$A,$B478,'Blocker log'!$G:$G,"&lt;&gt;"))</f>
        <v>0</v>
      </c>
      <c r="N478" s="20">
        <f>IF($B478="","",COUNTIFS('Blocker log'!$A:$A,$B478,'Blocker log'!$G:$G,"Hard blocker"))</f>
        <v>0</v>
      </c>
      <c r="O478" s="20">
        <f>IF($B478="","",COUNTIFS('Blocker log'!$A:$A,$B478,'Blocker log'!$G:$G,"Hard blocker",'Blocker log'!$L:$L,9))</f>
        <v>0</v>
      </c>
      <c r="P478" s="20">
        <f>IF($B478="","",MAXIFS('Blocker log'!$L:$L,'Blocker log'!$A:$A,$B478,'Blocker log'!$G:$G,"Hard blocker"))</f>
        <v>0</v>
      </c>
      <c r="Q478" s="20" t="str">
        <f>IF($B478="","",IF($K478&lt;&gt;"Complete","Assessment pending",IF($N478=0,"Ready now",VLOOKUP($P478,Lists!$D$2:$E$5,2,FALSE))))</f>
        <v>Assessment pending</v>
      </c>
    </row>
    <row r="479" ht="15.75" customHeight="1">
      <c r="A479" s="35" t="s">
        <v>1564</v>
      </c>
      <c r="B479" s="35" t="s">
        <v>1565</v>
      </c>
      <c r="C479" s="35" t="s">
        <v>1286</v>
      </c>
      <c r="D479" s="35" t="s">
        <v>58</v>
      </c>
      <c r="E479" s="35" t="s">
        <v>101</v>
      </c>
      <c r="F479" s="35" t="s">
        <v>554</v>
      </c>
      <c r="G479" s="35" t="s">
        <v>1161</v>
      </c>
      <c r="H479" s="76">
        <v>105726.0</v>
      </c>
      <c r="I479" s="35"/>
      <c r="M479" s="20">
        <f>IF($B479="","",COUNTIFS('Blocker log'!$A:$A,$B479,'Blocker log'!$G:$G,"&lt;&gt;"))</f>
        <v>0</v>
      </c>
      <c r="N479" s="20">
        <f>IF($B479="","",COUNTIFS('Blocker log'!$A:$A,$B479,'Blocker log'!$G:$G,"Hard blocker"))</f>
        <v>0</v>
      </c>
      <c r="O479" s="20">
        <f>IF($B479="","",COUNTIFS('Blocker log'!$A:$A,$B479,'Blocker log'!$G:$G,"Hard blocker",'Blocker log'!$L:$L,9))</f>
        <v>0</v>
      </c>
      <c r="P479" s="20">
        <f>IF($B479="","",MAXIFS('Blocker log'!$L:$L,'Blocker log'!$A:$A,$B479,'Blocker log'!$G:$G,"Hard blocker"))</f>
        <v>0</v>
      </c>
      <c r="Q479" s="20" t="str">
        <f>IF($B479="","",IF($K479&lt;&gt;"Complete","Assessment pending",IF($N479=0,"Ready now",VLOOKUP($P479,Lists!$D$2:$E$5,2,FALSE))))</f>
        <v>Assessment pending</v>
      </c>
    </row>
    <row r="480" ht="15.75" customHeight="1">
      <c r="A480" s="35" t="s">
        <v>1566</v>
      </c>
      <c r="B480" s="35" t="s">
        <v>1567</v>
      </c>
      <c r="C480" s="35" t="s">
        <v>1286</v>
      </c>
      <c r="D480" s="35" t="s">
        <v>171</v>
      </c>
      <c r="E480" s="35" t="s">
        <v>668</v>
      </c>
      <c r="F480" s="35" t="s">
        <v>669</v>
      </c>
      <c r="G480" s="35" t="s">
        <v>1161</v>
      </c>
      <c r="H480" s="76">
        <v>105318.0</v>
      </c>
      <c r="I480" s="35" t="s">
        <v>415</v>
      </c>
      <c r="M480" s="20">
        <f>IF($B480="","",COUNTIFS('Blocker log'!$A:$A,$B480,'Blocker log'!$G:$G,"&lt;&gt;"))</f>
        <v>0</v>
      </c>
      <c r="N480" s="20">
        <f>IF($B480="","",COUNTIFS('Blocker log'!$A:$A,$B480,'Blocker log'!$G:$G,"Hard blocker"))</f>
        <v>0</v>
      </c>
      <c r="O480" s="20">
        <f>IF($B480="","",COUNTIFS('Blocker log'!$A:$A,$B480,'Blocker log'!$G:$G,"Hard blocker",'Blocker log'!$L:$L,9))</f>
        <v>0</v>
      </c>
      <c r="P480" s="20">
        <f>IF($B480="","",MAXIFS('Blocker log'!$L:$L,'Blocker log'!$A:$A,$B480,'Blocker log'!$G:$G,"Hard blocker"))</f>
        <v>0</v>
      </c>
      <c r="Q480" s="20" t="str">
        <f>IF($B480="","",IF($K480&lt;&gt;"Complete","Assessment pending",IF($N480=0,"Ready now",VLOOKUP($P480,Lists!$D$2:$E$5,2,FALSE))))</f>
        <v>Assessment pending</v>
      </c>
    </row>
    <row r="481" ht="15.75" customHeight="1">
      <c r="A481" s="35" t="s">
        <v>1568</v>
      </c>
      <c r="B481" s="35" t="s">
        <v>1569</v>
      </c>
      <c r="C481" s="35" t="s">
        <v>1286</v>
      </c>
      <c r="D481" s="35" t="s">
        <v>301</v>
      </c>
      <c r="E481" s="35" t="s">
        <v>593</v>
      </c>
      <c r="F481" s="35" t="s">
        <v>593</v>
      </c>
      <c r="G481" s="35" t="s">
        <v>1042</v>
      </c>
      <c r="H481" s="76">
        <v>105316.0</v>
      </c>
      <c r="I481" s="35"/>
      <c r="M481" s="20">
        <f>IF($B481="","",COUNTIFS('Blocker log'!$A:$A,$B481,'Blocker log'!$G:$G,"&lt;&gt;"))</f>
        <v>0</v>
      </c>
      <c r="N481" s="20">
        <f>IF($B481="","",COUNTIFS('Blocker log'!$A:$A,$B481,'Blocker log'!$G:$G,"Hard blocker"))</f>
        <v>0</v>
      </c>
      <c r="O481" s="20">
        <f>IF($B481="","",COUNTIFS('Blocker log'!$A:$A,$B481,'Blocker log'!$G:$G,"Hard blocker",'Blocker log'!$L:$L,9))</f>
        <v>0</v>
      </c>
      <c r="P481" s="20">
        <f>IF($B481="","",MAXIFS('Blocker log'!$L:$L,'Blocker log'!$A:$A,$B481,'Blocker log'!$G:$G,"Hard blocker"))</f>
        <v>0</v>
      </c>
      <c r="Q481" s="20" t="str">
        <f>IF($B481="","",IF($K481&lt;&gt;"Complete","Assessment pending",IF($N481=0,"Ready now",VLOOKUP($P481,Lists!$D$2:$E$5,2,FALSE))))</f>
        <v>Assessment pending</v>
      </c>
    </row>
    <row r="482" ht="15.75" customHeight="1">
      <c r="A482" s="35" t="s">
        <v>1570</v>
      </c>
      <c r="B482" s="35" t="s">
        <v>1571</v>
      </c>
      <c r="C482" s="35" t="s">
        <v>76</v>
      </c>
      <c r="D482" s="35" t="s">
        <v>171</v>
      </c>
      <c r="E482" s="35" t="s">
        <v>1465</v>
      </c>
      <c r="F482" s="35" t="s">
        <v>1466</v>
      </c>
      <c r="G482" s="35" t="s">
        <v>1042</v>
      </c>
      <c r="H482" s="76">
        <v>104958.0</v>
      </c>
      <c r="I482" s="35"/>
      <c r="M482" s="20">
        <f>IF($B482="","",COUNTIFS('Blocker log'!$A:$A,$B482,'Blocker log'!$G:$G,"&lt;&gt;"))</f>
        <v>0</v>
      </c>
      <c r="N482" s="20">
        <f>IF($B482="","",COUNTIFS('Blocker log'!$A:$A,$B482,'Blocker log'!$G:$G,"Hard blocker"))</f>
        <v>0</v>
      </c>
      <c r="O482" s="20">
        <f>IF($B482="","",COUNTIFS('Blocker log'!$A:$A,$B482,'Blocker log'!$G:$G,"Hard blocker",'Blocker log'!$L:$L,9))</f>
        <v>0</v>
      </c>
      <c r="P482" s="20">
        <f>IF($B482="","",MAXIFS('Blocker log'!$L:$L,'Blocker log'!$A:$A,$B482,'Blocker log'!$G:$G,"Hard blocker"))</f>
        <v>0</v>
      </c>
      <c r="Q482" s="20" t="str">
        <f>IF($B482="","",IF($K482&lt;&gt;"Complete","Assessment pending",IF($N482=0,"Ready now",VLOOKUP($P482,Lists!$D$2:$E$5,2,FALSE))))</f>
        <v>Assessment pending</v>
      </c>
    </row>
    <row r="483" ht="15.75" customHeight="1">
      <c r="A483" s="35" t="s">
        <v>1572</v>
      </c>
      <c r="B483" s="35" t="s">
        <v>1573</v>
      </c>
      <c r="C483" s="35" t="s">
        <v>1286</v>
      </c>
      <c r="D483" s="35" t="s">
        <v>260</v>
      </c>
      <c r="E483" s="35" t="s">
        <v>1096</v>
      </c>
      <c r="F483" s="35" t="s">
        <v>1097</v>
      </c>
      <c r="G483" s="35" t="s">
        <v>1161</v>
      </c>
      <c r="H483" s="76">
        <v>104500.0</v>
      </c>
      <c r="I483" s="35" t="s">
        <v>416</v>
      </c>
      <c r="M483" s="20">
        <f>IF($B483="","",COUNTIFS('Blocker log'!$A:$A,$B483,'Blocker log'!$G:$G,"&lt;&gt;"))</f>
        <v>0</v>
      </c>
      <c r="N483" s="20">
        <f>IF($B483="","",COUNTIFS('Blocker log'!$A:$A,$B483,'Blocker log'!$G:$G,"Hard blocker"))</f>
        <v>0</v>
      </c>
      <c r="O483" s="20">
        <f>IF($B483="","",COUNTIFS('Blocker log'!$A:$A,$B483,'Blocker log'!$G:$G,"Hard blocker",'Blocker log'!$L:$L,9))</f>
        <v>0</v>
      </c>
      <c r="P483" s="20">
        <f>IF($B483="","",MAXIFS('Blocker log'!$L:$L,'Blocker log'!$A:$A,$B483,'Blocker log'!$G:$G,"Hard blocker"))</f>
        <v>0</v>
      </c>
      <c r="Q483" s="20" t="str">
        <f>IF($B483="","",IF($K483&lt;&gt;"Complete","Assessment pending",IF($N483=0,"Ready now",VLOOKUP($P483,Lists!$D$2:$E$5,2,FALSE))))</f>
        <v>Assessment pending</v>
      </c>
    </row>
    <row r="484" ht="15.75" customHeight="1">
      <c r="A484" s="35" t="s">
        <v>1574</v>
      </c>
      <c r="B484" s="35" t="s">
        <v>1575</v>
      </c>
      <c r="C484" s="35" t="s">
        <v>1286</v>
      </c>
      <c r="D484" s="35" t="s">
        <v>260</v>
      </c>
      <c r="E484" s="35" t="s">
        <v>506</v>
      </c>
      <c r="F484" s="35" t="s">
        <v>685</v>
      </c>
      <c r="G484" s="35" t="s">
        <v>1161</v>
      </c>
      <c r="H484" s="76">
        <v>104120.0</v>
      </c>
      <c r="I484" s="35" t="s">
        <v>417</v>
      </c>
      <c r="M484" s="20">
        <f>IF($B484="","",COUNTIFS('Blocker log'!$A:$A,$B484,'Blocker log'!$G:$G,"&lt;&gt;"))</f>
        <v>0</v>
      </c>
      <c r="N484" s="20">
        <f>IF($B484="","",COUNTIFS('Blocker log'!$A:$A,$B484,'Blocker log'!$G:$G,"Hard blocker"))</f>
        <v>0</v>
      </c>
      <c r="O484" s="20">
        <f>IF($B484="","",COUNTIFS('Blocker log'!$A:$A,$B484,'Blocker log'!$G:$G,"Hard blocker",'Blocker log'!$L:$L,9))</f>
        <v>0</v>
      </c>
      <c r="P484" s="20">
        <f>IF($B484="","",MAXIFS('Blocker log'!$L:$L,'Blocker log'!$A:$A,$B484,'Blocker log'!$G:$G,"Hard blocker"))</f>
        <v>0</v>
      </c>
      <c r="Q484" s="20" t="str">
        <f>IF($B484="","",IF($K484&lt;&gt;"Complete","Assessment pending",IF($N484=0,"Ready now",VLOOKUP($P484,Lists!$D$2:$E$5,2,FALSE))))</f>
        <v>Assessment pending</v>
      </c>
    </row>
    <row r="485" ht="15.75" customHeight="1">
      <c r="A485" s="35" t="s">
        <v>1576</v>
      </c>
      <c r="B485" s="35" t="s">
        <v>1577</v>
      </c>
      <c r="C485" s="35" t="s">
        <v>76</v>
      </c>
      <c r="D485" s="35" t="s">
        <v>260</v>
      </c>
      <c r="E485" s="35" t="s">
        <v>506</v>
      </c>
      <c r="F485" s="35" t="s">
        <v>507</v>
      </c>
      <c r="G485" s="35" t="s">
        <v>980</v>
      </c>
      <c r="H485" s="76">
        <v>103683.0</v>
      </c>
      <c r="I485" s="35"/>
      <c r="M485" s="20">
        <f>IF($B485="","",COUNTIFS('Blocker log'!$A:$A,$B485,'Blocker log'!$G:$G,"&lt;&gt;"))</f>
        <v>0</v>
      </c>
      <c r="N485" s="20">
        <f>IF($B485="","",COUNTIFS('Blocker log'!$A:$A,$B485,'Blocker log'!$G:$G,"Hard blocker"))</f>
        <v>0</v>
      </c>
      <c r="O485" s="20">
        <f>IF($B485="","",COUNTIFS('Blocker log'!$A:$A,$B485,'Blocker log'!$G:$G,"Hard blocker",'Blocker log'!$L:$L,9))</f>
        <v>0</v>
      </c>
      <c r="P485" s="20">
        <f>IF($B485="","",MAXIFS('Blocker log'!$L:$L,'Blocker log'!$A:$A,$B485,'Blocker log'!$G:$G,"Hard blocker"))</f>
        <v>0</v>
      </c>
      <c r="Q485" s="20" t="str">
        <f>IF($B485="","",IF($K485&lt;&gt;"Complete","Assessment pending",IF($N485=0,"Ready now",VLOOKUP($P485,Lists!$D$2:$E$5,2,FALSE))))</f>
        <v>Assessment pending</v>
      </c>
    </row>
    <row r="486" ht="15.75" customHeight="1">
      <c r="A486" s="35" t="s">
        <v>1578</v>
      </c>
      <c r="B486" s="35" t="s">
        <v>1579</v>
      </c>
      <c r="C486" s="35" t="s">
        <v>1286</v>
      </c>
      <c r="D486" s="35" t="s">
        <v>58</v>
      </c>
      <c r="E486" s="35" t="s">
        <v>140</v>
      </c>
      <c r="F486" s="35" t="s">
        <v>141</v>
      </c>
      <c r="G486" s="35" t="s">
        <v>1161</v>
      </c>
      <c r="H486" s="76">
        <v>103675.0</v>
      </c>
      <c r="I486" s="35" t="s">
        <v>418</v>
      </c>
      <c r="M486" s="20">
        <f>IF($B486="","",COUNTIFS('Blocker log'!$A:$A,$B486,'Blocker log'!$G:$G,"&lt;&gt;"))</f>
        <v>0</v>
      </c>
      <c r="N486" s="20">
        <f>IF($B486="","",COUNTIFS('Blocker log'!$A:$A,$B486,'Blocker log'!$G:$G,"Hard blocker"))</f>
        <v>0</v>
      </c>
      <c r="O486" s="20">
        <f>IF($B486="","",COUNTIFS('Blocker log'!$A:$A,$B486,'Blocker log'!$G:$G,"Hard blocker",'Blocker log'!$L:$L,9))</f>
        <v>0</v>
      </c>
      <c r="P486" s="20">
        <f>IF($B486="","",MAXIFS('Blocker log'!$L:$L,'Blocker log'!$A:$A,$B486,'Blocker log'!$G:$G,"Hard blocker"))</f>
        <v>0</v>
      </c>
      <c r="Q486" s="20" t="str">
        <f>IF($B486="","",IF($K486&lt;&gt;"Complete","Assessment pending",IF($N486=0,"Ready now",VLOOKUP($P486,Lists!$D$2:$E$5,2,FALSE))))</f>
        <v>Assessment pending</v>
      </c>
    </row>
    <row r="487" ht="15.75" customHeight="1">
      <c r="A487" s="35" t="s">
        <v>1580</v>
      </c>
      <c r="B487" s="35" t="s">
        <v>1581</v>
      </c>
      <c r="C487" s="35" t="s">
        <v>1286</v>
      </c>
      <c r="D487" s="35" t="s">
        <v>58</v>
      </c>
      <c r="E487" s="35" t="s">
        <v>132</v>
      </c>
      <c r="F487" s="35" t="s">
        <v>949</v>
      </c>
      <c r="G487" s="35" t="s">
        <v>1161</v>
      </c>
      <c r="H487" s="76">
        <v>103609.0</v>
      </c>
      <c r="I487" s="35" t="s">
        <v>419</v>
      </c>
      <c r="M487" s="20">
        <f>IF($B487="","",COUNTIFS('Blocker log'!$A:$A,$B487,'Blocker log'!$G:$G,"&lt;&gt;"))</f>
        <v>0</v>
      </c>
      <c r="N487" s="20">
        <f>IF($B487="","",COUNTIFS('Blocker log'!$A:$A,$B487,'Blocker log'!$G:$G,"Hard blocker"))</f>
        <v>0</v>
      </c>
      <c r="O487" s="20">
        <f>IF($B487="","",COUNTIFS('Blocker log'!$A:$A,$B487,'Blocker log'!$G:$G,"Hard blocker",'Blocker log'!$L:$L,9))</f>
        <v>0</v>
      </c>
      <c r="P487" s="20">
        <f>IF($B487="","",MAXIFS('Blocker log'!$L:$L,'Blocker log'!$A:$A,$B487,'Blocker log'!$G:$G,"Hard blocker"))</f>
        <v>0</v>
      </c>
      <c r="Q487" s="20" t="str">
        <f>IF($B487="","",IF($K487&lt;&gt;"Complete","Assessment pending",IF($N487=0,"Ready now",VLOOKUP($P487,Lists!$D$2:$E$5,2,FALSE))))</f>
        <v>Assessment pending</v>
      </c>
    </row>
    <row r="488" ht="15.75" customHeight="1">
      <c r="A488" s="35" t="s">
        <v>1582</v>
      </c>
      <c r="B488" s="35" t="s">
        <v>1583</v>
      </c>
      <c r="C488" s="35" t="s">
        <v>1286</v>
      </c>
      <c r="D488" s="35" t="s">
        <v>171</v>
      </c>
      <c r="E488" s="35" t="s">
        <v>1584</v>
      </c>
      <c r="F488" s="35" t="s">
        <v>1585</v>
      </c>
      <c r="G488" s="35" t="s">
        <v>1161</v>
      </c>
      <c r="H488" s="76">
        <v>103316.0</v>
      </c>
      <c r="I488" s="35"/>
      <c r="M488" s="20">
        <f>IF($B488="","",COUNTIFS('Blocker log'!$A:$A,$B488,'Blocker log'!$G:$G,"&lt;&gt;"))</f>
        <v>0</v>
      </c>
      <c r="N488" s="20">
        <f>IF($B488="","",COUNTIFS('Blocker log'!$A:$A,$B488,'Blocker log'!$G:$G,"Hard blocker"))</f>
        <v>0</v>
      </c>
      <c r="O488" s="20">
        <f>IF($B488="","",COUNTIFS('Blocker log'!$A:$A,$B488,'Blocker log'!$G:$G,"Hard blocker",'Blocker log'!$L:$L,9))</f>
        <v>0</v>
      </c>
      <c r="P488" s="20">
        <f>IF($B488="","",MAXIFS('Blocker log'!$L:$L,'Blocker log'!$A:$A,$B488,'Blocker log'!$G:$G,"Hard blocker"))</f>
        <v>0</v>
      </c>
      <c r="Q488" s="20" t="str">
        <f>IF($B488="","",IF($K488&lt;&gt;"Complete","Assessment pending",IF($N488=0,"Ready now",VLOOKUP($P488,Lists!$D$2:$E$5,2,FALSE))))</f>
        <v>Assessment pending</v>
      </c>
    </row>
    <row r="489" ht="15.75" customHeight="1">
      <c r="A489" s="35" t="s">
        <v>1586</v>
      </c>
      <c r="B489" s="35" t="s">
        <v>1587</v>
      </c>
      <c r="C489" s="35" t="s">
        <v>1286</v>
      </c>
      <c r="D489" s="35" t="s">
        <v>58</v>
      </c>
      <c r="E489" s="35" t="s">
        <v>140</v>
      </c>
      <c r="F489" s="35" t="s">
        <v>141</v>
      </c>
      <c r="G489" s="35" t="s">
        <v>1161</v>
      </c>
      <c r="H489" s="76">
        <v>102214.0</v>
      </c>
      <c r="I489" s="35"/>
      <c r="M489" s="20">
        <f>IF($B489="","",COUNTIFS('Blocker log'!$A:$A,$B489,'Blocker log'!$G:$G,"&lt;&gt;"))</f>
        <v>0</v>
      </c>
      <c r="N489" s="20">
        <f>IF($B489="","",COUNTIFS('Blocker log'!$A:$A,$B489,'Blocker log'!$G:$G,"Hard blocker"))</f>
        <v>0</v>
      </c>
      <c r="O489" s="20">
        <f>IF($B489="","",COUNTIFS('Blocker log'!$A:$A,$B489,'Blocker log'!$G:$G,"Hard blocker",'Blocker log'!$L:$L,9))</f>
        <v>0</v>
      </c>
      <c r="P489" s="20">
        <f>IF($B489="","",MAXIFS('Blocker log'!$L:$L,'Blocker log'!$A:$A,$B489,'Blocker log'!$G:$G,"Hard blocker"))</f>
        <v>0</v>
      </c>
      <c r="Q489" s="20" t="str">
        <f>IF($B489="","",IF($K489&lt;&gt;"Complete","Assessment pending",IF($N489=0,"Ready now",VLOOKUP($P489,Lists!$D$2:$E$5,2,FALSE))))</f>
        <v>Assessment pending</v>
      </c>
    </row>
    <row r="490" ht="15.75" customHeight="1">
      <c r="A490" s="35" t="s">
        <v>1588</v>
      </c>
      <c r="B490" s="35" t="s">
        <v>1589</v>
      </c>
      <c r="C490" s="35" t="s">
        <v>1286</v>
      </c>
      <c r="D490" s="35" t="s">
        <v>58</v>
      </c>
      <c r="E490" s="35" t="s">
        <v>494</v>
      </c>
      <c r="F490" s="35" t="s">
        <v>629</v>
      </c>
      <c r="G490" s="35" t="s">
        <v>1161</v>
      </c>
      <c r="H490" s="76">
        <v>102060.0</v>
      </c>
      <c r="I490" s="35"/>
      <c r="M490" s="20">
        <f>IF($B490="","",COUNTIFS('Blocker log'!$A:$A,$B490,'Blocker log'!$G:$G,"&lt;&gt;"))</f>
        <v>0</v>
      </c>
      <c r="N490" s="20">
        <f>IF($B490="","",COUNTIFS('Blocker log'!$A:$A,$B490,'Blocker log'!$G:$G,"Hard blocker"))</f>
        <v>0</v>
      </c>
      <c r="O490" s="20">
        <f>IF($B490="","",COUNTIFS('Blocker log'!$A:$A,$B490,'Blocker log'!$G:$G,"Hard blocker",'Blocker log'!$L:$L,9))</f>
        <v>0</v>
      </c>
      <c r="P490" s="20">
        <f>IF($B490="","",MAXIFS('Blocker log'!$L:$L,'Blocker log'!$A:$A,$B490,'Blocker log'!$G:$G,"Hard blocker"))</f>
        <v>0</v>
      </c>
      <c r="Q490" s="20" t="str">
        <f>IF($B490="","",IF($K490&lt;&gt;"Complete","Assessment pending",IF($N490=0,"Ready now",VLOOKUP($P490,Lists!$D$2:$E$5,2,FALSE))))</f>
        <v>Assessment pending</v>
      </c>
    </row>
    <row r="491" ht="15.75" customHeight="1">
      <c r="A491" s="35" t="s">
        <v>1590</v>
      </c>
      <c r="B491" s="35" t="s">
        <v>1591</v>
      </c>
      <c r="C491" s="35" t="s">
        <v>1286</v>
      </c>
      <c r="D491" s="35" t="s">
        <v>260</v>
      </c>
      <c r="E491" s="35" t="s">
        <v>530</v>
      </c>
      <c r="F491" s="35" t="s">
        <v>795</v>
      </c>
      <c r="G491" s="35" t="s">
        <v>1161</v>
      </c>
      <c r="H491" s="76">
        <v>101697.0</v>
      </c>
      <c r="I491" s="35"/>
      <c r="M491" s="20">
        <f>IF($B491="","",COUNTIFS('Blocker log'!$A:$A,$B491,'Blocker log'!$G:$G,"&lt;&gt;"))</f>
        <v>0</v>
      </c>
      <c r="N491" s="20">
        <f>IF($B491="","",COUNTIFS('Blocker log'!$A:$A,$B491,'Blocker log'!$G:$G,"Hard blocker"))</f>
        <v>0</v>
      </c>
      <c r="O491" s="20">
        <f>IF($B491="","",COUNTIFS('Blocker log'!$A:$A,$B491,'Blocker log'!$G:$G,"Hard blocker",'Blocker log'!$L:$L,9))</f>
        <v>0</v>
      </c>
      <c r="P491" s="20">
        <f>IF($B491="","",MAXIFS('Blocker log'!$L:$L,'Blocker log'!$A:$A,$B491,'Blocker log'!$G:$G,"Hard blocker"))</f>
        <v>0</v>
      </c>
      <c r="Q491" s="20" t="str">
        <f>IF($B491="","",IF($K491&lt;&gt;"Complete","Assessment pending",IF($N491=0,"Ready now",VLOOKUP($P491,Lists!$D$2:$E$5,2,FALSE))))</f>
        <v>Assessment pending</v>
      </c>
    </row>
    <row r="492" ht="15.75" customHeight="1">
      <c r="A492" s="35" t="s">
        <v>1592</v>
      </c>
      <c r="B492" s="35" t="s">
        <v>1593</v>
      </c>
      <c r="C492" s="35" t="s">
        <v>1286</v>
      </c>
      <c r="D492" s="35" t="s">
        <v>301</v>
      </c>
      <c r="E492" s="35" t="s">
        <v>484</v>
      </c>
      <c r="F492" s="35" t="s">
        <v>484</v>
      </c>
      <c r="G492" s="35" t="s">
        <v>1042</v>
      </c>
      <c r="H492" s="76">
        <v>101457.0</v>
      </c>
      <c r="I492" s="35"/>
      <c r="M492" s="20">
        <f>IF($B492="","",COUNTIFS('Blocker log'!$A:$A,$B492,'Blocker log'!$G:$G,"&lt;&gt;"))</f>
        <v>0</v>
      </c>
      <c r="N492" s="20">
        <f>IF($B492="","",COUNTIFS('Blocker log'!$A:$A,$B492,'Blocker log'!$G:$G,"Hard blocker"))</f>
        <v>0</v>
      </c>
      <c r="O492" s="20">
        <f>IF($B492="","",COUNTIFS('Blocker log'!$A:$A,$B492,'Blocker log'!$G:$G,"Hard blocker",'Blocker log'!$L:$L,9))</f>
        <v>0</v>
      </c>
      <c r="P492" s="20">
        <f>IF($B492="","",MAXIFS('Blocker log'!$L:$L,'Blocker log'!$A:$A,$B492,'Blocker log'!$G:$G,"Hard blocker"))</f>
        <v>0</v>
      </c>
      <c r="Q492" s="20" t="str">
        <f>IF($B492="","",IF($K492&lt;&gt;"Complete","Assessment pending",IF($N492=0,"Ready now",VLOOKUP($P492,Lists!$D$2:$E$5,2,FALSE))))</f>
        <v>Assessment pending</v>
      </c>
    </row>
    <row r="493" ht="15.75" customHeight="1">
      <c r="A493" s="35" t="s">
        <v>1594</v>
      </c>
      <c r="B493" s="35" t="s">
        <v>1595</v>
      </c>
      <c r="C493" s="35" t="s">
        <v>1286</v>
      </c>
      <c r="D493" s="35" t="s">
        <v>301</v>
      </c>
      <c r="E493" s="35" t="s">
        <v>490</v>
      </c>
      <c r="F493" s="35" t="s">
        <v>490</v>
      </c>
      <c r="G493" s="35" t="s">
        <v>1161</v>
      </c>
      <c r="H493" s="76">
        <v>101107.0</v>
      </c>
      <c r="I493" s="35"/>
      <c r="M493" s="20">
        <f>IF($B493="","",COUNTIFS('Blocker log'!$A:$A,$B493,'Blocker log'!$G:$G,"&lt;&gt;"))</f>
        <v>0</v>
      </c>
      <c r="N493" s="20">
        <f>IF($B493="","",COUNTIFS('Blocker log'!$A:$A,$B493,'Blocker log'!$G:$G,"Hard blocker"))</f>
        <v>0</v>
      </c>
      <c r="O493" s="20">
        <f>IF($B493="","",COUNTIFS('Blocker log'!$A:$A,$B493,'Blocker log'!$G:$G,"Hard blocker",'Blocker log'!$L:$L,9))</f>
        <v>0</v>
      </c>
      <c r="P493" s="20">
        <f>IF($B493="","",MAXIFS('Blocker log'!$L:$L,'Blocker log'!$A:$A,$B493,'Blocker log'!$G:$G,"Hard blocker"))</f>
        <v>0</v>
      </c>
      <c r="Q493" s="20" t="str">
        <f>IF($B493="","",IF($K493&lt;&gt;"Complete","Assessment pending",IF($N493=0,"Ready now",VLOOKUP($P493,Lists!$D$2:$E$5,2,FALSE))))</f>
        <v>Assessment pending</v>
      </c>
    </row>
    <row r="494" ht="15.75" customHeight="1">
      <c r="A494" s="35" t="s">
        <v>1596</v>
      </c>
      <c r="B494" s="35" t="s">
        <v>1597</v>
      </c>
      <c r="C494" s="35" t="s">
        <v>76</v>
      </c>
      <c r="D494" s="35" t="s">
        <v>171</v>
      </c>
      <c r="E494" s="35" t="s">
        <v>1584</v>
      </c>
      <c r="F494" s="35" t="s">
        <v>1598</v>
      </c>
      <c r="G494" s="35" t="s">
        <v>999</v>
      </c>
      <c r="H494" s="76">
        <v>100513.0</v>
      </c>
      <c r="I494" s="35"/>
      <c r="M494" s="20">
        <f>IF($B494="","",COUNTIFS('Blocker log'!$A:$A,$B494,'Blocker log'!$G:$G,"&lt;&gt;"))</f>
        <v>0</v>
      </c>
      <c r="N494" s="20">
        <f>IF($B494="","",COUNTIFS('Blocker log'!$A:$A,$B494,'Blocker log'!$G:$G,"Hard blocker"))</f>
        <v>0</v>
      </c>
      <c r="O494" s="20">
        <f>IF($B494="","",COUNTIFS('Blocker log'!$A:$A,$B494,'Blocker log'!$G:$G,"Hard blocker",'Blocker log'!$L:$L,9))</f>
        <v>0</v>
      </c>
      <c r="P494" s="20">
        <f>IF($B494="","",MAXIFS('Blocker log'!$L:$L,'Blocker log'!$A:$A,$B494,'Blocker log'!$G:$G,"Hard blocker"))</f>
        <v>0</v>
      </c>
      <c r="Q494" s="20" t="str">
        <f>IF($B494="","",IF($K494&lt;&gt;"Complete","Assessment pending",IF($N494=0,"Ready now",VLOOKUP($P494,Lists!$D$2:$E$5,2,FALSE))))</f>
        <v>Assessment pending</v>
      </c>
    </row>
    <row r="495" ht="15.75" customHeight="1">
      <c r="A495" s="35" t="s">
        <v>1599</v>
      </c>
      <c r="B495" s="35" t="s">
        <v>1600</v>
      </c>
      <c r="C495" s="35" t="s">
        <v>76</v>
      </c>
      <c r="D495" s="35" t="s">
        <v>58</v>
      </c>
      <c r="E495" s="35" t="s">
        <v>59</v>
      </c>
      <c r="F495" s="35" t="s">
        <v>278</v>
      </c>
      <c r="G495" s="35" t="s">
        <v>999</v>
      </c>
      <c r="H495" s="76">
        <v>100010.0</v>
      </c>
      <c r="I495" s="35"/>
      <c r="M495" s="20">
        <f>IF($B495="","",COUNTIFS('Blocker log'!$A:$A,$B495,'Blocker log'!$G:$G,"&lt;&gt;"))</f>
        <v>0</v>
      </c>
      <c r="N495" s="20">
        <f>IF($B495="","",COUNTIFS('Blocker log'!$A:$A,$B495,'Blocker log'!$G:$G,"Hard blocker"))</f>
        <v>0</v>
      </c>
      <c r="O495" s="20">
        <f>IF($B495="","",COUNTIFS('Blocker log'!$A:$A,$B495,'Blocker log'!$G:$G,"Hard blocker",'Blocker log'!$L:$L,9))</f>
        <v>0</v>
      </c>
      <c r="P495" s="20">
        <f>IF($B495="","",MAXIFS('Blocker log'!$L:$L,'Blocker log'!$A:$A,$B495,'Blocker log'!$G:$G,"Hard blocker"))</f>
        <v>0</v>
      </c>
      <c r="Q495" s="20" t="str">
        <f>IF($B495="","",IF($K495&lt;&gt;"Complete","Assessment pending",IF($N495=0,"Ready now",VLOOKUP($P495,Lists!$D$2:$E$5,2,FALSE))))</f>
        <v>Assessment pending</v>
      </c>
    </row>
    <row r="496" ht="15.75" customHeight="1">
      <c r="A496" s="35" t="s">
        <v>1601</v>
      </c>
      <c r="B496" s="35" t="s">
        <v>1602</v>
      </c>
      <c r="C496" s="35" t="s">
        <v>1286</v>
      </c>
      <c r="D496" s="35" t="s">
        <v>260</v>
      </c>
      <c r="E496" s="35" t="s">
        <v>576</v>
      </c>
      <c r="F496" s="35" t="s">
        <v>1228</v>
      </c>
      <c r="G496" s="35" t="s">
        <v>1161</v>
      </c>
      <c r="H496" s="76">
        <v>98971.0</v>
      </c>
      <c r="I496" s="35" t="s">
        <v>403</v>
      </c>
      <c r="M496" s="20">
        <f>IF($B496="","",COUNTIFS('Blocker log'!$A:$A,$B496,'Blocker log'!$G:$G,"&lt;&gt;"))</f>
        <v>0</v>
      </c>
      <c r="N496" s="20">
        <f>IF($B496="","",COUNTIFS('Blocker log'!$A:$A,$B496,'Blocker log'!$G:$G,"Hard blocker"))</f>
        <v>0</v>
      </c>
      <c r="O496" s="20">
        <f>IF($B496="","",COUNTIFS('Blocker log'!$A:$A,$B496,'Blocker log'!$G:$G,"Hard blocker",'Blocker log'!$L:$L,9))</f>
        <v>0</v>
      </c>
      <c r="P496" s="20">
        <f>IF($B496="","",MAXIFS('Blocker log'!$L:$L,'Blocker log'!$A:$A,$B496,'Blocker log'!$G:$G,"Hard blocker"))</f>
        <v>0</v>
      </c>
      <c r="Q496" s="20" t="str">
        <f>IF($B496="","",IF($K496&lt;&gt;"Complete","Assessment pending",IF($N496=0,"Ready now",VLOOKUP($P496,Lists!$D$2:$E$5,2,FALSE))))</f>
        <v>Assessment pending</v>
      </c>
    </row>
    <row r="497" ht="15.75" customHeight="1">
      <c r="A497" s="35" t="s">
        <v>1603</v>
      </c>
      <c r="B497" s="35" t="s">
        <v>1604</v>
      </c>
      <c r="C497" s="35" t="s">
        <v>76</v>
      </c>
      <c r="D497" s="35" t="s">
        <v>58</v>
      </c>
      <c r="E497" s="35" t="s">
        <v>494</v>
      </c>
      <c r="F497" s="35" t="s">
        <v>495</v>
      </c>
      <c r="G497" s="35" t="s">
        <v>1042</v>
      </c>
      <c r="H497" s="76">
        <v>98776.0</v>
      </c>
      <c r="I497" s="35"/>
      <c r="M497" s="20">
        <f>IF($B497="","",COUNTIFS('Blocker log'!$A:$A,$B497,'Blocker log'!$G:$G,"&lt;&gt;"))</f>
        <v>0</v>
      </c>
      <c r="N497" s="20">
        <f>IF($B497="","",COUNTIFS('Blocker log'!$A:$A,$B497,'Blocker log'!$G:$G,"Hard blocker"))</f>
        <v>0</v>
      </c>
      <c r="O497" s="20">
        <f>IF($B497="","",COUNTIFS('Blocker log'!$A:$A,$B497,'Blocker log'!$G:$G,"Hard blocker",'Blocker log'!$L:$L,9))</f>
        <v>0</v>
      </c>
      <c r="P497" s="20">
        <f>IF($B497="","",MAXIFS('Blocker log'!$L:$L,'Blocker log'!$A:$A,$B497,'Blocker log'!$G:$G,"Hard blocker"))</f>
        <v>0</v>
      </c>
      <c r="Q497" s="20" t="str">
        <f>IF($B497="","",IF($K497&lt;&gt;"Complete","Assessment pending",IF($N497=0,"Ready now",VLOOKUP($P497,Lists!$D$2:$E$5,2,FALSE))))</f>
        <v>Assessment pending</v>
      </c>
    </row>
    <row r="498" ht="15.75" customHeight="1">
      <c r="A498" s="35" t="s">
        <v>1605</v>
      </c>
      <c r="B498" s="35" t="s">
        <v>1606</v>
      </c>
      <c r="C498" s="35" t="s">
        <v>76</v>
      </c>
      <c r="D498" s="35" t="s">
        <v>171</v>
      </c>
      <c r="E498" s="35" t="s">
        <v>668</v>
      </c>
      <c r="F498" s="35" t="s">
        <v>669</v>
      </c>
      <c r="G498" s="35" t="s">
        <v>999</v>
      </c>
      <c r="H498" s="76">
        <v>98334.0</v>
      </c>
      <c r="I498" s="35"/>
      <c r="M498" s="20">
        <f>IF($B498="","",COUNTIFS('Blocker log'!$A:$A,$B498,'Blocker log'!$G:$G,"&lt;&gt;"))</f>
        <v>0</v>
      </c>
      <c r="N498" s="20">
        <f>IF($B498="","",COUNTIFS('Blocker log'!$A:$A,$B498,'Blocker log'!$G:$G,"Hard blocker"))</f>
        <v>0</v>
      </c>
      <c r="O498" s="20">
        <f>IF($B498="","",COUNTIFS('Blocker log'!$A:$A,$B498,'Blocker log'!$G:$G,"Hard blocker",'Blocker log'!$L:$L,9))</f>
        <v>0</v>
      </c>
      <c r="P498" s="20">
        <f>IF($B498="","",MAXIFS('Blocker log'!$L:$L,'Blocker log'!$A:$A,$B498,'Blocker log'!$G:$G,"Hard blocker"))</f>
        <v>0</v>
      </c>
      <c r="Q498" s="20" t="str">
        <f>IF($B498="","",IF($K498&lt;&gt;"Complete","Assessment pending",IF($N498=0,"Ready now",VLOOKUP($P498,Lists!$D$2:$E$5,2,FALSE))))</f>
        <v>Assessment pending</v>
      </c>
    </row>
    <row r="499" ht="15.75" customHeight="1">
      <c r="A499" s="35" t="s">
        <v>1607</v>
      </c>
      <c r="B499" s="35" t="s">
        <v>1608</v>
      </c>
      <c r="C499" s="35" t="s">
        <v>76</v>
      </c>
      <c r="D499" s="35" t="s">
        <v>58</v>
      </c>
      <c r="E499" s="35" t="s">
        <v>181</v>
      </c>
      <c r="F499" s="35" t="s">
        <v>190</v>
      </c>
      <c r="G499" s="35" t="s">
        <v>1042</v>
      </c>
      <c r="H499" s="76">
        <v>98312.0</v>
      </c>
      <c r="I499" s="35"/>
      <c r="M499" s="20">
        <f>IF($B499="","",COUNTIFS('Blocker log'!$A:$A,$B499,'Blocker log'!$G:$G,"&lt;&gt;"))</f>
        <v>0</v>
      </c>
      <c r="N499" s="20">
        <f>IF($B499="","",COUNTIFS('Blocker log'!$A:$A,$B499,'Blocker log'!$G:$G,"Hard blocker"))</f>
        <v>0</v>
      </c>
      <c r="O499" s="20">
        <f>IF($B499="","",COUNTIFS('Blocker log'!$A:$A,$B499,'Blocker log'!$G:$G,"Hard blocker",'Blocker log'!$L:$L,9))</f>
        <v>0</v>
      </c>
      <c r="P499" s="20">
        <f>IF($B499="","",MAXIFS('Blocker log'!$L:$L,'Blocker log'!$A:$A,$B499,'Blocker log'!$G:$G,"Hard blocker"))</f>
        <v>0</v>
      </c>
      <c r="Q499" s="20" t="str">
        <f>IF($B499="","",IF($K499&lt;&gt;"Complete","Assessment pending",IF($N499=0,"Ready now",VLOOKUP($P499,Lists!$D$2:$E$5,2,FALSE))))</f>
        <v>Assessment pending</v>
      </c>
    </row>
    <row r="500" ht="15.75" customHeight="1">
      <c r="A500" s="35" t="s">
        <v>1609</v>
      </c>
      <c r="B500" s="35" t="s">
        <v>1610</v>
      </c>
      <c r="C500" s="35" t="s">
        <v>1286</v>
      </c>
      <c r="D500" s="35" t="s">
        <v>301</v>
      </c>
      <c r="E500" s="35" t="s">
        <v>484</v>
      </c>
      <c r="F500" s="35" t="s">
        <v>484</v>
      </c>
      <c r="G500" s="35" t="s">
        <v>1161</v>
      </c>
      <c r="H500" s="76">
        <v>98000.0</v>
      </c>
      <c r="I500" s="35" t="s">
        <v>412</v>
      </c>
      <c r="M500" s="20">
        <f>IF($B500="","",COUNTIFS('Blocker log'!$A:$A,$B500,'Blocker log'!$G:$G,"&lt;&gt;"))</f>
        <v>0</v>
      </c>
      <c r="N500" s="20">
        <f>IF($B500="","",COUNTIFS('Blocker log'!$A:$A,$B500,'Blocker log'!$G:$G,"Hard blocker"))</f>
        <v>0</v>
      </c>
      <c r="O500" s="20">
        <f>IF($B500="","",COUNTIFS('Blocker log'!$A:$A,$B500,'Blocker log'!$G:$G,"Hard blocker",'Blocker log'!$L:$L,9))</f>
        <v>0</v>
      </c>
      <c r="P500" s="20">
        <f>IF($B500="","",MAXIFS('Blocker log'!$L:$L,'Blocker log'!$A:$A,$B500,'Blocker log'!$G:$G,"Hard blocker"))</f>
        <v>0</v>
      </c>
      <c r="Q500" s="20" t="str">
        <f>IF($B500="","",IF($K500&lt;&gt;"Complete","Assessment pending",IF($N500=0,"Ready now",VLOOKUP($P500,Lists!$D$2:$E$5,2,FALSE))))</f>
        <v>Assessment pending</v>
      </c>
    </row>
    <row r="501" ht="15.75" customHeight="1">
      <c r="A501" s="35" t="s">
        <v>1611</v>
      </c>
      <c r="B501" s="35" t="s">
        <v>1612</v>
      </c>
      <c r="C501" s="35" t="s">
        <v>1286</v>
      </c>
      <c r="D501" s="35" t="s">
        <v>260</v>
      </c>
      <c r="E501" s="35" t="s">
        <v>1096</v>
      </c>
      <c r="F501" s="35" t="s">
        <v>1097</v>
      </c>
      <c r="G501" s="35" t="s">
        <v>1161</v>
      </c>
      <c r="H501" s="76">
        <v>98000.0</v>
      </c>
      <c r="I501" s="35" t="s">
        <v>416</v>
      </c>
      <c r="M501" s="20">
        <f>IF($B501="","",COUNTIFS('Blocker log'!$A:$A,$B501,'Blocker log'!$G:$G,"&lt;&gt;"))</f>
        <v>0</v>
      </c>
      <c r="N501" s="20">
        <f>IF($B501="","",COUNTIFS('Blocker log'!$A:$A,$B501,'Blocker log'!$G:$G,"Hard blocker"))</f>
        <v>0</v>
      </c>
      <c r="O501" s="20">
        <f>IF($B501="","",COUNTIFS('Blocker log'!$A:$A,$B501,'Blocker log'!$G:$G,"Hard blocker",'Blocker log'!$L:$L,9))</f>
        <v>0</v>
      </c>
      <c r="P501" s="20">
        <f>IF($B501="","",MAXIFS('Blocker log'!$L:$L,'Blocker log'!$A:$A,$B501,'Blocker log'!$G:$G,"Hard blocker"))</f>
        <v>0</v>
      </c>
      <c r="Q501" s="20" t="str">
        <f>IF($B501="","",IF($K501&lt;&gt;"Complete","Assessment pending",IF($N501=0,"Ready now",VLOOKUP($P501,Lists!$D$2:$E$5,2,FALSE))))</f>
        <v>Assessment pending</v>
      </c>
    </row>
    <row r="502" ht="15.75" customHeight="1">
      <c r="A502" s="35" t="s">
        <v>1613</v>
      </c>
      <c r="B502" s="35" t="s">
        <v>1614</v>
      </c>
      <c r="C502" s="35" t="s">
        <v>1286</v>
      </c>
      <c r="D502" s="35" t="s">
        <v>171</v>
      </c>
      <c r="E502" s="35" t="s">
        <v>713</v>
      </c>
      <c r="F502" s="35" t="s">
        <v>714</v>
      </c>
      <c r="G502" s="35" t="s">
        <v>1161</v>
      </c>
      <c r="H502" s="76">
        <v>97848.0</v>
      </c>
      <c r="I502" s="35" t="s">
        <v>415</v>
      </c>
      <c r="M502" s="20">
        <f>IF($B502="","",COUNTIFS('Blocker log'!$A:$A,$B502,'Blocker log'!$G:$G,"&lt;&gt;"))</f>
        <v>0</v>
      </c>
      <c r="N502" s="20">
        <f>IF($B502="","",COUNTIFS('Blocker log'!$A:$A,$B502,'Blocker log'!$G:$G,"Hard blocker"))</f>
        <v>0</v>
      </c>
      <c r="O502" s="20">
        <f>IF($B502="","",COUNTIFS('Blocker log'!$A:$A,$B502,'Blocker log'!$G:$G,"Hard blocker",'Blocker log'!$L:$L,9))</f>
        <v>0</v>
      </c>
      <c r="P502" s="20">
        <f>IF($B502="","",MAXIFS('Blocker log'!$L:$L,'Blocker log'!$A:$A,$B502,'Blocker log'!$G:$G,"Hard blocker"))</f>
        <v>0</v>
      </c>
      <c r="Q502" s="20" t="str">
        <f>IF($B502="","",IF($K502&lt;&gt;"Complete","Assessment pending",IF($N502=0,"Ready now",VLOOKUP($P502,Lists!$D$2:$E$5,2,FALSE))))</f>
        <v>Assessment pending</v>
      </c>
    </row>
    <row r="503" ht="15.75" customHeight="1">
      <c r="A503" s="35" t="s">
        <v>1615</v>
      </c>
      <c r="B503" s="35" t="s">
        <v>1616</v>
      </c>
      <c r="C503" s="35" t="s">
        <v>76</v>
      </c>
      <c r="D503" s="35" t="s">
        <v>260</v>
      </c>
      <c r="E503" s="35" t="s">
        <v>351</v>
      </c>
      <c r="F503" s="35" t="s">
        <v>1617</v>
      </c>
      <c r="G503" s="35" t="s">
        <v>999</v>
      </c>
      <c r="H503" s="76">
        <v>97744.0</v>
      </c>
      <c r="I503" s="35"/>
      <c r="M503" s="20">
        <f>IF($B503="","",COUNTIFS('Blocker log'!$A:$A,$B503,'Blocker log'!$G:$G,"&lt;&gt;"))</f>
        <v>0</v>
      </c>
      <c r="N503" s="20">
        <f>IF($B503="","",COUNTIFS('Blocker log'!$A:$A,$B503,'Blocker log'!$G:$G,"Hard blocker"))</f>
        <v>0</v>
      </c>
      <c r="O503" s="20">
        <f>IF($B503="","",COUNTIFS('Blocker log'!$A:$A,$B503,'Blocker log'!$G:$G,"Hard blocker",'Blocker log'!$L:$L,9))</f>
        <v>0</v>
      </c>
      <c r="P503" s="20">
        <f>IF($B503="","",MAXIFS('Blocker log'!$L:$L,'Blocker log'!$A:$A,$B503,'Blocker log'!$G:$G,"Hard blocker"))</f>
        <v>0</v>
      </c>
      <c r="Q503" s="20" t="str">
        <f>IF($B503="","",IF($K503&lt;&gt;"Complete","Assessment pending",IF($N503=0,"Ready now",VLOOKUP($P503,Lists!$D$2:$E$5,2,FALSE))))</f>
        <v>Assessment pending</v>
      </c>
    </row>
    <row r="504" ht="15.75" customHeight="1">
      <c r="A504" s="35" t="s">
        <v>1618</v>
      </c>
      <c r="B504" s="35" t="s">
        <v>1619</v>
      </c>
      <c r="C504" s="35" t="s">
        <v>76</v>
      </c>
      <c r="D504" s="35" t="s">
        <v>58</v>
      </c>
      <c r="E504" s="35" t="s">
        <v>59</v>
      </c>
      <c r="F504" s="35" t="s">
        <v>225</v>
      </c>
      <c r="G504" s="35" t="s">
        <v>1042</v>
      </c>
      <c r="H504" s="76">
        <v>97431.0</v>
      </c>
      <c r="I504" s="35"/>
      <c r="M504" s="20">
        <f>IF($B504="","",COUNTIFS('Blocker log'!$A:$A,$B504,'Blocker log'!$G:$G,"&lt;&gt;"))</f>
        <v>0</v>
      </c>
      <c r="N504" s="20">
        <f>IF($B504="","",COUNTIFS('Blocker log'!$A:$A,$B504,'Blocker log'!$G:$G,"Hard blocker"))</f>
        <v>0</v>
      </c>
      <c r="O504" s="20">
        <f>IF($B504="","",COUNTIFS('Blocker log'!$A:$A,$B504,'Blocker log'!$G:$G,"Hard blocker",'Blocker log'!$L:$L,9))</f>
        <v>0</v>
      </c>
      <c r="P504" s="20">
        <f>IF($B504="","",MAXIFS('Blocker log'!$L:$L,'Blocker log'!$A:$A,$B504,'Blocker log'!$G:$G,"Hard blocker"))</f>
        <v>0</v>
      </c>
      <c r="Q504" s="20" t="str">
        <f>IF($B504="","",IF($K504&lt;&gt;"Complete","Assessment pending",IF($N504=0,"Ready now",VLOOKUP($P504,Lists!$D$2:$E$5,2,FALSE))))</f>
        <v>Assessment pending</v>
      </c>
    </row>
    <row r="505" ht="15.75" customHeight="1">
      <c r="A505" s="35" t="s">
        <v>1620</v>
      </c>
      <c r="B505" s="35" t="s">
        <v>1621</v>
      </c>
      <c r="C505" s="35" t="s">
        <v>1286</v>
      </c>
      <c r="D505" s="35" t="s">
        <v>58</v>
      </c>
      <c r="E505" s="35" t="s">
        <v>101</v>
      </c>
      <c r="F505" s="35" t="s">
        <v>554</v>
      </c>
      <c r="G505" s="35" t="s">
        <v>1161</v>
      </c>
      <c r="H505" s="76">
        <v>97200.0</v>
      </c>
      <c r="I505" s="35" t="s">
        <v>420</v>
      </c>
      <c r="M505" s="20">
        <f>IF($B505="","",COUNTIFS('Blocker log'!$A:$A,$B505,'Blocker log'!$G:$G,"&lt;&gt;"))</f>
        <v>0</v>
      </c>
      <c r="N505" s="20">
        <f>IF($B505="","",COUNTIFS('Blocker log'!$A:$A,$B505,'Blocker log'!$G:$G,"Hard blocker"))</f>
        <v>0</v>
      </c>
      <c r="O505" s="20">
        <f>IF($B505="","",COUNTIFS('Blocker log'!$A:$A,$B505,'Blocker log'!$G:$G,"Hard blocker",'Blocker log'!$L:$L,9))</f>
        <v>0</v>
      </c>
      <c r="P505" s="20">
        <f>IF($B505="","",MAXIFS('Blocker log'!$L:$L,'Blocker log'!$A:$A,$B505,'Blocker log'!$G:$G,"Hard blocker"))</f>
        <v>0</v>
      </c>
      <c r="Q505" s="20" t="str">
        <f>IF($B505="","",IF($K505&lt;&gt;"Complete","Assessment pending",IF($N505=0,"Ready now",VLOOKUP($P505,Lists!$D$2:$E$5,2,FALSE))))</f>
        <v>Assessment pending</v>
      </c>
    </row>
    <row r="506" ht="15.75" customHeight="1">
      <c r="A506" s="35" t="s">
        <v>1622</v>
      </c>
      <c r="B506" s="35" t="s">
        <v>1623</v>
      </c>
      <c r="C506" s="35" t="s">
        <v>1286</v>
      </c>
      <c r="D506" s="35" t="s">
        <v>58</v>
      </c>
      <c r="E506" s="35" t="s">
        <v>140</v>
      </c>
      <c r="F506" s="35" t="s">
        <v>246</v>
      </c>
      <c r="G506" s="35" t="s">
        <v>1161</v>
      </c>
      <c r="H506" s="76">
        <v>96916.0</v>
      </c>
      <c r="I506" s="35"/>
      <c r="M506" s="20">
        <f>IF($B506="","",COUNTIFS('Blocker log'!$A:$A,$B506,'Blocker log'!$G:$G,"&lt;&gt;"))</f>
        <v>0</v>
      </c>
      <c r="N506" s="20">
        <f>IF($B506="","",COUNTIFS('Blocker log'!$A:$A,$B506,'Blocker log'!$G:$G,"Hard blocker"))</f>
        <v>0</v>
      </c>
      <c r="O506" s="20">
        <f>IF($B506="","",COUNTIFS('Blocker log'!$A:$A,$B506,'Blocker log'!$G:$G,"Hard blocker",'Blocker log'!$L:$L,9))</f>
        <v>0</v>
      </c>
      <c r="P506" s="20">
        <f>IF($B506="","",MAXIFS('Blocker log'!$L:$L,'Blocker log'!$A:$A,$B506,'Blocker log'!$G:$G,"Hard blocker"))</f>
        <v>0</v>
      </c>
      <c r="Q506" s="20" t="str">
        <f>IF($B506="","",IF($K506&lt;&gt;"Complete","Assessment pending",IF($N506=0,"Ready now",VLOOKUP($P506,Lists!$D$2:$E$5,2,FALSE))))</f>
        <v>Assessment pending</v>
      </c>
    </row>
    <row r="507" ht="15.75" customHeight="1">
      <c r="A507" s="35" t="s">
        <v>1624</v>
      </c>
      <c r="B507" s="35" t="s">
        <v>1625</v>
      </c>
      <c r="C507" s="35" t="s">
        <v>1286</v>
      </c>
      <c r="D507" s="35" t="s">
        <v>58</v>
      </c>
      <c r="E507" s="35" t="s">
        <v>132</v>
      </c>
      <c r="F507" s="35" t="s">
        <v>693</v>
      </c>
      <c r="G507" s="35" t="s">
        <v>1161</v>
      </c>
      <c r="H507" s="76">
        <v>96768.0</v>
      </c>
      <c r="I507" s="35" t="s">
        <v>405</v>
      </c>
      <c r="M507" s="20">
        <f>IF($B507="","",COUNTIFS('Blocker log'!$A:$A,$B507,'Blocker log'!$G:$G,"&lt;&gt;"))</f>
        <v>0</v>
      </c>
      <c r="N507" s="20">
        <f>IF($B507="","",COUNTIFS('Blocker log'!$A:$A,$B507,'Blocker log'!$G:$G,"Hard blocker"))</f>
        <v>0</v>
      </c>
      <c r="O507" s="20">
        <f>IF($B507="","",COUNTIFS('Blocker log'!$A:$A,$B507,'Blocker log'!$G:$G,"Hard blocker",'Blocker log'!$L:$L,9))</f>
        <v>0</v>
      </c>
      <c r="P507" s="20">
        <f>IF($B507="","",MAXIFS('Blocker log'!$L:$L,'Blocker log'!$A:$A,$B507,'Blocker log'!$G:$G,"Hard blocker"))</f>
        <v>0</v>
      </c>
      <c r="Q507" s="20" t="str">
        <f>IF($B507="","",IF($K507&lt;&gt;"Complete","Assessment pending",IF($N507=0,"Ready now",VLOOKUP($P507,Lists!$D$2:$E$5,2,FALSE))))</f>
        <v>Assessment pending</v>
      </c>
    </row>
    <row r="508" ht="15.75" customHeight="1">
      <c r="A508" s="35" t="s">
        <v>1626</v>
      </c>
      <c r="B508" s="35" t="s">
        <v>1627</v>
      </c>
      <c r="C508" s="35" t="s">
        <v>1286</v>
      </c>
      <c r="D508" s="35" t="s">
        <v>58</v>
      </c>
      <c r="E508" s="35" t="s">
        <v>59</v>
      </c>
      <c r="F508" s="35" t="s">
        <v>225</v>
      </c>
      <c r="G508" s="35" t="s">
        <v>1161</v>
      </c>
      <c r="H508" s="76">
        <v>96078.0</v>
      </c>
      <c r="I508" s="35" t="s">
        <v>421</v>
      </c>
      <c r="M508" s="20">
        <f>IF($B508="","",COUNTIFS('Blocker log'!$A:$A,$B508,'Blocker log'!$G:$G,"&lt;&gt;"))</f>
        <v>0</v>
      </c>
      <c r="N508" s="20">
        <f>IF($B508="","",COUNTIFS('Blocker log'!$A:$A,$B508,'Blocker log'!$G:$G,"Hard blocker"))</f>
        <v>0</v>
      </c>
      <c r="O508" s="20">
        <f>IF($B508="","",COUNTIFS('Blocker log'!$A:$A,$B508,'Blocker log'!$G:$G,"Hard blocker",'Blocker log'!$L:$L,9))</f>
        <v>0</v>
      </c>
      <c r="P508" s="20">
        <f>IF($B508="","",MAXIFS('Blocker log'!$L:$L,'Blocker log'!$A:$A,$B508,'Blocker log'!$G:$G,"Hard blocker"))</f>
        <v>0</v>
      </c>
      <c r="Q508" s="20" t="str">
        <f>IF($B508="","",IF($K508&lt;&gt;"Complete","Assessment pending",IF($N508=0,"Ready now",VLOOKUP($P508,Lists!$D$2:$E$5,2,FALSE))))</f>
        <v>Assessment pending</v>
      </c>
    </row>
    <row r="509" ht="15.75" customHeight="1">
      <c r="A509" s="35" t="s">
        <v>1628</v>
      </c>
      <c r="B509" s="35" t="s">
        <v>1629</v>
      </c>
      <c r="C509" s="35" t="s">
        <v>76</v>
      </c>
      <c r="D509" s="35" t="s">
        <v>58</v>
      </c>
      <c r="E509" s="35" t="s">
        <v>59</v>
      </c>
      <c r="F509" s="35" t="s">
        <v>77</v>
      </c>
      <c r="G509" s="35" t="s">
        <v>1042</v>
      </c>
      <c r="H509" s="76">
        <v>96000.0</v>
      </c>
      <c r="I509" s="35"/>
      <c r="M509" s="20">
        <f>IF($B509="","",COUNTIFS('Blocker log'!$A:$A,$B509,'Blocker log'!$G:$G,"&lt;&gt;"))</f>
        <v>0</v>
      </c>
      <c r="N509" s="20">
        <f>IF($B509="","",COUNTIFS('Blocker log'!$A:$A,$B509,'Blocker log'!$G:$G,"Hard blocker"))</f>
        <v>0</v>
      </c>
      <c r="O509" s="20">
        <f>IF($B509="","",COUNTIFS('Blocker log'!$A:$A,$B509,'Blocker log'!$G:$G,"Hard blocker",'Blocker log'!$L:$L,9))</f>
        <v>0</v>
      </c>
      <c r="P509" s="20">
        <f>IF($B509="","",MAXIFS('Blocker log'!$L:$L,'Blocker log'!$A:$A,$B509,'Blocker log'!$G:$G,"Hard blocker"))</f>
        <v>0</v>
      </c>
      <c r="Q509" s="20" t="str">
        <f>IF($B509="","",IF($K509&lt;&gt;"Complete","Assessment pending",IF($N509=0,"Ready now",VLOOKUP($P509,Lists!$D$2:$E$5,2,FALSE))))</f>
        <v>Assessment pending</v>
      </c>
    </row>
    <row r="510" ht="15.75" customHeight="1">
      <c r="A510" s="35" t="s">
        <v>1630</v>
      </c>
      <c r="B510" s="35" t="s">
        <v>1631</v>
      </c>
      <c r="C510" s="35" t="s">
        <v>1286</v>
      </c>
      <c r="D510" s="35" t="s">
        <v>58</v>
      </c>
      <c r="E510" s="35" t="s">
        <v>59</v>
      </c>
      <c r="F510" s="35" t="s">
        <v>225</v>
      </c>
      <c r="G510" s="35" t="s">
        <v>1161</v>
      </c>
      <c r="H510" s="76">
        <v>95703.0</v>
      </c>
      <c r="I510" s="35" t="s">
        <v>421</v>
      </c>
      <c r="M510" s="20">
        <f>IF($B510="","",COUNTIFS('Blocker log'!$A:$A,$B510,'Blocker log'!$G:$G,"&lt;&gt;"))</f>
        <v>0</v>
      </c>
      <c r="N510" s="20">
        <f>IF($B510="","",COUNTIFS('Blocker log'!$A:$A,$B510,'Blocker log'!$G:$G,"Hard blocker"))</f>
        <v>0</v>
      </c>
      <c r="O510" s="20">
        <f>IF($B510="","",COUNTIFS('Blocker log'!$A:$A,$B510,'Blocker log'!$G:$G,"Hard blocker",'Blocker log'!$L:$L,9))</f>
        <v>0</v>
      </c>
      <c r="P510" s="20">
        <f>IF($B510="","",MAXIFS('Blocker log'!$L:$L,'Blocker log'!$A:$A,$B510,'Blocker log'!$G:$G,"Hard blocker"))</f>
        <v>0</v>
      </c>
      <c r="Q510" s="20" t="str">
        <f>IF($B510="","",IF($K510&lt;&gt;"Complete","Assessment pending",IF($N510=0,"Ready now",VLOOKUP($P510,Lists!$D$2:$E$5,2,FALSE))))</f>
        <v>Assessment pending</v>
      </c>
    </row>
    <row r="511" ht="15.75" customHeight="1">
      <c r="A511" s="35" t="s">
        <v>1632</v>
      </c>
      <c r="B511" s="35" t="s">
        <v>1633</v>
      </c>
      <c r="C511" s="35" t="s">
        <v>76</v>
      </c>
      <c r="D511" s="35" t="s">
        <v>171</v>
      </c>
      <c r="E511" s="35" t="s">
        <v>668</v>
      </c>
      <c r="F511" s="35" t="s">
        <v>1634</v>
      </c>
      <c r="G511" s="35" t="s">
        <v>999</v>
      </c>
      <c r="H511" s="76">
        <v>94841.0</v>
      </c>
      <c r="I511" s="35"/>
      <c r="M511" s="20">
        <f>IF($B511="","",COUNTIFS('Blocker log'!$A:$A,$B511,'Blocker log'!$G:$G,"&lt;&gt;"))</f>
        <v>0</v>
      </c>
      <c r="N511" s="20">
        <f>IF($B511="","",COUNTIFS('Blocker log'!$A:$A,$B511,'Blocker log'!$G:$G,"Hard blocker"))</f>
        <v>0</v>
      </c>
      <c r="O511" s="20">
        <f>IF($B511="","",COUNTIFS('Blocker log'!$A:$A,$B511,'Blocker log'!$G:$G,"Hard blocker",'Blocker log'!$L:$L,9))</f>
        <v>0</v>
      </c>
      <c r="P511" s="20">
        <f>IF($B511="","",MAXIFS('Blocker log'!$L:$L,'Blocker log'!$A:$A,$B511,'Blocker log'!$G:$G,"Hard blocker"))</f>
        <v>0</v>
      </c>
      <c r="Q511" s="20" t="str">
        <f>IF($B511="","",IF($K511&lt;&gt;"Complete","Assessment pending",IF($N511=0,"Ready now",VLOOKUP($P511,Lists!$D$2:$E$5,2,FALSE))))</f>
        <v>Assessment pending</v>
      </c>
    </row>
    <row r="512" ht="15.75" customHeight="1">
      <c r="A512" s="35" t="s">
        <v>1635</v>
      </c>
      <c r="B512" s="35" t="s">
        <v>1636</v>
      </c>
      <c r="C512" s="35" t="s">
        <v>1286</v>
      </c>
      <c r="D512" s="35" t="s">
        <v>58</v>
      </c>
      <c r="E512" s="35" t="s">
        <v>140</v>
      </c>
      <c r="F512" s="35" t="s">
        <v>246</v>
      </c>
      <c r="G512" s="35" t="s">
        <v>1161</v>
      </c>
      <c r="H512" s="76">
        <v>94500.0</v>
      </c>
      <c r="I512" s="35"/>
      <c r="M512" s="20">
        <f>IF($B512="","",COUNTIFS('Blocker log'!$A:$A,$B512,'Blocker log'!$G:$G,"&lt;&gt;"))</f>
        <v>0</v>
      </c>
      <c r="N512" s="20">
        <f>IF($B512="","",COUNTIFS('Blocker log'!$A:$A,$B512,'Blocker log'!$G:$G,"Hard blocker"))</f>
        <v>0</v>
      </c>
      <c r="O512" s="20">
        <f>IF($B512="","",COUNTIFS('Blocker log'!$A:$A,$B512,'Blocker log'!$G:$G,"Hard blocker",'Blocker log'!$L:$L,9))</f>
        <v>0</v>
      </c>
      <c r="P512" s="20">
        <f>IF($B512="","",MAXIFS('Blocker log'!$L:$L,'Blocker log'!$A:$A,$B512,'Blocker log'!$G:$G,"Hard blocker"))</f>
        <v>0</v>
      </c>
      <c r="Q512" s="20" t="str">
        <f>IF($B512="","",IF($K512&lt;&gt;"Complete","Assessment pending",IF($N512=0,"Ready now",VLOOKUP($P512,Lists!$D$2:$E$5,2,FALSE))))</f>
        <v>Assessment pending</v>
      </c>
    </row>
    <row r="513" ht="15.75" customHeight="1">
      <c r="A513" s="35" t="s">
        <v>1637</v>
      </c>
      <c r="B513" s="35" t="s">
        <v>1638</v>
      </c>
      <c r="C513" s="35" t="s">
        <v>1286</v>
      </c>
      <c r="D513" s="35" t="s">
        <v>171</v>
      </c>
      <c r="E513" s="35" t="s">
        <v>668</v>
      </c>
      <c r="F513" s="35" t="s">
        <v>669</v>
      </c>
      <c r="G513" s="35" t="s">
        <v>1161</v>
      </c>
      <c r="H513" s="76">
        <v>94470.0</v>
      </c>
      <c r="I513" s="35" t="s">
        <v>422</v>
      </c>
      <c r="M513" s="20">
        <f>IF($B513="","",COUNTIFS('Blocker log'!$A:$A,$B513,'Blocker log'!$G:$G,"&lt;&gt;"))</f>
        <v>0</v>
      </c>
      <c r="N513" s="20">
        <f>IF($B513="","",COUNTIFS('Blocker log'!$A:$A,$B513,'Blocker log'!$G:$G,"Hard blocker"))</f>
        <v>0</v>
      </c>
      <c r="O513" s="20">
        <f>IF($B513="","",COUNTIFS('Blocker log'!$A:$A,$B513,'Blocker log'!$G:$G,"Hard blocker",'Blocker log'!$L:$L,9))</f>
        <v>0</v>
      </c>
      <c r="P513" s="20">
        <f>IF($B513="","",MAXIFS('Blocker log'!$L:$L,'Blocker log'!$A:$A,$B513,'Blocker log'!$G:$G,"Hard blocker"))</f>
        <v>0</v>
      </c>
      <c r="Q513" s="20" t="str">
        <f>IF($B513="","",IF($K513&lt;&gt;"Complete","Assessment pending",IF($N513=0,"Ready now",VLOOKUP($P513,Lists!$D$2:$E$5,2,FALSE))))</f>
        <v>Assessment pending</v>
      </c>
    </row>
    <row r="514" ht="15.75" customHeight="1">
      <c r="A514" s="35" t="s">
        <v>1639</v>
      </c>
      <c r="B514" s="35" t="s">
        <v>1640</v>
      </c>
      <c r="C514" s="35" t="s">
        <v>1286</v>
      </c>
      <c r="D514" s="35" t="s">
        <v>301</v>
      </c>
      <c r="E514" s="35" t="s">
        <v>593</v>
      </c>
      <c r="F514" s="35" t="s">
        <v>593</v>
      </c>
      <c r="G514" s="35" t="s">
        <v>1161</v>
      </c>
      <c r="H514" s="76">
        <v>94284.0</v>
      </c>
      <c r="I514" s="35"/>
      <c r="M514" s="20">
        <f>IF($B514="","",COUNTIFS('Blocker log'!$A:$A,$B514,'Blocker log'!$G:$G,"&lt;&gt;"))</f>
        <v>0</v>
      </c>
      <c r="N514" s="20">
        <f>IF($B514="","",COUNTIFS('Blocker log'!$A:$A,$B514,'Blocker log'!$G:$G,"Hard blocker"))</f>
        <v>0</v>
      </c>
      <c r="O514" s="20">
        <f>IF($B514="","",COUNTIFS('Blocker log'!$A:$A,$B514,'Blocker log'!$G:$G,"Hard blocker",'Blocker log'!$L:$L,9))</f>
        <v>0</v>
      </c>
      <c r="P514" s="20">
        <f>IF($B514="","",MAXIFS('Blocker log'!$L:$L,'Blocker log'!$A:$A,$B514,'Blocker log'!$G:$G,"Hard blocker"))</f>
        <v>0</v>
      </c>
      <c r="Q514" s="20" t="str">
        <f>IF($B514="","",IF($K514&lt;&gt;"Complete","Assessment pending",IF($N514=0,"Ready now",VLOOKUP($P514,Lists!$D$2:$E$5,2,FALSE))))</f>
        <v>Assessment pending</v>
      </c>
    </row>
    <row r="515" ht="15.75" customHeight="1">
      <c r="A515" s="35" t="s">
        <v>1641</v>
      </c>
      <c r="B515" s="35" t="s">
        <v>1642</v>
      </c>
      <c r="C515" s="35" t="s">
        <v>1286</v>
      </c>
      <c r="D515" s="35" t="s">
        <v>171</v>
      </c>
      <c r="E515" s="35" t="s">
        <v>587</v>
      </c>
      <c r="F515" s="35" t="s">
        <v>1643</v>
      </c>
      <c r="G515" s="35" t="s">
        <v>1161</v>
      </c>
      <c r="H515" s="76">
        <v>93525.0</v>
      </c>
      <c r="I515" s="35"/>
      <c r="M515" s="20">
        <f>IF($B515="","",COUNTIFS('Blocker log'!$A:$A,$B515,'Blocker log'!$G:$G,"&lt;&gt;"))</f>
        <v>0</v>
      </c>
      <c r="N515" s="20">
        <f>IF($B515="","",COUNTIFS('Blocker log'!$A:$A,$B515,'Blocker log'!$G:$G,"Hard blocker"))</f>
        <v>0</v>
      </c>
      <c r="O515" s="20">
        <f>IF($B515="","",COUNTIFS('Blocker log'!$A:$A,$B515,'Blocker log'!$G:$G,"Hard blocker",'Blocker log'!$L:$L,9))</f>
        <v>0</v>
      </c>
      <c r="P515" s="20">
        <f>IF($B515="","",MAXIFS('Blocker log'!$L:$L,'Blocker log'!$A:$A,$B515,'Blocker log'!$G:$G,"Hard blocker"))</f>
        <v>0</v>
      </c>
      <c r="Q515" s="20" t="str">
        <f>IF($B515="","",IF($K515&lt;&gt;"Complete","Assessment pending",IF($N515=0,"Ready now",VLOOKUP($P515,Lists!$D$2:$E$5,2,FALSE))))</f>
        <v>Assessment pending</v>
      </c>
    </row>
    <row r="516" ht="15.75" customHeight="1">
      <c r="A516" s="35" t="s">
        <v>1644</v>
      </c>
      <c r="B516" s="35" t="s">
        <v>1645</v>
      </c>
      <c r="C516" s="35" t="s">
        <v>76</v>
      </c>
      <c r="D516" s="35" t="s">
        <v>58</v>
      </c>
      <c r="E516" s="35" t="s">
        <v>59</v>
      </c>
      <c r="F516" s="35" t="s">
        <v>225</v>
      </c>
      <c r="G516" s="35" t="s">
        <v>1042</v>
      </c>
      <c r="H516" s="76">
        <v>93411.0</v>
      </c>
      <c r="I516" s="35"/>
      <c r="M516" s="20">
        <f>IF($B516="","",COUNTIFS('Blocker log'!$A:$A,$B516,'Blocker log'!$G:$G,"&lt;&gt;"))</f>
        <v>0</v>
      </c>
      <c r="N516" s="20">
        <f>IF($B516="","",COUNTIFS('Blocker log'!$A:$A,$B516,'Blocker log'!$G:$G,"Hard blocker"))</f>
        <v>0</v>
      </c>
      <c r="O516" s="20">
        <f>IF($B516="","",COUNTIFS('Blocker log'!$A:$A,$B516,'Blocker log'!$G:$G,"Hard blocker",'Blocker log'!$L:$L,9))</f>
        <v>0</v>
      </c>
      <c r="P516" s="20">
        <f>IF($B516="","",MAXIFS('Blocker log'!$L:$L,'Blocker log'!$A:$A,$B516,'Blocker log'!$G:$G,"Hard blocker"))</f>
        <v>0</v>
      </c>
      <c r="Q516" s="20" t="str">
        <f>IF($B516="","",IF($K516&lt;&gt;"Complete","Assessment pending",IF($N516=0,"Ready now",VLOOKUP($P516,Lists!$D$2:$E$5,2,FALSE))))</f>
        <v>Assessment pending</v>
      </c>
    </row>
    <row r="517" ht="15.75" customHeight="1">
      <c r="A517" s="35" t="s">
        <v>1646</v>
      </c>
      <c r="B517" s="35" t="s">
        <v>1647</v>
      </c>
      <c r="C517" s="35" t="s">
        <v>1286</v>
      </c>
      <c r="D517" s="35" t="s">
        <v>171</v>
      </c>
      <c r="E517" s="35" t="s">
        <v>512</v>
      </c>
      <c r="F517" s="35" t="s">
        <v>537</v>
      </c>
      <c r="G517" s="35" t="s">
        <v>1161</v>
      </c>
      <c r="H517" s="76">
        <v>92682.0</v>
      </c>
      <c r="I517" s="35" t="s">
        <v>406</v>
      </c>
      <c r="M517" s="20">
        <f>IF($B517="","",COUNTIFS('Blocker log'!$A:$A,$B517,'Blocker log'!$G:$G,"&lt;&gt;"))</f>
        <v>0</v>
      </c>
      <c r="N517" s="20">
        <f>IF($B517="","",COUNTIFS('Blocker log'!$A:$A,$B517,'Blocker log'!$G:$G,"Hard blocker"))</f>
        <v>0</v>
      </c>
      <c r="O517" s="20">
        <f>IF($B517="","",COUNTIFS('Blocker log'!$A:$A,$B517,'Blocker log'!$G:$G,"Hard blocker",'Blocker log'!$L:$L,9))</f>
        <v>0</v>
      </c>
      <c r="P517" s="20">
        <f>IF($B517="","",MAXIFS('Blocker log'!$L:$L,'Blocker log'!$A:$A,$B517,'Blocker log'!$G:$G,"Hard blocker"))</f>
        <v>0</v>
      </c>
      <c r="Q517" s="20" t="str">
        <f>IF($B517="","",IF($K517&lt;&gt;"Complete","Assessment pending",IF($N517=0,"Ready now",VLOOKUP($P517,Lists!$D$2:$E$5,2,FALSE))))</f>
        <v>Assessment pending</v>
      </c>
    </row>
    <row r="518" ht="15.75" customHeight="1">
      <c r="A518" s="35" t="s">
        <v>1648</v>
      </c>
      <c r="B518" s="35" t="s">
        <v>1649</v>
      </c>
      <c r="C518" s="35" t="s">
        <v>76</v>
      </c>
      <c r="D518" s="35" t="s">
        <v>260</v>
      </c>
      <c r="E518" s="35" t="s">
        <v>1096</v>
      </c>
      <c r="F518" s="35" t="s">
        <v>1650</v>
      </c>
      <c r="G518" s="35" t="s">
        <v>977</v>
      </c>
      <c r="H518" s="76">
        <v>92408.0</v>
      </c>
      <c r="I518" s="35"/>
      <c r="M518" s="20">
        <f>IF($B518="","",COUNTIFS('Blocker log'!$A:$A,$B518,'Blocker log'!$G:$G,"&lt;&gt;"))</f>
        <v>0</v>
      </c>
      <c r="N518" s="20">
        <f>IF($B518="","",COUNTIFS('Blocker log'!$A:$A,$B518,'Blocker log'!$G:$G,"Hard blocker"))</f>
        <v>0</v>
      </c>
      <c r="O518" s="20">
        <f>IF($B518="","",COUNTIFS('Blocker log'!$A:$A,$B518,'Blocker log'!$G:$G,"Hard blocker",'Blocker log'!$L:$L,9))</f>
        <v>0</v>
      </c>
      <c r="P518" s="20">
        <f>IF($B518="","",MAXIFS('Blocker log'!$L:$L,'Blocker log'!$A:$A,$B518,'Blocker log'!$G:$G,"Hard blocker"))</f>
        <v>0</v>
      </c>
      <c r="Q518" s="20" t="str">
        <f>IF($B518="","",IF($K518&lt;&gt;"Complete","Assessment pending",IF($N518=0,"Ready now",VLOOKUP($P518,Lists!$D$2:$E$5,2,FALSE))))</f>
        <v>Assessment pending</v>
      </c>
    </row>
    <row r="519" ht="15.75" customHeight="1">
      <c r="A519" s="35" t="s">
        <v>1651</v>
      </c>
      <c r="B519" s="35" t="s">
        <v>1652</v>
      </c>
      <c r="C519" s="35" t="s">
        <v>1286</v>
      </c>
      <c r="D519" s="35" t="s">
        <v>260</v>
      </c>
      <c r="E519" s="35" t="s">
        <v>576</v>
      </c>
      <c r="F519" s="35" t="s">
        <v>1653</v>
      </c>
      <c r="G519" s="35" t="s">
        <v>1161</v>
      </c>
      <c r="H519" s="76">
        <v>92106.0</v>
      </c>
      <c r="I519" s="35" t="s">
        <v>403</v>
      </c>
      <c r="M519" s="20">
        <f>IF($B519="","",COUNTIFS('Blocker log'!$A:$A,$B519,'Blocker log'!$G:$G,"&lt;&gt;"))</f>
        <v>0</v>
      </c>
      <c r="N519" s="20">
        <f>IF($B519="","",COUNTIFS('Blocker log'!$A:$A,$B519,'Blocker log'!$G:$G,"Hard blocker"))</f>
        <v>0</v>
      </c>
      <c r="O519" s="20">
        <f>IF($B519="","",COUNTIFS('Blocker log'!$A:$A,$B519,'Blocker log'!$G:$G,"Hard blocker",'Blocker log'!$L:$L,9))</f>
        <v>0</v>
      </c>
      <c r="P519" s="20">
        <f>IF($B519="","",MAXIFS('Blocker log'!$L:$L,'Blocker log'!$A:$A,$B519,'Blocker log'!$G:$G,"Hard blocker"))</f>
        <v>0</v>
      </c>
      <c r="Q519" s="20" t="str">
        <f>IF($B519="","",IF($K519&lt;&gt;"Complete","Assessment pending",IF($N519=0,"Ready now",VLOOKUP($P519,Lists!$D$2:$E$5,2,FALSE))))</f>
        <v>Assessment pending</v>
      </c>
    </row>
    <row r="520" ht="15.75" customHeight="1">
      <c r="A520" s="35" t="s">
        <v>1654</v>
      </c>
      <c r="B520" s="35" t="s">
        <v>1655</v>
      </c>
      <c r="C520" s="35" t="s">
        <v>1286</v>
      </c>
      <c r="D520" s="35" t="s">
        <v>58</v>
      </c>
      <c r="E520" s="35" t="s">
        <v>101</v>
      </c>
      <c r="F520" s="35" t="s">
        <v>102</v>
      </c>
      <c r="G520" s="35" t="s">
        <v>1161</v>
      </c>
      <c r="H520" s="76">
        <v>92000.0</v>
      </c>
      <c r="I520" s="35" t="s">
        <v>423</v>
      </c>
      <c r="M520" s="20">
        <f>IF($B520="","",COUNTIFS('Blocker log'!$A:$A,$B520,'Blocker log'!$G:$G,"&lt;&gt;"))</f>
        <v>0</v>
      </c>
      <c r="N520" s="20">
        <f>IF($B520="","",COUNTIFS('Blocker log'!$A:$A,$B520,'Blocker log'!$G:$G,"Hard blocker"))</f>
        <v>0</v>
      </c>
      <c r="O520" s="20">
        <f>IF($B520="","",COUNTIFS('Blocker log'!$A:$A,$B520,'Blocker log'!$G:$G,"Hard blocker",'Blocker log'!$L:$L,9))</f>
        <v>0</v>
      </c>
      <c r="P520" s="20">
        <f>IF($B520="","",MAXIFS('Blocker log'!$L:$L,'Blocker log'!$A:$A,$B520,'Blocker log'!$G:$G,"Hard blocker"))</f>
        <v>0</v>
      </c>
      <c r="Q520" s="20" t="str">
        <f>IF($B520="","",IF($K520&lt;&gt;"Complete","Assessment pending",IF($N520=0,"Ready now",VLOOKUP($P520,Lists!$D$2:$E$5,2,FALSE))))</f>
        <v>Assessment pending</v>
      </c>
    </row>
    <row r="521" ht="15.75" customHeight="1">
      <c r="A521" s="35" t="s">
        <v>1656</v>
      </c>
      <c r="B521" s="35" t="s">
        <v>1657</v>
      </c>
      <c r="C521" s="35" t="s">
        <v>1286</v>
      </c>
      <c r="D521" s="35" t="s">
        <v>171</v>
      </c>
      <c r="E521" s="35" t="s">
        <v>542</v>
      </c>
      <c r="F521" s="35" t="s">
        <v>543</v>
      </c>
      <c r="G521" s="35" t="s">
        <v>1161</v>
      </c>
      <c r="H521" s="76">
        <v>91958.0</v>
      </c>
      <c r="I521" s="35"/>
      <c r="M521" s="20">
        <f>IF($B521="","",COUNTIFS('Blocker log'!$A:$A,$B521,'Blocker log'!$G:$G,"&lt;&gt;"))</f>
        <v>0</v>
      </c>
      <c r="N521" s="20">
        <f>IF($B521="","",COUNTIFS('Blocker log'!$A:$A,$B521,'Blocker log'!$G:$G,"Hard blocker"))</f>
        <v>0</v>
      </c>
      <c r="O521" s="20">
        <f>IF($B521="","",COUNTIFS('Blocker log'!$A:$A,$B521,'Blocker log'!$G:$G,"Hard blocker",'Blocker log'!$L:$L,9))</f>
        <v>0</v>
      </c>
      <c r="P521" s="20">
        <f>IF($B521="","",MAXIFS('Blocker log'!$L:$L,'Blocker log'!$A:$A,$B521,'Blocker log'!$G:$G,"Hard blocker"))</f>
        <v>0</v>
      </c>
      <c r="Q521" s="20" t="str">
        <f>IF($B521="","",IF($K521&lt;&gt;"Complete","Assessment pending",IF($N521=0,"Ready now",VLOOKUP($P521,Lists!$D$2:$E$5,2,FALSE))))</f>
        <v>Assessment pending</v>
      </c>
    </row>
    <row r="522" ht="15.75" customHeight="1">
      <c r="A522" s="35" t="s">
        <v>1658</v>
      </c>
      <c r="B522" s="35" t="s">
        <v>1659</v>
      </c>
      <c r="C522" s="35" t="s">
        <v>76</v>
      </c>
      <c r="D522" s="35" t="s">
        <v>58</v>
      </c>
      <c r="E522" s="35" t="s">
        <v>494</v>
      </c>
      <c r="F522" s="35" t="s">
        <v>629</v>
      </c>
      <c r="G522" s="35" t="s">
        <v>980</v>
      </c>
      <c r="H522" s="76">
        <v>91647.0</v>
      </c>
      <c r="I522" s="35"/>
      <c r="M522" s="20">
        <f>IF($B522="","",COUNTIFS('Blocker log'!$A:$A,$B522,'Blocker log'!$G:$G,"&lt;&gt;"))</f>
        <v>0</v>
      </c>
      <c r="N522" s="20">
        <f>IF($B522="","",COUNTIFS('Blocker log'!$A:$A,$B522,'Blocker log'!$G:$G,"Hard blocker"))</f>
        <v>0</v>
      </c>
      <c r="O522" s="20">
        <f>IF($B522="","",COUNTIFS('Blocker log'!$A:$A,$B522,'Blocker log'!$G:$G,"Hard blocker",'Blocker log'!$L:$L,9))</f>
        <v>0</v>
      </c>
      <c r="P522" s="20">
        <f>IF($B522="","",MAXIFS('Blocker log'!$L:$L,'Blocker log'!$A:$A,$B522,'Blocker log'!$G:$G,"Hard blocker"))</f>
        <v>0</v>
      </c>
      <c r="Q522" s="20" t="str">
        <f>IF($B522="","",IF($K522&lt;&gt;"Complete","Assessment pending",IF($N522=0,"Ready now",VLOOKUP($P522,Lists!$D$2:$E$5,2,FALSE))))</f>
        <v>Assessment pending</v>
      </c>
    </row>
    <row r="523" ht="15.75" customHeight="1">
      <c r="A523" s="35" t="s">
        <v>1660</v>
      </c>
      <c r="B523" s="35" t="s">
        <v>1661</v>
      </c>
      <c r="C523" s="35" t="s">
        <v>1286</v>
      </c>
      <c r="D523" s="35" t="s">
        <v>171</v>
      </c>
      <c r="E523" s="35" t="s">
        <v>542</v>
      </c>
      <c r="F523" s="35" t="s">
        <v>543</v>
      </c>
      <c r="G523" s="35" t="s">
        <v>1161</v>
      </c>
      <c r="H523" s="76">
        <v>91397.0</v>
      </c>
      <c r="I523" s="35" t="s">
        <v>424</v>
      </c>
      <c r="M523" s="20">
        <f>IF($B523="","",COUNTIFS('Blocker log'!$A:$A,$B523,'Blocker log'!$G:$G,"&lt;&gt;"))</f>
        <v>0</v>
      </c>
      <c r="N523" s="20">
        <f>IF($B523="","",COUNTIFS('Blocker log'!$A:$A,$B523,'Blocker log'!$G:$G,"Hard blocker"))</f>
        <v>0</v>
      </c>
      <c r="O523" s="20">
        <f>IF($B523="","",COUNTIFS('Blocker log'!$A:$A,$B523,'Blocker log'!$G:$G,"Hard blocker",'Blocker log'!$L:$L,9))</f>
        <v>0</v>
      </c>
      <c r="P523" s="20">
        <f>IF($B523="","",MAXIFS('Blocker log'!$L:$L,'Blocker log'!$A:$A,$B523,'Blocker log'!$G:$G,"Hard blocker"))</f>
        <v>0</v>
      </c>
      <c r="Q523" s="20" t="str">
        <f>IF($B523="","",IF($K523&lt;&gt;"Complete","Assessment pending",IF($N523=0,"Ready now",VLOOKUP($P523,Lists!$D$2:$E$5,2,FALSE))))</f>
        <v>Assessment pending</v>
      </c>
    </row>
    <row r="524" ht="15.75" customHeight="1">
      <c r="A524" s="35" t="s">
        <v>1662</v>
      </c>
      <c r="B524" s="35" t="s">
        <v>1663</v>
      </c>
      <c r="C524" s="35" t="s">
        <v>1286</v>
      </c>
      <c r="D524" s="35" t="s">
        <v>58</v>
      </c>
      <c r="E524" s="35" t="s">
        <v>140</v>
      </c>
      <c r="F524" s="35" t="s">
        <v>370</v>
      </c>
      <c r="G524" s="35" t="s">
        <v>1161</v>
      </c>
      <c r="H524" s="76">
        <v>90831.0</v>
      </c>
      <c r="I524" s="35" t="s">
        <v>425</v>
      </c>
      <c r="M524" s="20">
        <f>IF($B524="","",COUNTIFS('Blocker log'!$A:$A,$B524,'Blocker log'!$G:$G,"&lt;&gt;"))</f>
        <v>0</v>
      </c>
      <c r="N524" s="20">
        <f>IF($B524="","",COUNTIFS('Blocker log'!$A:$A,$B524,'Blocker log'!$G:$G,"Hard blocker"))</f>
        <v>0</v>
      </c>
      <c r="O524" s="20">
        <f>IF($B524="","",COUNTIFS('Blocker log'!$A:$A,$B524,'Blocker log'!$G:$G,"Hard blocker",'Blocker log'!$L:$L,9))</f>
        <v>0</v>
      </c>
      <c r="P524" s="20">
        <f>IF($B524="","",MAXIFS('Blocker log'!$L:$L,'Blocker log'!$A:$A,$B524,'Blocker log'!$G:$G,"Hard blocker"))</f>
        <v>0</v>
      </c>
      <c r="Q524" s="20" t="str">
        <f>IF($B524="","",IF($K524&lt;&gt;"Complete","Assessment pending",IF($N524=0,"Ready now",VLOOKUP($P524,Lists!$D$2:$E$5,2,FALSE))))</f>
        <v>Assessment pending</v>
      </c>
    </row>
    <row r="525" ht="15.75" customHeight="1">
      <c r="A525" s="35" t="s">
        <v>1664</v>
      </c>
      <c r="B525" s="35" t="s">
        <v>1665</v>
      </c>
      <c r="C525" s="35" t="s">
        <v>76</v>
      </c>
      <c r="D525" s="35" t="s">
        <v>58</v>
      </c>
      <c r="E525" s="35" t="s">
        <v>59</v>
      </c>
      <c r="F525" s="35" t="s">
        <v>278</v>
      </c>
      <c r="G525" s="35" t="s">
        <v>1042</v>
      </c>
      <c r="H525" s="76">
        <v>90720.0</v>
      </c>
      <c r="I525" s="35"/>
      <c r="M525" s="20">
        <f>IF($B525="","",COUNTIFS('Blocker log'!$A:$A,$B525,'Blocker log'!$G:$G,"&lt;&gt;"))</f>
        <v>0</v>
      </c>
      <c r="N525" s="20">
        <f>IF($B525="","",COUNTIFS('Blocker log'!$A:$A,$B525,'Blocker log'!$G:$G,"Hard blocker"))</f>
        <v>0</v>
      </c>
      <c r="O525" s="20">
        <f>IF($B525="","",COUNTIFS('Blocker log'!$A:$A,$B525,'Blocker log'!$G:$G,"Hard blocker",'Blocker log'!$L:$L,9))</f>
        <v>0</v>
      </c>
      <c r="P525" s="20">
        <f>IF($B525="","",MAXIFS('Blocker log'!$L:$L,'Blocker log'!$A:$A,$B525,'Blocker log'!$G:$G,"Hard blocker"))</f>
        <v>0</v>
      </c>
      <c r="Q525" s="20" t="str">
        <f>IF($B525="","",IF($K525&lt;&gt;"Complete","Assessment pending",IF($N525=0,"Ready now",VLOOKUP($P525,Lists!$D$2:$E$5,2,FALSE))))</f>
        <v>Assessment pending</v>
      </c>
    </row>
    <row r="526" ht="15.75" customHeight="1">
      <c r="A526" s="35" t="s">
        <v>1666</v>
      </c>
      <c r="B526" s="35" t="s">
        <v>1667</v>
      </c>
      <c r="C526" s="35" t="s">
        <v>1286</v>
      </c>
      <c r="D526" s="35" t="s">
        <v>260</v>
      </c>
      <c r="E526" s="35" t="s">
        <v>576</v>
      </c>
      <c r="F526" s="35" t="s">
        <v>1228</v>
      </c>
      <c r="G526" s="35" t="s">
        <v>1161</v>
      </c>
      <c r="H526" s="76">
        <v>90720.0</v>
      </c>
      <c r="I526" s="35" t="s">
        <v>403</v>
      </c>
      <c r="M526" s="20">
        <f>IF($B526="","",COUNTIFS('Blocker log'!$A:$A,$B526,'Blocker log'!$G:$G,"&lt;&gt;"))</f>
        <v>0</v>
      </c>
      <c r="N526" s="20">
        <f>IF($B526="","",COUNTIFS('Blocker log'!$A:$A,$B526,'Blocker log'!$G:$G,"Hard blocker"))</f>
        <v>0</v>
      </c>
      <c r="O526" s="20">
        <f>IF($B526="","",COUNTIFS('Blocker log'!$A:$A,$B526,'Blocker log'!$G:$G,"Hard blocker",'Blocker log'!$L:$L,9))</f>
        <v>0</v>
      </c>
      <c r="P526" s="20">
        <f>IF($B526="","",MAXIFS('Blocker log'!$L:$L,'Blocker log'!$A:$A,$B526,'Blocker log'!$G:$G,"Hard blocker"))</f>
        <v>0</v>
      </c>
      <c r="Q526" s="20" t="str">
        <f>IF($B526="","",IF($K526&lt;&gt;"Complete","Assessment pending",IF($N526=0,"Ready now",VLOOKUP($P526,Lists!$D$2:$E$5,2,FALSE))))</f>
        <v>Assessment pending</v>
      </c>
    </row>
    <row r="527" ht="15.75" customHeight="1">
      <c r="A527" s="35" t="s">
        <v>1668</v>
      </c>
      <c r="B527" s="35" t="s">
        <v>1669</v>
      </c>
      <c r="C527" s="35" t="s">
        <v>1286</v>
      </c>
      <c r="D527" s="35" t="s">
        <v>58</v>
      </c>
      <c r="E527" s="35" t="s">
        <v>101</v>
      </c>
      <c r="F527" s="35" t="s">
        <v>116</v>
      </c>
      <c r="G527" s="35" t="s">
        <v>1042</v>
      </c>
      <c r="H527" s="76">
        <v>90319.0</v>
      </c>
      <c r="I527" s="35" t="s">
        <v>405</v>
      </c>
      <c r="M527" s="20">
        <f>IF($B527="","",COUNTIFS('Blocker log'!$A:$A,$B527,'Blocker log'!$G:$G,"&lt;&gt;"))</f>
        <v>0</v>
      </c>
      <c r="N527" s="20">
        <f>IF($B527="","",COUNTIFS('Blocker log'!$A:$A,$B527,'Blocker log'!$G:$G,"Hard blocker"))</f>
        <v>0</v>
      </c>
      <c r="O527" s="20">
        <f>IF($B527="","",COUNTIFS('Blocker log'!$A:$A,$B527,'Blocker log'!$G:$G,"Hard blocker",'Blocker log'!$L:$L,9))</f>
        <v>0</v>
      </c>
      <c r="P527" s="20">
        <f>IF($B527="","",MAXIFS('Blocker log'!$L:$L,'Blocker log'!$A:$A,$B527,'Blocker log'!$G:$G,"Hard blocker"))</f>
        <v>0</v>
      </c>
      <c r="Q527" s="20" t="str">
        <f>IF($B527="","",IF($K527&lt;&gt;"Complete","Assessment pending",IF($N527=0,"Ready now",VLOOKUP($P527,Lists!$D$2:$E$5,2,FALSE))))</f>
        <v>Assessment pending</v>
      </c>
    </row>
    <row r="528" ht="15.75" customHeight="1">
      <c r="A528" s="35" t="s">
        <v>1670</v>
      </c>
      <c r="B528" s="35" t="s">
        <v>1671</v>
      </c>
      <c r="C528" s="35" t="s">
        <v>76</v>
      </c>
      <c r="D528" s="35" t="s">
        <v>58</v>
      </c>
      <c r="E528" s="35" t="s">
        <v>59</v>
      </c>
      <c r="F528" s="35" t="s">
        <v>598</v>
      </c>
      <c r="G528" s="35" t="s">
        <v>980</v>
      </c>
      <c r="H528" s="76">
        <v>89963.0</v>
      </c>
      <c r="I528" s="35"/>
      <c r="M528" s="20">
        <f>IF($B528="","",COUNTIFS('Blocker log'!$A:$A,$B528,'Blocker log'!$G:$G,"&lt;&gt;"))</f>
        <v>0</v>
      </c>
      <c r="N528" s="20">
        <f>IF($B528="","",COUNTIFS('Blocker log'!$A:$A,$B528,'Blocker log'!$G:$G,"Hard blocker"))</f>
        <v>0</v>
      </c>
      <c r="O528" s="20">
        <f>IF($B528="","",COUNTIFS('Blocker log'!$A:$A,$B528,'Blocker log'!$G:$G,"Hard blocker",'Blocker log'!$L:$L,9))</f>
        <v>0</v>
      </c>
      <c r="P528" s="20">
        <f>IF($B528="","",MAXIFS('Blocker log'!$L:$L,'Blocker log'!$A:$A,$B528,'Blocker log'!$G:$G,"Hard blocker"))</f>
        <v>0</v>
      </c>
      <c r="Q528" s="20" t="str">
        <f>IF($B528="","",IF($K528&lt;&gt;"Complete","Assessment pending",IF($N528=0,"Ready now",VLOOKUP($P528,Lists!$D$2:$E$5,2,FALSE))))</f>
        <v>Assessment pending</v>
      </c>
    </row>
    <row r="529" ht="15.75" customHeight="1">
      <c r="A529" s="35" t="s">
        <v>1672</v>
      </c>
      <c r="B529" s="35" t="s">
        <v>1673</v>
      </c>
      <c r="C529" s="35" t="s">
        <v>1286</v>
      </c>
      <c r="D529" s="35" t="s">
        <v>260</v>
      </c>
      <c r="E529" s="35" t="s">
        <v>530</v>
      </c>
      <c r="F529" s="35" t="s">
        <v>1674</v>
      </c>
      <c r="G529" s="35" t="s">
        <v>1161</v>
      </c>
      <c r="H529" s="76">
        <v>89640.0</v>
      </c>
      <c r="I529" s="35"/>
      <c r="M529" s="20">
        <f>IF($B529="","",COUNTIFS('Blocker log'!$A:$A,$B529,'Blocker log'!$G:$G,"&lt;&gt;"))</f>
        <v>0</v>
      </c>
      <c r="N529" s="20">
        <f>IF($B529="","",COUNTIFS('Blocker log'!$A:$A,$B529,'Blocker log'!$G:$G,"Hard blocker"))</f>
        <v>0</v>
      </c>
      <c r="O529" s="20">
        <f>IF($B529="","",COUNTIFS('Blocker log'!$A:$A,$B529,'Blocker log'!$G:$G,"Hard blocker",'Blocker log'!$L:$L,9))</f>
        <v>0</v>
      </c>
      <c r="P529" s="20">
        <f>IF($B529="","",MAXIFS('Blocker log'!$L:$L,'Blocker log'!$A:$A,$B529,'Blocker log'!$G:$G,"Hard blocker"))</f>
        <v>0</v>
      </c>
      <c r="Q529" s="20" t="str">
        <f>IF($B529="","",IF($K529&lt;&gt;"Complete","Assessment pending",IF($N529=0,"Ready now",VLOOKUP($P529,Lists!$D$2:$E$5,2,FALSE))))</f>
        <v>Assessment pending</v>
      </c>
    </row>
    <row r="530" ht="15.75" customHeight="1">
      <c r="A530" s="35" t="s">
        <v>1675</v>
      </c>
      <c r="B530" s="35" t="s">
        <v>1676</v>
      </c>
      <c r="C530" s="35" t="s">
        <v>1286</v>
      </c>
      <c r="D530" s="35" t="s">
        <v>58</v>
      </c>
      <c r="E530" s="35" t="s">
        <v>94</v>
      </c>
      <c r="F530" s="35" t="s">
        <v>94</v>
      </c>
      <c r="G530" s="35" t="s">
        <v>1161</v>
      </c>
      <c r="H530" s="76">
        <v>89440.0</v>
      </c>
      <c r="I530" s="35" t="s">
        <v>426</v>
      </c>
      <c r="M530" s="20">
        <f>IF($B530="","",COUNTIFS('Blocker log'!$A:$A,$B530,'Blocker log'!$G:$G,"&lt;&gt;"))</f>
        <v>0</v>
      </c>
      <c r="N530" s="20">
        <f>IF($B530="","",COUNTIFS('Blocker log'!$A:$A,$B530,'Blocker log'!$G:$G,"Hard blocker"))</f>
        <v>0</v>
      </c>
      <c r="O530" s="20">
        <f>IF($B530="","",COUNTIFS('Blocker log'!$A:$A,$B530,'Blocker log'!$G:$G,"Hard blocker",'Blocker log'!$L:$L,9))</f>
        <v>0</v>
      </c>
      <c r="P530" s="20">
        <f>IF($B530="","",MAXIFS('Blocker log'!$L:$L,'Blocker log'!$A:$A,$B530,'Blocker log'!$G:$G,"Hard blocker"))</f>
        <v>0</v>
      </c>
      <c r="Q530" s="20" t="str">
        <f>IF($B530="","",IF($K530&lt;&gt;"Complete","Assessment pending",IF($N530=0,"Ready now",VLOOKUP($P530,Lists!$D$2:$E$5,2,FALSE))))</f>
        <v>Assessment pending</v>
      </c>
    </row>
    <row r="531" ht="15.75" customHeight="1">
      <c r="A531" s="35" t="s">
        <v>1677</v>
      </c>
      <c r="B531" s="35" t="s">
        <v>1678</v>
      </c>
      <c r="C531" s="35" t="s">
        <v>1286</v>
      </c>
      <c r="D531" s="35" t="s">
        <v>260</v>
      </c>
      <c r="E531" s="35" t="s">
        <v>530</v>
      </c>
      <c r="F531" s="35" t="s">
        <v>1674</v>
      </c>
      <c r="G531" s="35" t="s">
        <v>1161</v>
      </c>
      <c r="H531" s="76">
        <v>89100.0</v>
      </c>
      <c r="I531" s="35"/>
      <c r="M531" s="20">
        <f>IF($B531="","",COUNTIFS('Blocker log'!$A:$A,$B531,'Blocker log'!$G:$G,"&lt;&gt;"))</f>
        <v>0</v>
      </c>
      <c r="N531" s="20">
        <f>IF($B531="","",COUNTIFS('Blocker log'!$A:$A,$B531,'Blocker log'!$G:$G,"Hard blocker"))</f>
        <v>0</v>
      </c>
      <c r="O531" s="20">
        <f>IF($B531="","",COUNTIFS('Blocker log'!$A:$A,$B531,'Blocker log'!$G:$G,"Hard blocker",'Blocker log'!$L:$L,9))</f>
        <v>0</v>
      </c>
      <c r="P531" s="20">
        <f>IF($B531="","",MAXIFS('Blocker log'!$L:$L,'Blocker log'!$A:$A,$B531,'Blocker log'!$G:$G,"Hard blocker"))</f>
        <v>0</v>
      </c>
      <c r="Q531" s="20" t="str">
        <f>IF($B531="","",IF($K531&lt;&gt;"Complete","Assessment pending",IF($N531=0,"Ready now",VLOOKUP($P531,Lists!$D$2:$E$5,2,FALSE))))</f>
        <v>Assessment pending</v>
      </c>
    </row>
    <row r="532" ht="15.75" customHeight="1">
      <c r="A532" s="35" t="s">
        <v>1679</v>
      </c>
      <c r="B532" s="35" t="s">
        <v>1680</v>
      </c>
      <c r="C532" s="35" t="s">
        <v>76</v>
      </c>
      <c r="D532" s="35" t="s">
        <v>171</v>
      </c>
      <c r="E532" s="35" t="s">
        <v>512</v>
      </c>
      <c r="F532" s="35" t="s">
        <v>537</v>
      </c>
      <c r="G532" s="35" t="s">
        <v>980</v>
      </c>
      <c r="H532" s="76">
        <v>89013.0</v>
      </c>
      <c r="I532" s="35"/>
      <c r="M532" s="20">
        <f>IF($B532="","",COUNTIFS('Blocker log'!$A:$A,$B532,'Blocker log'!$G:$G,"&lt;&gt;"))</f>
        <v>0</v>
      </c>
      <c r="N532" s="20">
        <f>IF($B532="","",COUNTIFS('Blocker log'!$A:$A,$B532,'Blocker log'!$G:$G,"Hard blocker"))</f>
        <v>0</v>
      </c>
      <c r="O532" s="20">
        <f>IF($B532="","",COUNTIFS('Blocker log'!$A:$A,$B532,'Blocker log'!$G:$G,"Hard blocker",'Blocker log'!$L:$L,9))</f>
        <v>0</v>
      </c>
      <c r="P532" s="20">
        <f>IF($B532="","",MAXIFS('Blocker log'!$L:$L,'Blocker log'!$A:$A,$B532,'Blocker log'!$G:$G,"Hard blocker"))</f>
        <v>0</v>
      </c>
      <c r="Q532" s="20" t="str">
        <f>IF($B532="","",IF($K532&lt;&gt;"Complete","Assessment pending",IF($N532=0,"Ready now",VLOOKUP($P532,Lists!$D$2:$E$5,2,FALSE))))</f>
        <v>Assessment pending</v>
      </c>
    </row>
    <row r="533" ht="15.75" customHeight="1">
      <c r="A533" s="35" t="s">
        <v>1681</v>
      </c>
      <c r="B533" s="35" t="s">
        <v>1682</v>
      </c>
      <c r="C533" s="35" t="s">
        <v>1286</v>
      </c>
      <c r="D533" s="35" t="s">
        <v>260</v>
      </c>
      <c r="E533" s="35" t="s">
        <v>530</v>
      </c>
      <c r="F533" s="35" t="s">
        <v>1493</v>
      </c>
      <c r="G533" s="35" t="s">
        <v>1161</v>
      </c>
      <c r="H533" s="76">
        <v>87384.0</v>
      </c>
      <c r="I533" s="35"/>
      <c r="M533" s="20">
        <f>IF($B533="","",COUNTIFS('Blocker log'!$A:$A,$B533,'Blocker log'!$G:$G,"&lt;&gt;"))</f>
        <v>0</v>
      </c>
      <c r="N533" s="20">
        <f>IF($B533="","",COUNTIFS('Blocker log'!$A:$A,$B533,'Blocker log'!$G:$G,"Hard blocker"))</f>
        <v>0</v>
      </c>
      <c r="O533" s="20">
        <f>IF($B533="","",COUNTIFS('Blocker log'!$A:$A,$B533,'Blocker log'!$G:$G,"Hard blocker",'Blocker log'!$L:$L,9))</f>
        <v>0</v>
      </c>
      <c r="P533" s="20">
        <f>IF($B533="","",MAXIFS('Blocker log'!$L:$L,'Blocker log'!$A:$A,$B533,'Blocker log'!$G:$G,"Hard blocker"))</f>
        <v>0</v>
      </c>
      <c r="Q533" s="20" t="str">
        <f>IF($B533="","",IF($K533&lt;&gt;"Complete","Assessment pending",IF($N533=0,"Ready now",VLOOKUP($P533,Lists!$D$2:$E$5,2,FALSE))))</f>
        <v>Assessment pending</v>
      </c>
    </row>
    <row r="534" ht="15.75" customHeight="1">
      <c r="A534" s="35" t="s">
        <v>1683</v>
      </c>
      <c r="B534" s="35" t="s">
        <v>1684</v>
      </c>
      <c r="C534" s="35" t="s">
        <v>1286</v>
      </c>
      <c r="D534" s="35" t="s">
        <v>58</v>
      </c>
      <c r="E534" s="35" t="s">
        <v>140</v>
      </c>
      <c r="F534" s="35" t="s">
        <v>663</v>
      </c>
      <c r="G534" s="35" t="s">
        <v>1161</v>
      </c>
      <c r="H534" s="76">
        <v>86171.0</v>
      </c>
      <c r="I534" s="35" t="s">
        <v>405</v>
      </c>
      <c r="M534" s="20">
        <f>IF($B534="","",COUNTIFS('Blocker log'!$A:$A,$B534,'Blocker log'!$G:$G,"&lt;&gt;"))</f>
        <v>0</v>
      </c>
      <c r="N534" s="20">
        <f>IF($B534="","",COUNTIFS('Blocker log'!$A:$A,$B534,'Blocker log'!$G:$G,"Hard blocker"))</f>
        <v>0</v>
      </c>
      <c r="O534" s="20">
        <f>IF($B534="","",COUNTIFS('Blocker log'!$A:$A,$B534,'Blocker log'!$G:$G,"Hard blocker",'Blocker log'!$L:$L,9))</f>
        <v>0</v>
      </c>
      <c r="P534" s="20">
        <f>IF($B534="","",MAXIFS('Blocker log'!$L:$L,'Blocker log'!$A:$A,$B534,'Blocker log'!$G:$G,"Hard blocker"))</f>
        <v>0</v>
      </c>
      <c r="Q534" s="20" t="str">
        <f>IF($B534="","",IF($K534&lt;&gt;"Complete","Assessment pending",IF($N534=0,"Ready now",VLOOKUP($P534,Lists!$D$2:$E$5,2,FALSE))))</f>
        <v>Assessment pending</v>
      </c>
    </row>
    <row r="535" ht="15.75" customHeight="1">
      <c r="A535" s="35" t="s">
        <v>1685</v>
      </c>
      <c r="B535" s="35" t="s">
        <v>1686</v>
      </c>
      <c r="C535" s="35" t="s">
        <v>76</v>
      </c>
      <c r="D535" s="35" t="s">
        <v>58</v>
      </c>
      <c r="E535" s="35" t="s">
        <v>59</v>
      </c>
      <c r="F535" s="35" t="s">
        <v>77</v>
      </c>
      <c r="G535" s="35" t="s">
        <v>980</v>
      </c>
      <c r="H535" s="76">
        <v>85240.0</v>
      </c>
      <c r="I535" s="35"/>
      <c r="M535" s="20">
        <f>IF($B535="","",COUNTIFS('Blocker log'!$A:$A,$B535,'Blocker log'!$G:$G,"&lt;&gt;"))</f>
        <v>0</v>
      </c>
      <c r="N535" s="20">
        <f>IF($B535="","",COUNTIFS('Blocker log'!$A:$A,$B535,'Blocker log'!$G:$G,"Hard blocker"))</f>
        <v>0</v>
      </c>
      <c r="O535" s="20">
        <f>IF($B535="","",COUNTIFS('Blocker log'!$A:$A,$B535,'Blocker log'!$G:$G,"Hard blocker",'Blocker log'!$L:$L,9))</f>
        <v>0</v>
      </c>
      <c r="P535" s="20">
        <f>IF($B535="","",MAXIFS('Blocker log'!$L:$L,'Blocker log'!$A:$A,$B535,'Blocker log'!$G:$G,"Hard blocker"))</f>
        <v>0</v>
      </c>
      <c r="Q535" s="20" t="str">
        <f>IF($B535="","",IF($K535&lt;&gt;"Complete","Assessment pending",IF($N535=0,"Ready now",VLOOKUP($P535,Lists!$D$2:$E$5,2,FALSE))))</f>
        <v>Assessment pending</v>
      </c>
    </row>
    <row r="536" ht="15.75" customHeight="1">
      <c r="A536" s="35" t="s">
        <v>1687</v>
      </c>
      <c r="B536" s="35" t="s">
        <v>1688</v>
      </c>
      <c r="C536" s="35" t="s">
        <v>1286</v>
      </c>
      <c r="D536" s="35" t="s">
        <v>301</v>
      </c>
      <c r="E536" s="35" t="s">
        <v>484</v>
      </c>
      <c r="F536" s="35" t="s">
        <v>484</v>
      </c>
      <c r="G536" s="35" t="s">
        <v>1042</v>
      </c>
      <c r="H536" s="76">
        <v>85105.0</v>
      </c>
      <c r="I536" s="35"/>
      <c r="M536" s="20">
        <f>IF($B536="","",COUNTIFS('Blocker log'!$A:$A,$B536,'Blocker log'!$G:$G,"&lt;&gt;"))</f>
        <v>0</v>
      </c>
      <c r="N536" s="20">
        <f>IF($B536="","",COUNTIFS('Blocker log'!$A:$A,$B536,'Blocker log'!$G:$G,"Hard blocker"))</f>
        <v>0</v>
      </c>
      <c r="O536" s="20">
        <f>IF($B536="","",COUNTIFS('Blocker log'!$A:$A,$B536,'Blocker log'!$G:$G,"Hard blocker",'Blocker log'!$L:$L,9))</f>
        <v>0</v>
      </c>
      <c r="P536" s="20">
        <f>IF($B536="","",MAXIFS('Blocker log'!$L:$L,'Blocker log'!$A:$A,$B536,'Blocker log'!$G:$G,"Hard blocker"))</f>
        <v>0</v>
      </c>
      <c r="Q536" s="20" t="str">
        <f>IF($B536="","",IF($K536&lt;&gt;"Complete","Assessment pending",IF($N536=0,"Ready now",VLOOKUP($P536,Lists!$D$2:$E$5,2,FALSE))))</f>
        <v>Assessment pending</v>
      </c>
    </row>
    <row r="537" ht="15.75" customHeight="1">
      <c r="A537" s="35" t="s">
        <v>1689</v>
      </c>
      <c r="B537" s="35" t="s">
        <v>1690</v>
      </c>
      <c r="C537" s="35" t="s">
        <v>1286</v>
      </c>
      <c r="D537" s="35" t="s">
        <v>58</v>
      </c>
      <c r="E537" s="35" t="s">
        <v>140</v>
      </c>
      <c r="F537" s="35" t="s">
        <v>246</v>
      </c>
      <c r="G537" s="35" t="s">
        <v>1161</v>
      </c>
      <c r="H537" s="76">
        <v>84874.0</v>
      </c>
      <c r="I537" s="35" t="s">
        <v>401</v>
      </c>
      <c r="M537" s="20">
        <f>IF($B537="","",COUNTIFS('Blocker log'!$A:$A,$B537,'Blocker log'!$G:$G,"&lt;&gt;"))</f>
        <v>0</v>
      </c>
      <c r="N537" s="20">
        <f>IF($B537="","",COUNTIFS('Blocker log'!$A:$A,$B537,'Blocker log'!$G:$G,"Hard blocker"))</f>
        <v>0</v>
      </c>
      <c r="O537" s="20">
        <f>IF($B537="","",COUNTIFS('Blocker log'!$A:$A,$B537,'Blocker log'!$G:$G,"Hard blocker",'Blocker log'!$L:$L,9))</f>
        <v>0</v>
      </c>
      <c r="P537" s="20">
        <f>IF($B537="","",MAXIFS('Blocker log'!$L:$L,'Blocker log'!$A:$A,$B537,'Blocker log'!$G:$G,"Hard blocker"))</f>
        <v>0</v>
      </c>
      <c r="Q537" s="20" t="str">
        <f>IF($B537="","",IF($K537&lt;&gt;"Complete","Assessment pending",IF($N537=0,"Ready now",VLOOKUP($P537,Lists!$D$2:$E$5,2,FALSE))))</f>
        <v>Assessment pending</v>
      </c>
    </row>
    <row r="538" ht="15.75" customHeight="1">
      <c r="A538" s="35" t="s">
        <v>1691</v>
      </c>
      <c r="B538" s="35" t="s">
        <v>1692</v>
      </c>
      <c r="C538" s="35" t="s">
        <v>1286</v>
      </c>
      <c r="D538" s="35" t="s">
        <v>58</v>
      </c>
      <c r="E538" s="35" t="s">
        <v>140</v>
      </c>
      <c r="F538" s="35" t="s">
        <v>200</v>
      </c>
      <c r="G538" s="35" t="s">
        <v>1161</v>
      </c>
      <c r="H538" s="76">
        <v>84646.0</v>
      </c>
      <c r="I538" s="35" t="s">
        <v>427</v>
      </c>
      <c r="M538" s="20">
        <f>IF($B538="","",COUNTIFS('Blocker log'!$A:$A,$B538,'Blocker log'!$G:$G,"&lt;&gt;"))</f>
        <v>0</v>
      </c>
      <c r="N538" s="20">
        <f>IF($B538="","",COUNTIFS('Blocker log'!$A:$A,$B538,'Blocker log'!$G:$G,"Hard blocker"))</f>
        <v>0</v>
      </c>
      <c r="O538" s="20">
        <f>IF($B538="","",COUNTIFS('Blocker log'!$A:$A,$B538,'Blocker log'!$G:$G,"Hard blocker",'Blocker log'!$L:$L,9))</f>
        <v>0</v>
      </c>
      <c r="P538" s="20">
        <f>IF($B538="","",MAXIFS('Blocker log'!$L:$L,'Blocker log'!$A:$A,$B538,'Blocker log'!$G:$G,"Hard blocker"))</f>
        <v>0</v>
      </c>
      <c r="Q538" s="20" t="str">
        <f>IF($B538="","",IF($K538&lt;&gt;"Complete","Assessment pending",IF($N538=0,"Ready now",VLOOKUP($P538,Lists!$D$2:$E$5,2,FALSE))))</f>
        <v>Assessment pending</v>
      </c>
    </row>
    <row r="539" ht="15.75" customHeight="1">
      <c r="A539" s="35" t="s">
        <v>1693</v>
      </c>
      <c r="B539" s="35" t="s">
        <v>1694</v>
      </c>
      <c r="C539" s="35" t="s">
        <v>1286</v>
      </c>
      <c r="D539" s="35" t="s">
        <v>260</v>
      </c>
      <c r="E539" s="35" t="s">
        <v>530</v>
      </c>
      <c r="F539" s="35" t="s">
        <v>531</v>
      </c>
      <c r="G539" s="35" t="s">
        <v>1161</v>
      </c>
      <c r="H539" s="76">
        <v>84348.0</v>
      </c>
      <c r="I539" s="35" t="s">
        <v>428</v>
      </c>
      <c r="M539" s="20">
        <f>IF($B539="","",COUNTIFS('Blocker log'!$A:$A,$B539,'Blocker log'!$G:$G,"&lt;&gt;"))</f>
        <v>0</v>
      </c>
      <c r="N539" s="20">
        <f>IF($B539="","",COUNTIFS('Blocker log'!$A:$A,$B539,'Blocker log'!$G:$G,"Hard blocker"))</f>
        <v>0</v>
      </c>
      <c r="O539" s="20">
        <f>IF($B539="","",COUNTIFS('Blocker log'!$A:$A,$B539,'Blocker log'!$G:$G,"Hard blocker",'Blocker log'!$L:$L,9))</f>
        <v>0</v>
      </c>
      <c r="P539" s="20">
        <f>IF($B539="","",MAXIFS('Blocker log'!$L:$L,'Blocker log'!$A:$A,$B539,'Blocker log'!$G:$G,"Hard blocker"))</f>
        <v>0</v>
      </c>
      <c r="Q539" s="20" t="str">
        <f>IF($B539="","",IF($K539&lt;&gt;"Complete","Assessment pending",IF($N539=0,"Ready now",VLOOKUP($P539,Lists!$D$2:$E$5,2,FALSE))))</f>
        <v>Assessment pending</v>
      </c>
    </row>
    <row r="540" ht="15.75" customHeight="1">
      <c r="A540" s="35" t="s">
        <v>1695</v>
      </c>
      <c r="B540" s="35" t="s">
        <v>1696</v>
      </c>
      <c r="C540" s="35" t="s">
        <v>1286</v>
      </c>
      <c r="D540" s="35" t="s">
        <v>260</v>
      </c>
      <c r="E540" s="35" t="s">
        <v>261</v>
      </c>
      <c r="F540" s="35" t="s">
        <v>261</v>
      </c>
      <c r="G540" s="35" t="s">
        <v>1161</v>
      </c>
      <c r="H540" s="76">
        <v>83705.0</v>
      </c>
      <c r="I540" s="35" t="s">
        <v>416</v>
      </c>
      <c r="M540" s="20">
        <f>IF($B540="","",COUNTIFS('Blocker log'!$A:$A,$B540,'Blocker log'!$G:$G,"&lt;&gt;"))</f>
        <v>0</v>
      </c>
      <c r="N540" s="20">
        <f>IF($B540="","",COUNTIFS('Blocker log'!$A:$A,$B540,'Blocker log'!$G:$G,"Hard blocker"))</f>
        <v>0</v>
      </c>
      <c r="O540" s="20">
        <f>IF($B540="","",COUNTIFS('Blocker log'!$A:$A,$B540,'Blocker log'!$G:$G,"Hard blocker",'Blocker log'!$L:$L,9))</f>
        <v>0</v>
      </c>
      <c r="P540" s="20">
        <f>IF($B540="","",MAXIFS('Blocker log'!$L:$L,'Blocker log'!$A:$A,$B540,'Blocker log'!$G:$G,"Hard blocker"))</f>
        <v>0</v>
      </c>
      <c r="Q540" s="20" t="str">
        <f>IF($B540="","",IF($K540&lt;&gt;"Complete","Assessment pending",IF($N540=0,"Ready now",VLOOKUP($P540,Lists!$D$2:$E$5,2,FALSE))))</f>
        <v>Assessment pending</v>
      </c>
    </row>
    <row r="541" ht="15.75" customHeight="1">
      <c r="A541" s="35" t="s">
        <v>1697</v>
      </c>
      <c r="B541" s="35" t="s">
        <v>1698</v>
      </c>
      <c r="C541" s="35" t="s">
        <v>76</v>
      </c>
      <c r="D541" s="35" t="s">
        <v>260</v>
      </c>
      <c r="E541" s="35" t="s">
        <v>506</v>
      </c>
      <c r="F541" s="35" t="s">
        <v>685</v>
      </c>
      <c r="G541" s="35" t="s">
        <v>980</v>
      </c>
      <c r="H541" s="76">
        <v>83704.0</v>
      </c>
      <c r="I541" s="35"/>
      <c r="M541" s="20">
        <f>IF($B541="","",COUNTIFS('Blocker log'!$A:$A,$B541,'Blocker log'!$G:$G,"&lt;&gt;"))</f>
        <v>0</v>
      </c>
      <c r="N541" s="20">
        <f>IF($B541="","",COUNTIFS('Blocker log'!$A:$A,$B541,'Blocker log'!$G:$G,"Hard blocker"))</f>
        <v>0</v>
      </c>
      <c r="O541" s="20">
        <f>IF($B541="","",COUNTIFS('Blocker log'!$A:$A,$B541,'Blocker log'!$G:$G,"Hard blocker",'Blocker log'!$L:$L,9))</f>
        <v>0</v>
      </c>
      <c r="P541" s="20">
        <f>IF($B541="","",MAXIFS('Blocker log'!$L:$L,'Blocker log'!$A:$A,$B541,'Blocker log'!$G:$G,"Hard blocker"))</f>
        <v>0</v>
      </c>
      <c r="Q541" s="20" t="str">
        <f>IF($B541="","",IF($K541&lt;&gt;"Complete","Assessment pending",IF($N541=0,"Ready now",VLOOKUP($P541,Lists!$D$2:$E$5,2,FALSE))))</f>
        <v>Assessment pending</v>
      </c>
    </row>
    <row r="542" ht="15.75" customHeight="1">
      <c r="A542" s="35" t="s">
        <v>1699</v>
      </c>
      <c r="B542" s="35" t="s">
        <v>1700</v>
      </c>
      <c r="C542" s="35" t="s">
        <v>1286</v>
      </c>
      <c r="D542" s="35" t="s">
        <v>58</v>
      </c>
      <c r="E542" s="35" t="s">
        <v>132</v>
      </c>
      <c r="F542" s="35" t="s">
        <v>949</v>
      </c>
      <c r="G542" s="35" t="s">
        <v>1161</v>
      </c>
      <c r="H542" s="76">
        <v>82954.0</v>
      </c>
      <c r="I542" s="35" t="s">
        <v>405</v>
      </c>
      <c r="M542" s="20">
        <f>IF($B542="","",COUNTIFS('Blocker log'!$A:$A,$B542,'Blocker log'!$G:$G,"&lt;&gt;"))</f>
        <v>0</v>
      </c>
      <c r="N542" s="20">
        <f>IF($B542="","",COUNTIFS('Blocker log'!$A:$A,$B542,'Blocker log'!$G:$G,"Hard blocker"))</f>
        <v>0</v>
      </c>
      <c r="O542" s="20">
        <f>IF($B542="","",COUNTIFS('Blocker log'!$A:$A,$B542,'Blocker log'!$G:$G,"Hard blocker",'Blocker log'!$L:$L,9))</f>
        <v>0</v>
      </c>
      <c r="P542" s="20">
        <f>IF($B542="","",MAXIFS('Blocker log'!$L:$L,'Blocker log'!$A:$A,$B542,'Blocker log'!$G:$G,"Hard blocker"))</f>
        <v>0</v>
      </c>
      <c r="Q542" s="20" t="str">
        <f>IF($B542="","",IF($K542&lt;&gt;"Complete","Assessment pending",IF($N542=0,"Ready now",VLOOKUP($P542,Lists!$D$2:$E$5,2,FALSE))))</f>
        <v>Assessment pending</v>
      </c>
    </row>
    <row r="543" ht="15.75" customHeight="1">
      <c r="A543" s="35" t="s">
        <v>1701</v>
      </c>
      <c r="B543" s="35" t="s">
        <v>1702</v>
      </c>
      <c r="C543" s="35" t="s">
        <v>1286</v>
      </c>
      <c r="D543" s="35" t="s">
        <v>171</v>
      </c>
      <c r="E543" s="35" t="s">
        <v>587</v>
      </c>
      <c r="F543" s="35" t="s">
        <v>588</v>
      </c>
      <c r="G543" s="35" t="s">
        <v>1161</v>
      </c>
      <c r="H543" s="76">
        <v>82719.0</v>
      </c>
      <c r="I543" s="35"/>
      <c r="M543" s="20">
        <f>IF($B543="","",COUNTIFS('Blocker log'!$A:$A,$B543,'Blocker log'!$G:$G,"&lt;&gt;"))</f>
        <v>0</v>
      </c>
      <c r="N543" s="20">
        <f>IF($B543="","",COUNTIFS('Blocker log'!$A:$A,$B543,'Blocker log'!$G:$G,"Hard blocker"))</f>
        <v>0</v>
      </c>
      <c r="O543" s="20">
        <f>IF($B543="","",COUNTIFS('Blocker log'!$A:$A,$B543,'Blocker log'!$G:$G,"Hard blocker",'Blocker log'!$L:$L,9))</f>
        <v>0</v>
      </c>
      <c r="P543" s="20">
        <f>IF($B543="","",MAXIFS('Blocker log'!$L:$L,'Blocker log'!$A:$A,$B543,'Blocker log'!$G:$G,"Hard blocker"))</f>
        <v>0</v>
      </c>
      <c r="Q543" s="20" t="str">
        <f>IF($B543="","",IF($K543&lt;&gt;"Complete","Assessment pending",IF($N543=0,"Ready now",VLOOKUP($P543,Lists!$D$2:$E$5,2,FALSE))))</f>
        <v>Assessment pending</v>
      </c>
    </row>
    <row r="544" ht="15.75" customHeight="1">
      <c r="A544" s="35" t="s">
        <v>1703</v>
      </c>
      <c r="B544" s="35" t="s">
        <v>1704</v>
      </c>
      <c r="C544" s="35" t="s">
        <v>76</v>
      </c>
      <c r="D544" s="35" t="s">
        <v>260</v>
      </c>
      <c r="E544" s="35" t="s">
        <v>1096</v>
      </c>
      <c r="F544" s="35" t="s">
        <v>1366</v>
      </c>
      <c r="G544" s="35" t="s">
        <v>977</v>
      </c>
      <c r="H544" s="76">
        <v>82584.0</v>
      </c>
      <c r="I544" s="35"/>
      <c r="M544" s="20">
        <f>IF($B544="","",COUNTIFS('Blocker log'!$A:$A,$B544,'Blocker log'!$G:$G,"&lt;&gt;"))</f>
        <v>0</v>
      </c>
      <c r="N544" s="20">
        <f>IF($B544="","",COUNTIFS('Blocker log'!$A:$A,$B544,'Blocker log'!$G:$G,"Hard blocker"))</f>
        <v>0</v>
      </c>
      <c r="O544" s="20">
        <f>IF($B544="","",COUNTIFS('Blocker log'!$A:$A,$B544,'Blocker log'!$G:$G,"Hard blocker",'Blocker log'!$L:$L,9))</f>
        <v>0</v>
      </c>
      <c r="P544" s="20">
        <f>IF($B544="","",MAXIFS('Blocker log'!$L:$L,'Blocker log'!$A:$A,$B544,'Blocker log'!$G:$G,"Hard blocker"))</f>
        <v>0</v>
      </c>
      <c r="Q544" s="20" t="str">
        <f>IF($B544="","",IF($K544&lt;&gt;"Complete","Assessment pending",IF($N544=0,"Ready now",VLOOKUP($P544,Lists!$D$2:$E$5,2,FALSE))))</f>
        <v>Assessment pending</v>
      </c>
    </row>
    <row r="545" ht="15.75" customHeight="1">
      <c r="A545" s="35" t="s">
        <v>1705</v>
      </c>
      <c r="B545" s="35" t="s">
        <v>1706</v>
      </c>
      <c r="C545" s="35" t="s">
        <v>76</v>
      </c>
      <c r="D545" s="35" t="s">
        <v>301</v>
      </c>
      <c r="E545" s="35" t="s">
        <v>1281</v>
      </c>
      <c r="F545" s="35" t="s">
        <v>1281</v>
      </c>
      <c r="G545" s="35" t="s">
        <v>999</v>
      </c>
      <c r="H545" s="76">
        <v>82544.0</v>
      </c>
      <c r="I545" s="35"/>
      <c r="M545" s="20">
        <f>IF($B545="","",COUNTIFS('Blocker log'!$A:$A,$B545,'Blocker log'!$G:$G,"&lt;&gt;"))</f>
        <v>0</v>
      </c>
      <c r="N545" s="20">
        <f>IF($B545="","",COUNTIFS('Blocker log'!$A:$A,$B545,'Blocker log'!$G:$G,"Hard blocker"))</f>
        <v>0</v>
      </c>
      <c r="O545" s="20">
        <f>IF($B545="","",COUNTIFS('Blocker log'!$A:$A,$B545,'Blocker log'!$G:$G,"Hard blocker",'Blocker log'!$L:$L,9))</f>
        <v>0</v>
      </c>
      <c r="P545" s="20">
        <f>IF($B545="","",MAXIFS('Blocker log'!$L:$L,'Blocker log'!$A:$A,$B545,'Blocker log'!$G:$G,"Hard blocker"))</f>
        <v>0</v>
      </c>
      <c r="Q545" s="20" t="str">
        <f>IF($B545="","",IF($K545&lt;&gt;"Complete","Assessment pending",IF($N545=0,"Ready now",VLOOKUP($P545,Lists!$D$2:$E$5,2,FALSE))))</f>
        <v>Assessment pending</v>
      </c>
    </row>
    <row r="546" ht="15.75" customHeight="1">
      <c r="A546" s="35" t="s">
        <v>1707</v>
      </c>
      <c r="B546" s="35" t="s">
        <v>1708</v>
      </c>
      <c r="C546" s="35" t="s">
        <v>1286</v>
      </c>
      <c r="D546" s="35" t="s">
        <v>260</v>
      </c>
      <c r="E546" s="35" t="s">
        <v>1096</v>
      </c>
      <c r="F546" s="35" t="s">
        <v>1366</v>
      </c>
      <c r="G546" s="35" t="s">
        <v>1161</v>
      </c>
      <c r="H546" s="76">
        <v>82515.0</v>
      </c>
      <c r="I546" s="35" t="s">
        <v>429</v>
      </c>
      <c r="M546" s="20">
        <f>IF($B546="","",COUNTIFS('Blocker log'!$A:$A,$B546,'Blocker log'!$G:$G,"&lt;&gt;"))</f>
        <v>0</v>
      </c>
      <c r="N546" s="20">
        <f>IF($B546="","",COUNTIFS('Blocker log'!$A:$A,$B546,'Blocker log'!$G:$G,"Hard blocker"))</f>
        <v>0</v>
      </c>
      <c r="O546" s="20">
        <f>IF($B546="","",COUNTIFS('Blocker log'!$A:$A,$B546,'Blocker log'!$G:$G,"Hard blocker",'Blocker log'!$L:$L,9))</f>
        <v>0</v>
      </c>
      <c r="P546" s="20">
        <f>IF($B546="","",MAXIFS('Blocker log'!$L:$L,'Blocker log'!$A:$A,$B546,'Blocker log'!$G:$G,"Hard blocker"))</f>
        <v>0</v>
      </c>
      <c r="Q546" s="20" t="str">
        <f>IF($B546="","",IF($K546&lt;&gt;"Complete","Assessment pending",IF($N546=0,"Ready now",VLOOKUP($P546,Lists!$D$2:$E$5,2,FALSE))))</f>
        <v>Assessment pending</v>
      </c>
    </row>
    <row r="547" ht="15.75" customHeight="1">
      <c r="A547" s="35" t="s">
        <v>1709</v>
      </c>
      <c r="B547" s="35" t="s">
        <v>1710</v>
      </c>
      <c r="C547" s="35" t="s">
        <v>1286</v>
      </c>
      <c r="D547" s="35" t="s">
        <v>260</v>
      </c>
      <c r="E547" s="35" t="s">
        <v>351</v>
      </c>
      <c r="F547" s="35" t="s">
        <v>886</v>
      </c>
      <c r="G547" s="35" t="s">
        <v>1161</v>
      </c>
      <c r="H547" s="76">
        <v>82295.0</v>
      </c>
      <c r="I547" s="35" t="s">
        <v>430</v>
      </c>
      <c r="M547" s="20">
        <f>IF($B547="","",COUNTIFS('Blocker log'!$A:$A,$B547,'Blocker log'!$G:$G,"&lt;&gt;"))</f>
        <v>0</v>
      </c>
      <c r="N547" s="20">
        <f>IF($B547="","",COUNTIFS('Blocker log'!$A:$A,$B547,'Blocker log'!$G:$G,"Hard blocker"))</f>
        <v>0</v>
      </c>
      <c r="O547" s="20">
        <f>IF($B547="","",COUNTIFS('Blocker log'!$A:$A,$B547,'Blocker log'!$G:$G,"Hard blocker",'Blocker log'!$L:$L,9))</f>
        <v>0</v>
      </c>
      <c r="P547" s="20">
        <f>IF($B547="","",MAXIFS('Blocker log'!$L:$L,'Blocker log'!$A:$A,$B547,'Blocker log'!$G:$G,"Hard blocker"))</f>
        <v>0</v>
      </c>
      <c r="Q547" s="20" t="str">
        <f>IF($B547="","",IF($K547&lt;&gt;"Complete","Assessment pending",IF($N547=0,"Ready now",VLOOKUP($P547,Lists!$D$2:$E$5,2,FALSE))))</f>
        <v>Assessment pending</v>
      </c>
    </row>
    <row r="548" ht="15.75" customHeight="1">
      <c r="A548" s="35" t="s">
        <v>1711</v>
      </c>
      <c r="B548" s="35" t="s">
        <v>1712</v>
      </c>
      <c r="C548" s="35" t="s">
        <v>76</v>
      </c>
      <c r="D548" s="35" t="s">
        <v>171</v>
      </c>
      <c r="E548" s="35" t="s">
        <v>542</v>
      </c>
      <c r="F548" s="35" t="s">
        <v>1713</v>
      </c>
      <c r="G548" s="35" t="s">
        <v>999</v>
      </c>
      <c r="H548" s="76">
        <v>82174.0</v>
      </c>
      <c r="I548" s="35"/>
      <c r="M548" s="20">
        <f>IF($B548="","",COUNTIFS('Blocker log'!$A:$A,$B548,'Blocker log'!$G:$G,"&lt;&gt;"))</f>
        <v>0</v>
      </c>
      <c r="N548" s="20">
        <f>IF($B548="","",COUNTIFS('Blocker log'!$A:$A,$B548,'Blocker log'!$G:$G,"Hard blocker"))</f>
        <v>0</v>
      </c>
      <c r="O548" s="20">
        <f>IF($B548="","",COUNTIFS('Blocker log'!$A:$A,$B548,'Blocker log'!$G:$G,"Hard blocker",'Blocker log'!$L:$L,9))</f>
        <v>0</v>
      </c>
      <c r="P548" s="20">
        <f>IF($B548="","",MAXIFS('Blocker log'!$L:$L,'Blocker log'!$A:$A,$B548,'Blocker log'!$G:$G,"Hard blocker"))</f>
        <v>0</v>
      </c>
      <c r="Q548" s="20" t="str">
        <f>IF($B548="","",IF($K548&lt;&gt;"Complete","Assessment pending",IF($N548=0,"Ready now",VLOOKUP($P548,Lists!$D$2:$E$5,2,FALSE))))</f>
        <v>Assessment pending</v>
      </c>
    </row>
    <row r="549" ht="15.75" customHeight="1">
      <c r="A549" s="35" t="s">
        <v>1714</v>
      </c>
      <c r="B549" s="35" t="s">
        <v>1715</v>
      </c>
      <c r="C549" s="35" t="s">
        <v>1286</v>
      </c>
      <c r="D549" s="35" t="s">
        <v>301</v>
      </c>
      <c r="E549" s="35" t="s">
        <v>490</v>
      </c>
      <c r="F549" s="35" t="s">
        <v>490</v>
      </c>
      <c r="G549" s="35" t="s">
        <v>1042</v>
      </c>
      <c r="H549" s="76">
        <v>81387.0</v>
      </c>
      <c r="I549" s="35"/>
      <c r="M549" s="20">
        <f>IF($B549="","",COUNTIFS('Blocker log'!$A:$A,$B549,'Blocker log'!$G:$G,"&lt;&gt;"))</f>
        <v>0</v>
      </c>
      <c r="N549" s="20">
        <f>IF($B549="","",COUNTIFS('Blocker log'!$A:$A,$B549,'Blocker log'!$G:$G,"Hard blocker"))</f>
        <v>0</v>
      </c>
      <c r="O549" s="20">
        <f>IF($B549="","",COUNTIFS('Blocker log'!$A:$A,$B549,'Blocker log'!$G:$G,"Hard blocker",'Blocker log'!$L:$L,9))</f>
        <v>0</v>
      </c>
      <c r="P549" s="20">
        <f>IF($B549="","",MAXIFS('Blocker log'!$L:$L,'Blocker log'!$A:$A,$B549,'Blocker log'!$G:$G,"Hard blocker"))</f>
        <v>0</v>
      </c>
      <c r="Q549" s="20" t="str">
        <f>IF($B549="","",IF($K549&lt;&gt;"Complete","Assessment pending",IF($N549=0,"Ready now",VLOOKUP($P549,Lists!$D$2:$E$5,2,FALSE))))</f>
        <v>Assessment pending</v>
      </c>
    </row>
    <row r="550" ht="15.75" customHeight="1">
      <c r="A550" s="35" t="s">
        <v>1716</v>
      </c>
      <c r="B550" s="35" t="s">
        <v>1717</v>
      </c>
      <c r="C550" s="35" t="s">
        <v>1286</v>
      </c>
      <c r="D550" s="35" t="s">
        <v>58</v>
      </c>
      <c r="E550" s="35" t="s">
        <v>94</v>
      </c>
      <c r="F550" s="35" t="s">
        <v>94</v>
      </c>
      <c r="G550" s="35" t="s">
        <v>1161</v>
      </c>
      <c r="H550" s="76">
        <v>80898.0</v>
      </c>
      <c r="I550" s="35" t="s">
        <v>405</v>
      </c>
      <c r="M550" s="20">
        <f>IF($B550="","",COUNTIFS('Blocker log'!$A:$A,$B550,'Blocker log'!$G:$G,"&lt;&gt;"))</f>
        <v>0</v>
      </c>
      <c r="N550" s="20">
        <f>IF($B550="","",COUNTIFS('Blocker log'!$A:$A,$B550,'Blocker log'!$G:$G,"Hard blocker"))</f>
        <v>0</v>
      </c>
      <c r="O550" s="20">
        <f>IF($B550="","",COUNTIFS('Blocker log'!$A:$A,$B550,'Blocker log'!$G:$G,"Hard blocker",'Blocker log'!$L:$L,9))</f>
        <v>0</v>
      </c>
      <c r="P550" s="20">
        <f>IF($B550="","",MAXIFS('Blocker log'!$L:$L,'Blocker log'!$A:$A,$B550,'Blocker log'!$G:$G,"Hard blocker"))</f>
        <v>0</v>
      </c>
      <c r="Q550" s="20" t="str">
        <f>IF($B550="","",IF($K550&lt;&gt;"Complete","Assessment pending",IF($N550=0,"Ready now",VLOOKUP($P550,Lists!$D$2:$E$5,2,FALSE))))</f>
        <v>Assessment pending</v>
      </c>
    </row>
    <row r="551" ht="15.75" customHeight="1">
      <c r="A551" s="35" t="s">
        <v>1718</v>
      </c>
      <c r="B551" s="35" t="s">
        <v>1719</v>
      </c>
      <c r="C551" s="35" t="s">
        <v>76</v>
      </c>
      <c r="D551" s="35" t="s">
        <v>260</v>
      </c>
      <c r="E551" s="35" t="s">
        <v>530</v>
      </c>
      <c r="F551" s="35" t="s">
        <v>531</v>
      </c>
      <c r="G551" s="35" t="s">
        <v>980</v>
      </c>
      <c r="H551" s="76">
        <v>80789.0</v>
      </c>
      <c r="I551" s="35"/>
      <c r="M551" s="20">
        <f>IF($B551="","",COUNTIFS('Blocker log'!$A:$A,$B551,'Blocker log'!$G:$G,"&lt;&gt;"))</f>
        <v>0</v>
      </c>
      <c r="N551" s="20">
        <f>IF($B551="","",COUNTIFS('Blocker log'!$A:$A,$B551,'Blocker log'!$G:$G,"Hard blocker"))</f>
        <v>0</v>
      </c>
      <c r="O551" s="20">
        <f>IF($B551="","",COUNTIFS('Blocker log'!$A:$A,$B551,'Blocker log'!$G:$G,"Hard blocker",'Blocker log'!$L:$L,9))</f>
        <v>0</v>
      </c>
      <c r="P551" s="20">
        <f>IF($B551="","",MAXIFS('Blocker log'!$L:$L,'Blocker log'!$A:$A,$B551,'Blocker log'!$G:$G,"Hard blocker"))</f>
        <v>0</v>
      </c>
      <c r="Q551" s="20" t="str">
        <f>IF($B551="","",IF($K551&lt;&gt;"Complete","Assessment pending",IF($N551=0,"Ready now",VLOOKUP($P551,Lists!$D$2:$E$5,2,FALSE))))</f>
        <v>Assessment pending</v>
      </c>
    </row>
    <row r="552" ht="15.75" customHeight="1">
      <c r="A552" s="35" t="s">
        <v>1720</v>
      </c>
      <c r="B552" s="35" t="s">
        <v>1721</v>
      </c>
      <c r="C552" s="35" t="s">
        <v>1286</v>
      </c>
      <c r="D552" s="35" t="s">
        <v>58</v>
      </c>
      <c r="E552" s="35" t="s">
        <v>101</v>
      </c>
      <c r="F552" s="35" t="s">
        <v>554</v>
      </c>
      <c r="G552" s="35" t="s">
        <v>1161</v>
      </c>
      <c r="H552" s="76">
        <v>80696.0</v>
      </c>
      <c r="I552" s="35"/>
      <c r="M552" s="20">
        <f>IF($B552="","",COUNTIFS('Blocker log'!$A:$A,$B552,'Blocker log'!$G:$G,"&lt;&gt;"))</f>
        <v>0</v>
      </c>
      <c r="N552" s="20">
        <f>IF($B552="","",COUNTIFS('Blocker log'!$A:$A,$B552,'Blocker log'!$G:$G,"Hard blocker"))</f>
        <v>0</v>
      </c>
      <c r="O552" s="20">
        <f>IF($B552="","",COUNTIFS('Blocker log'!$A:$A,$B552,'Blocker log'!$G:$G,"Hard blocker",'Blocker log'!$L:$L,9))</f>
        <v>0</v>
      </c>
      <c r="P552" s="20">
        <f>IF($B552="","",MAXIFS('Blocker log'!$L:$L,'Blocker log'!$A:$A,$B552,'Blocker log'!$G:$G,"Hard blocker"))</f>
        <v>0</v>
      </c>
      <c r="Q552" s="20" t="str">
        <f>IF($B552="","",IF($K552&lt;&gt;"Complete","Assessment pending",IF($N552=0,"Ready now",VLOOKUP($P552,Lists!$D$2:$E$5,2,FALSE))))</f>
        <v>Assessment pending</v>
      </c>
    </row>
    <row r="553" ht="15.75" customHeight="1">
      <c r="A553" s="35" t="s">
        <v>1722</v>
      </c>
      <c r="B553" s="35" t="s">
        <v>1723</v>
      </c>
      <c r="C553" s="35" t="s">
        <v>1286</v>
      </c>
      <c r="D553" s="35" t="s">
        <v>260</v>
      </c>
      <c r="E553" s="35" t="s">
        <v>1096</v>
      </c>
      <c r="F553" s="35" t="s">
        <v>1097</v>
      </c>
      <c r="G553" s="35" t="s">
        <v>1161</v>
      </c>
      <c r="H553" s="76">
        <v>80631.0</v>
      </c>
      <c r="I553" s="35" t="s">
        <v>416</v>
      </c>
      <c r="M553" s="20">
        <f>IF($B553="","",COUNTIFS('Blocker log'!$A:$A,$B553,'Blocker log'!$G:$G,"&lt;&gt;"))</f>
        <v>0</v>
      </c>
      <c r="N553" s="20">
        <f>IF($B553="","",COUNTIFS('Blocker log'!$A:$A,$B553,'Blocker log'!$G:$G,"Hard blocker"))</f>
        <v>0</v>
      </c>
      <c r="O553" s="20">
        <f>IF($B553="","",COUNTIFS('Blocker log'!$A:$A,$B553,'Blocker log'!$G:$G,"Hard blocker",'Blocker log'!$L:$L,9))</f>
        <v>0</v>
      </c>
      <c r="P553" s="20">
        <f>IF($B553="","",MAXIFS('Blocker log'!$L:$L,'Blocker log'!$A:$A,$B553,'Blocker log'!$G:$G,"Hard blocker"))</f>
        <v>0</v>
      </c>
      <c r="Q553" s="20" t="str">
        <f>IF($B553="","",IF($K553&lt;&gt;"Complete","Assessment pending",IF($N553=0,"Ready now",VLOOKUP($P553,Lists!$D$2:$E$5,2,FALSE))))</f>
        <v>Assessment pending</v>
      </c>
    </row>
    <row r="554" ht="15.75" customHeight="1">
      <c r="A554" s="35" t="s">
        <v>1724</v>
      </c>
      <c r="B554" s="35" t="s">
        <v>1725</v>
      </c>
      <c r="C554" s="35" t="s">
        <v>1286</v>
      </c>
      <c r="D554" s="35" t="s">
        <v>171</v>
      </c>
      <c r="E554" s="35" t="s">
        <v>542</v>
      </c>
      <c r="F554" s="35" t="s">
        <v>543</v>
      </c>
      <c r="G554" s="35" t="s">
        <v>1161</v>
      </c>
      <c r="H554" s="76">
        <v>79596.0</v>
      </c>
      <c r="I554" s="35" t="s">
        <v>431</v>
      </c>
      <c r="M554" s="20">
        <f>IF($B554="","",COUNTIFS('Blocker log'!$A:$A,$B554,'Blocker log'!$G:$G,"&lt;&gt;"))</f>
        <v>0</v>
      </c>
      <c r="N554" s="20">
        <f>IF($B554="","",COUNTIFS('Blocker log'!$A:$A,$B554,'Blocker log'!$G:$G,"Hard blocker"))</f>
        <v>0</v>
      </c>
      <c r="O554" s="20">
        <f>IF($B554="","",COUNTIFS('Blocker log'!$A:$A,$B554,'Blocker log'!$G:$G,"Hard blocker",'Blocker log'!$L:$L,9))</f>
        <v>0</v>
      </c>
      <c r="P554" s="20">
        <f>IF($B554="","",MAXIFS('Blocker log'!$L:$L,'Blocker log'!$A:$A,$B554,'Blocker log'!$G:$G,"Hard blocker"))</f>
        <v>0</v>
      </c>
      <c r="Q554" s="20" t="str">
        <f>IF($B554="","",IF($K554&lt;&gt;"Complete","Assessment pending",IF($N554=0,"Ready now",VLOOKUP($P554,Lists!$D$2:$E$5,2,FALSE))))</f>
        <v>Assessment pending</v>
      </c>
    </row>
    <row r="555" ht="15.75" customHeight="1">
      <c r="A555" s="35" t="s">
        <v>1726</v>
      </c>
      <c r="B555" s="35" t="s">
        <v>1727</v>
      </c>
      <c r="C555" s="35" t="s">
        <v>76</v>
      </c>
      <c r="D555" s="35" t="s">
        <v>58</v>
      </c>
      <c r="E555" s="35" t="s">
        <v>140</v>
      </c>
      <c r="F555" s="35" t="s">
        <v>663</v>
      </c>
      <c r="G555" s="35" t="s">
        <v>980</v>
      </c>
      <c r="H555" s="76">
        <v>79560.0</v>
      </c>
      <c r="I555" s="35"/>
      <c r="M555" s="20">
        <f>IF($B555="","",COUNTIFS('Blocker log'!$A:$A,$B555,'Blocker log'!$G:$G,"&lt;&gt;"))</f>
        <v>0</v>
      </c>
      <c r="N555" s="20">
        <f>IF($B555="","",COUNTIFS('Blocker log'!$A:$A,$B555,'Blocker log'!$G:$G,"Hard blocker"))</f>
        <v>0</v>
      </c>
      <c r="O555" s="20">
        <f>IF($B555="","",COUNTIFS('Blocker log'!$A:$A,$B555,'Blocker log'!$G:$G,"Hard blocker",'Blocker log'!$L:$L,9))</f>
        <v>0</v>
      </c>
      <c r="P555" s="20">
        <f>IF($B555="","",MAXIFS('Blocker log'!$L:$L,'Blocker log'!$A:$A,$B555,'Blocker log'!$G:$G,"Hard blocker"))</f>
        <v>0</v>
      </c>
      <c r="Q555" s="20" t="str">
        <f>IF($B555="","",IF($K555&lt;&gt;"Complete","Assessment pending",IF($N555=0,"Ready now",VLOOKUP($P555,Lists!$D$2:$E$5,2,FALSE))))</f>
        <v>Assessment pending</v>
      </c>
    </row>
    <row r="556" ht="15.75" customHeight="1">
      <c r="A556" s="35" t="s">
        <v>1728</v>
      </c>
      <c r="B556" s="35" t="s">
        <v>1729</v>
      </c>
      <c r="C556" s="35" t="s">
        <v>76</v>
      </c>
      <c r="D556" s="35" t="s">
        <v>260</v>
      </c>
      <c r="E556" s="35" t="s">
        <v>506</v>
      </c>
      <c r="F556" s="35" t="s">
        <v>708</v>
      </c>
      <c r="G556" s="35" t="s">
        <v>980</v>
      </c>
      <c r="H556" s="76">
        <v>79524.0</v>
      </c>
      <c r="I556" s="35"/>
      <c r="M556" s="20">
        <f>IF($B556="","",COUNTIFS('Blocker log'!$A:$A,$B556,'Blocker log'!$G:$G,"&lt;&gt;"))</f>
        <v>0</v>
      </c>
      <c r="N556" s="20">
        <f>IF($B556="","",COUNTIFS('Blocker log'!$A:$A,$B556,'Blocker log'!$G:$G,"Hard blocker"))</f>
        <v>0</v>
      </c>
      <c r="O556" s="20">
        <f>IF($B556="","",COUNTIFS('Blocker log'!$A:$A,$B556,'Blocker log'!$G:$G,"Hard blocker",'Blocker log'!$L:$L,9))</f>
        <v>0</v>
      </c>
      <c r="P556" s="20">
        <f>IF($B556="","",MAXIFS('Blocker log'!$L:$L,'Blocker log'!$A:$A,$B556,'Blocker log'!$G:$G,"Hard blocker"))</f>
        <v>0</v>
      </c>
      <c r="Q556" s="20" t="str">
        <f>IF($B556="","",IF($K556&lt;&gt;"Complete","Assessment pending",IF($N556=0,"Ready now",VLOOKUP($P556,Lists!$D$2:$E$5,2,FALSE))))</f>
        <v>Assessment pending</v>
      </c>
    </row>
    <row r="557" ht="15.75" customHeight="1">
      <c r="A557" s="35" t="s">
        <v>1730</v>
      </c>
      <c r="B557" s="35" t="s">
        <v>1731</v>
      </c>
      <c r="C557" s="35" t="s">
        <v>1286</v>
      </c>
      <c r="D557" s="35" t="s">
        <v>58</v>
      </c>
      <c r="E557" s="35" t="s">
        <v>140</v>
      </c>
      <c r="F557" s="35" t="s">
        <v>370</v>
      </c>
      <c r="G557" s="35" t="s">
        <v>1042</v>
      </c>
      <c r="H557" s="76">
        <v>79426.0</v>
      </c>
      <c r="I557" s="35" t="s">
        <v>432</v>
      </c>
      <c r="M557" s="20">
        <f>IF($B557="","",COUNTIFS('Blocker log'!$A:$A,$B557,'Blocker log'!$G:$G,"&lt;&gt;"))</f>
        <v>0</v>
      </c>
      <c r="N557" s="20">
        <f>IF($B557="","",COUNTIFS('Blocker log'!$A:$A,$B557,'Blocker log'!$G:$G,"Hard blocker"))</f>
        <v>0</v>
      </c>
      <c r="O557" s="20">
        <f>IF($B557="","",COUNTIFS('Blocker log'!$A:$A,$B557,'Blocker log'!$G:$G,"Hard blocker",'Blocker log'!$L:$L,9))</f>
        <v>0</v>
      </c>
      <c r="P557" s="20">
        <f>IF($B557="","",MAXIFS('Blocker log'!$L:$L,'Blocker log'!$A:$A,$B557,'Blocker log'!$G:$G,"Hard blocker"))</f>
        <v>0</v>
      </c>
      <c r="Q557" s="20" t="str">
        <f>IF($B557="","",IF($K557&lt;&gt;"Complete","Assessment pending",IF($N557=0,"Ready now",VLOOKUP($P557,Lists!$D$2:$E$5,2,FALSE))))</f>
        <v>Assessment pending</v>
      </c>
    </row>
    <row r="558" ht="15.75" customHeight="1">
      <c r="A558" s="35" t="s">
        <v>1732</v>
      </c>
      <c r="B558" s="35" t="s">
        <v>1733</v>
      </c>
      <c r="C558" s="35" t="s">
        <v>1286</v>
      </c>
      <c r="D558" s="35" t="s">
        <v>58</v>
      </c>
      <c r="E558" s="35" t="s">
        <v>101</v>
      </c>
      <c r="F558" s="35" t="s">
        <v>1386</v>
      </c>
      <c r="G558" s="35" t="s">
        <v>1161</v>
      </c>
      <c r="H558" s="76">
        <v>78783.0</v>
      </c>
      <c r="I558" s="35" t="s">
        <v>435</v>
      </c>
      <c r="M558" s="20">
        <f>IF($B558="","",COUNTIFS('Blocker log'!$A:$A,$B558,'Blocker log'!$G:$G,"&lt;&gt;"))</f>
        <v>0</v>
      </c>
      <c r="N558" s="20">
        <f>IF($B558="","",COUNTIFS('Blocker log'!$A:$A,$B558,'Blocker log'!$G:$G,"Hard blocker"))</f>
        <v>0</v>
      </c>
      <c r="O558" s="20">
        <f>IF($B558="","",COUNTIFS('Blocker log'!$A:$A,$B558,'Blocker log'!$G:$G,"Hard blocker",'Blocker log'!$L:$L,9))</f>
        <v>0</v>
      </c>
      <c r="P558" s="20">
        <f>IF($B558="","",MAXIFS('Blocker log'!$L:$L,'Blocker log'!$A:$A,$B558,'Blocker log'!$G:$G,"Hard blocker"))</f>
        <v>0</v>
      </c>
      <c r="Q558" s="20" t="str">
        <f>IF($B558="","",IF($K558&lt;&gt;"Complete","Assessment pending",IF($N558=0,"Ready now",VLOOKUP($P558,Lists!$D$2:$E$5,2,FALSE))))</f>
        <v>Assessment pending</v>
      </c>
    </row>
    <row r="559" ht="15.75" customHeight="1">
      <c r="A559" s="35" t="s">
        <v>1734</v>
      </c>
      <c r="B559" s="35" t="s">
        <v>1735</v>
      </c>
      <c r="C559" s="35" t="s">
        <v>1286</v>
      </c>
      <c r="D559" s="35" t="s">
        <v>171</v>
      </c>
      <c r="E559" s="35" t="s">
        <v>773</v>
      </c>
      <c r="F559" s="35" t="s">
        <v>774</v>
      </c>
      <c r="G559" s="35" t="s">
        <v>1161</v>
      </c>
      <c r="H559" s="76">
        <v>78563.0</v>
      </c>
      <c r="I559" s="35" t="s">
        <v>415</v>
      </c>
      <c r="M559" s="20">
        <f>IF($B559="","",COUNTIFS('Blocker log'!$A:$A,$B559,'Blocker log'!$G:$G,"&lt;&gt;"))</f>
        <v>0</v>
      </c>
      <c r="N559" s="20">
        <f>IF($B559="","",COUNTIFS('Blocker log'!$A:$A,$B559,'Blocker log'!$G:$G,"Hard blocker"))</f>
        <v>0</v>
      </c>
      <c r="O559" s="20">
        <f>IF($B559="","",COUNTIFS('Blocker log'!$A:$A,$B559,'Blocker log'!$G:$G,"Hard blocker",'Blocker log'!$L:$L,9))</f>
        <v>0</v>
      </c>
      <c r="P559" s="20">
        <f>IF($B559="","",MAXIFS('Blocker log'!$L:$L,'Blocker log'!$A:$A,$B559,'Blocker log'!$G:$G,"Hard blocker"))</f>
        <v>0</v>
      </c>
      <c r="Q559" s="20" t="str">
        <f>IF($B559="","",IF($K559&lt;&gt;"Complete","Assessment pending",IF($N559=0,"Ready now",VLOOKUP($P559,Lists!$D$2:$E$5,2,FALSE))))</f>
        <v>Assessment pending</v>
      </c>
    </row>
    <row r="560" ht="15.75" customHeight="1">
      <c r="A560" s="35" t="s">
        <v>1736</v>
      </c>
      <c r="B560" s="35" t="s">
        <v>1737</v>
      </c>
      <c r="C560" s="35" t="s">
        <v>1286</v>
      </c>
      <c r="D560" s="35" t="s">
        <v>58</v>
      </c>
      <c r="E560" s="35" t="s">
        <v>59</v>
      </c>
      <c r="F560" s="35" t="s">
        <v>225</v>
      </c>
      <c r="G560" s="35" t="s">
        <v>1161</v>
      </c>
      <c r="H560" s="76">
        <v>78456.0</v>
      </c>
      <c r="I560" s="35" t="s">
        <v>436</v>
      </c>
      <c r="M560" s="20">
        <f>IF($B560="","",COUNTIFS('Blocker log'!$A:$A,$B560,'Blocker log'!$G:$G,"&lt;&gt;"))</f>
        <v>0</v>
      </c>
      <c r="N560" s="20">
        <f>IF($B560="","",COUNTIFS('Blocker log'!$A:$A,$B560,'Blocker log'!$G:$G,"Hard blocker"))</f>
        <v>0</v>
      </c>
      <c r="O560" s="20">
        <f>IF($B560="","",COUNTIFS('Blocker log'!$A:$A,$B560,'Blocker log'!$G:$G,"Hard blocker",'Blocker log'!$L:$L,9))</f>
        <v>0</v>
      </c>
      <c r="P560" s="20">
        <f>IF($B560="","",MAXIFS('Blocker log'!$L:$L,'Blocker log'!$A:$A,$B560,'Blocker log'!$G:$G,"Hard blocker"))</f>
        <v>0</v>
      </c>
      <c r="Q560" s="20" t="str">
        <f>IF($B560="","",IF($K560&lt;&gt;"Complete","Assessment pending",IF($N560=0,"Ready now",VLOOKUP($P560,Lists!$D$2:$E$5,2,FALSE))))</f>
        <v>Assessment pending</v>
      </c>
    </row>
    <row r="561" ht="15.75" customHeight="1">
      <c r="A561" s="35" t="s">
        <v>1738</v>
      </c>
      <c r="B561" s="35" t="s">
        <v>1739</v>
      </c>
      <c r="C561" s="35" t="s">
        <v>1286</v>
      </c>
      <c r="D561" s="35" t="s">
        <v>171</v>
      </c>
      <c r="E561" s="35" t="s">
        <v>542</v>
      </c>
      <c r="F561" s="35" t="s">
        <v>543</v>
      </c>
      <c r="G561" s="35" t="s">
        <v>1161</v>
      </c>
      <c r="H561" s="76">
        <v>78322.0</v>
      </c>
      <c r="I561" s="35"/>
      <c r="M561" s="20">
        <f>IF($B561="","",COUNTIFS('Blocker log'!$A:$A,$B561,'Blocker log'!$G:$G,"&lt;&gt;"))</f>
        <v>0</v>
      </c>
      <c r="N561" s="20">
        <f>IF($B561="","",COUNTIFS('Blocker log'!$A:$A,$B561,'Blocker log'!$G:$G,"Hard blocker"))</f>
        <v>0</v>
      </c>
      <c r="O561" s="20">
        <f>IF($B561="","",COUNTIFS('Blocker log'!$A:$A,$B561,'Blocker log'!$G:$G,"Hard blocker",'Blocker log'!$L:$L,9))</f>
        <v>0</v>
      </c>
      <c r="P561" s="20">
        <f>IF($B561="","",MAXIFS('Blocker log'!$L:$L,'Blocker log'!$A:$A,$B561,'Blocker log'!$G:$G,"Hard blocker"))</f>
        <v>0</v>
      </c>
      <c r="Q561" s="20" t="str">
        <f>IF($B561="","",IF($K561&lt;&gt;"Complete","Assessment pending",IF($N561=0,"Ready now",VLOOKUP($P561,Lists!$D$2:$E$5,2,FALSE))))</f>
        <v>Assessment pending</v>
      </c>
    </row>
    <row r="562" ht="15.75" customHeight="1">
      <c r="A562" s="35" t="s">
        <v>1740</v>
      </c>
      <c r="B562" s="35" t="s">
        <v>1741</v>
      </c>
      <c r="C562" s="35" t="s">
        <v>1286</v>
      </c>
      <c r="D562" s="35" t="s">
        <v>301</v>
      </c>
      <c r="E562" s="35" t="s">
        <v>1281</v>
      </c>
      <c r="F562" s="35" t="s">
        <v>1281</v>
      </c>
      <c r="G562" s="35" t="s">
        <v>1161</v>
      </c>
      <c r="H562" s="76">
        <v>77918.0</v>
      </c>
      <c r="I562" s="35" t="s">
        <v>412</v>
      </c>
      <c r="M562" s="20">
        <f>IF($B562="","",COUNTIFS('Blocker log'!$A:$A,$B562,'Blocker log'!$G:$G,"&lt;&gt;"))</f>
        <v>0</v>
      </c>
      <c r="N562" s="20">
        <f>IF($B562="","",COUNTIFS('Blocker log'!$A:$A,$B562,'Blocker log'!$G:$G,"Hard blocker"))</f>
        <v>0</v>
      </c>
      <c r="O562" s="20">
        <f>IF($B562="","",COUNTIFS('Blocker log'!$A:$A,$B562,'Blocker log'!$G:$G,"Hard blocker",'Blocker log'!$L:$L,9))</f>
        <v>0</v>
      </c>
      <c r="P562" s="20">
        <f>IF($B562="","",MAXIFS('Blocker log'!$L:$L,'Blocker log'!$A:$A,$B562,'Blocker log'!$G:$G,"Hard blocker"))</f>
        <v>0</v>
      </c>
      <c r="Q562" s="20" t="str">
        <f>IF($B562="","",IF($K562&lt;&gt;"Complete","Assessment pending",IF($N562=0,"Ready now",VLOOKUP($P562,Lists!$D$2:$E$5,2,FALSE))))</f>
        <v>Assessment pending</v>
      </c>
    </row>
    <row r="563" ht="15.75" customHeight="1">
      <c r="A563" s="35" t="s">
        <v>1742</v>
      </c>
      <c r="B563" s="35" t="s">
        <v>1743</v>
      </c>
      <c r="C563" s="35" t="s">
        <v>1286</v>
      </c>
      <c r="D563" s="35" t="s">
        <v>260</v>
      </c>
      <c r="E563" s="35" t="s">
        <v>530</v>
      </c>
      <c r="F563" s="35" t="s">
        <v>1674</v>
      </c>
      <c r="G563" s="35" t="s">
        <v>1161</v>
      </c>
      <c r="H563" s="76">
        <v>76469.0</v>
      </c>
      <c r="I563" s="35"/>
      <c r="M563" s="20">
        <f>IF($B563="","",COUNTIFS('Blocker log'!$A:$A,$B563,'Blocker log'!$G:$G,"&lt;&gt;"))</f>
        <v>0</v>
      </c>
      <c r="N563" s="20">
        <f>IF($B563="","",COUNTIFS('Blocker log'!$A:$A,$B563,'Blocker log'!$G:$G,"Hard blocker"))</f>
        <v>0</v>
      </c>
      <c r="O563" s="20">
        <f>IF($B563="","",COUNTIFS('Blocker log'!$A:$A,$B563,'Blocker log'!$G:$G,"Hard blocker",'Blocker log'!$L:$L,9))</f>
        <v>0</v>
      </c>
      <c r="P563" s="20">
        <f>IF($B563="","",MAXIFS('Blocker log'!$L:$L,'Blocker log'!$A:$A,$B563,'Blocker log'!$G:$G,"Hard blocker"))</f>
        <v>0</v>
      </c>
      <c r="Q563" s="20" t="str">
        <f>IF($B563="","",IF($K563&lt;&gt;"Complete","Assessment pending",IF($N563=0,"Ready now",VLOOKUP($P563,Lists!$D$2:$E$5,2,FALSE))))</f>
        <v>Assessment pending</v>
      </c>
    </row>
    <row r="564" ht="15.75" customHeight="1">
      <c r="A564" s="35" t="s">
        <v>1744</v>
      </c>
      <c r="B564" s="35" t="s">
        <v>1745</v>
      </c>
      <c r="C564" s="35" t="s">
        <v>1286</v>
      </c>
      <c r="D564" s="35" t="s">
        <v>260</v>
      </c>
      <c r="E564" s="35" t="s">
        <v>506</v>
      </c>
      <c r="F564" s="35" t="s">
        <v>798</v>
      </c>
      <c r="G564" s="35" t="s">
        <v>1161</v>
      </c>
      <c r="H564" s="76">
        <v>76180.0</v>
      </c>
      <c r="I564" s="35" t="s">
        <v>417</v>
      </c>
      <c r="M564" s="20">
        <f>IF($B564="","",COUNTIFS('Blocker log'!$A:$A,$B564,'Blocker log'!$G:$G,"&lt;&gt;"))</f>
        <v>0</v>
      </c>
      <c r="N564" s="20">
        <f>IF($B564="","",COUNTIFS('Blocker log'!$A:$A,$B564,'Blocker log'!$G:$G,"Hard blocker"))</f>
        <v>0</v>
      </c>
      <c r="O564" s="20">
        <f>IF($B564="","",COUNTIFS('Blocker log'!$A:$A,$B564,'Blocker log'!$G:$G,"Hard blocker",'Blocker log'!$L:$L,9))</f>
        <v>0</v>
      </c>
      <c r="P564" s="20">
        <f>IF($B564="","",MAXIFS('Blocker log'!$L:$L,'Blocker log'!$A:$A,$B564,'Blocker log'!$G:$G,"Hard blocker"))</f>
        <v>0</v>
      </c>
      <c r="Q564" s="20" t="str">
        <f>IF($B564="","",IF($K564&lt;&gt;"Complete","Assessment pending",IF($N564=0,"Ready now",VLOOKUP($P564,Lists!$D$2:$E$5,2,FALSE))))</f>
        <v>Assessment pending</v>
      </c>
    </row>
    <row r="565" ht="15.75" customHeight="1">
      <c r="A565" s="35" t="s">
        <v>1746</v>
      </c>
      <c r="B565" s="35" t="s">
        <v>1747</v>
      </c>
      <c r="C565" s="35" t="s">
        <v>1286</v>
      </c>
      <c r="D565" s="35" t="s">
        <v>58</v>
      </c>
      <c r="E565" s="35" t="s">
        <v>181</v>
      </c>
      <c r="F565" s="35" t="s">
        <v>182</v>
      </c>
      <c r="G565" s="35" t="s">
        <v>1161</v>
      </c>
      <c r="H565" s="76">
        <v>75623.0</v>
      </c>
      <c r="I565" s="35"/>
      <c r="M565" s="20">
        <f>IF($B565="","",COUNTIFS('Blocker log'!$A:$A,$B565,'Blocker log'!$G:$G,"&lt;&gt;"))</f>
        <v>0</v>
      </c>
      <c r="N565" s="20">
        <f>IF($B565="","",COUNTIFS('Blocker log'!$A:$A,$B565,'Blocker log'!$G:$G,"Hard blocker"))</f>
        <v>0</v>
      </c>
      <c r="O565" s="20">
        <f>IF($B565="","",COUNTIFS('Blocker log'!$A:$A,$B565,'Blocker log'!$G:$G,"Hard blocker",'Blocker log'!$L:$L,9))</f>
        <v>0</v>
      </c>
      <c r="P565" s="20">
        <f>IF($B565="","",MAXIFS('Blocker log'!$L:$L,'Blocker log'!$A:$A,$B565,'Blocker log'!$G:$G,"Hard blocker"))</f>
        <v>0</v>
      </c>
      <c r="Q565" s="20" t="str">
        <f>IF($B565="","",IF($K565&lt;&gt;"Complete","Assessment pending",IF($N565=0,"Ready now",VLOOKUP($P565,Lists!$D$2:$E$5,2,FALSE))))</f>
        <v>Assessment pending</v>
      </c>
    </row>
    <row r="566" ht="15.75" customHeight="1">
      <c r="A566" s="35" t="s">
        <v>1748</v>
      </c>
      <c r="B566" s="35" t="s">
        <v>1749</v>
      </c>
      <c r="C566" s="35" t="s">
        <v>1286</v>
      </c>
      <c r="D566" s="35" t="s">
        <v>58</v>
      </c>
      <c r="E566" s="35" t="s">
        <v>181</v>
      </c>
      <c r="F566" s="35" t="s">
        <v>182</v>
      </c>
      <c r="G566" s="35" t="s">
        <v>1161</v>
      </c>
      <c r="H566" s="76">
        <v>75600.0</v>
      </c>
      <c r="I566" s="35" t="s">
        <v>437</v>
      </c>
      <c r="M566" s="20">
        <f>IF($B566="","",COUNTIFS('Blocker log'!$A:$A,$B566,'Blocker log'!$G:$G,"&lt;&gt;"))</f>
        <v>0</v>
      </c>
      <c r="N566" s="20">
        <f>IF($B566="","",COUNTIFS('Blocker log'!$A:$A,$B566,'Blocker log'!$G:$G,"Hard blocker"))</f>
        <v>0</v>
      </c>
      <c r="O566" s="20">
        <f>IF($B566="","",COUNTIFS('Blocker log'!$A:$A,$B566,'Blocker log'!$G:$G,"Hard blocker",'Blocker log'!$L:$L,9))</f>
        <v>0</v>
      </c>
      <c r="P566" s="20">
        <f>IF($B566="","",MAXIFS('Blocker log'!$L:$L,'Blocker log'!$A:$A,$B566,'Blocker log'!$G:$G,"Hard blocker"))</f>
        <v>0</v>
      </c>
      <c r="Q566" s="20" t="str">
        <f>IF($B566="","",IF($K566&lt;&gt;"Complete","Assessment pending",IF($N566=0,"Ready now",VLOOKUP($P566,Lists!$D$2:$E$5,2,FALSE))))</f>
        <v>Assessment pending</v>
      </c>
    </row>
    <row r="567" ht="15.75" customHeight="1">
      <c r="A567" s="35" t="s">
        <v>1750</v>
      </c>
      <c r="B567" s="35" t="s">
        <v>1751</v>
      </c>
      <c r="C567" s="35" t="s">
        <v>1286</v>
      </c>
      <c r="D567" s="35" t="s">
        <v>171</v>
      </c>
      <c r="E567" s="35" t="s">
        <v>542</v>
      </c>
      <c r="F567" s="35" t="s">
        <v>543</v>
      </c>
      <c r="G567" s="35" t="s">
        <v>1161</v>
      </c>
      <c r="H567" s="76">
        <v>75477.0</v>
      </c>
      <c r="I567" s="35" t="s">
        <v>415</v>
      </c>
      <c r="M567" s="20">
        <f>IF($B567="","",COUNTIFS('Blocker log'!$A:$A,$B567,'Blocker log'!$G:$G,"&lt;&gt;"))</f>
        <v>0</v>
      </c>
      <c r="N567" s="20">
        <f>IF($B567="","",COUNTIFS('Blocker log'!$A:$A,$B567,'Blocker log'!$G:$G,"Hard blocker"))</f>
        <v>0</v>
      </c>
      <c r="O567" s="20">
        <f>IF($B567="","",COUNTIFS('Blocker log'!$A:$A,$B567,'Blocker log'!$G:$G,"Hard blocker",'Blocker log'!$L:$L,9))</f>
        <v>0</v>
      </c>
      <c r="P567" s="20">
        <f>IF($B567="","",MAXIFS('Blocker log'!$L:$L,'Blocker log'!$A:$A,$B567,'Blocker log'!$G:$G,"Hard blocker"))</f>
        <v>0</v>
      </c>
      <c r="Q567" s="20" t="str">
        <f>IF($B567="","",IF($K567&lt;&gt;"Complete","Assessment pending",IF($N567=0,"Ready now",VLOOKUP($P567,Lists!$D$2:$E$5,2,FALSE))))</f>
        <v>Assessment pending</v>
      </c>
    </row>
    <row r="568" ht="15.75" customHeight="1">
      <c r="A568" s="35" t="s">
        <v>1752</v>
      </c>
      <c r="B568" s="35" t="s">
        <v>1753</v>
      </c>
      <c r="C568" s="35" t="s">
        <v>1286</v>
      </c>
      <c r="D568" s="35" t="s">
        <v>58</v>
      </c>
      <c r="E568" s="35" t="s">
        <v>181</v>
      </c>
      <c r="F568" s="35" t="s">
        <v>653</v>
      </c>
      <c r="G568" s="35" t="s">
        <v>1161</v>
      </c>
      <c r="H568" s="76">
        <v>74947.0</v>
      </c>
      <c r="I568" s="35"/>
      <c r="M568" s="20">
        <f>IF($B568="","",COUNTIFS('Blocker log'!$A:$A,$B568,'Blocker log'!$G:$G,"&lt;&gt;"))</f>
        <v>0</v>
      </c>
      <c r="N568" s="20">
        <f>IF($B568="","",COUNTIFS('Blocker log'!$A:$A,$B568,'Blocker log'!$G:$G,"Hard blocker"))</f>
        <v>0</v>
      </c>
      <c r="O568" s="20">
        <f>IF($B568="","",COUNTIFS('Blocker log'!$A:$A,$B568,'Blocker log'!$G:$G,"Hard blocker",'Blocker log'!$L:$L,9))</f>
        <v>0</v>
      </c>
      <c r="P568" s="20">
        <f>IF($B568="","",MAXIFS('Blocker log'!$L:$L,'Blocker log'!$A:$A,$B568,'Blocker log'!$G:$G,"Hard blocker"))</f>
        <v>0</v>
      </c>
      <c r="Q568" s="20" t="str">
        <f>IF($B568="","",IF($K568&lt;&gt;"Complete","Assessment pending",IF($N568=0,"Ready now",VLOOKUP($P568,Lists!$D$2:$E$5,2,FALSE))))</f>
        <v>Assessment pending</v>
      </c>
    </row>
    <row r="569" ht="15.75" customHeight="1">
      <c r="A569" s="35" t="s">
        <v>1754</v>
      </c>
      <c r="B569" s="35" t="s">
        <v>1755</v>
      </c>
      <c r="C569" s="35" t="s">
        <v>1286</v>
      </c>
      <c r="D569" s="35" t="s">
        <v>260</v>
      </c>
      <c r="E569" s="35" t="s">
        <v>261</v>
      </c>
      <c r="F569" s="35" t="s">
        <v>261</v>
      </c>
      <c r="G569" s="35" t="s">
        <v>1161</v>
      </c>
      <c r="H569" s="76">
        <v>74620.0</v>
      </c>
      <c r="I569" s="35" t="s">
        <v>416</v>
      </c>
      <c r="M569" s="20">
        <f>IF($B569="","",COUNTIFS('Blocker log'!$A:$A,$B569,'Blocker log'!$G:$G,"&lt;&gt;"))</f>
        <v>0</v>
      </c>
      <c r="N569" s="20">
        <f>IF($B569="","",COUNTIFS('Blocker log'!$A:$A,$B569,'Blocker log'!$G:$G,"Hard blocker"))</f>
        <v>0</v>
      </c>
      <c r="O569" s="20">
        <f>IF($B569="","",COUNTIFS('Blocker log'!$A:$A,$B569,'Blocker log'!$G:$G,"Hard blocker",'Blocker log'!$L:$L,9))</f>
        <v>0</v>
      </c>
      <c r="P569" s="20">
        <f>IF($B569="","",MAXIFS('Blocker log'!$L:$L,'Blocker log'!$A:$A,$B569,'Blocker log'!$G:$G,"Hard blocker"))</f>
        <v>0</v>
      </c>
      <c r="Q569" s="20" t="str">
        <f>IF($B569="","",IF($K569&lt;&gt;"Complete","Assessment pending",IF($N569=0,"Ready now",VLOOKUP($P569,Lists!$D$2:$E$5,2,FALSE))))</f>
        <v>Assessment pending</v>
      </c>
    </row>
    <row r="570" ht="15.75" customHeight="1">
      <c r="A570" s="35" t="s">
        <v>1756</v>
      </c>
      <c r="B570" s="35" t="s">
        <v>1757</v>
      </c>
      <c r="C570" s="35" t="s">
        <v>1286</v>
      </c>
      <c r="D570" s="35" t="s">
        <v>171</v>
      </c>
      <c r="E570" s="35" t="s">
        <v>773</v>
      </c>
      <c r="F570" s="35" t="s">
        <v>774</v>
      </c>
      <c r="G570" s="35" t="s">
        <v>1161</v>
      </c>
      <c r="H570" s="76">
        <v>74066.0</v>
      </c>
      <c r="I570" s="35"/>
      <c r="M570" s="20">
        <f>IF($B570="","",COUNTIFS('Blocker log'!$A:$A,$B570,'Blocker log'!$G:$G,"&lt;&gt;"))</f>
        <v>0</v>
      </c>
      <c r="N570" s="20">
        <f>IF($B570="","",COUNTIFS('Blocker log'!$A:$A,$B570,'Blocker log'!$G:$G,"Hard blocker"))</f>
        <v>0</v>
      </c>
      <c r="O570" s="20">
        <f>IF($B570="","",COUNTIFS('Blocker log'!$A:$A,$B570,'Blocker log'!$G:$G,"Hard blocker",'Blocker log'!$L:$L,9))</f>
        <v>0</v>
      </c>
      <c r="P570" s="20">
        <f>IF($B570="","",MAXIFS('Blocker log'!$L:$L,'Blocker log'!$A:$A,$B570,'Blocker log'!$G:$G,"Hard blocker"))</f>
        <v>0</v>
      </c>
      <c r="Q570" s="20" t="str">
        <f>IF($B570="","",IF($K570&lt;&gt;"Complete","Assessment pending",IF($N570=0,"Ready now",VLOOKUP($P570,Lists!$D$2:$E$5,2,FALSE))))</f>
        <v>Assessment pending</v>
      </c>
    </row>
    <row r="571" ht="15.75" customHeight="1">
      <c r="A571" s="35" t="s">
        <v>1758</v>
      </c>
      <c r="B571" s="35" t="s">
        <v>1759</v>
      </c>
      <c r="C571" s="35" t="s">
        <v>1286</v>
      </c>
      <c r="D571" s="35" t="s">
        <v>171</v>
      </c>
      <c r="E571" s="35" t="s">
        <v>524</v>
      </c>
      <c r="F571" s="35" t="s">
        <v>525</v>
      </c>
      <c r="G571" s="35" t="s">
        <v>1161</v>
      </c>
      <c r="H571" s="76">
        <v>73375.0</v>
      </c>
      <c r="I571" s="35" t="s">
        <v>431</v>
      </c>
      <c r="M571" s="20">
        <f>IF($B571="","",COUNTIFS('Blocker log'!$A:$A,$B571,'Blocker log'!$G:$G,"&lt;&gt;"))</f>
        <v>0</v>
      </c>
      <c r="N571" s="20">
        <f>IF($B571="","",COUNTIFS('Blocker log'!$A:$A,$B571,'Blocker log'!$G:$G,"Hard blocker"))</f>
        <v>0</v>
      </c>
      <c r="O571" s="20">
        <f>IF($B571="","",COUNTIFS('Blocker log'!$A:$A,$B571,'Blocker log'!$G:$G,"Hard blocker",'Blocker log'!$L:$L,9))</f>
        <v>0</v>
      </c>
      <c r="P571" s="20">
        <f>IF($B571="","",MAXIFS('Blocker log'!$L:$L,'Blocker log'!$A:$A,$B571,'Blocker log'!$G:$G,"Hard blocker"))</f>
        <v>0</v>
      </c>
      <c r="Q571" s="20" t="str">
        <f>IF($B571="","",IF($K571&lt;&gt;"Complete","Assessment pending",IF($N571=0,"Ready now",VLOOKUP($P571,Lists!$D$2:$E$5,2,FALSE))))</f>
        <v>Assessment pending</v>
      </c>
    </row>
    <row r="572" ht="15.75" customHeight="1">
      <c r="A572" s="35" t="s">
        <v>1760</v>
      </c>
      <c r="B572" s="35" t="s">
        <v>1761</v>
      </c>
      <c r="C572" s="35" t="s">
        <v>1286</v>
      </c>
      <c r="D572" s="35" t="s">
        <v>301</v>
      </c>
      <c r="E572" s="35" t="s">
        <v>1281</v>
      </c>
      <c r="F572" s="35" t="s">
        <v>1281</v>
      </c>
      <c r="G572" s="35" t="s">
        <v>1161</v>
      </c>
      <c r="H572" s="76">
        <v>73080.0</v>
      </c>
      <c r="I572" s="35"/>
      <c r="M572" s="20">
        <f>IF($B572="","",COUNTIFS('Blocker log'!$A:$A,$B572,'Blocker log'!$G:$G,"&lt;&gt;"))</f>
        <v>0</v>
      </c>
      <c r="N572" s="20">
        <f>IF($B572="","",COUNTIFS('Blocker log'!$A:$A,$B572,'Blocker log'!$G:$G,"Hard blocker"))</f>
        <v>0</v>
      </c>
      <c r="O572" s="20">
        <f>IF($B572="","",COUNTIFS('Blocker log'!$A:$A,$B572,'Blocker log'!$G:$G,"Hard blocker",'Blocker log'!$L:$L,9))</f>
        <v>0</v>
      </c>
      <c r="P572" s="20">
        <f>IF($B572="","",MAXIFS('Blocker log'!$L:$L,'Blocker log'!$A:$A,$B572,'Blocker log'!$G:$G,"Hard blocker"))</f>
        <v>0</v>
      </c>
      <c r="Q572" s="20" t="str">
        <f>IF($B572="","",IF($K572&lt;&gt;"Complete","Assessment pending",IF($N572=0,"Ready now",VLOOKUP($P572,Lists!$D$2:$E$5,2,FALSE))))</f>
        <v>Assessment pending</v>
      </c>
    </row>
    <row r="573" ht="15.75" customHeight="1">
      <c r="A573" s="35" t="s">
        <v>1762</v>
      </c>
      <c r="B573" s="35" t="s">
        <v>1763</v>
      </c>
      <c r="C573" s="35" t="s">
        <v>1286</v>
      </c>
      <c r="D573" s="35" t="s">
        <v>58</v>
      </c>
      <c r="E573" s="35" t="s">
        <v>181</v>
      </c>
      <c r="F573" s="35" t="s">
        <v>182</v>
      </c>
      <c r="G573" s="35" t="s">
        <v>1161</v>
      </c>
      <c r="H573" s="76">
        <v>72960.0</v>
      </c>
      <c r="I573" s="35"/>
      <c r="M573" s="20">
        <f>IF($B573="","",COUNTIFS('Blocker log'!$A:$A,$B573,'Blocker log'!$G:$G,"&lt;&gt;"))</f>
        <v>0</v>
      </c>
      <c r="N573" s="20">
        <f>IF($B573="","",COUNTIFS('Blocker log'!$A:$A,$B573,'Blocker log'!$G:$G,"Hard blocker"))</f>
        <v>0</v>
      </c>
      <c r="O573" s="20">
        <f>IF($B573="","",COUNTIFS('Blocker log'!$A:$A,$B573,'Blocker log'!$G:$G,"Hard blocker",'Blocker log'!$L:$L,9))</f>
        <v>0</v>
      </c>
      <c r="P573" s="20">
        <f>IF($B573="","",MAXIFS('Blocker log'!$L:$L,'Blocker log'!$A:$A,$B573,'Blocker log'!$G:$G,"Hard blocker"))</f>
        <v>0</v>
      </c>
      <c r="Q573" s="20" t="str">
        <f>IF($B573="","",IF($K573&lt;&gt;"Complete","Assessment pending",IF($N573=0,"Ready now",VLOOKUP($P573,Lists!$D$2:$E$5,2,FALSE))))</f>
        <v>Assessment pending</v>
      </c>
    </row>
    <row r="574" ht="15.75" customHeight="1">
      <c r="A574" s="35" t="s">
        <v>1764</v>
      </c>
      <c r="B574" s="35" t="s">
        <v>1765</v>
      </c>
      <c r="C574" s="35" t="s">
        <v>1286</v>
      </c>
      <c r="D574" s="35" t="s">
        <v>260</v>
      </c>
      <c r="E574" s="35" t="s">
        <v>530</v>
      </c>
      <c r="F574" s="35" t="s">
        <v>1766</v>
      </c>
      <c r="G574" s="35" t="s">
        <v>1161</v>
      </c>
      <c r="H574" s="76">
        <v>72889.0</v>
      </c>
      <c r="I574" s="35" t="s">
        <v>438</v>
      </c>
      <c r="M574" s="20">
        <f>IF($B574="","",COUNTIFS('Blocker log'!$A:$A,$B574,'Blocker log'!$G:$G,"&lt;&gt;"))</f>
        <v>0</v>
      </c>
      <c r="N574" s="20">
        <f>IF($B574="","",COUNTIFS('Blocker log'!$A:$A,$B574,'Blocker log'!$G:$G,"Hard blocker"))</f>
        <v>0</v>
      </c>
      <c r="O574" s="20">
        <f>IF($B574="","",COUNTIFS('Blocker log'!$A:$A,$B574,'Blocker log'!$G:$G,"Hard blocker",'Blocker log'!$L:$L,9))</f>
        <v>0</v>
      </c>
      <c r="P574" s="20">
        <f>IF($B574="","",MAXIFS('Blocker log'!$L:$L,'Blocker log'!$A:$A,$B574,'Blocker log'!$G:$G,"Hard blocker"))</f>
        <v>0</v>
      </c>
      <c r="Q574" s="20" t="str">
        <f>IF($B574="","",IF($K574&lt;&gt;"Complete","Assessment pending",IF($N574=0,"Ready now",VLOOKUP($P574,Lists!$D$2:$E$5,2,FALSE))))</f>
        <v>Assessment pending</v>
      </c>
    </row>
    <row r="575" ht="15.75" customHeight="1">
      <c r="A575" s="35" t="s">
        <v>1767</v>
      </c>
      <c r="B575" s="35" t="s">
        <v>1768</v>
      </c>
      <c r="C575" s="35" t="s">
        <v>1286</v>
      </c>
      <c r="D575" s="35" t="s">
        <v>58</v>
      </c>
      <c r="E575" s="35" t="s">
        <v>101</v>
      </c>
      <c r="F575" s="35" t="s">
        <v>102</v>
      </c>
      <c r="G575" s="35" t="s">
        <v>1161</v>
      </c>
      <c r="H575" s="76">
        <v>72803.0</v>
      </c>
      <c r="I575" s="35" t="s">
        <v>413</v>
      </c>
      <c r="M575" s="20">
        <f>IF($B575="","",COUNTIFS('Blocker log'!$A:$A,$B575,'Blocker log'!$G:$G,"&lt;&gt;"))</f>
        <v>0</v>
      </c>
      <c r="N575" s="20">
        <f>IF($B575="","",COUNTIFS('Blocker log'!$A:$A,$B575,'Blocker log'!$G:$G,"Hard blocker"))</f>
        <v>0</v>
      </c>
      <c r="O575" s="20">
        <f>IF($B575="","",COUNTIFS('Blocker log'!$A:$A,$B575,'Blocker log'!$G:$G,"Hard blocker",'Blocker log'!$L:$L,9))</f>
        <v>0</v>
      </c>
      <c r="P575" s="20">
        <f>IF($B575="","",MAXIFS('Blocker log'!$L:$L,'Blocker log'!$A:$A,$B575,'Blocker log'!$G:$G,"Hard blocker"))</f>
        <v>0</v>
      </c>
      <c r="Q575" s="20" t="str">
        <f>IF($B575="","",IF($K575&lt;&gt;"Complete","Assessment pending",IF($N575=0,"Ready now",VLOOKUP($P575,Lists!$D$2:$E$5,2,FALSE))))</f>
        <v>Assessment pending</v>
      </c>
    </row>
    <row r="576" ht="15.75" customHeight="1">
      <c r="A576" s="35" t="s">
        <v>1769</v>
      </c>
      <c r="B576" s="35" t="s">
        <v>1770</v>
      </c>
      <c r="C576" s="35" t="s">
        <v>1286</v>
      </c>
      <c r="D576" s="35" t="s">
        <v>260</v>
      </c>
      <c r="E576" s="35" t="s">
        <v>506</v>
      </c>
      <c r="F576" s="35" t="s">
        <v>507</v>
      </c>
      <c r="G576" s="35" t="s">
        <v>1161</v>
      </c>
      <c r="H576" s="76">
        <v>72511.0</v>
      </c>
      <c r="I576" s="35" t="s">
        <v>417</v>
      </c>
      <c r="M576" s="20">
        <f>IF($B576="","",COUNTIFS('Blocker log'!$A:$A,$B576,'Blocker log'!$G:$G,"&lt;&gt;"))</f>
        <v>0</v>
      </c>
      <c r="N576" s="20">
        <f>IF($B576="","",COUNTIFS('Blocker log'!$A:$A,$B576,'Blocker log'!$G:$G,"Hard blocker"))</f>
        <v>0</v>
      </c>
      <c r="O576" s="20">
        <f>IF($B576="","",COUNTIFS('Blocker log'!$A:$A,$B576,'Blocker log'!$G:$G,"Hard blocker",'Blocker log'!$L:$L,9))</f>
        <v>0</v>
      </c>
      <c r="P576" s="20">
        <f>IF($B576="","",MAXIFS('Blocker log'!$L:$L,'Blocker log'!$A:$A,$B576,'Blocker log'!$G:$G,"Hard blocker"))</f>
        <v>0</v>
      </c>
      <c r="Q576" s="20" t="str">
        <f>IF($B576="","",IF($K576&lt;&gt;"Complete","Assessment pending",IF($N576=0,"Ready now",VLOOKUP($P576,Lists!$D$2:$E$5,2,FALSE))))</f>
        <v>Assessment pending</v>
      </c>
    </row>
    <row r="577" ht="15.75" customHeight="1">
      <c r="A577" s="35" t="s">
        <v>1771</v>
      </c>
      <c r="B577" s="35" t="s">
        <v>1772</v>
      </c>
      <c r="C577" s="35" t="s">
        <v>76</v>
      </c>
      <c r="D577" s="35" t="s">
        <v>171</v>
      </c>
      <c r="E577" s="35" t="s">
        <v>205</v>
      </c>
      <c r="F577" s="35" t="s">
        <v>206</v>
      </c>
      <c r="G577" s="35" t="s">
        <v>980</v>
      </c>
      <c r="H577" s="76">
        <v>72006.0</v>
      </c>
      <c r="I577" s="35"/>
      <c r="M577" s="20">
        <f>IF($B577="","",COUNTIFS('Blocker log'!$A:$A,$B577,'Blocker log'!$G:$G,"&lt;&gt;"))</f>
        <v>0</v>
      </c>
      <c r="N577" s="20">
        <f>IF($B577="","",COUNTIFS('Blocker log'!$A:$A,$B577,'Blocker log'!$G:$G,"Hard blocker"))</f>
        <v>0</v>
      </c>
      <c r="O577" s="20">
        <f>IF($B577="","",COUNTIFS('Blocker log'!$A:$A,$B577,'Blocker log'!$G:$G,"Hard blocker",'Blocker log'!$L:$L,9))</f>
        <v>0</v>
      </c>
      <c r="P577" s="20">
        <f>IF($B577="","",MAXIFS('Blocker log'!$L:$L,'Blocker log'!$A:$A,$B577,'Blocker log'!$G:$G,"Hard blocker"))</f>
        <v>0</v>
      </c>
      <c r="Q577" s="20" t="str">
        <f>IF($B577="","",IF($K577&lt;&gt;"Complete","Assessment pending",IF($N577=0,"Ready now",VLOOKUP($P577,Lists!$D$2:$E$5,2,FALSE))))</f>
        <v>Assessment pending</v>
      </c>
    </row>
    <row r="578" ht="15.75" customHeight="1">
      <c r="A578" s="35" t="s">
        <v>1773</v>
      </c>
      <c r="B578" s="35" t="s">
        <v>1774</v>
      </c>
      <c r="C578" s="35" t="s">
        <v>1286</v>
      </c>
      <c r="D578" s="35" t="s">
        <v>58</v>
      </c>
      <c r="E578" s="35" t="s">
        <v>140</v>
      </c>
      <c r="F578" s="35" t="s">
        <v>370</v>
      </c>
      <c r="G578" s="35" t="s">
        <v>1042</v>
      </c>
      <c r="H578" s="76">
        <v>71401.0</v>
      </c>
      <c r="I578" s="35" t="s">
        <v>427</v>
      </c>
      <c r="M578" s="20">
        <f>IF($B578="","",COUNTIFS('Blocker log'!$A:$A,$B578,'Blocker log'!$G:$G,"&lt;&gt;"))</f>
        <v>0</v>
      </c>
      <c r="N578" s="20">
        <f>IF($B578="","",COUNTIFS('Blocker log'!$A:$A,$B578,'Blocker log'!$G:$G,"Hard blocker"))</f>
        <v>0</v>
      </c>
      <c r="O578" s="20">
        <f>IF($B578="","",COUNTIFS('Blocker log'!$A:$A,$B578,'Blocker log'!$G:$G,"Hard blocker",'Blocker log'!$L:$L,9))</f>
        <v>0</v>
      </c>
      <c r="P578" s="20">
        <f>IF($B578="","",MAXIFS('Blocker log'!$L:$L,'Blocker log'!$A:$A,$B578,'Blocker log'!$G:$G,"Hard blocker"))</f>
        <v>0</v>
      </c>
      <c r="Q578" s="20" t="str">
        <f>IF($B578="","",IF($K578&lt;&gt;"Complete","Assessment pending",IF($N578=0,"Ready now",VLOOKUP($P578,Lists!$D$2:$E$5,2,FALSE))))</f>
        <v>Assessment pending</v>
      </c>
    </row>
    <row r="579" ht="15.75" customHeight="1">
      <c r="A579" s="35" t="s">
        <v>1775</v>
      </c>
      <c r="B579" s="35" t="s">
        <v>1776</v>
      </c>
      <c r="C579" s="35" t="s">
        <v>1286</v>
      </c>
      <c r="D579" s="35" t="s">
        <v>58</v>
      </c>
      <c r="E579" s="35" t="s">
        <v>494</v>
      </c>
      <c r="F579" s="35" t="s">
        <v>495</v>
      </c>
      <c r="G579" s="35" t="s">
        <v>1042</v>
      </c>
      <c r="H579" s="76">
        <v>71280.0</v>
      </c>
      <c r="I579" s="35" t="s">
        <v>439</v>
      </c>
      <c r="M579" s="20">
        <f>IF($B579="","",COUNTIFS('Blocker log'!$A:$A,$B579,'Blocker log'!$G:$G,"&lt;&gt;"))</f>
        <v>0</v>
      </c>
      <c r="N579" s="20">
        <f>IF($B579="","",COUNTIFS('Blocker log'!$A:$A,$B579,'Blocker log'!$G:$G,"Hard blocker"))</f>
        <v>0</v>
      </c>
      <c r="O579" s="20">
        <f>IF($B579="","",COUNTIFS('Blocker log'!$A:$A,$B579,'Blocker log'!$G:$G,"Hard blocker",'Blocker log'!$L:$L,9))</f>
        <v>0</v>
      </c>
      <c r="P579" s="20">
        <f>IF($B579="","",MAXIFS('Blocker log'!$L:$L,'Blocker log'!$A:$A,$B579,'Blocker log'!$G:$G,"Hard blocker"))</f>
        <v>0</v>
      </c>
      <c r="Q579" s="20" t="str">
        <f>IF($B579="","",IF($K579&lt;&gt;"Complete","Assessment pending",IF($N579=0,"Ready now",VLOOKUP($P579,Lists!$D$2:$E$5,2,FALSE))))</f>
        <v>Assessment pending</v>
      </c>
    </row>
    <row r="580" ht="15.75" customHeight="1">
      <c r="A580" s="35" t="s">
        <v>1777</v>
      </c>
      <c r="B580" s="35" t="s">
        <v>1778</v>
      </c>
      <c r="C580" s="35" t="s">
        <v>1286</v>
      </c>
      <c r="D580" s="35" t="s">
        <v>260</v>
      </c>
      <c r="E580" s="35" t="s">
        <v>506</v>
      </c>
      <c r="F580" s="35" t="s">
        <v>708</v>
      </c>
      <c r="G580" s="35" t="s">
        <v>1161</v>
      </c>
      <c r="H580" s="76">
        <v>71114.0</v>
      </c>
      <c r="I580" s="35" t="s">
        <v>440</v>
      </c>
      <c r="M580" s="20">
        <f>IF($B580="","",COUNTIFS('Blocker log'!$A:$A,$B580,'Blocker log'!$G:$G,"&lt;&gt;"))</f>
        <v>0</v>
      </c>
      <c r="N580" s="20">
        <f>IF($B580="","",COUNTIFS('Blocker log'!$A:$A,$B580,'Blocker log'!$G:$G,"Hard blocker"))</f>
        <v>0</v>
      </c>
      <c r="O580" s="20">
        <f>IF($B580="","",COUNTIFS('Blocker log'!$A:$A,$B580,'Blocker log'!$G:$G,"Hard blocker",'Blocker log'!$L:$L,9))</f>
        <v>0</v>
      </c>
      <c r="P580" s="20">
        <f>IF($B580="","",MAXIFS('Blocker log'!$L:$L,'Blocker log'!$A:$A,$B580,'Blocker log'!$G:$G,"Hard blocker"))</f>
        <v>0</v>
      </c>
      <c r="Q580" s="20" t="str">
        <f>IF($B580="","",IF($K580&lt;&gt;"Complete","Assessment pending",IF($N580=0,"Ready now",VLOOKUP($P580,Lists!$D$2:$E$5,2,FALSE))))</f>
        <v>Assessment pending</v>
      </c>
    </row>
    <row r="581" ht="15.75" customHeight="1">
      <c r="A581" s="35" t="s">
        <v>1779</v>
      </c>
      <c r="B581" s="35" t="s">
        <v>1780</v>
      </c>
      <c r="C581" s="35" t="s">
        <v>1286</v>
      </c>
      <c r="D581" s="35" t="s">
        <v>171</v>
      </c>
      <c r="E581" s="35" t="s">
        <v>773</v>
      </c>
      <c r="F581" s="35" t="s">
        <v>774</v>
      </c>
      <c r="G581" s="35" t="s">
        <v>1161</v>
      </c>
      <c r="H581" s="76">
        <v>70747.0</v>
      </c>
      <c r="I581" s="35"/>
      <c r="M581" s="20">
        <f>IF($B581="","",COUNTIFS('Blocker log'!$A:$A,$B581,'Blocker log'!$G:$G,"&lt;&gt;"))</f>
        <v>0</v>
      </c>
      <c r="N581" s="20">
        <f>IF($B581="","",COUNTIFS('Blocker log'!$A:$A,$B581,'Blocker log'!$G:$G,"Hard blocker"))</f>
        <v>0</v>
      </c>
      <c r="O581" s="20">
        <f>IF($B581="","",COUNTIFS('Blocker log'!$A:$A,$B581,'Blocker log'!$G:$G,"Hard blocker",'Blocker log'!$L:$L,9))</f>
        <v>0</v>
      </c>
      <c r="P581" s="20">
        <f>IF($B581="","",MAXIFS('Blocker log'!$L:$L,'Blocker log'!$A:$A,$B581,'Blocker log'!$G:$G,"Hard blocker"))</f>
        <v>0</v>
      </c>
      <c r="Q581" s="20" t="str">
        <f>IF($B581="","",IF($K581&lt;&gt;"Complete","Assessment pending",IF($N581=0,"Ready now",VLOOKUP($P581,Lists!$D$2:$E$5,2,FALSE))))</f>
        <v>Assessment pending</v>
      </c>
    </row>
    <row r="582" ht="15.75" customHeight="1">
      <c r="A582" s="35" t="s">
        <v>1781</v>
      </c>
      <c r="B582" s="35" t="s">
        <v>1782</v>
      </c>
      <c r="C582" s="35" t="s">
        <v>1286</v>
      </c>
      <c r="D582" s="35" t="s">
        <v>260</v>
      </c>
      <c r="E582" s="35" t="s">
        <v>576</v>
      </c>
      <c r="F582" s="35" t="s">
        <v>577</v>
      </c>
      <c r="G582" s="35" t="s">
        <v>1161</v>
      </c>
      <c r="H582" s="76">
        <v>70726.0</v>
      </c>
      <c r="I582" s="35" t="s">
        <v>403</v>
      </c>
      <c r="M582" s="20">
        <f>IF($B582="","",COUNTIFS('Blocker log'!$A:$A,$B582,'Blocker log'!$G:$G,"&lt;&gt;"))</f>
        <v>0</v>
      </c>
      <c r="N582" s="20">
        <f>IF($B582="","",COUNTIFS('Blocker log'!$A:$A,$B582,'Blocker log'!$G:$G,"Hard blocker"))</f>
        <v>0</v>
      </c>
      <c r="O582" s="20">
        <f>IF($B582="","",COUNTIFS('Blocker log'!$A:$A,$B582,'Blocker log'!$G:$G,"Hard blocker",'Blocker log'!$L:$L,9))</f>
        <v>0</v>
      </c>
      <c r="P582" s="20">
        <f>IF($B582="","",MAXIFS('Blocker log'!$L:$L,'Blocker log'!$A:$A,$B582,'Blocker log'!$G:$G,"Hard blocker"))</f>
        <v>0</v>
      </c>
      <c r="Q582" s="20" t="str">
        <f>IF($B582="","",IF($K582&lt;&gt;"Complete","Assessment pending",IF($N582=0,"Ready now",VLOOKUP($P582,Lists!$D$2:$E$5,2,FALSE))))</f>
        <v>Assessment pending</v>
      </c>
    </row>
    <row r="583" ht="15.75" customHeight="1">
      <c r="A583" s="35" t="s">
        <v>1783</v>
      </c>
      <c r="B583" s="35" t="s">
        <v>1784</v>
      </c>
      <c r="C583" s="35" t="s">
        <v>1286</v>
      </c>
      <c r="D583" s="35" t="s">
        <v>260</v>
      </c>
      <c r="E583" s="35" t="s">
        <v>530</v>
      </c>
      <c r="F583" s="35" t="s">
        <v>531</v>
      </c>
      <c r="G583" s="35" t="s">
        <v>1161</v>
      </c>
      <c r="H583" s="76">
        <v>70482.0</v>
      </c>
      <c r="I583" s="35" t="s">
        <v>441</v>
      </c>
      <c r="M583" s="20">
        <f>IF($B583="","",COUNTIFS('Blocker log'!$A:$A,$B583,'Blocker log'!$G:$G,"&lt;&gt;"))</f>
        <v>0</v>
      </c>
      <c r="N583" s="20">
        <f>IF($B583="","",COUNTIFS('Blocker log'!$A:$A,$B583,'Blocker log'!$G:$G,"Hard blocker"))</f>
        <v>0</v>
      </c>
      <c r="O583" s="20">
        <f>IF($B583="","",COUNTIFS('Blocker log'!$A:$A,$B583,'Blocker log'!$G:$G,"Hard blocker",'Blocker log'!$L:$L,9))</f>
        <v>0</v>
      </c>
      <c r="P583" s="20">
        <f>IF($B583="","",MAXIFS('Blocker log'!$L:$L,'Blocker log'!$A:$A,$B583,'Blocker log'!$G:$G,"Hard blocker"))</f>
        <v>0</v>
      </c>
      <c r="Q583" s="20" t="str">
        <f>IF($B583="","",IF($K583&lt;&gt;"Complete","Assessment pending",IF($N583=0,"Ready now",VLOOKUP($P583,Lists!$D$2:$E$5,2,FALSE))))</f>
        <v>Assessment pending</v>
      </c>
    </row>
    <row r="584" ht="15.75" customHeight="1">
      <c r="A584" s="35" t="s">
        <v>1785</v>
      </c>
      <c r="B584" s="35" t="s">
        <v>1786</v>
      </c>
      <c r="C584" s="35" t="s">
        <v>1286</v>
      </c>
      <c r="D584" s="35" t="s">
        <v>58</v>
      </c>
      <c r="E584" s="35" t="s">
        <v>494</v>
      </c>
      <c r="F584" s="35" t="s">
        <v>690</v>
      </c>
      <c r="G584" s="35" t="s">
        <v>1161</v>
      </c>
      <c r="H584" s="76">
        <v>70429.0</v>
      </c>
      <c r="I584" s="35"/>
      <c r="M584" s="20">
        <f>IF($B584="","",COUNTIFS('Blocker log'!$A:$A,$B584,'Blocker log'!$G:$G,"&lt;&gt;"))</f>
        <v>0</v>
      </c>
      <c r="N584" s="20">
        <f>IF($B584="","",COUNTIFS('Blocker log'!$A:$A,$B584,'Blocker log'!$G:$G,"Hard blocker"))</f>
        <v>0</v>
      </c>
      <c r="O584" s="20">
        <f>IF($B584="","",COUNTIFS('Blocker log'!$A:$A,$B584,'Blocker log'!$G:$G,"Hard blocker",'Blocker log'!$L:$L,9))</f>
        <v>0</v>
      </c>
      <c r="P584" s="20">
        <f>IF($B584="","",MAXIFS('Blocker log'!$L:$L,'Blocker log'!$A:$A,$B584,'Blocker log'!$G:$G,"Hard blocker"))</f>
        <v>0</v>
      </c>
      <c r="Q584" s="20" t="str">
        <f>IF($B584="","",IF($K584&lt;&gt;"Complete","Assessment pending",IF($N584=0,"Ready now",VLOOKUP($P584,Lists!$D$2:$E$5,2,FALSE))))</f>
        <v>Assessment pending</v>
      </c>
    </row>
    <row r="585" ht="15.75" customHeight="1">
      <c r="A585" s="35" t="s">
        <v>1787</v>
      </c>
      <c r="B585" s="35" t="s">
        <v>1788</v>
      </c>
      <c r="C585" s="35" t="s">
        <v>1286</v>
      </c>
      <c r="D585" s="35" t="s">
        <v>171</v>
      </c>
      <c r="E585" s="35" t="s">
        <v>542</v>
      </c>
      <c r="F585" s="35" t="s">
        <v>543</v>
      </c>
      <c r="G585" s="35" t="s">
        <v>1161</v>
      </c>
      <c r="H585" s="76">
        <v>69984.0</v>
      </c>
      <c r="I585" s="35"/>
      <c r="M585" s="20">
        <f>IF($B585="","",COUNTIFS('Blocker log'!$A:$A,$B585,'Blocker log'!$G:$G,"&lt;&gt;"))</f>
        <v>0</v>
      </c>
      <c r="N585" s="20">
        <f>IF($B585="","",COUNTIFS('Blocker log'!$A:$A,$B585,'Blocker log'!$G:$G,"Hard blocker"))</f>
        <v>0</v>
      </c>
      <c r="O585" s="20">
        <f>IF($B585="","",COUNTIFS('Blocker log'!$A:$A,$B585,'Blocker log'!$G:$G,"Hard blocker",'Blocker log'!$L:$L,9))</f>
        <v>0</v>
      </c>
      <c r="P585" s="20">
        <f>IF($B585="","",MAXIFS('Blocker log'!$L:$L,'Blocker log'!$A:$A,$B585,'Blocker log'!$G:$G,"Hard blocker"))</f>
        <v>0</v>
      </c>
      <c r="Q585" s="20" t="str">
        <f>IF($B585="","",IF($K585&lt;&gt;"Complete","Assessment pending",IF($N585=0,"Ready now",VLOOKUP($P585,Lists!$D$2:$E$5,2,FALSE))))</f>
        <v>Assessment pending</v>
      </c>
    </row>
    <row r="586" ht="15.75" customHeight="1">
      <c r="A586" s="35" t="s">
        <v>1789</v>
      </c>
      <c r="B586" s="35" t="s">
        <v>1790</v>
      </c>
      <c r="C586" s="35" t="s">
        <v>1286</v>
      </c>
      <c r="D586" s="35" t="s">
        <v>58</v>
      </c>
      <c r="E586" s="35" t="s">
        <v>140</v>
      </c>
      <c r="F586" s="35" t="s">
        <v>246</v>
      </c>
      <c r="G586" s="35" t="s">
        <v>1042</v>
      </c>
      <c r="H586" s="76">
        <v>69700.0</v>
      </c>
      <c r="I586" s="35" t="s">
        <v>408</v>
      </c>
      <c r="M586" s="20">
        <f>IF($B586="","",COUNTIFS('Blocker log'!$A:$A,$B586,'Blocker log'!$G:$G,"&lt;&gt;"))</f>
        <v>0</v>
      </c>
      <c r="N586" s="20">
        <f>IF($B586="","",COUNTIFS('Blocker log'!$A:$A,$B586,'Blocker log'!$G:$G,"Hard blocker"))</f>
        <v>0</v>
      </c>
      <c r="O586" s="20">
        <f>IF($B586="","",COUNTIFS('Blocker log'!$A:$A,$B586,'Blocker log'!$G:$G,"Hard blocker",'Blocker log'!$L:$L,9))</f>
        <v>0</v>
      </c>
      <c r="P586" s="20">
        <f>IF($B586="","",MAXIFS('Blocker log'!$L:$L,'Blocker log'!$A:$A,$B586,'Blocker log'!$G:$G,"Hard blocker"))</f>
        <v>0</v>
      </c>
      <c r="Q586" s="20" t="str">
        <f>IF($B586="","",IF($K586&lt;&gt;"Complete","Assessment pending",IF($N586=0,"Ready now",VLOOKUP($P586,Lists!$D$2:$E$5,2,FALSE))))</f>
        <v>Assessment pending</v>
      </c>
    </row>
    <row r="587" ht="15.75" customHeight="1">
      <c r="A587" s="35" t="s">
        <v>1791</v>
      </c>
      <c r="B587" s="35" t="s">
        <v>1792</v>
      </c>
      <c r="C587" s="35" t="s">
        <v>1286</v>
      </c>
      <c r="D587" s="35" t="s">
        <v>58</v>
      </c>
      <c r="E587" s="35" t="s">
        <v>494</v>
      </c>
      <c r="F587" s="35" t="s">
        <v>690</v>
      </c>
      <c r="G587" s="35" t="s">
        <v>1161</v>
      </c>
      <c r="H587" s="76">
        <v>69653.0</v>
      </c>
      <c r="I587" s="35" t="s">
        <v>442</v>
      </c>
      <c r="M587" s="20">
        <f>IF($B587="","",COUNTIFS('Blocker log'!$A:$A,$B587,'Blocker log'!$G:$G,"&lt;&gt;"))</f>
        <v>0</v>
      </c>
      <c r="N587" s="20">
        <f>IF($B587="","",COUNTIFS('Blocker log'!$A:$A,$B587,'Blocker log'!$G:$G,"Hard blocker"))</f>
        <v>0</v>
      </c>
      <c r="O587" s="20">
        <f>IF($B587="","",COUNTIFS('Blocker log'!$A:$A,$B587,'Blocker log'!$G:$G,"Hard blocker",'Blocker log'!$L:$L,9))</f>
        <v>0</v>
      </c>
      <c r="P587" s="20">
        <f>IF($B587="","",MAXIFS('Blocker log'!$L:$L,'Blocker log'!$A:$A,$B587,'Blocker log'!$G:$G,"Hard blocker"))</f>
        <v>0</v>
      </c>
      <c r="Q587" s="20" t="str">
        <f>IF($B587="","",IF($K587&lt;&gt;"Complete","Assessment pending",IF($N587=0,"Ready now",VLOOKUP($P587,Lists!$D$2:$E$5,2,FALSE))))</f>
        <v>Assessment pending</v>
      </c>
    </row>
    <row r="588" ht="15.75" customHeight="1">
      <c r="A588" s="35" t="s">
        <v>1793</v>
      </c>
      <c r="B588" s="35" t="s">
        <v>1794</v>
      </c>
      <c r="C588" s="35" t="s">
        <v>1286</v>
      </c>
      <c r="D588" s="35" t="s">
        <v>260</v>
      </c>
      <c r="E588" s="35" t="s">
        <v>506</v>
      </c>
      <c r="F588" s="35" t="s">
        <v>798</v>
      </c>
      <c r="G588" s="35" t="s">
        <v>1161</v>
      </c>
      <c r="H588" s="76">
        <v>69354.0</v>
      </c>
      <c r="I588" s="35" t="s">
        <v>440</v>
      </c>
      <c r="M588" s="20">
        <f>IF($B588="","",COUNTIFS('Blocker log'!$A:$A,$B588,'Blocker log'!$G:$G,"&lt;&gt;"))</f>
        <v>0</v>
      </c>
      <c r="N588" s="20">
        <f>IF($B588="","",COUNTIFS('Blocker log'!$A:$A,$B588,'Blocker log'!$G:$G,"Hard blocker"))</f>
        <v>0</v>
      </c>
      <c r="O588" s="20">
        <f>IF($B588="","",COUNTIFS('Blocker log'!$A:$A,$B588,'Blocker log'!$G:$G,"Hard blocker",'Blocker log'!$L:$L,9))</f>
        <v>0</v>
      </c>
      <c r="P588" s="20">
        <f>IF($B588="","",MAXIFS('Blocker log'!$L:$L,'Blocker log'!$A:$A,$B588,'Blocker log'!$G:$G,"Hard blocker"))</f>
        <v>0</v>
      </c>
      <c r="Q588" s="20" t="str">
        <f>IF($B588="","",IF($K588&lt;&gt;"Complete","Assessment pending",IF($N588=0,"Ready now",VLOOKUP($P588,Lists!$D$2:$E$5,2,FALSE))))</f>
        <v>Assessment pending</v>
      </c>
    </row>
    <row r="589" ht="15.75" customHeight="1">
      <c r="A589" s="35" t="s">
        <v>1795</v>
      </c>
      <c r="B589" s="35" t="s">
        <v>1796</v>
      </c>
      <c r="C589" s="35" t="s">
        <v>1286</v>
      </c>
      <c r="D589" s="35" t="s">
        <v>260</v>
      </c>
      <c r="E589" s="35" t="s">
        <v>576</v>
      </c>
      <c r="F589" s="35" t="s">
        <v>577</v>
      </c>
      <c r="G589" s="35" t="s">
        <v>1161</v>
      </c>
      <c r="H589" s="76">
        <v>69120.0</v>
      </c>
      <c r="I589" s="35" t="s">
        <v>403</v>
      </c>
      <c r="M589" s="20">
        <f>IF($B589="","",COUNTIFS('Blocker log'!$A:$A,$B589,'Blocker log'!$G:$G,"&lt;&gt;"))</f>
        <v>0</v>
      </c>
      <c r="N589" s="20">
        <f>IF($B589="","",COUNTIFS('Blocker log'!$A:$A,$B589,'Blocker log'!$G:$G,"Hard blocker"))</f>
        <v>0</v>
      </c>
      <c r="O589" s="20">
        <f>IF($B589="","",COUNTIFS('Blocker log'!$A:$A,$B589,'Blocker log'!$G:$G,"Hard blocker",'Blocker log'!$L:$L,9))</f>
        <v>0</v>
      </c>
      <c r="P589" s="20">
        <f>IF($B589="","",MAXIFS('Blocker log'!$L:$L,'Blocker log'!$A:$A,$B589,'Blocker log'!$G:$G,"Hard blocker"))</f>
        <v>0</v>
      </c>
      <c r="Q589" s="20" t="str">
        <f>IF($B589="","",IF($K589&lt;&gt;"Complete","Assessment pending",IF($N589=0,"Ready now",VLOOKUP($P589,Lists!$D$2:$E$5,2,FALSE))))</f>
        <v>Assessment pending</v>
      </c>
    </row>
    <row r="590" ht="15.75" customHeight="1">
      <c r="A590" s="35" t="s">
        <v>1797</v>
      </c>
      <c r="B590" s="35" t="s">
        <v>1798</v>
      </c>
      <c r="C590" s="35" t="s">
        <v>1286</v>
      </c>
      <c r="D590" s="35" t="s">
        <v>58</v>
      </c>
      <c r="E590" s="35" t="s">
        <v>59</v>
      </c>
      <c r="F590" s="35" t="s">
        <v>598</v>
      </c>
      <c r="G590" s="35" t="s">
        <v>1042</v>
      </c>
      <c r="H590" s="76">
        <v>69091.0</v>
      </c>
      <c r="I590" s="35" t="s">
        <v>436</v>
      </c>
      <c r="M590" s="20">
        <f>IF($B590="","",COUNTIFS('Blocker log'!$A:$A,$B590,'Blocker log'!$G:$G,"&lt;&gt;"))</f>
        <v>0</v>
      </c>
      <c r="N590" s="20">
        <f>IF($B590="","",COUNTIFS('Blocker log'!$A:$A,$B590,'Blocker log'!$G:$G,"Hard blocker"))</f>
        <v>0</v>
      </c>
      <c r="O590" s="20">
        <f>IF($B590="","",COUNTIFS('Blocker log'!$A:$A,$B590,'Blocker log'!$G:$G,"Hard blocker",'Blocker log'!$L:$L,9))</f>
        <v>0</v>
      </c>
      <c r="P590" s="20">
        <f>IF($B590="","",MAXIFS('Blocker log'!$L:$L,'Blocker log'!$A:$A,$B590,'Blocker log'!$G:$G,"Hard blocker"))</f>
        <v>0</v>
      </c>
      <c r="Q590" s="20" t="str">
        <f>IF($B590="","",IF($K590&lt;&gt;"Complete","Assessment pending",IF($N590=0,"Ready now",VLOOKUP($P590,Lists!$D$2:$E$5,2,FALSE))))</f>
        <v>Assessment pending</v>
      </c>
    </row>
    <row r="591" ht="15.75" customHeight="1">
      <c r="A591" s="35" t="s">
        <v>1799</v>
      </c>
      <c r="B591" s="35" t="s">
        <v>1800</v>
      </c>
      <c r="C591" s="35" t="s">
        <v>1286</v>
      </c>
      <c r="D591" s="35" t="s">
        <v>58</v>
      </c>
      <c r="E591" s="35" t="s">
        <v>101</v>
      </c>
      <c r="F591" s="35" t="s">
        <v>554</v>
      </c>
      <c r="G591" s="35" t="s">
        <v>1161</v>
      </c>
      <c r="H591" s="76">
        <v>69011.0</v>
      </c>
      <c r="I591" s="35" t="s">
        <v>408</v>
      </c>
      <c r="M591" s="20">
        <f>IF($B591="","",COUNTIFS('Blocker log'!$A:$A,$B591,'Blocker log'!$G:$G,"&lt;&gt;"))</f>
        <v>0</v>
      </c>
      <c r="N591" s="20">
        <f>IF($B591="","",COUNTIFS('Blocker log'!$A:$A,$B591,'Blocker log'!$G:$G,"Hard blocker"))</f>
        <v>0</v>
      </c>
      <c r="O591" s="20">
        <f>IF($B591="","",COUNTIFS('Blocker log'!$A:$A,$B591,'Blocker log'!$G:$G,"Hard blocker",'Blocker log'!$L:$L,9))</f>
        <v>0</v>
      </c>
      <c r="P591" s="20">
        <f>IF($B591="","",MAXIFS('Blocker log'!$L:$L,'Blocker log'!$A:$A,$B591,'Blocker log'!$G:$G,"Hard blocker"))</f>
        <v>0</v>
      </c>
      <c r="Q591" s="20" t="str">
        <f>IF($B591="","",IF($K591&lt;&gt;"Complete","Assessment pending",IF($N591=0,"Ready now",VLOOKUP($P591,Lists!$D$2:$E$5,2,FALSE))))</f>
        <v>Assessment pending</v>
      </c>
    </row>
    <row r="592" ht="15.75" customHeight="1">
      <c r="A592" s="35" t="s">
        <v>1801</v>
      </c>
      <c r="B592" s="35" t="s">
        <v>1802</v>
      </c>
      <c r="C592" s="35" t="s">
        <v>1286</v>
      </c>
      <c r="D592" s="35" t="s">
        <v>301</v>
      </c>
      <c r="E592" s="35" t="s">
        <v>593</v>
      </c>
      <c r="F592" s="35" t="s">
        <v>593</v>
      </c>
      <c r="G592" s="35" t="s">
        <v>1161</v>
      </c>
      <c r="H592" s="76">
        <v>68890.0</v>
      </c>
      <c r="I592" s="35"/>
      <c r="M592" s="20">
        <f>IF($B592="","",COUNTIFS('Blocker log'!$A:$A,$B592,'Blocker log'!$G:$G,"&lt;&gt;"))</f>
        <v>0</v>
      </c>
      <c r="N592" s="20">
        <f>IF($B592="","",COUNTIFS('Blocker log'!$A:$A,$B592,'Blocker log'!$G:$G,"Hard blocker"))</f>
        <v>0</v>
      </c>
      <c r="O592" s="20">
        <f>IF($B592="","",COUNTIFS('Blocker log'!$A:$A,$B592,'Blocker log'!$G:$G,"Hard blocker",'Blocker log'!$L:$L,9))</f>
        <v>0</v>
      </c>
      <c r="P592" s="20">
        <f>IF($B592="","",MAXIFS('Blocker log'!$L:$L,'Blocker log'!$A:$A,$B592,'Blocker log'!$G:$G,"Hard blocker"))</f>
        <v>0</v>
      </c>
      <c r="Q592" s="20" t="str">
        <f>IF($B592="","",IF($K592&lt;&gt;"Complete","Assessment pending",IF($N592=0,"Ready now",VLOOKUP($P592,Lists!$D$2:$E$5,2,FALSE))))</f>
        <v>Assessment pending</v>
      </c>
    </row>
    <row r="593" ht="15.75" customHeight="1">
      <c r="A593" s="35" t="s">
        <v>1803</v>
      </c>
      <c r="B593" s="35" t="s">
        <v>1804</v>
      </c>
      <c r="C593" s="35" t="s">
        <v>1286</v>
      </c>
      <c r="D593" s="35" t="s">
        <v>171</v>
      </c>
      <c r="E593" s="35" t="s">
        <v>542</v>
      </c>
      <c r="F593" s="35" t="s">
        <v>543</v>
      </c>
      <c r="G593" s="35" t="s">
        <v>1161</v>
      </c>
      <c r="H593" s="76">
        <v>68598.0</v>
      </c>
      <c r="I593" s="35"/>
      <c r="M593" s="20">
        <f>IF($B593="","",COUNTIFS('Blocker log'!$A:$A,$B593,'Blocker log'!$G:$G,"&lt;&gt;"))</f>
        <v>0</v>
      </c>
      <c r="N593" s="20">
        <f>IF($B593="","",COUNTIFS('Blocker log'!$A:$A,$B593,'Blocker log'!$G:$G,"Hard blocker"))</f>
        <v>0</v>
      </c>
      <c r="O593" s="20">
        <f>IF($B593="","",COUNTIFS('Blocker log'!$A:$A,$B593,'Blocker log'!$G:$G,"Hard blocker",'Blocker log'!$L:$L,9))</f>
        <v>0</v>
      </c>
      <c r="P593" s="20">
        <f>IF($B593="","",MAXIFS('Blocker log'!$L:$L,'Blocker log'!$A:$A,$B593,'Blocker log'!$G:$G,"Hard blocker"))</f>
        <v>0</v>
      </c>
      <c r="Q593" s="20" t="str">
        <f>IF($B593="","",IF($K593&lt;&gt;"Complete","Assessment pending",IF($N593=0,"Ready now",VLOOKUP($P593,Lists!$D$2:$E$5,2,FALSE))))</f>
        <v>Assessment pending</v>
      </c>
    </row>
    <row r="594" ht="15.75" customHeight="1">
      <c r="A594" s="35" t="s">
        <v>1805</v>
      </c>
      <c r="B594" s="35" t="s">
        <v>1806</v>
      </c>
      <c r="C594" s="35" t="s">
        <v>1286</v>
      </c>
      <c r="D594" s="35" t="s">
        <v>301</v>
      </c>
      <c r="E594" s="35" t="s">
        <v>484</v>
      </c>
      <c r="F594" s="35" t="s">
        <v>484</v>
      </c>
      <c r="G594" s="35" t="s">
        <v>1161</v>
      </c>
      <c r="H594" s="76">
        <v>67810.0</v>
      </c>
      <c r="I594" s="35"/>
      <c r="M594" s="20">
        <f>IF($B594="","",COUNTIFS('Blocker log'!$A:$A,$B594,'Blocker log'!$G:$G,"&lt;&gt;"))</f>
        <v>0</v>
      </c>
      <c r="N594" s="20">
        <f>IF($B594="","",COUNTIFS('Blocker log'!$A:$A,$B594,'Blocker log'!$G:$G,"Hard blocker"))</f>
        <v>0</v>
      </c>
      <c r="O594" s="20">
        <f>IF($B594="","",COUNTIFS('Blocker log'!$A:$A,$B594,'Blocker log'!$G:$G,"Hard blocker",'Blocker log'!$L:$L,9))</f>
        <v>0</v>
      </c>
      <c r="P594" s="20">
        <f>IF($B594="","",MAXIFS('Blocker log'!$L:$L,'Blocker log'!$A:$A,$B594,'Blocker log'!$G:$G,"Hard blocker"))</f>
        <v>0</v>
      </c>
      <c r="Q594" s="20" t="str">
        <f>IF($B594="","",IF($K594&lt;&gt;"Complete","Assessment pending",IF($N594=0,"Ready now",VLOOKUP($P594,Lists!$D$2:$E$5,2,FALSE))))</f>
        <v>Assessment pending</v>
      </c>
    </row>
    <row r="595" ht="15.75" customHeight="1">
      <c r="A595" s="35" t="s">
        <v>1807</v>
      </c>
      <c r="B595" s="35" t="s">
        <v>1808</v>
      </c>
      <c r="C595" s="35" t="s">
        <v>1286</v>
      </c>
      <c r="D595" s="35" t="s">
        <v>58</v>
      </c>
      <c r="E595" s="35" t="s">
        <v>59</v>
      </c>
      <c r="F595" s="35" t="s">
        <v>598</v>
      </c>
      <c r="G595" s="35" t="s">
        <v>1161</v>
      </c>
      <c r="H595" s="76">
        <v>67660.0</v>
      </c>
      <c r="I595" s="35"/>
      <c r="M595" s="20">
        <f>IF($B595="","",COUNTIFS('Blocker log'!$A:$A,$B595,'Blocker log'!$G:$G,"&lt;&gt;"))</f>
        <v>0</v>
      </c>
      <c r="N595" s="20">
        <f>IF($B595="","",COUNTIFS('Blocker log'!$A:$A,$B595,'Blocker log'!$G:$G,"Hard blocker"))</f>
        <v>0</v>
      </c>
      <c r="O595" s="20">
        <f>IF($B595="","",COUNTIFS('Blocker log'!$A:$A,$B595,'Blocker log'!$G:$G,"Hard blocker",'Blocker log'!$L:$L,9))</f>
        <v>0</v>
      </c>
      <c r="P595" s="20">
        <f>IF($B595="","",MAXIFS('Blocker log'!$L:$L,'Blocker log'!$A:$A,$B595,'Blocker log'!$G:$G,"Hard blocker"))</f>
        <v>0</v>
      </c>
      <c r="Q595" s="20" t="str">
        <f>IF($B595="","",IF($K595&lt;&gt;"Complete","Assessment pending",IF($N595=0,"Ready now",VLOOKUP($P595,Lists!$D$2:$E$5,2,FALSE))))</f>
        <v>Assessment pending</v>
      </c>
    </row>
    <row r="596" ht="15.75" customHeight="1">
      <c r="A596" s="35" t="s">
        <v>1809</v>
      </c>
      <c r="B596" s="35" t="s">
        <v>1810</v>
      </c>
      <c r="C596" s="35" t="s">
        <v>76</v>
      </c>
      <c r="D596" s="35" t="s">
        <v>301</v>
      </c>
      <c r="E596" s="35" t="s">
        <v>490</v>
      </c>
      <c r="F596" s="35" t="s">
        <v>490</v>
      </c>
      <c r="G596" s="35" t="s">
        <v>980</v>
      </c>
      <c r="H596" s="76">
        <v>67317.0</v>
      </c>
      <c r="I596" s="35"/>
      <c r="M596" s="20">
        <f>IF($B596="","",COUNTIFS('Blocker log'!$A:$A,$B596,'Blocker log'!$G:$G,"&lt;&gt;"))</f>
        <v>0</v>
      </c>
      <c r="N596" s="20">
        <f>IF($B596="","",COUNTIFS('Blocker log'!$A:$A,$B596,'Blocker log'!$G:$G,"Hard blocker"))</f>
        <v>0</v>
      </c>
      <c r="O596" s="20">
        <f>IF($B596="","",COUNTIFS('Blocker log'!$A:$A,$B596,'Blocker log'!$G:$G,"Hard blocker",'Blocker log'!$L:$L,9))</f>
        <v>0</v>
      </c>
      <c r="P596" s="20">
        <f>IF($B596="","",MAXIFS('Blocker log'!$L:$L,'Blocker log'!$A:$A,$B596,'Blocker log'!$G:$G,"Hard blocker"))</f>
        <v>0</v>
      </c>
      <c r="Q596" s="20" t="str">
        <f>IF($B596="","",IF($K596&lt;&gt;"Complete","Assessment pending",IF($N596=0,"Ready now",VLOOKUP($P596,Lists!$D$2:$E$5,2,FALSE))))</f>
        <v>Assessment pending</v>
      </c>
    </row>
    <row r="597" ht="15.75" customHeight="1">
      <c r="A597" s="35" t="s">
        <v>1811</v>
      </c>
      <c r="B597" s="35" t="s">
        <v>1812</v>
      </c>
      <c r="C597" s="35" t="s">
        <v>76</v>
      </c>
      <c r="D597" s="35" t="s">
        <v>58</v>
      </c>
      <c r="E597" s="35" t="s">
        <v>59</v>
      </c>
      <c r="F597" s="35" t="s">
        <v>77</v>
      </c>
      <c r="G597" s="35" t="s">
        <v>1042</v>
      </c>
      <c r="H597" s="76">
        <v>67200.0</v>
      </c>
      <c r="I597" s="35"/>
      <c r="M597" s="20">
        <f>IF($B597="","",COUNTIFS('Blocker log'!$A:$A,$B597,'Blocker log'!$G:$G,"&lt;&gt;"))</f>
        <v>0</v>
      </c>
      <c r="N597" s="20">
        <f>IF($B597="","",COUNTIFS('Blocker log'!$A:$A,$B597,'Blocker log'!$G:$G,"Hard blocker"))</f>
        <v>0</v>
      </c>
      <c r="O597" s="20">
        <f>IF($B597="","",COUNTIFS('Blocker log'!$A:$A,$B597,'Blocker log'!$G:$G,"Hard blocker",'Blocker log'!$L:$L,9))</f>
        <v>0</v>
      </c>
      <c r="P597" s="20">
        <f>IF($B597="","",MAXIFS('Blocker log'!$L:$L,'Blocker log'!$A:$A,$B597,'Blocker log'!$G:$G,"Hard blocker"))</f>
        <v>0</v>
      </c>
      <c r="Q597" s="20" t="str">
        <f>IF($B597="","",IF($K597&lt;&gt;"Complete","Assessment pending",IF($N597=0,"Ready now",VLOOKUP($P597,Lists!$D$2:$E$5,2,FALSE))))</f>
        <v>Assessment pending</v>
      </c>
    </row>
    <row r="598" ht="15.75" customHeight="1">
      <c r="A598" s="35" t="s">
        <v>1813</v>
      </c>
      <c r="B598" s="35" t="s">
        <v>1814</v>
      </c>
      <c r="C598" s="35" t="s">
        <v>1286</v>
      </c>
      <c r="D598" s="35" t="s">
        <v>58</v>
      </c>
      <c r="E598" s="35" t="s">
        <v>59</v>
      </c>
      <c r="F598" s="35" t="s">
        <v>225</v>
      </c>
      <c r="G598" s="35" t="s">
        <v>1161</v>
      </c>
      <c r="H598" s="76">
        <v>67029.0</v>
      </c>
      <c r="I598" s="35" t="s">
        <v>411</v>
      </c>
      <c r="M598" s="20">
        <f>IF($B598="","",COUNTIFS('Blocker log'!$A:$A,$B598,'Blocker log'!$G:$G,"&lt;&gt;"))</f>
        <v>0</v>
      </c>
      <c r="N598" s="20">
        <f>IF($B598="","",COUNTIFS('Blocker log'!$A:$A,$B598,'Blocker log'!$G:$G,"Hard blocker"))</f>
        <v>0</v>
      </c>
      <c r="O598" s="20">
        <f>IF($B598="","",COUNTIFS('Blocker log'!$A:$A,$B598,'Blocker log'!$G:$G,"Hard blocker",'Blocker log'!$L:$L,9))</f>
        <v>0</v>
      </c>
      <c r="P598" s="20">
        <f>IF($B598="","",MAXIFS('Blocker log'!$L:$L,'Blocker log'!$A:$A,$B598,'Blocker log'!$G:$G,"Hard blocker"))</f>
        <v>0</v>
      </c>
      <c r="Q598" s="20" t="str">
        <f>IF($B598="","",IF($K598&lt;&gt;"Complete","Assessment pending",IF($N598=0,"Ready now",VLOOKUP($P598,Lists!$D$2:$E$5,2,FALSE))))</f>
        <v>Assessment pending</v>
      </c>
    </row>
    <row r="599" ht="15.75" customHeight="1">
      <c r="A599" s="35" t="s">
        <v>1815</v>
      </c>
      <c r="B599" s="35" t="s">
        <v>1816</v>
      </c>
      <c r="C599" s="35" t="s">
        <v>76</v>
      </c>
      <c r="D599" s="35" t="s">
        <v>260</v>
      </c>
      <c r="E599" s="35" t="s">
        <v>506</v>
      </c>
      <c r="F599" s="35" t="s">
        <v>798</v>
      </c>
      <c r="G599" s="35" t="s">
        <v>980</v>
      </c>
      <c r="H599" s="76">
        <v>66843.0</v>
      </c>
      <c r="I599" s="35"/>
      <c r="M599" s="20">
        <f>IF($B599="","",COUNTIFS('Blocker log'!$A:$A,$B599,'Blocker log'!$G:$G,"&lt;&gt;"))</f>
        <v>0</v>
      </c>
      <c r="N599" s="20">
        <f>IF($B599="","",COUNTIFS('Blocker log'!$A:$A,$B599,'Blocker log'!$G:$G,"Hard blocker"))</f>
        <v>0</v>
      </c>
      <c r="O599" s="20">
        <f>IF($B599="","",COUNTIFS('Blocker log'!$A:$A,$B599,'Blocker log'!$G:$G,"Hard blocker",'Blocker log'!$L:$L,9))</f>
        <v>0</v>
      </c>
      <c r="P599" s="20">
        <f>IF($B599="","",MAXIFS('Blocker log'!$L:$L,'Blocker log'!$A:$A,$B599,'Blocker log'!$G:$G,"Hard blocker"))</f>
        <v>0</v>
      </c>
      <c r="Q599" s="20" t="str">
        <f>IF($B599="","",IF($K599&lt;&gt;"Complete","Assessment pending",IF($N599=0,"Ready now",VLOOKUP($P599,Lists!$D$2:$E$5,2,FALSE))))</f>
        <v>Assessment pending</v>
      </c>
    </row>
    <row r="600" ht="15.75" customHeight="1">
      <c r="A600" s="35" t="s">
        <v>1817</v>
      </c>
      <c r="B600" s="35" t="s">
        <v>1818</v>
      </c>
      <c r="C600" s="35" t="s">
        <v>76</v>
      </c>
      <c r="D600" s="35" t="s">
        <v>58</v>
      </c>
      <c r="E600" s="35" t="s">
        <v>140</v>
      </c>
      <c r="F600" s="35" t="s">
        <v>156</v>
      </c>
      <c r="G600" s="35" t="s">
        <v>1042</v>
      </c>
      <c r="H600" s="76">
        <v>66624.0</v>
      </c>
      <c r="I600" s="35"/>
      <c r="M600" s="20">
        <f>IF($B600="","",COUNTIFS('Blocker log'!$A:$A,$B600,'Blocker log'!$G:$G,"&lt;&gt;"))</f>
        <v>0</v>
      </c>
      <c r="N600" s="20">
        <f>IF($B600="","",COUNTIFS('Blocker log'!$A:$A,$B600,'Blocker log'!$G:$G,"Hard blocker"))</f>
        <v>0</v>
      </c>
      <c r="O600" s="20">
        <f>IF($B600="","",COUNTIFS('Blocker log'!$A:$A,$B600,'Blocker log'!$G:$G,"Hard blocker",'Blocker log'!$L:$L,9))</f>
        <v>0</v>
      </c>
      <c r="P600" s="20">
        <f>IF($B600="","",MAXIFS('Blocker log'!$L:$L,'Blocker log'!$A:$A,$B600,'Blocker log'!$G:$G,"Hard blocker"))</f>
        <v>0</v>
      </c>
      <c r="Q600" s="20" t="str">
        <f>IF($B600="","",IF($K600&lt;&gt;"Complete","Assessment pending",IF($N600=0,"Ready now",VLOOKUP($P600,Lists!$D$2:$E$5,2,FALSE))))</f>
        <v>Assessment pending</v>
      </c>
    </row>
    <row r="601" ht="15.75" customHeight="1">
      <c r="A601" s="35" t="s">
        <v>1819</v>
      </c>
      <c r="B601" s="35" t="s">
        <v>1820</v>
      </c>
      <c r="C601" s="35" t="s">
        <v>76</v>
      </c>
      <c r="D601" s="35" t="s">
        <v>58</v>
      </c>
      <c r="E601" s="35" t="s">
        <v>101</v>
      </c>
      <c r="F601" s="35" t="s">
        <v>554</v>
      </c>
      <c r="G601" s="35" t="s">
        <v>1006</v>
      </c>
      <c r="H601" s="76">
        <v>66222.0</v>
      </c>
      <c r="I601" s="35"/>
      <c r="M601" s="20">
        <f>IF($B601="","",COUNTIFS('Blocker log'!$A:$A,$B601,'Blocker log'!$G:$G,"&lt;&gt;"))</f>
        <v>0</v>
      </c>
      <c r="N601" s="20">
        <f>IF($B601="","",COUNTIFS('Blocker log'!$A:$A,$B601,'Blocker log'!$G:$G,"Hard blocker"))</f>
        <v>0</v>
      </c>
      <c r="O601" s="20">
        <f>IF($B601="","",COUNTIFS('Blocker log'!$A:$A,$B601,'Blocker log'!$G:$G,"Hard blocker",'Blocker log'!$L:$L,9))</f>
        <v>0</v>
      </c>
      <c r="P601" s="20">
        <f>IF($B601="","",MAXIFS('Blocker log'!$L:$L,'Blocker log'!$A:$A,$B601,'Blocker log'!$G:$G,"Hard blocker"))</f>
        <v>0</v>
      </c>
      <c r="Q601" s="20" t="str">
        <f>IF($B601="","",IF($K601&lt;&gt;"Complete","Assessment pending",IF($N601=0,"Ready now",VLOOKUP($P601,Lists!$D$2:$E$5,2,FALSE))))</f>
        <v>Assessment pending</v>
      </c>
    </row>
    <row r="602" ht="15.75" customHeight="1">
      <c r="A602" s="35" t="s">
        <v>1821</v>
      </c>
      <c r="B602" s="35" t="s">
        <v>1822</v>
      </c>
      <c r="C602" s="35" t="s">
        <v>1286</v>
      </c>
      <c r="D602" s="35" t="s">
        <v>171</v>
      </c>
      <c r="E602" s="35" t="s">
        <v>205</v>
      </c>
      <c r="F602" s="35" t="s">
        <v>1823</v>
      </c>
      <c r="G602" s="35" t="s">
        <v>1161</v>
      </c>
      <c r="H602" s="76">
        <v>66139.0</v>
      </c>
      <c r="I602" s="35"/>
      <c r="M602" s="20">
        <f>IF($B602="","",COUNTIFS('Blocker log'!$A:$A,$B602,'Blocker log'!$G:$G,"&lt;&gt;"))</f>
        <v>0</v>
      </c>
      <c r="N602" s="20">
        <f>IF($B602="","",COUNTIFS('Blocker log'!$A:$A,$B602,'Blocker log'!$G:$G,"Hard blocker"))</f>
        <v>0</v>
      </c>
      <c r="O602" s="20">
        <f>IF($B602="","",COUNTIFS('Blocker log'!$A:$A,$B602,'Blocker log'!$G:$G,"Hard blocker",'Blocker log'!$L:$L,9))</f>
        <v>0</v>
      </c>
      <c r="P602" s="20">
        <f>IF($B602="","",MAXIFS('Blocker log'!$L:$L,'Blocker log'!$A:$A,$B602,'Blocker log'!$G:$G,"Hard blocker"))</f>
        <v>0</v>
      </c>
      <c r="Q602" s="20" t="str">
        <f>IF($B602="","",IF($K602&lt;&gt;"Complete","Assessment pending",IF($N602=0,"Ready now",VLOOKUP($P602,Lists!$D$2:$E$5,2,FALSE))))</f>
        <v>Assessment pending</v>
      </c>
    </row>
    <row r="603" ht="15.75" customHeight="1">
      <c r="A603" s="35" t="s">
        <v>1824</v>
      </c>
      <c r="B603" s="35" t="s">
        <v>1825</v>
      </c>
      <c r="C603" s="35"/>
      <c r="D603" s="35" t="s">
        <v>171</v>
      </c>
      <c r="E603" s="35" t="s">
        <v>205</v>
      </c>
      <c r="F603" s="35" t="s">
        <v>1823</v>
      </c>
      <c r="G603" s="35" t="s">
        <v>1161</v>
      </c>
      <c r="H603" s="76">
        <v>65200.0</v>
      </c>
      <c r="I603" s="35"/>
      <c r="M603" s="20">
        <f>IF($B603="","",COUNTIFS('Blocker log'!$A:$A,$B603,'Blocker log'!$G:$G,"&lt;&gt;"))</f>
        <v>0</v>
      </c>
      <c r="N603" s="20">
        <f>IF($B603="","",COUNTIFS('Blocker log'!$A:$A,$B603,'Blocker log'!$G:$G,"Hard blocker"))</f>
        <v>0</v>
      </c>
      <c r="O603" s="20">
        <f>IF($B603="","",COUNTIFS('Blocker log'!$A:$A,$B603,'Blocker log'!$G:$G,"Hard blocker",'Blocker log'!$L:$L,9))</f>
        <v>0</v>
      </c>
      <c r="P603" s="20">
        <f>IF($B603="","",MAXIFS('Blocker log'!$L:$L,'Blocker log'!$A:$A,$B603,'Blocker log'!$G:$G,"Hard blocker"))</f>
        <v>0</v>
      </c>
      <c r="Q603" s="20" t="str">
        <f>IF($B603="","",IF($K603&lt;&gt;"Complete","Assessment pending",IF($N603=0,"Ready now",VLOOKUP($P603,Lists!$D$2:$E$5,2,FALSE))))</f>
        <v>Assessment pending</v>
      </c>
    </row>
    <row r="604" ht="15.75" customHeight="1">
      <c r="A604" s="35" t="s">
        <v>1826</v>
      </c>
      <c r="B604" s="35" t="s">
        <v>1827</v>
      </c>
      <c r="C604" s="35" t="s">
        <v>1286</v>
      </c>
      <c r="D604" s="35" t="s">
        <v>58</v>
      </c>
      <c r="E604" s="35" t="s">
        <v>101</v>
      </c>
      <c r="F604" s="35" t="s">
        <v>554</v>
      </c>
      <c r="G604" s="35" t="s">
        <v>1042</v>
      </c>
      <c r="H604" s="76">
        <v>65019.0</v>
      </c>
      <c r="I604" s="35" t="s">
        <v>443</v>
      </c>
      <c r="M604" s="20">
        <f>IF($B604="","",COUNTIFS('Blocker log'!$A:$A,$B604,'Blocker log'!$G:$G,"&lt;&gt;"))</f>
        <v>0</v>
      </c>
      <c r="N604" s="20">
        <f>IF($B604="","",COUNTIFS('Blocker log'!$A:$A,$B604,'Blocker log'!$G:$G,"Hard blocker"))</f>
        <v>0</v>
      </c>
      <c r="O604" s="20">
        <f>IF($B604="","",COUNTIFS('Blocker log'!$A:$A,$B604,'Blocker log'!$G:$G,"Hard blocker",'Blocker log'!$L:$L,9))</f>
        <v>0</v>
      </c>
      <c r="P604" s="20">
        <f>IF($B604="","",MAXIFS('Blocker log'!$L:$L,'Blocker log'!$A:$A,$B604,'Blocker log'!$G:$G,"Hard blocker"))</f>
        <v>0</v>
      </c>
      <c r="Q604" s="20" t="str">
        <f>IF($B604="","",IF($K604&lt;&gt;"Complete","Assessment pending",IF($N604=0,"Ready now",VLOOKUP($P604,Lists!$D$2:$E$5,2,FALSE))))</f>
        <v>Assessment pending</v>
      </c>
    </row>
    <row r="605" ht="15.75" customHeight="1">
      <c r="A605" s="35" t="s">
        <v>1828</v>
      </c>
      <c r="B605" s="35" t="s">
        <v>1829</v>
      </c>
      <c r="C605" s="35" t="s">
        <v>1286</v>
      </c>
      <c r="D605" s="35" t="s">
        <v>58</v>
      </c>
      <c r="E605" s="35" t="s">
        <v>101</v>
      </c>
      <c r="F605" s="35" t="s">
        <v>554</v>
      </c>
      <c r="G605" s="35" t="s">
        <v>1161</v>
      </c>
      <c r="H605" s="76">
        <v>65016.0</v>
      </c>
      <c r="I605" s="35" t="s">
        <v>405</v>
      </c>
      <c r="M605" s="20">
        <f>IF($B605="","",COUNTIFS('Blocker log'!$A:$A,$B605,'Blocker log'!$G:$G,"&lt;&gt;"))</f>
        <v>0</v>
      </c>
      <c r="N605" s="20">
        <f>IF($B605="","",COUNTIFS('Blocker log'!$A:$A,$B605,'Blocker log'!$G:$G,"Hard blocker"))</f>
        <v>0</v>
      </c>
      <c r="O605" s="20">
        <f>IF($B605="","",COUNTIFS('Blocker log'!$A:$A,$B605,'Blocker log'!$G:$G,"Hard blocker",'Blocker log'!$L:$L,9))</f>
        <v>0</v>
      </c>
      <c r="P605" s="20">
        <f>IF($B605="","",MAXIFS('Blocker log'!$L:$L,'Blocker log'!$A:$A,$B605,'Blocker log'!$G:$G,"Hard blocker"))</f>
        <v>0</v>
      </c>
      <c r="Q605" s="20" t="str">
        <f>IF($B605="","",IF($K605&lt;&gt;"Complete","Assessment pending",IF($N605=0,"Ready now",VLOOKUP($P605,Lists!$D$2:$E$5,2,FALSE))))</f>
        <v>Assessment pending</v>
      </c>
    </row>
    <row r="606" ht="15.75" customHeight="1">
      <c r="A606" s="35" t="s">
        <v>1830</v>
      </c>
      <c r="B606" s="35" t="s">
        <v>1831</v>
      </c>
      <c r="C606" s="35" t="s">
        <v>1286</v>
      </c>
      <c r="D606" s="35" t="s">
        <v>171</v>
      </c>
      <c r="E606" s="35" t="s">
        <v>1465</v>
      </c>
      <c r="F606" s="35" t="s">
        <v>1832</v>
      </c>
      <c r="G606" s="35" t="s">
        <v>1161</v>
      </c>
      <c r="H606" s="76">
        <v>65005.0</v>
      </c>
      <c r="I606" s="35"/>
      <c r="M606" s="20">
        <f>IF($B606="","",COUNTIFS('Blocker log'!$A:$A,$B606,'Blocker log'!$G:$G,"&lt;&gt;"))</f>
        <v>0</v>
      </c>
      <c r="N606" s="20">
        <f>IF($B606="","",COUNTIFS('Blocker log'!$A:$A,$B606,'Blocker log'!$G:$G,"Hard blocker"))</f>
        <v>0</v>
      </c>
      <c r="O606" s="20">
        <f>IF($B606="","",COUNTIFS('Blocker log'!$A:$A,$B606,'Blocker log'!$G:$G,"Hard blocker",'Blocker log'!$L:$L,9))</f>
        <v>0</v>
      </c>
      <c r="P606" s="20">
        <f>IF($B606="","",MAXIFS('Blocker log'!$L:$L,'Blocker log'!$A:$A,$B606,'Blocker log'!$G:$G,"Hard blocker"))</f>
        <v>0</v>
      </c>
      <c r="Q606" s="20" t="str">
        <f>IF($B606="","",IF($K606&lt;&gt;"Complete","Assessment pending",IF($N606=0,"Ready now",VLOOKUP($P606,Lists!$D$2:$E$5,2,FALSE))))</f>
        <v>Assessment pending</v>
      </c>
    </row>
    <row r="607" ht="15.75" customHeight="1">
      <c r="A607" s="35" t="s">
        <v>1833</v>
      </c>
      <c r="B607" s="35" t="s">
        <v>1834</v>
      </c>
      <c r="C607" s="35" t="s">
        <v>1286</v>
      </c>
      <c r="D607" s="35" t="s">
        <v>171</v>
      </c>
      <c r="E607" s="35" t="s">
        <v>172</v>
      </c>
      <c r="F607" s="35" t="s">
        <v>173</v>
      </c>
      <c r="G607" s="35" t="s">
        <v>1161</v>
      </c>
      <c r="H607" s="76">
        <v>64814.0</v>
      </c>
      <c r="I607" s="35" t="s">
        <v>444</v>
      </c>
      <c r="M607" s="20">
        <f>IF($B607="","",COUNTIFS('Blocker log'!$A:$A,$B607,'Blocker log'!$G:$G,"&lt;&gt;"))</f>
        <v>0</v>
      </c>
      <c r="N607" s="20">
        <f>IF($B607="","",COUNTIFS('Blocker log'!$A:$A,$B607,'Blocker log'!$G:$G,"Hard blocker"))</f>
        <v>0</v>
      </c>
      <c r="O607" s="20">
        <f>IF($B607="","",COUNTIFS('Blocker log'!$A:$A,$B607,'Blocker log'!$G:$G,"Hard blocker",'Blocker log'!$L:$L,9))</f>
        <v>0</v>
      </c>
      <c r="P607" s="20">
        <f>IF($B607="","",MAXIFS('Blocker log'!$L:$L,'Blocker log'!$A:$A,$B607,'Blocker log'!$G:$G,"Hard blocker"))</f>
        <v>0</v>
      </c>
      <c r="Q607" s="20" t="str">
        <f>IF($B607="","",IF($K607&lt;&gt;"Complete","Assessment pending",IF($N607=0,"Ready now",VLOOKUP($P607,Lists!$D$2:$E$5,2,FALSE))))</f>
        <v>Assessment pending</v>
      </c>
    </row>
    <row r="608" ht="15.75" customHeight="1">
      <c r="A608" s="35" t="s">
        <v>1835</v>
      </c>
      <c r="B608" s="35" t="s">
        <v>1836</v>
      </c>
      <c r="C608" s="35" t="s">
        <v>1286</v>
      </c>
      <c r="D608" s="35" t="s">
        <v>58</v>
      </c>
      <c r="E608" s="35" t="s">
        <v>140</v>
      </c>
      <c r="F608" s="35" t="s">
        <v>246</v>
      </c>
      <c r="G608" s="35" t="s">
        <v>1161</v>
      </c>
      <c r="H608" s="76">
        <v>64800.0</v>
      </c>
      <c r="I608" s="35"/>
      <c r="M608" s="20">
        <f>IF($B608="","",COUNTIFS('Blocker log'!$A:$A,$B608,'Blocker log'!$G:$G,"&lt;&gt;"))</f>
        <v>0</v>
      </c>
      <c r="N608" s="20">
        <f>IF($B608="","",COUNTIFS('Blocker log'!$A:$A,$B608,'Blocker log'!$G:$G,"Hard blocker"))</f>
        <v>0</v>
      </c>
      <c r="O608" s="20">
        <f>IF($B608="","",COUNTIFS('Blocker log'!$A:$A,$B608,'Blocker log'!$G:$G,"Hard blocker",'Blocker log'!$L:$L,9))</f>
        <v>0</v>
      </c>
      <c r="P608" s="20">
        <f>IF($B608="","",MAXIFS('Blocker log'!$L:$L,'Blocker log'!$A:$A,$B608,'Blocker log'!$G:$G,"Hard blocker"))</f>
        <v>0</v>
      </c>
      <c r="Q608" s="20" t="str">
        <f>IF($B608="","",IF($K608&lt;&gt;"Complete","Assessment pending",IF($N608=0,"Ready now",VLOOKUP($P608,Lists!$D$2:$E$5,2,FALSE))))</f>
        <v>Assessment pending</v>
      </c>
    </row>
    <row r="609" ht="15.75" customHeight="1">
      <c r="A609" s="35" t="s">
        <v>1837</v>
      </c>
      <c r="B609" s="35" t="s">
        <v>1838</v>
      </c>
      <c r="C609" s="35" t="s">
        <v>1286</v>
      </c>
      <c r="D609" s="35" t="s">
        <v>260</v>
      </c>
      <c r="E609" s="35" t="s">
        <v>261</v>
      </c>
      <c r="F609" s="35" t="s">
        <v>261</v>
      </c>
      <c r="G609" s="35" t="s">
        <v>1161</v>
      </c>
      <c r="H609" s="76">
        <v>64570.0</v>
      </c>
      <c r="I609" s="35" t="s">
        <v>416</v>
      </c>
      <c r="M609" s="20">
        <f>IF($B609="","",COUNTIFS('Blocker log'!$A:$A,$B609,'Blocker log'!$G:$G,"&lt;&gt;"))</f>
        <v>0</v>
      </c>
      <c r="N609" s="20">
        <f>IF($B609="","",COUNTIFS('Blocker log'!$A:$A,$B609,'Blocker log'!$G:$G,"Hard blocker"))</f>
        <v>0</v>
      </c>
      <c r="O609" s="20">
        <f>IF($B609="","",COUNTIFS('Blocker log'!$A:$A,$B609,'Blocker log'!$G:$G,"Hard blocker",'Blocker log'!$L:$L,9))</f>
        <v>0</v>
      </c>
      <c r="P609" s="20">
        <f>IF($B609="","",MAXIFS('Blocker log'!$L:$L,'Blocker log'!$A:$A,$B609,'Blocker log'!$G:$G,"Hard blocker"))</f>
        <v>0</v>
      </c>
      <c r="Q609" s="20" t="str">
        <f>IF($B609="","",IF($K609&lt;&gt;"Complete","Assessment pending",IF($N609=0,"Ready now",VLOOKUP($P609,Lists!$D$2:$E$5,2,FALSE))))</f>
        <v>Assessment pending</v>
      </c>
    </row>
    <row r="610" ht="15.75" customHeight="1">
      <c r="A610" s="35" t="s">
        <v>1839</v>
      </c>
      <c r="B610" s="35" t="s">
        <v>1840</v>
      </c>
      <c r="C610" s="35" t="s">
        <v>76</v>
      </c>
      <c r="D610" s="35" t="s">
        <v>301</v>
      </c>
      <c r="E610" s="35" t="s">
        <v>593</v>
      </c>
      <c r="F610" s="35" t="s">
        <v>593</v>
      </c>
      <c r="G610" s="35" t="s">
        <v>1042</v>
      </c>
      <c r="H610" s="76">
        <v>63937.0</v>
      </c>
      <c r="I610" s="35"/>
      <c r="M610" s="20">
        <f>IF($B610="","",COUNTIFS('Blocker log'!$A:$A,$B610,'Blocker log'!$G:$G,"&lt;&gt;"))</f>
        <v>0</v>
      </c>
      <c r="N610" s="20">
        <f>IF($B610="","",COUNTIFS('Blocker log'!$A:$A,$B610,'Blocker log'!$G:$G,"Hard blocker"))</f>
        <v>0</v>
      </c>
      <c r="O610" s="20">
        <f>IF($B610="","",COUNTIFS('Blocker log'!$A:$A,$B610,'Blocker log'!$G:$G,"Hard blocker",'Blocker log'!$L:$L,9))</f>
        <v>0</v>
      </c>
      <c r="P610" s="20">
        <f>IF($B610="","",MAXIFS('Blocker log'!$L:$L,'Blocker log'!$A:$A,$B610,'Blocker log'!$G:$G,"Hard blocker"))</f>
        <v>0</v>
      </c>
      <c r="Q610" s="20" t="str">
        <f>IF($B610="","",IF($K610&lt;&gt;"Complete","Assessment pending",IF($N610=0,"Ready now",VLOOKUP($P610,Lists!$D$2:$E$5,2,FALSE))))</f>
        <v>Assessment pending</v>
      </c>
    </row>
    <row r="611" ht="15.75" customHeight="1">
      <c r="A611" s="35" t="s">
        <v>1841</v>
      </c>
      <c r="B611" s="35" t="s">
        <v>1842</v>
      </c>
      <c r="C611" s="35" t="s">
        <v>1286</v>
      </c>
      <c r="D611" s="35" t="s">
        <v>301</v>
      </c>
      <c r="E611" s="35" t="s">
        <v>484</v>
      </c>
      <c r="F611" s="35" t="s">
        <v>484</v>
      </c>
      <c r="G611" s="35" t="s">
        <v>1161</v>
      </c>
      <c r="H611" s="76">
        <v>63900.0</v>
      </c>
      <c r="I611" s="35"/>
      <c r="M611" s="20">
        <f>IF($B611="","",COUNTIFS('Blocker log'!$A:$A,$B611,'Blocker log'!$G:$G,"&lt;&gt;"))</f>
        <v>0</v>
      </c>
      <c r="N611" s="20">
        <f>IF($B611="","",COUNTIFS('Blocker log'!$A:$A,$B611,'Blocker log'!$G:$G,"Hard blocker"))</f>
        <v>0</v>
      </c>
      <c r="O611" s="20">
        <f>IF($B611="","",COUNTIFS('Blocker log'!$A:$A,$B611,'Blocker log'!$G:$G,"Hard blocker",'Blocker log'!$L:$L,9))</f>
        <v>0</v>
      </c>
      <c r="P611" s="20">
        <f>IF($B611="","",MAXIFS('Blocker log'!$L:$L,'Blocker log'!$A:$A,$B611,'Blocker log'!$G:$G,"Hard blocker"))</f>
        <v>0</v>
      </c>
      <c r="Q611" s="20" t="str">
        <f>IF($B611="","",IF($K611&lt;&gt;"Complete","Assessment pending",IF($N611=0,"Ready now",VLOOKUP($P611,Lists!$D$2:$E$5,2,FALSE))))</f>
        <v>Assessment pending</v>
      </c>
    </row>
    <row r="612" ht="15.75" customHeight="1">
      <c r="A612" s="35" t="s">
        <v>1843</v>
      </c>
      <c r="B612" s="35" t="s">
        <v>1844</v>
      </c>
      <c r="C612" s="35" t="s">
        <v>1286</v>
      </c>
      <c r="D612" s="35" t="s">
        <v>58</v>
      </c>
      <c r="E612" s="35" t="s">
        <v>494</v>
      </c>
      <c r="F612" s="35" t="s">
        <v>629</v>
      </c>
      <c r="G612" s="35" t="s">
        <v>1161</v>
      </c>
      <c r="H612" s="76">
        <v>63736.0</v>
      </c>
      <c r="I612" s="35" t="s">
        <v>404</v>
      </c>
      <c r="M612" s="20">
        <f>IF($B612="","",COUNTIFS('Blocker log'!$A:$A,$B612,'Blocker log'!$G:$G,"&lt;&gt;"))</f>
        <v>0</v>
      </c>
      <c r="N612" s="20">
        <f>IF($B612="","",COUNTIFS('Blocker log'!$A:$A,$B612,'Blocker log'!$G:$G,"Hard blocker"))</f>
        <v>0</v>
      </c>
      <c r="O612" s="20">
        <f>IF($B612="","",COUNTIFS('Blocker log'!$A:$A,$B612,'Blocker log'!$G:$G,"Hard blocker",'Blocker log'!$L:$L,9))</f>
        <v>0</v>
      </c>
      <c r="P612" s="20">
        <f>IF($B612="","",MAXIFS('Blocker log'!$L:$L,'Blocker log'!$A:$A,$B612,'Blocker log'!$G:$G,"Hard blocker"))</f>
        <v>0</v>
      </c>
      <c r="Q612" s="20" t="str">
        <f>IF($B612="","",IF($K612&lt;&gt;"Complete","Assessment pending",IF($N612=0,"Ready now",VLOOKUP($P612,Lists!$D$2:$E$5,2,FALSE))))</f>
        <v>Assessment pending</v>
      </c>
    </row>
    <row r="613" ht="15.75" customHeight="1">
      <c r="A613" s="35" t="s">
        <v>1845</v>
      </c>
      <c r="B613" s="35" t="s">
        <v>1846</v>
      </c>
      <c r="C613" s="35" t="s">
        <v>1286</v>
      </c>
      <c r="D613" s="35" t="s">
        <v>171</v>
      </c>
      <c r="E613" s="35" t="s">
        <v>677</v>
      </c>
      <c r="F613" s="35" t="s">
        <v>678</v>
      </c>
      <c r="G613" s="35" t="s">
        <v>1161</v>
      </c>
      <c r="H613" s="76">
        <v>63721.0</v>
      </c>
      <c r="I613" s="35"/>
      <c r="M613" s="20">
        <f>IF($B613="","",COUNTIFS('Blocker log'!$A:$A,$B613,'Blocker log'!$G:$G,"&lt;&gt;"))</f>
        <v>0</v>
      </c>
      <c r="N613" s="20">
        <f>IF($B613="","",COUNTIFS('Blocker log'!$A:$A,$B613,'Blocker log'!$G:$G,"Hard blocker"))</f>
        <v>0</v>
      </c>
      <c r="O613" s="20">
        <f>IF($B613="","",COUNTIFS('Blocker log'!$A:$A,$B613,'Blocker log'!$G:$G,"Hard blocker",'Blocker log'!$L:$L,9))</f>
        <v>0</v>
      </c>
      <c r="P613" s="20">
        <f>IF($B613="","",MAXIFS('Blocker log'!$L:$L,'Blocker log'!$A:$A,$B613,'Blocker log'!$G:$G,"Hard blocker"))</f>
        <v>0</v>
      </c>
      <c r="Q613" s="20" t="str">
        <f>IF($B613="","",IF($K613&lt;&gt;"Complete","Assessment pending",IF($N613=0,"Ready now",VLOOKUP($P613,Lists!$D$2:$E$5,2,FALSE))))</f>
        <v>Assessment pending</v>
      </c>
    </row>
    <row r="614" ht="15.75" customHeight="1">
      <c r="A614" s="35" t="s">
        <v>1847</v>
      </c>
      <c r="B614" s="35" t="s">
        <v>1848</v>
      </c>
      <c r="C614" s="35" t="s">
        <v>76</v>
      </c>
      <c r="D614" s="35" t="s">
        <v>260</v>
      </c>
      <c r="E614" s="35" t="s">
        <v>530</v>
      </c>
      <c r="F614" s="35" t="s">
        <v>1849</v>
      </c>
      <c r="G614" s="35" t="s">
        <v>980</v>
      </c>
      <c r="H614" s="76">
        <v>63616.0</v>
      </c>
      <c r="I614" s="35"/>
      <c r="M614" s="20">
        <f>IF($B614="","",COUNTIFS('Blocker log'!$A:$A,$B614,'Blocker log'!$G:$G,"&lt;&gt;"))</f>
        <v>0</v>
      </c>
      <c r="N614" s="20">
        <f>IF($B614="","",COUNTIFS('Blocker log'!$A:$A,$B614,'Blocker log'!$G:$G,"Hard blocker"))</f>
        <v>0</v>
      </c>
      <c r="O614" s="20">
        <f>IF($B614="","",COUNTIFS('Blocker log'!$A:$A,$B614,'Blocker log'!$G:$G,"Hard blocker",'Blocker log'!$L:$L,9))</f>
        <v>0</v>
      </c>
      <c r="P614" s="20">
        <f>IF($B614="","",MAXIFS('Blocker log'!$L:$L,'Blocker log'!$A:$A,$B614,'Blocker log'!$G:$G,"Hard blocker"))</f>
        <v>0</v>
      </c>
      <c r="Q614" s="20" t="str">
        <f>IF($B614="","",IF($K614&lt;&gt;"Complete","Assessment pending",IF($N614=0,"Ready now",VLOOKUP($P614,Lists!$D$2:$E$5,2,FALSE))))</f>
        <v>Assessment pending</v>
      </c>
    </row>
    <row r="615" ht="15.75" customHeight="1">
      <c r="A615" s="35" t="s">
        <v>1850</v>
      </c>
      <c r="B615" s="35" t="s">
        <v>1851</v>
      </c>
      <c r="C615" s="35" t="s">
        <v>1286</v>
      </c>
      <c r="D615" s="35" t="s">
        <v>260</v>
      </c>
      <c r="E615" s="35" t="s">
        <v>506</v>
      </c>
      <c r="F615" s="35" t="s">
        <v>708</v>
      </c>
      <c r="G615" s="35" t="s">
        <v>1161</v>
      </c>
      <c r="H615" s="76">
        <v>63531.0</v>
      </c>
      <c r="I615" s="35" t="s">
        <v>416</v>
      </c>
      <c r="M615" s="20">
        <f>IF($B615="","",COUNTIFS('Blocker log'!$A:$A,$B615,'Blocker log'!$G:$G,"&lt;&gt;"))</f>
        <v>0</v>
      </c>
      <c r="N615" s="20">
        <f>IF($B615="","",COUNTIFS('Blocker log'!$A:$A,$B615,'Blocker log'!$G:$G,"Hard blocker"))</f>
        <v>0</v>
      </c>
      <c r="O615" s="20">
        <f>IF($B615="","",COUNTIFS('Blocker log'!$A:$A,$B615,'Blocker log'!$G:$G,"Hard blocker",'Blocker log'!$L:$L,9))</f>
        <v>0</v>
      </c>
      <c r="P615" s="20">
        <f>IF($B615="","",MAXIFS('Blocker log'!$L:$L,'Blocker log'!$A:$A,$B615,'Blocker log'!$G:$G,"Hard blocker"))</f>
        <v>0</v>
      </c>
      <c r="Q615" s="20" t="str">
        <f>IF($B615="","",IF($K615&lt;&gt;"Complete","Assessment pending",IF($N615=0,"Ready now",VLOOKUP($P615,Lists!$D$2:$E$5,2,FALSE))))</f>
        <v>Assessment pending</v>
      </c>
    </row>
    <row r="616" ht="15.75" customHeight="1">
      <c r="A616" s="35" t="s">
        <v>1852</v>
      </c>
      <c r="B616" s="35" t="s">
        <v>1853</v>
      </c>
      <c r="C616" s="35" t="s">
        <v>1286</v>
      </c>
      <c r="D616" s="35" t="s">
        <v>58</v>
      </c>
      <c r="E616" s="35" t="s">
        <v>140</v>
      </c>
      <c r="F616" s="35" t="s">
        <v>141</v>
      </c>
      <c r="G616" s="35" t="s">
        <v>1161</v>
      </c>
      <c r="H616" s="76">
        <v>62909.0</v>
      </c>
      <c r="I616" s="35" t="s">
        <v>418</v>
      </c>
      <c r="M616" s="20">
        <f>IF($B616="","",COUNTIFS('Blocker log'!$A:$A,$B616,'Blocker log'!$G:$G,"&lt;&gt;"))</f>
        <v>0</v>
      </c>
      <c r="N616" s="20">
        <f>IF($B616="","",COUNTIFS('Blocker log'!$A:$A,$B616,'Blocker log'!$G:$G,"Hard blocker"))</f>
        <v>0</v>
      </c>
      <c r="O616" s="20">
        <f>IF($B616="","",COUNTIFS('Blocker log'!$A:$A,$B616,'Blocker log'!$G:$G,"Hard blocker",'Blocker log'!$L:$L,9))</f>
        <v>0</v>
      </c>
      <c r="P616" s="20">
        <f>IF($B616="","",MAXIFS('Blocker log'!$L:$L,'Blocker log'!$A:$A,$B616,'Blocker log'!$G:$G,"Hard blocker"))</f>
        <v>0</v>
      </c>
      <c r="Q616" s="20" t="str">
        <f>IF($B616="","",IF($K616&lt;&gt;"Complete","Assessment pending",IF($N616=0,"Ready now",VLOOKUP($P616,Lists!$D$2:$E$5,2,FALSE))))</f>
        <v>Assessment pending</v>
      </c>
    </row>
    <row r="617" ht="15.75" customHeight="1">
      <c r="A617" s="35" t="s">
        <v>1854</v>
      </c>
      <c r="B617" s="35" t="s">
        <v>1855</v>
      </c>
      <c r="C617" s="35" t="s">
        <v>1286</v>
      </c>
      <c r="D617" s="35" t="s">
        <v>58</v>
      </c>
      <c r="E617" s="35" t="s">
        <v>132</v>
      </c>
      <c r="F617" s="35" t="s">
        <v>949</v>
      </c>
      <c r="G617" s="35" t="s">
        <v>1161</v>
      </c>
      <c r="H617" s="76">
        <v>62703.0</v>
      </c>
      <c r="I617" s="35" t="s">
        <v>445</v>
      </c>
      <c r="M617" s="20">
        <f>IF($B617="","",COUNTIFS('Blocker log'!$A:$A,$B617,'Blocker log'!$G:$G,"&lt;&gt;"))</f>
        <v>0</v>
      </c>
      <c r="N617" s="20">
        <f>IF($B617="","",COUNTIFS('Blocker log'!$A:$A,$B617,'Blocker log'!$G:$G,"Hard blocker"))</f>
        <v>0</v>
      </c>
      <c r="O617" s="20">
        <f>IF($B617="","",COUNTIFS('Blocker log'!$A:$A,$B617,'Blocker log'!$G:$G,"Hard blocker",'Blocker log'!$L:$L,9))</f>
        <v>0</v>
      </c>
      <c r="P617" s="20">
        <f>IF($B617="","",MAXIFS('Blocker log'!$L:$L,'Blocker log'!$A:$A,$B617,'Blocker log'!$G:$G,"Hard blocker"))</f>
        <v>0</v>
      </c>
      <c r="Q617" s="20" t="str">
        <f>IF($B617="","",IF($K617&lt;&gt;"Complete","Assessment pending",IF($N617=0,"Ready now",VLOOKUP($P617,Lists!$D$2:$E$5,2,FALSE))))</f>
        <v>Assessment pending</v>
      </c>
    </row>
    <row r="618" ht="15.75" customHeight="1">
      <c r="A618" s="35" t="s">
        <v>1856</v>
      </c>
      <c r="B618" s="35" t="s">
        <v>1857</v>
      </c>
      <c r="C618" s="35" t="s">
        <v>1286</v>
      </c>
      <c r="D618" s="35" t="s">
        <v>171</v>
      </c>
      <c r="E618" s="35" t="s">
        <v>1465</v>
      </c>
      <c r="F618" s="35" t="s">
        <v>1466</v>
      </c>
      <c r="G618" s="35" t="s">
        <v>1161</v>
      </c>
      <c r="H618" s="76">
        <v>62581.0</v>
      </c>
      <c r="I618" s="35" t="s">
        <v>431</v>
      </c>
      <c r="M618" s="20">
        <f>IF($B618="","",COUNTIFS('Blocker log'!$A:$A,$B618,'Blocker log'!$G:$G,"&lt;&gt;"))</f>
        <v>0</v>
      </c>
      <c r="N618" s="20">
        <f>IF($B618="","",COUNTIFS('Blocker log'!$A:$A,$B618,'Blocker log'!$G:$G,"Hard blocker"))</f>
        <v>0</v>
      </c>
      <c r="O618" s="20">
        <f>IF($B618="","",COUNTIFS('Blocker log'!$A:$A,$B618,'Blocker log'!$G:$G,"Hard blocker",'Blocker log'!$L:$L,9))</f>
        <v>0</v>
      </c>
      <c r="P618" s="20">
        <f>IF($B618="","",MAXIFS('Blocker log'!$L:$L,'Blocker log'!$A:$A,$B618,'Blocker log'!$G:$G,"Hard blocker"))</f>
        <v>0</v>
      </c>
      <c r="Q618" s="20" t="str">
        <f>IF($B618="","",IF($K618&lt;&gt;"Complete","Assessment pending",IF($N618=0,"Ready now",VLOOKUP($P618,Lists!$D$2:$E$5,2,FALSE))))</f>
        <v>Assessment pending</v>
      </c>
    </row>
    <row r="619" ht="15.75" customHeight="1">
      <c r="A619" s="35" t="s">
        <v>1858</v>
      </c>
      <c r="B619" s="35" t="s">
        <v>1859</v>
      </c>
      <c r="C619" s="35" t="s">
        <v>1286</v>
      </c>
      <c r="D619" s="35" t="s">
        <v>171</v>
      </c>
      <c r="E619" s="35" t="s">
        <v>773</v>
      </c>
      <c r="F619" s="35" t="s">
        <v>774</v>
      </c>
      <c r="G619" s="35" t="s">
        <v>1161</v>
      </c>
      <c r="H619" s="76">
        <v>62448.0</v>
      </c>
      <c r="I619" s="35" t="s">
        <v>407</v>
      </c>
      <c r="M619" s="20">
        <f>IF($B619="","",COUNTIFS('Blocker log'!$A:$A,$B619,'Blocker log'!$G:$G,"&lt;&gt;"))</f>
        <v>0</v>
      </c>
      <c r="N619" s="20">
        <f>IF($B619="","",COUNTIFS('Blocker log'!$A:$A,$B619,'Blocker log'!$G:$G,"Hard blocker"))</f>
        <v>0</v>
      </c>
      <c r="O619" s="20">
        <f>IF($B619="","",COUNTIFS('Blocker log'!$A:$A,$B619,'Blocker log'!$G:$G,"Hard blocker",'Blocker log'!$L:$L,9))</f>
        <v>0</v>
      </c>
      <c r="P619" s="20">
        <f>IF($B619="","",MAXIFS('Blocker log'!$L:$L,'Blocker log'!$A:$A,$B619,'Blocker log'!$G:$G,"Hard blocker"))</f>
        <v>0</v>
      </c>
      <c r="Q619" s="20" t="str">
        <f>IF($B619="","",IF($K619&lt;&gt;"Complete","Assessment pending",IF($N619=0,"Ready now",VLOOKUP($P619,Lists!$D$2:$E$5,2,FALSE))))</f>
        <v>Assessment pending</v>
      </c>
    </row>
    <row r="620" ht="15.75" customHeight="1">
      <c r="A620" s="35" t="s">
        <v>1860</v>
      </c>
      <c r="B620" s="35" t="s">
        <v>1861</v>
      </c>
      <c r="C620" s="35" t="s">
        <v>1286</v>
      </c>
      <c r="D620" s="35" t="s">
        <v>260</v>
      </c>
      <c r="E620" s="35" t="s">
        <v>530</v>
      </c>
      <c r="F620" s="35" t="s">
        <v>795</v>
      </c>
      <c r="G620" s="35" t="s">
        <v>1161</v>
      </c>
      <c r="H620" s="76">
        <v>62018.0</v>
      </c>
      <c r="I620" s="35" t="s">
        <v>438</v>
      </c>
      <c r="M620" s="20">
        <f>IF($B620="","",COUNTIFS('Blocker log'!$A:$A,$B620,'Blocker log'!$G:$G,"&lt;&gt;"))</f>
        <v>0</v>
      </c>
      <c r="N620" s="20">
        <f>IF($B620="","",COUNTIFS('Blocker log'!$A:$A,$B620,'Blocker log'!$G:$G,"Hard blocker"))</f>
        <v>0</v>
      </c>
      <c r="O620" s="20">
        <f>IF($B620="","",COUNTIFS('Blocker log'!$A:$A,$B620,'Blocker log'!$G:$G,"Hard blocker",'Blocker log'!$L:$L,9))</f>
        <v>0</v>
      </c>
      <c r="P620" s="20">
        <f>IF($B620="","",MAXIFS('Blocker log'!$L:$L,'Blocker log'!$A:$A,$B620,'Blocker log'!$G:$G,"Hard blocker"))</f>
        <v>0</v>
      </c>
      <c r="Q620" s="20" t="str">
        <f>IF($B620="","",IF($K620&lt;&gt;"Complete","Assessment pending",IF($N620=0,"Ready now",VLOOKUP($P620,Lists!$D$2:$E$5,2,FALSE))))</f>
        <v>Assessment pending</v>
      </c>
    </row>
    <row r="621" ht="15.75" customHeight="1">
      <c r="A621" s="35" t="s">
        <v>1862</v>
      </c>
      <c r="B621" s="35" t="s">
        <v>1863</v>
      </c>
      <c r="C621" s="35" t="s">
        <v>1286</v>
      </c>
      <c r="D621" s="35" t="s">
        <v>260</v>
      </c>
      <c r="E621" s="35" t="s">
        <v>506</v>
      </c>
      <c r="F621" s="35" t="s">
        <v>798</v>
      </c>
      <c r="G621" s="35" t="s">
        <v>1161</v>
      </c>
      <c r="H621" s="76">
        <v>62001.0</v>
      </c>
      <c r="I621" s="35" t="s">
        <v>416</v>
      </c>
      <c r="M621" s="20">
        <f>IF($B621="","",COUNTIFS('Blocker log'!$A:$A,$B621,'Blocker log'!$G:$G,"&lt;&gt;"))</f>
        <v>0</v>
      </c>
      <c r="N621" s="20">
        <f>IF($B621="","",COUNTIFS('Blocker log'!$A:$A,$B621,'Blocker log'!$G:$G,"Hard blocker"))</f>
        <v>0</v>
      </c>
      <c r="O621" s="20">
        <f>IF($B621="","",COUNTIFS('Blocker log'!$A:$A,$B621,'Blocker log'!$G:$G,"Hard blocker",'Blocker log'!$L:$L,9))</f>
        <v>0</v>
      </c>
      <c r="P621" s="20">
        <f>IF($B621="","",MAXIFS('Blocker log'!$L:$L,'Blocker log'!$A:$A,$B621,'Blocker log'!$G:$G,"Hard blocker"))</f>
        <v>0</v>
      </c>
      <c r="Q621" s="20" t="str">
        <f>IF($B621="","",IF($K621&lt;&gt;"Complete","Assessment pending",IF($N621=0,"Ready now",VLOOKUP($P621,Lists!$D$2:$E$5,2,FALSE))))</f>
        <v>Assessment pending</v>
      </c>
    </row>
    <row r="622" ht="15.75" customHeight="1">
      <c r="A622" s="35" t="s">
        <v>1864</v>
      </c>
      <c r="B622" s="35" t="s">
        <v>1865</v>
      </c>
      <c r="C622" s="35" t="s">
        <v>1286</v>
      </c>
      <c r="D622" s="35" t="s">
        <v>58</v>
      </c>
      <c r="E622" s="35" t="s">
        <v>59</v>
      </c>
      <c r="F622" s="35" t="s">
        <v>278</v>
      </c>
      <c r="G622" s="35" t="s">
        <v>1161</v>
      </c>
      <c r="H622" s="76">
        <v>61874.0</v>
      </c>
      <c r="I622" s="35"/>
      <c r="M622" s="20">
        <f>IF($B622="","",COUNTIFS('Blocker log'!$A:$A,$B622,'Blocker log'!$G:$G,"&lt;&gt;"))</f>
        <v>0</v>
      </c>
      <c r="N622" s="20">
        <f>IF($B622="","",COUNTIFS('Blocker log'!$A:$A,$B622,'Blocker log'!$G:$G,"Hard blocker"))</f>
        <v>0</v>
      </c>
      <c r="O622" s="20">
        <f>IF($B622="","",COUNTIFS('Blocker log'!$A:$A,$B622,'Blocker log'!$G:$G,"Hard blocker",'Blocker log'!$L:$L,9))</f>
        <v>0</v>
      </c>
      <c r="P622" s="20">
        <f>IF($B622="","",MAXIFS('Blocker log'!$L:$L,'Blocker log'!$A:$A,$B622,'Blocker log'!$G:$G,"Hard blocker"))</f>
        <v>0</v>
      </c>
      <c r="Q622" s="20" t="str">
        <f>IF($B622="","",IF($K622&lt;&gt;"Complete","Assessment pending",IF($N622=0,"Ready now",VLOOKUP($P622,Lists!$D$2:$E$5,2,FALSE))))</f>
        <v>Assessment pending</v>
      </c>
    </row>
    <row r="623" ht="15.75" customHeight="1">
      <c r="A623" s="35" t="s">
        <v>1866</v>
      </c>
      <c r="B623" s="35" t="s">
        <v>1673</v>
      </c>
      <c r="C623" s="35" t="s">
        <v>1286</v>
      </c>
      <c r="D623" s="35" t="s">
        <v>260</v>
      </c>
      <c r="E623" s="35" t="s">
        <v>530</v>
      </c>
      <c r="F623" s="35" t="s">
        <v>1674</v>
      </c>
      <c r="G623" s="35" t="s">
        <v>1161</v>
      </c>
      <c r="H623" s="76">
        <v>60955.0</v>
      </c>
      <c r="I623" s="35"/>
      <c r="M623" s="20">
        <f>IF($B623="","",COUNTIFS('Blocker log'!$A:$A,$B623,'Blocker log'!$G:$G,"&lt;&gt;"))</f>
        <v>0</v>
      </c>
      <c r="N623" s="20">
        <f>IF($B623="","",COUNTIFS('Blocker log'!$A:$A,$B623,'Blocker log'!$G:$G,"Hard blocker"))</f>
        <v>0</v>
      </c>
      <c r="O623" s="20">
        <f>IF($B623="","",COUNTIFS('Blocker log'!$A:$A,$B623,'Blocker log'!$G:$G,"Hard blocker",'Blocker log'!$L:$L,9))</f>
        <v>0</v>
      </c>
      <c r="P623" s="20">
        <f>IF($B623="","",MAXIFS('Blocker log'!$L:$L,'Blocker log'!$A:$A,$B623,'Blocker log'!$G:$G,"Hard blocker"))</f>
        <v>0</v>
      </c>
      <c r="Q623" s="20" t="str">
        <f>IF($B623="","",IF($K623&lt;&gt;"Complete","Assessment pending",IF($N623=0,"Ready now",VLOOKUP($P623,Lists!$D$2:$E$5,2,FALSE))))</f>
        <v>Assessment pending</v>
      </c>
    </row>
    <row r="624" ht="15.75" customHeight="1">
      <c r="A624" s="35" t="s">
        <v>1867</v>
      </c>
      <c r="B624" s="35" t="s">
        <v>1868</v>
      </c>
      <c r="C624" s="35" t="s">
        <v>76</v>
      </c>
      <c r="D624" s="35" t="s">
        <v>260</v>
      </c>
      <c r="E624" s="35" t="s">
        <v>530</v>
      </c>
      <c r="F624" s="35" t="s">
        <v>531</v>
      </c>
      <c r="G624" s="35" t="s">
        <v>980</v>
      </c>
      <c r="H624" s="76">
        <v>60955.0</v>
      </c>
      <c r="I624" s="35"/>
      <c r="M624" s="20">
        <f>IF($B624="","",COUNTIFS('Blocker log'!$A:$A,$B624,'Blocker log'!$G:$G,"&lt;&gt;"))</f>
        <v>0</v>
      </c>
      <c r="N624" s="20">
        <f>IF($B624="","",COUNTIFS('Blocker log'!$A:$A,$B624,'Blocker log'!$G:$G,"Hard blocker"))</f>
        <v>0</v>
      </c>
      <c r="O624" s="20">
        <f>IF($B624="","",COUNTIFS('Blocker log'!$A:$A,$B624,'Blocker log'!$G:$G,"Hard blocker",'Blocker log'!$L:$L,9))</f>
        <v>0</v>
      </c>
      <c r="P624" s="20">
        <f>IF($B624="","",MAXIFS('Blocker log'!$L:$L,'Blocker log'!$A:$A,$B624,'Blocker log'!$G:$G,"Hard blocker"))</f>
        <v>0</v>
      </c>
      <c r="Q624" s="20" t="str">
        <f>IF($B624="","",IF($K624&lt;&gt;"Complete","Assessment pending",IF($N624=0,"Ready now",VLOOKUP($P624,Lists!$D$2:$E$5,2,FALSE))))</f>
        <v>Assessment pending</v>
      </c>
    </row>
    <row r="625" ht="15.75" customHeight="1">
      <c r="A625" s="35" t="s">
        <v>1869</v>
      </c>
      <c r="B625" s="35" t="s">
        <v>1678</v>
      </c>
      <c r="C625" s="35" t="s">
        <v>1286</v>
      </c>
      <c r="D625" s="35" t="s">
        <v>260</v>
      </c>
      <c r="E625" s="35" t="s">
        <v>530</v>
      </c>
      <c r="F625" s="35" t="s">
        <v>1674</v>
      </c>
      <c r="G625" s="35" t="s">
        <v>1161</v>
      </c>
      <c r="H625" s="76">
        <v>60955.0</v>
      </c>
      <c r="I625" s="35"/>
      <c r="M625" s="20">
        <f>IF($B625="","",COUNTIFS('Blocker log'!$A:$A,$B625,'Blocker log'!$G:$G,"&lt;&gt;"))</f>
        <v>0</v>
      </c>
      <c r="N625" s="20">
        <f>IF($B625="","",COUNTIFS('Blocker log'!$A:$A,$B625,'Blocker log'!$G:$G,"Hard blocker"))</f>
        <v>0</v>
      </c>
      <c r="O625" s="20">
        <f>IF($B625="","",COUNTIFS('Blocker log'!$A:$A,$B625,'Blocker log'!$G:$G,"Hard blocker",'Blocker log'!$L:$L,9))</f>
        <v>0</v>
      </c>
      <c r="P625" s="20">
        <f>IF($B625="","",MAXIFS('Blocker log'!$L:$L,'Blocker log'!$A:$A,$B625,'Blocker log'!$G:$G,"Hard blocker"))</f>
        <v>0</v>
      </c>
      <c r="Q625" s="20" t="str">
        <f>IF($B625="","",IF($K625&lt;&gt;"Complete","Assessment pending",IF($N625=0,"Ready now",VLOOKUP($P625,Lists!$D$2:$E$5,2,FALSE))))</f>
        <v>Assessment pending</v>
      </c>
    </row>
    <row r="626" ht="15.75" customHeight="1">
      <c r="A626" s="35" t="s">
        <v>1870</v>
      </c>
      <c r="B626" s="35" t="s">
        <v>1871</v>
      </c>
      <c r="C626" s="35" t="s">
        <v>76</v>
      </c>
      <c r="D626" s="35" t="s">
        <v>58</v>
      </c>
      <c r="E626" s="35" t="s">
        <v>140</v>
      </c>
      <c r="F626" s="35" t="s">
        <v>246</v>
      </c>
      <c r="G626" s="35" t="s">
        <v>999</v>
      </c>
      <c r="H626" s="76">
        <v>60930.0</v>
      </c>
      <c r="I626" s="35"/>
      <c r="M626" s="20">
        <f>IF($B626="","",COUNTIFS('Blocker log'!$A:$A,$B626,'Blocker log'!$G:$G,"&lt;&gt;"))</f>
        <v>0</v>
      </c>
      <c r="N626" s="20">
        <f>IF($B626="","",COUNTIFS('Blocker log'!$A:$A,$B626,'Blocker log'!$G:$G,"Hard blocker"))</f>
        <v>0</v>
      </c>
      <c r="O626" s="20">
        <f>IF($B626="","",COUNTIFS('Blocker log'!$A:$A,$B626,'Blocker log'!$G:$G,"Hard blocker",'Blocker log'!$L:$L,9))</f>
        <v>0</v>
      </c>
      <c r="P626" s="20">
        <f>IF($B626="","",MAXIFS('Blocker log'!$L:$L,'Blocker log'!$A:$A,$B626,'Blocker log'!$G:$G,"Hard blocker"))</f>
        <v>0</v>
      </c>
      <c r="Q626" s="20" t="str">
        <f>IF($B626="","",IF($K626&lt;&gt;"Complete","Assessment pending",IF($N626=0,"Ready now",VLOOKUP($P626,Lists!$D$2:$E$5,2,FALSE))))</f>
        <v>Assessment pending</v>
      </c>
    </row>
    <row r="627" ht="15.75" customHeight="1">
      <c r="A627" s="35" t="s">
        <v>1872</v>
      </c>
      <c r="B627" s="35" t="s">
        <v>1873</v>
      </c>
      <c r="C627" s="35" t="s">
        <v>1286</v>
      </c>
      <c r="D627" s="35" t="s">
        <v>171</v>
      </c>
      <c r="E627" s="35" t="s">
        <v>713</v>
      </c>
      <c r="F627" s="35" t="s">
        <v>714</v>
      </c>
      <c r="G627" s="35" t="s">
        <v>1161</v>
      </c>
      <c r="H627" s="76">
        <v>60535.0</v>
      </c>
      <c r="I627" s="35"/>
      <c r="M627" s="20">
        <f>IF($B627="","",COUNTIFS('Blocker log'!$A:$A,$B627,'Blocker log'!$G:$G,"&lt;&gt;"))</f>
        <v>0</v>
      </c>
      <c r="N627" s="20">
        <f>IF($B627="","",COUNTIFS('Blocker log'!$A:$A,$B627,'Blocker log'!$G:$G,"Hard blocker"))</f>
        <v>0</v>
      </c>
      <c r="O627" s="20">
        <f>IF($B627="","",COUNTIFS('Blocker log'!$A:$A,$B627,'Blocker log'!$G:$G,"Hard blocker",'Blocker log'!$L:$L,9))</f>
        <v>0</v>
      </c>
      <c r="P627" s="20">
        <f>IF($B627="","",MAXIFS('Blocker log'!$L:$L,'Blocker log'!$A:$A,$B627,'Blocker log'!$G:$G,"Hard blocker"))</f>
        <v>0</v>
      </c>
      <c r="Q627" s="20" t="str">
        <f>IF($B627="","",IF($K627&lt;&gt;"Complete","Assessment pending",IF($N627=0,"Ready now",VLOOKUP($P627,Lists!$D$2:$E$5,2,FALSE))))</f>
        <v>Assessment pending</v>
      </c>
    </row>
    <row r="628" ht="15.75" customHeight="1">
      <c r="A628" s="35" t="s">
        <v>1874</v>
      </c>
      <c r="B628" s="35" t="s">
        <v>1875</v>
      </c>
      <c r="C628" s="35" t="s">
        <v>1286</v>
      </c>
      <c r="D628" s="35" t="s">
        <v>171</v>
      </c>
      <c r="E628" s="35" t="s">
        <v>205</v>
      </c>
      <c r="F628" s="35" t="s">
        <v>916</v>
      </c>
      <c r="G628" s="35" t="s">
        <v>1161</v>
      </c>
      <c r="H628" s="76">
        <v>60063.0</v>
      </c>
      <c r="I628" s="35" t="s">
        <v>424</v>
      </c>
      <c r="M628" s="20">
        <f>IF($B628="","",COUNTIFS('Blocker log'!$A:$A,$B628,'Blocker log'!$G:$G,"&lt;&gt;"))</f>
        <v>0</v>
      </c>
      <c r="N628" s="20">
        <f>IF($B628="","",COUNTIFS('Blocker log'!$A:$A,$B628,'Blocker log'!$G:$G,"Hard blocker"))</f>
        <v>0</v>
      </c>
      <c r="O628" s="20">
        <f>IF($B628="","",COUNTIFS('Blocker log'!$A:$A,$B628,'Blocker log'!$G:$G,"Hard blocker",'Blocker log'!$L:$L,9))</f>
        <v>0</v>
      </c>
      <c r="P628" s="20">
        <f>IF($B628="","",MAXIFS('Blocker log'!$L:$L,'Blocker log'!$A:$A,$B628,'Blocker log'!$G:$G,"Hard blocker"))</f>
        <v>0</v>
      </c>
      <c r="Q628" s="20" t="str">
        <f>IF($B628="","",IF($K628&lt;&gt;"Complete","Assessment pending",IF($N628=0,"Ready now",VLOOKUP($P628,Lists!$D$2:$E$5,2,FALSE))))</f>
        <v>Assessment pending</v>
      </c>
    </row>
    <row r="629" ht="15.75" customHeight="1">
      <c r="A629" s="35" t="s">
        <v>1876</v>
      </c>
      <c r="B629" s="35" t="s">
        <v>1877</v>
      </c>
      <c r="C629" s="35" t="s">
        <v>1286</v>
      </c>
      <c r="D629" s="35" t="s">
        <v>171</v>
      </c>
      <c r="E629" s="35" t="s">
        <v>587</v>
      </c>
      <c r="F629" s="35" t="s">
        <v>588</v>
      </c>
      <c r="G629" s="35" t="s">
        <v>1161</v>
      </c>
      <c r="H629" s="76">
        <v>60030.0</v>
      </c>
      <c r="I629" s="35"/>
      <c r="M629" s="20">
        <f>IF($B629="","",COUNTIFS('Blocker log'!$A:$A,$B629,'Blocker log'!$G:$G,"&lt;&gt;"))</f>
        <v>0</v>
      </c>
      <c r="N629" s="20">
        <f>IF($B629="","",COUNTIFS('Blocker log'!$A:$A,$B629,'Blocker log'!$G:$G,"Hard blocker"))</f>
        <v>0</v>
      </c>
      <c r="O629" s="20">
        <f>IF($B629="","",COUNTIFS('Blocker log'!$A:$A,$B629,'Blocker log'!$G:$G,"Hard blocker",'Blocker log'!$L:$L,9))</f>
        <v>0</v>
      </c>
      <c r="P629" s="20">
        <f>IF($B629="","",MAXIFS('Blocker log'!$L:$L,'Blocker log'!$A:$A,$B629,'Blocker log'!$G:$G,"Hard blocker"))</f>
        <v>0</v>
      </c>
      <c r="Q629" s="20" t="str">
        <f>IF($B629="","",IF($K629&lt;&gt;"Complete","Assessment pending",IF($N629=0,"Ready now",VLOOKUP($P629,Lists!$D$2:$E$5,2,FALSE))))</f>
        <v>Assessment pending</v>
      </c>
    </row>
    <row r="630" ht="15.75" customHeight="1">
      <c r="A630" s="35" t="s">
        <v>1878</v>
      </c>
      <c r="B630" s="35" t="s">
        <v>1879</v>
      </c>
      <c r="C630" s="35" t="s">
        <v>1286</v>
      </c>
      <c r="D630" s="35" t="s">
        <v>301</v>
      </c>
      <c r="E630" s="35" t="s">
        <v>1281</v>
      </c>
      <c r="F630" s="35" t="s">
        <v>1281</v>
      </c>
      <c r="G630" s="35" t="s">
        <v>1161</v>
      </c>
      <c r="H630" s="76">
        <v>59508.0</v>
      </c>
      <c r="I630" s="35"/>
      <c r="M630" s="20">
        <f>IF($B630="","",COUNTIFS('Blocker log'!$A:$A,$B630,'Blocker log'!$G:$G,"&lt;&gt;"))</f>
        <v>0</v>
      </c>
      <c r="N630" s="20">
        <f>IF($B630="","",COUNTIFS('Blocker log'!$A:$A,$B630,'Blocker log'!$G:$G,"Hard blocker"))</f>
        <v>0</v>
      </c>
      <c r="O630" s="20">
        <f>IF($B630="","",COUNTIFS('Blocker log'!$A:$A,$B630,'Blocker log'!$G:$G,"Hard blocker",'Blocker log'!$L:$L,9))</f>
        <v>0</v>
      </c>
      <c r="P630" s="20">
        <f>IF($B630="","",MAXIFS('Blocker log'!$L:$L,'Blocker log'!$A:$A,$B630,'Blocker log'!$G:$G,"Hard blocker"))</f>
        <v>0</v>
      </c>
      <c r="Q630" s="20" t="str">
        <f>IF($B630="","",IF($K630&lt;&gt;"Complete","Assessment pending",IF($N630=0,"Ready now",VLOOKUP($P630,Lists!$D$2:$E$5,2,FALSE))))</f>
        <v>Assessment pending</v>
      </c>
    </row>
    <row r="631" ht="15.75" customHeight="1">
      <c r="A631" s="35" t="s">
        <v>1880</v>
      </c>
      <c r="B631" s="35" t="s">
        <v>1881</v>
      </c>
      <c r="C631" s="35" t="s">
        <v>1286</v>
      </c>
      <c r="D631" s="35" t="s">
        <v>58</v>
      </c>
      <c r="E631" s="35" t="s">
        <v>140</v>
      </c>
      <c r="F631" s="35" t="s">
        <v>246</v>
      </c>
      <c r="G631" s="35" t="s">
        <v>1042</v>
      </c>
      <c r="H631" s="76">
        <v>59250.0</v>
      </c>
      <c r="I631" s="35" t="s">
        <v>408</v>
      </c>
      <c r="M631" s="20">
        <f>IF($B631="","",COUNTIFS('Blocker log'!$A:$A,$B631,'Blocker log'!$G:$G,"&lt;&gt;"))</f>
        <v>0</v>
      </c>
      <c r="N631" s="20">
        <f>IF($B631="","",COUNTIFS('Blocker log'!$A:$A,$B631,'Blocker log'!$G:$G,"Hard blocker"))</f>
        <v>0</v>
      </c>
      <c r="O631" s="20">
        <f>IF($B631="","",COUNTIFS('Blocker log'!$A:$A,$B631,'Blocker log'!$G:$G,"Hard blocker",'Blocker log'!$L:$L,9))</f>
        <v>0</v>
      </c>
      <c r="P631" s="20">
        <f>IF($B631="","",MAXIFS('Blocker log'!$L:$L,'Blocker log'!$A:$A,$B631,'Blocker log'!$G:$G,"Hard blocker"))</f>
        <v>0</v>
      </c>
      <c r="Q631" s="20" t="str">
        <f>IF($B631="","",IF($K631&lt;&gt;"Complete","Assessment pending",IF($N631=0,"Ready now",VLOOKUP($P631,Lists!$D$2:$E$5,2,FALSE))))</f>
        <v>Assessment pending</v>
      </c>
    </row>
    <row r="632" ht="15.75" customHeight="1">
      <c r="A632" s="35" t="s">
        <v>1882</v>
      </c>
      <c r="B632" s="35" t="s">
        <v>1883</v>
      </c>
      <c r="C632" s="35" t="s">
        <v>1286</v>
      </c>
      <c r="D632" s="35" t="s">
        <v>58</v>
      </c>
      <c r="E632" s="35" t="s">
        <v>101</v>
      </c>
      <c r="F632" s="35" t="s">
        <v>554</v>
      </c>
      <c r="G632" s="35" t="s">
        <v>1161</v>
      </c>
      <c r="H632" s="76">
        <v>59100.0</v>
      </c>
      <c r="I632" s="35" t="s">
        <v>443</v>
      </c>
      <c r="M632" s="20">
        <f>IF($B632="","",COUNTIFS('Blocker log'!$A:$A,$B632,'Blocker log'!$G:$G,"&lt;&gt;"))</f>
        <v>0</v>
      </c>
      <c r="N632" s="20">
        <f>IF($B632="","",COUNTIFS('Blocker log'!$A:$A,$B632,'Blocker log'!$G:$G,"Hard blocker"))</f>
        <v>0</v>
      </c>
      <c r="O632" s="20">
        <f>IF($B632="","",COUNTIFS('Blocker log'!$A:$A,$B632,'Blocker log'!$G:$G,"Hard blocker",'Blocker log'!$L:$L,9))</f>
        <v>0</v>
      </c>
      <c r="P632" s="20">
        <f>IF($B632="","",MAXIFS('Blocker log'!$L:$L,'Blocker log'!$A:$A,$B632,'Blocker log'!$G:$G,"Hard blocker"))</f>
        <v>0</v>
      </c>
      <c r="Q632" s="20" t="str">
        <f>IF($B632="","",IF($K632&lt;&gt;"Complete","Assessment pending",IF($N632=0,"Ready now",VLOOKUP($P632,Lists!$D$2:$E$5,2,FALSE))))</f>
        <v>Assessment pending</v>
      </c>
    </row>
    <row r="633" ht="15.75" customHeight="1">
      <c r="A633" s="35" t="s">
        <v>1884</v>
      </c>
      <c r="B633" s="35" t="s">
        <v>1885</v>
      </c>
      <c r="C633" s="35" t="s">
        <v>76</v>
      </c>
      <c r="D633" s="35" t="s">
        <v>58</v>
      </c>
      <c r="E633" s="35" t="s">
        <v>181</v>
      </c>
      <c r="F633" s="35" t="s">
        <v>190</v>
      </c>
      <c r="G633" s="35" t="s">
        <v>980</v>
      </c>
      <c r="H633" s="76">
        <v>58963.0</v>
      </c>
      <c r="I633" s="35"/>
      <c r="M633" s="20">
        <f>IF($B633="","",COUNTIFS('Blocker log'!$A:$A,$B633,'Blocker log'!$G:$G,"&lt;&gt;"))</f>
        <v>0</v>
      </c>
      <c r="N633" s="20">
        <f>IF($B633="","",COUNTIFS('Blocker log'!$A:$A,$B633,'Blocker log'!$G:$G,"Hard blocker"))</f>
        <v>0</v>
      </c>
      <c r="O633" s="20">
        <f>IF($B633="","",COUNTIFS('Blocker log'!$A:$A,$B633,'Blocker log'!$G:$G,"Hard blocker",'Blocker log'!$L:$L,9))</f>
        <v>0</v>
      </c>
      <c r="P633" s="20">
        <f>IF($B633="","",MAXIFS('Blocker log'!$L:$L,'Blocker log'!$A:$A,$B633,'Blocker log'!$G:$G,"Hard blocker"))</f>
        <v>0</v>
      </c>
      <c r="Q633" s="20" t="str">
        <f>IF($B633="","",IF($K633&lt;&gt;"Complete","Assessment pending",IF($N633=0,"Ready now",VLOOKUP($P633,Lists!$D$2:$E$5,2,FALSE))))</f>
        <v>Assessment pending</v>
      </c>
    </row>
    <row r="634" ht="15.75" customHeight="1">
      <c r="A634" s="35" t="s">
        <v>1886</v>
      </c>
      <c r="B634" s="35" t="s">
        <v>1887</v>
      </c>
      <c r="C634" s="35" t="s">
        <v>1286</v>
      </c>
      <c r="D634" s="35" t="s">
        <v>260</v>
      </c>
      <c r="E634" s="35" t="s">
        <v>530</v>
      </c>
      <c r="F634" s="35" t="s">
        <v>531</v>
      </c>
      <c r="G634" s="35" t="s">
        <v>1161</v>
      </c>
      <c r="H634" s="76">
        <v>58716.0</v>
      </c>
      <c r="I634" s="35" t="s">
        <v>446</v>
      </c>
      <c r="M634" s="20">
        <f>IF($B634="","",COUNTIFS('Blocker log'!$A:$A,$B634,'Blocker log'!$G:$G,"&lt;&gt;"))</f>
        <v>0</v>
      </c>
      <c r="N634" s="20">
        <f>IF($B634="","",COUNTIFS('Blocker log'!$A:$A,$B634,'Blocker log'!$G:$G,"Hard blocker"))</f>
        <v>0</v>
      </c>
      <c r="O634" s="20">
        <f>IF($B634="","",COUNTIFS('Blocker log'!$A:$A,$B634,'Blocker log'!$G:$G,"Hard blocker",'Blocker log'!$L:$L,9))</f>
        <v>0</v>
      </c>
      <c r="P634" s="20">
        <f>IF($B634="","",MAXIFS('Blocker log'!$L:$L,'Blocker log'!$A:$A,$B634,'Blocker log'!$G:$G,"Hard blocker"))</f>
        <v>0</v>
      </c>
      <c r="Q634" s="20" t="str">
        <f>IF($B634="","",IF($K634&lt;&gt;"Complete","Assessment pending",IF($N634=0,"Ready now",VLOOKUP($P634,Lists!$D$2:$E$5,2,FALSE))))</f>
        <v>Assessment pending</v>
      </c>
    </row>
    <row r="635" ht="15.75" customHeight="1">
      <c r="A635" s="35" t="s">
        <v>1888</v>
      </c>
      <c r="B635" s="35" t="s">
        <v>1889</v>
      </c>
      <c r="C635" s="35" t="s">
        <v>1286</v>
      </c>
      <c r="D635" s="35" t="s">
        <v>171</v>
      </c>
      <c r="E635" s="35" t="s">
        <v>1584</v>
      </c>
      <c r="F635" s="35" t="s">
        <v>1585</v>
      </c>
      <c r="G635" s="35" t="s">
        <v>1161</v>
      </c>
      <c r="H635" s="76">
        <v>58662.0</v>
      </c>
      <c r="I635" s="35"/>
      <c r="M635" s="20">
        <f>IF($B635="","",COUNTIFS('Blocker log'!$A:$A,$B635,'Blocker log'!$G:$G,"&lt;&gt;"))</f>
        <v>0</v>
      </c>
      <c r="N635" s="20">
        <f>IF($B635="","",COUNTIFS('Blocker log'!$A:$A,$B635,'Blocker log'!$G:$G,"Hard blocker"))</f>
        <v>0</v>
      </c>
      <c r="O635" s="20">
        <f>IF($B635="","",COUNTIFS('Blocker log'!$A:$A,$B635,'Blocker log'!$G:$G,"Hard blocker",'Blocker log'!$L:$L,9))</f>
        <v>0</v>
      </c>
      <c r="P635" s="20">
        <f>IF($B635="","",MAXIFS('Blocker log'!$L:$L,'Blocker log'!$A:$A,$B635,'Blocker log'!$G:$G,"Hard blocker"))</f>
        <v>0</v>
      </c>
      <c r="Q635" s="20" t="str">
        <f>IF($B635="","",IF($K635&lt;&gt;"Complete","Assessment pending",IF($N635=0,"Ready now",VLOOKUP($P635,Lists!$D$2:$E$5,2,FALSE))))</f>
        <v>Assessment pending</v>
      </c>
    </row>
    <row r="636" ht="15.75" customHeight="1">
      <c r="A636" s="35" t="s">
        <v>1890</v>
      </c>
      <c r="B636" s="35" t="s">
        <v>1891</v>
      </c>
      <c r="C636" s="35" t="s">
        <v>76</v>
      </c>
      <c r="D636" s="35" t="s">
        <v>260</v>
      </c>
      <c r="E636" s="35" t="s">
        <v>506</v>
      </c>
      <c r="F636" s="35" t="s">
        <v>708</v>
      </c>
      <c r="G636" s="35" t="s">
        <v>980</v>
      </c>
      <c r="H636" s="76">
        <v>58549.0</v>
      </c>
      <c r="I636" s="35"/>
      <c r="M636" s="20">
        <f>IF($B636="","",COUNTIFS('Blocker log'!$A:$A,$B636,'Blocker log'!$G:$G,"&lt;&gt;"))</f>
        <v>0</v>
      </c>
      <c r="N636" s="20">
        <f>IF($B636="","",COUNTIFS('Blocker log'!$A:$A,$B636,'Blocker log'!$G:$G,"Hard blocker"))</f>
        <v>0</v>
      </c>
      <c r="O636" s="20">
        <f>IF($B636="","",COUNTIFS('Blocker log'!$A:$A,$B636,'Blocker log'!$G:$G,"Hard blocker",'Blocker log'!$L:$L,9))</f>
        <v>0</v>
      </c>
      <c r="P636" s="20">
        <f>IF($B636="","",MAXIFS('Blocker log'!$L:$L,'Blocker log'!$A:$A,$B636,'Blocker log'!$G:$G,"Hard blocker"))</f>
        <v>0</v>
      </c>
      <c r="Q636" s="20" t="str">
        <f>IF($B636="","",IF($K636&lt;&gt;"Complete","Assessment pending",IF($N636=0,"Ready now",VLOOKUP($P636,Lists!$D$2:$E$5,2,FALSE))))</f>
        <v>Assessment pending</v>
      </c>
    </row>
    <row r="637" ht="15.75" customHeight="1">
      <c r="A637" s="35" t="s">
        <v>1892</v>
      </c>
      <c r="B637" s="35" t="s">
        <v>1893</v>
      </c>
      <c r="C637" s="35" t="s">
        <v>1286</v>
      </c>
      <c r="D637" s="35" t="s">
        <v>58</v>
      </c>
      <c r="E637" s="35" t="s">
        <v>101</v>
      </c>
      <c r="F637" s="35" t="s">
        <v>102</v>
      </c>
      <c r="G637" s="35" t="s">
        <v>1161</v>
      </c>
      <c r="H637" s="76">
        <v>58325.0</v>
      </c>
      <c r="I637" s="35"/>
      <c r="M637" s="20">
        <f>IF($B637="","",COUNTIFS('Blocker log'!$A:$A,$B637,'Blocker log'!$G:$G,"&lt;&gt;"))</f>
        <v>0</v>
      </c>
      <c r="N637" s="20">
        <f>IF($B637="","",COUNTIFS('Blocker log'!$A:$A,$B637,'Blocker log'!$G:$G,"Hard blocker"))</f>
        <v>0</v>
      </c>
      <c r="O637" s="20">
        <f>IF($B637="","",COUNTIFS('Blocker log'!$A:$A,$B637,'Blocker log'!$G:$G,"Hard blocker",'Blocker log'!$L:$L,9))</f>
        <v>0</v>
      </c>
      <c r="P637" s="20">
        <f>IF($B637="","",MAXIFS('Blocker log'!$L:$L,'Blocker log'!$A:$A,$B637,'Blocker log'!$G:$G,"Hard blocker"))</f>
        <v>0</v>
      </c>
      <c r="Q637" s="20" t="str">
        <f>IF($B637="","",IF($K637&lt;&gt;"Complete","Assessment pending",IF($N637=0,"Ready now",VLOOKUP($P637,Lists!$D$2:$E$5,2,FALSE))))</f>
        <v>Assessment pending</v>
      </c>
    </row>
    <row r="638" ht="15.75" customHeight="1">
      <c r="A638" s="35" t="s">
        <v>1894</v>
      </c>
      <c r="B638" s="35" t="s">
        <v>1895</v>
      </c>
      <c r="C638" s="35" t="s">
        <v>1286</v>
      </c>
      <c r="D638" s="35" t="s">
        <v>260</v>
      </c>
      <c r="E638" s="35" t="s">
        <v>506</v>
      </c>
      <c r="F638" s="35" t="s">
        <v>798</v>
      </c>
      <c r="G638" s="35" t="s">
        <v>1161</v>
      </c>
      <c r="H638" s="76">
        <v>58320.0</v>
      </c>
      <c r="I638" s="35" t="s">
        <v>416</v>
      </c>
      <c r="M638" s="20">
        <f>IF($B638="","",COUNTIFS('Blocker log'!$A:$A,$B638,'Blocker log'!$G:$G,"&lt;&gt;"))</f>
        <v>0</v>
      </c>
      <c r="N638" s="20">
        <f>IF($B638="","",COUNTIFS('Blocker log'!$A:$A,$B638,'Blocker log'!$G:$G,"Hard blocker"))</f>
        <v>0</v>
      </c>
      <c r="O638" s="20">
        <f>IF($B638="","",COUNTIFS('Blocker log'!$A:$A,$B638,'Blocker log'!$G:$G,"Hard blocker",'Blocker log'!$L:$L,9))</f>
        <v>0</v>
      </c>
      <c r="P638" s="20">
        <f>IF($B638="","",MAXIFS('Blocker log'!$L:$L,'Blocker log'!$A:$A,$B638,'Blocker log'!$G:$G,"Hard blocker"))</f>
        <v>0</v>
      </c>
      <c r="Q638" s="20" t="str">
        <f>IF($B638="","",IF($K638&lt;&gt;"Complete","Assessment pending",IF($N638=0,"Ready now",VLOOKUP($P638,Lists!$D$2:$E$5,2,FALSE))))</f>
        <v>Assessment pending</v>
      </c>
    </row>
    <row r="639" ht="15.75" customHeight="1">
      <c r="A639" s="35" t="s">
        <v>1896</v>
      </c>
      <c r="B639" s="35" t="s">
        <v>1897</v>
      </c>
      <c r="C639" s="35" t="s">
        <v>1286</v>
      </c>
      <c r="D639" s="35" t="s">
        <v>301</v>
      </c>
      <c r="E639" s="35" t="s">
        <v>593</v>
      </c>
      <c r="F639" s="35" t="s">
        <v>593</v>
      </c>
      <c r="G639" s="35" t="s">
        <v>1042</v>
      </c>
      <c r="H639" s="76">
        <v>57732.0</v>
      </c>
      <c r="I639" s="35"/>
      <c r="M639" s="20">
        <f>IF($B639="","",COUNTIFS('Blocker log'!$A:$A,$B639,'Blocker log'!$G:$G,"&lt;&gt;"))</f>
        <v>0</v>
      </c>
      <c r="N639" s="20">
        <f>IF($B639="","",COUNTIFS('Blocker log'!$A:$A,$B639,'Blocker log'!$G:$G,"Hard blocker"))</f>
        <v>0</v>
      </c>
      <c r="O639" s="20">
        <f>IF($B639="","",COUNTIFS('Blocker log'!$A:$A,$B639,'Blocker log'!$G:$G,"Hard blocker",'Blocker log'!$L:$L,9))</f>
        <v>0</v>
      </c>
      <c r="P639" s="20">
        <f>IF($B639="","",MAXIFS('Blocker log'!$L:$L,'Blocker log'!$A:$A,$B639,'Blocker log'!$G:$G,"Hard blocker"))</f>
        <v>0</v>
      </c>
      <c r="Q639" s="20" t="str">
        <f>IF($B639="","",IF($K639&lt;&gt;"Complete","Assessment pending",IF($N639=0,"Ready now",VLOOKUP($P639,Lists!$D$2:$E$5,2,FALSE))))</f>
        <v>Assessment pending</v>
      </c>
    </row>
    <row r="640" ht="15.75" customHeight="1">
      <c r="A640" s="35" t="s">
        <v>1898</v>
      </c>
      <c r="B640" s="35" t="s">
        <v>1899</v>
      </c>
      <c r="C640" s="35" t="s">
        <v>1286</v>
      </c>
      <c r="D640" s="35" t="s">
        <v>260</v>
      </c>
      <c r="E640" s="35" t="s">
        <v>506</v>
      </c>
      <c r="F640" s="35" t="s">
        <v>674</v>
      </c>
      <c r="G640" s="35" t="s">
        <v>1161</v>
      </c>
      <c r="H640" s="76">
        <v>57600.0</v>
      </c>
      <c r="I640" s="35" t="s">
        <v>417</v>
      </c>
      <c r="M640" s="20">
        <f>IF($B640="","",COUNTIFS('Blocker log'!$A:$A,$B640,'Blocker log'!$G:$G,"&lt;&gt;"))</f>
        <v>0</v>
      </c>
      <c r="N640" s="20">
        <f>IF($B640="","",COUNTIFS('Blocker log'!$A:$A,$B640,'Blocker log'!$G:$G,"Hard blocker"))</f>
        <v>0</v>
      </c>
      <c r="O640" s="20">
        <f>IF($B640="","",COUNTIFS('Blocker log'!$A:$A,$B640,'Blocker log'!$G:$G,"Hard blocker",'Blocker log'!$L:$L,9))</f>
        <v>0</v>
      </c>
      <c r="P640" s="20">
        <f>IF($B640="","",MAXIFS('Blocker log'!$L:$L,'Blocker log'!$A:$A,$B640,'Blocker log'!$G:$G,"Hard blocker"))</f>
        <v>0</v>
      </c>
      <c r="Q640" s="20" t="str">
        <f>IF($B640="","",IF($K640&lt;&gt;"Complete","Assessment pending",IF($N640=0,"Ready now",VLOOKUP($P640,Lists!$D$2:$E$5,2,FALSE))))</f>
        <v>Assessment pending</v>
      </c>
    </row>
    <row r="641" ht="15.75" customHeight="1">
      <c r="A641" s="35" t="s">
        <v>1900</v>
      </c>
      <c r="B641" s="35" t="s">
        <v>1901</v>
      </c>
      <c r="C641" s="35" t="s">
        <v>1286</v>
      </c>
      <c r="D641" s="35" t="s">
        <v>171</v>
      </c>
      <c r="E641" s="35" t="s">
        <v>512</v>
      </c>
      <c r="F641" s="35" t="s">
        <v>944</v>
      </c>
      <c r="G641" s="35" t="s">
        <v>1161</v>
      </c>
      <c r="H641" s="76">
        <v>57463.0</v>
      </c>
      <c r="I641" s="35" t="s">
        <v>415</v>
      </c>
      <c r="M641" s="20">
        <f>IF($B641="","",COUNTIFS('Blocker log'!$A:$A,$B641,'Blocker log'!$G:$G,"&lt;&gt;"))</f>
        <v>0</v>
      </c>
      <c r="N641" s="20">
        <f>IF($B641="","",COUNTIFS('Blocker log'!$A:$A,$B641,'Blocker log'!$G:$G,"Hard blocker"))</f>
        <v>0</v>
      </c>
      <c r="O641" s="20">
        <f>IF($B641="","",COUNTIFS('Blocker log'!$A:$A,$B641,'Blocker log'!$G:$G,"Hard blocker",'Blocker log'!$L:$L,9))</f>
        <v>0</v>
      </c>
      <c r="P641" s="20">
        <f>IF($B641="","",MAXIFS('Blocker log'!$L:$L,'Blocker log'!$A:$A,$B641,'Blocker log'!$G:$G,"Hard blocker"))</f>
        <v>0</v>
      </c>
      <c r="Q641" s="20" t="str">
        <f>IF($B641="","",IF($K641&lt;&gt;"Complete","Assessment pending",IF($N641=0,"Ready now",VLOOKUP($P641,Lists!$D$2:$E$5,2,FALSE))))</f>
        <v>Assessment pending</v>
      </c>
    </row>
    <row r="642" ht="15.75" customHeight="1">
      <c r="A642" s="35" t="s">
        <v>1902</v>
      </c>
      <c r="B642" s="35" t="s">
        <v>1903</v>
      </c>
      <c r="C642" s="35" t="s">
        <v>1286</v>
      </c>
      <c r="D642" s="35" t="s">
        <v>58</v>
      </c>
      <c r="E642" s="35" t="s">
        <v>140</v>
      </c>
      <c r="F642" s="35" t="s">
        <v>246</v>
      </c>
      <c r="G642" s="35" t="s">
        <v>1042</v>
      </c>
      <c r="H642" s="76">
        <v>57456.0</v>
      </c>
      <c r="I642" s="35" t="s">
        <v>425</v>
      </c>
      <c r="M642" s="20">
        <f>IF($B642="","",COUNTIFS('Blocker log'!$A:$A,$B642,'Blocker log'!$G:$G,"&lt;&gt;"))</f>
        <v>0</v>
      </c>
      <c r="N642" s="20">
        <f>IF($B642="","",COUNTIFS('Blocker log'!$A:$A,$B642,'Blocker log'!$G:$G,"Hard blocker"))</f>
        <v>0</v>
      </c>
      <c r="O642" s="20">
        <f>IF($B642="","",COUNTIFS('Blocker log'!$A:$A,$B642,'Blocker log'!$G:$G,"Hard blocker",'Blocker log'!$L:$L,9))</f>
        <v>0</v>
      </c>
      <c r="P642" s="20">
        <f>IF($B642="","",MAXIFS('Blocker log'!$L:$L,'Blocker log'!$A:$A,$B642,'Blocker log'!$G:$G,"Hard blocker"))</f>
        <v>0</v>
      </c>
      <c r="Q642" s="20" t="str">
        <f>IF($B642="","",IF($K642&lt;&gt;"Complete","Assessment pending",IF($N642=0,"Ready now",VLOOKUP($P642,Lists!$D$2:$E$5,2,FALSE))))</f>
        <v>Assessment pending</v>
      </c>
    </row>
    <row r="643" ht="15.75" customHeight="1">
      <c r="A643" s="35" t="s">
        <v>1904</v>
      </c>
      <c r="B643" s="35" t="s">
        <v>1905</v>
      </c>
      <c r="C643" s="35" t="s">
        <v>1286</v>
      </c>
      <c r="D643" s="35" t="s">
        <v>260</v>
      </c>
      <c r="E643" s="35" t="s">
        <v>351</v>
      </c>
      <c r="F643" s="35" t="s">
        <v>1906</v>
      </c>
      <c r="G643" s="35" t="s">
        <v>1161</v>
      </c>
      <c r="H643" s="76">
        <v>57324.0</v>
      </c>
      <c r="I643" s="35" t="s">
        <v>430</v>
      </c>
      <c r="M643" s="20">
        <f>IF($B643="","",COUNTIFS('Blocker log'!$A:$A,$B643,'Blocker log'!$G:$G,"&lt;&gt;"))</f>
        <v>0</v>
      </c>
      <c r="N643" s="20">
        <f>IF($B643="","",COUNTIFS('Blocker log'!$A:$A,$B643,'Blocker log'!$G:$G,"Hard blocker"))</f>
        <v>0</v>
      </c>
      <c r="O643" s="20">
        <f>IF($B643="","",COUNTIFS('Blocker log'!$A:$A,$B643,'Blocker log'!$G:$G,"Hard blocker",'Blocker log'!$L:$L,9))</f>
        <v>0</v>
      </c>
      <c r="P643" s="20">
        <f>IF($B643="","",MAXIFS('Blocker log'!$L:$L,'Blocker log'!$A:$A,$B643,'Blocker log'!$G:$G,"Hard blocker"))</f>
        <v>0</v>
      </c>
      <c r="Q643" s="20" t="str">
        <f>IF($B643="","",IF($K643&lt;&gt;"Complete","Assessment pending",IF($N643=0,"Ready now",VLOOKUP($P643,Lists!$D$2:$E$5,2,FALSE))))</f>
        <v>Assessment pending</v>
      </c>
    </row>
    <row r="644" ht="15.75" customHeight="1">
      <c r="A644" s="35" t="s">
        <v>1907</v>
      </c>
      <c r="B644" s="35" t="s">
        <v>1908</v>
      </c>
      <c r="C644" s="35" t="s">
        <v>1286</v>
      </c>
      <c r="D644" s="35" t="s">
        <v>260</v>
      </c>
      <c r="E644" s="35" t="s">
        <v>530</v>
      </c>
      <c r="F644" s="35" t="s">
        <v>531</v>
      </c>
      <c r="G644" s="35" t="s">
        <v>1042</v>
      </c>
      <c r="H644" s="76">
        <v>57235.0</v>
      </c>
      <c r="I644" s="35" t="s">
        <v>441</v>
      </c>
      <c r="M644" s="20">
        <f>IF($B644="","",COUNTIFS('Blocker log'!$A:$A,$B644,'Blocker log'!$G:$G,"&lt;&gt;"))</f>
        <v>0</v>
      </c>
      <c r="N644" s="20">
        <f>IF($B644="","",COUNTIFS('Blocker log'!$A:$A,$B644,'Blocker log'!$G:$G,"Hard blocker"))</f>
        <v>0</v>
      </c>
      <c r="O644" s="20">
        <f>IF($B644="","",COUNTIFS('Blocker log'!$A:$A,$B644,'Blocker log'!$G:$G,"Hard blocker",'Blocker log'!$L:$L,9))</f>
        <v>0</v>
      </c>
      <c r="P644" s="20">
        <f>IF($B644="","",MAXIFS('Blocker log'!$L:$L,'Blocker log'!$A:$A,$B644,'Blocker log'!$G:$G,"Hard blocker"))</f>
        <v>0</v>
      </c>
      <c r="Q644" s="20" t="str">
        <f>IF($B644="","",IF($K644&lt;&gt;"Complete","Assessment pending",IF($N644=0,"Ready now",VLOOKUP($P644,Lists!$D$2:$E$5,2,FALSE))))</f>
        <v>Assessment pending</v>
      </c>
    </row>
    <row r="645" ht="15.75" customHeight="1">
      <c r="A645" s="35" t="s">
        <v>1909</v>
      </c>
      <c r="B645" s="35" t="s">
        <v>1910</v>
      </c>
      <c r="C645" s="35" t="s">
        <v>76</v>
      </c>
      <c r="D645" s="35" t="s">
        <v>58</v>
      </c>
      <c r="E645" s="35" t="s">
        <v>140</v>
      </c>
      <c r="F645" s="35" t="s">
        <v>663</v>
      </c>
      <c r="G645" s="35" t="s">
        <v>999</v>
      </c>
      <c r="H645" s="76">
        <v>56980.0</v>
      </c>
      <c r="I645" s="35"/>
      <c r="M645" s="20">
        <f>IF($B645="","",COUNTIFS('Blocker log'!$A:$A,$B645,'Blocker log'!$G:$G,"&lt;&gt;"))</f>
        <v>0</v>
      </c>
      <c r="N645" s="20">
        <f>IF($B645="","",COUNTIFS('Blocker log'!$A:$A,$B645,'Blocker log'!$G:$G,"Hard blocker"))</f>
        <v>0</v>
      </c>
      <c r="O645" s="20">
        <f>IF($B645="","",COUNTIFS('Blocker log'!$A:$A,$B645,'Blocker log'!$G:$G,"Hard blocker",'Blocker log'!$L:$L,9))</f>
        <v>0</v>
      </c>
      <c r="P645" s="20">
        <f>IF($B645="","",MAXIFS('Blocker log'!$L:$L,'Blocker log'!$A:$A,$B645,'Blocker log'!$G:$G,"Hard blocker"))</f>
        <v>0</v>
      </c>
      <c r="Q645" s="20" t="str">
        <f>IF($B645="","",IF($K645&lt;&gt;"Complete","Assessment pending",IF($N645=0,"Ready now",VLOOKUP($P645,Lists!$D$2:$E$5,2,FALSE))))</f>
        <v>Assessment pending</v>
      </c>
    </row>
    <row r="646" ht="15.75" customHeight="1">
      <c r="A646" s="35" t="s">
        <v>1911</v>
      </c>
      <c r="B646" s="35" t="s">
        <v>1912</v>
      </c>
      <c r="C646" s="35" t="s">
        <v>76</v>
      </c>
      <c r="D646" s="35" t="s">
        <v>171</v>
      </c>
      <c r="E646" s="35" t="s">
        <v>172</v>
      </c>
      <c r="F646" s="35" t="s">
        <v>173</v>
      </c>
      <c r="G646" s="35" t="s">
        <v>1042</v>
      </c>
      <c r="H646" s="76">
        <v>56825.0</v>
      </c>
      <c r="I646" s="35"/>
      <c r="M646" s="20">
        <f>IF($B646="","",COUNTIFS('Blocker log'!$A:$A,$B646,'Blocker log'!$G:$G,"&lt;&gt;"))</f>
        <v>0</v>
      </c>
      <c r="N646" s="20">
        <f>IF($B646="","",COUNTIFS('Blocker log'!$A:$A,$B646,'Blocker log'!$G:$G,"Hard blocker"))</f>
        <v>0</v>
      </c>
      <c r="O646" s="20">
        <f>IF($B646="","",COUNTIFS('Blocker log'!$A:$A,$B646,'Blocker log'!$G:$G,"Hard blocker",'Blocker log'!$L:$L,9))</f>
        <v>0</v>
      </c>
      <c r="P646" s="20">
        <f>IF($B646="","",MAXIFS('Blocker log'!$L:$L,'Blocker log'!$A:$A,$B646,'Blocker log'!$G:$G,"Hard blocker"))</f>
        <v>0</v>
      </c>
      <c r="Q646" s="20" t="str">
        <f>IF($B646="","",IF($K646&lt;&gt;"Complete","Assessment pending",IF($N646=0,"Ready now",VLOOKUP($P646,Lists!$D$2:$E$5,2,FALSE))))</f>
        <v>Assessment pending</v>
      </c>
    </row>
    <row r="647" ht="15.75" customHeight="1">
      <c r="A647" s="35" t="s">
        <v>1913</v>
      </c>
      <c r="B647" s="35" t="s">
        <v>1914</v>
      </c>
      <c r="C647" s="35" t="s">
        <v>1286</v>
      </c>
      <c r="D647" s="35" t="s">
        <v>301</v>
      </c>
      <c r="E647" s="35" t="s">
        <v>593</v>
      </c>
      <c r="F647" s="35" t="s">
        <v>593</v>
      </c>
      <c r="G647" s="35" t="s">
        <v>1161</v>
      </c>
      <c r="H647" s="76">
        <v>56679.0</v>
      </c>
      <c r="I647" s="35"/>
      <c r="M647" s="20">
        <f>IF($B647="","",COUNTIFS('Blocker log'!$A:$A,$B647,'Blocker log'!$G:$G,"&lt;&gt;"))</f>
        <v>0</v>
      </c>
      <c r="N647" s="20">
        <f>IF($B647="","",COUNTIFS('Blocker log'!$A:$A,$B647,'Blocker log'!$G:$G,"Hard blocker"))</f>
        <v>0</v>
      </c>
      <c r="O647" s="20">
        <f>IF($B647="","",COUNTIFS('Blocker log'!$A:$A,$B647,'Blocker log'!$G:$G,"Hard blocker",'Blocker log'!$L:$L,9))</f>
        <v>0</v>
      </c>
      <c r="P647" s="20">
        <f>IF($B647="","",MAXIFS('Blocker log'!$L:$L,'Blocker log'!$A:$A,$B647,'Blocker log'!$G:$G,"Hard blocker"))</f>
        <v>0</v>
      </c>
      <c r="Q647" s="20" t="str">
        <f>IF($B647="","",IF($K647&lt;&gt;"Complete","Assessment pending",IF($N647=0,"Ready now",VLOOKUP($P647,Lists!$D$2:$E$5,2,FALSE))))</f>
        <v>Assessment pending</v>
      </c>
    </row>
    <row r="648" ht="15.75" customHeight="1">
      <c r="A648" s="35" t="s">
        <v>1915</v>
      </c>
      <c r="B648" s="35" t="s">
        <v>1887</v>
      </c>
      <c r="C648" s="35" t="s">
        <v>1286</v>
      </c>
      <c r="D648" s="35" t="s">
        <v>260</v>
      </c>
      <c r="E648" s="35" t="s">
        <v>530</v>
      </c>
      <c r="F648" s="35" t="s">
        <v>531</v>
      </c>
      <c r="G648" s="35" t="s">
        <v>1161</v>
      </c>
      <c r="H648" s="76">
        <v>56506.0</v>
      </c>
      <c r="I648" s="35"/>
      <c r="M648" s="20">
        <f>IF($B648="","",COUNTIFS('Blocker log'!$A:$A,$B648,'Blocker log'!$G:$G,"&lt;&gt;"))</f>
        <v>0</v>
      </c>
      <c r="N648" s="20">
        <f>IF($B648="","",COUNTIFS('Blocker log'!$A:$A,$B648,'Blocker log'!$G:$G,"Hard blocker"))</f>
        <v>0</v>
      </c>
      <c r="O648" s="20">
        <f>IF($B648="","",COUNTIFS('Blocker log'!$A:$A,$B648,'Blocker log'!$G:$G,"Hard blocker",'Blocker log'!$L:$L,9))</f>
        <v>0</v>
      </c>
      <c r="P648" s="20">
        <f>IF($B648="","",MAXIFS('Blocker log'!$L:$L,'Blocker log'!$A:$A,$B648,'Blocker log'!$G:$G,"Hard blocker"))</f>
        <v>0</v>
      </c>
      <c r="Q648" s="20" t="str">
        <f>IF($B648="","",IF($K648&lt;&gt;"Complete","Assessment pending",IF($N648=0,"Ready now",VLOOKUP($P648,Lists!$D$2:$E$5,2,FALSE))))</f>
        <v>Assessment pending</v>
      </c>
    </row>
    <row r="649" ht="15.75" customHeight="1">
      <c r="A649" s="35" t="s">
        <v>1916</v>
      </c>
      <c r="B649" s="35" t="s">
        <v>1917</v>
      </c>
      <c r="C649" s="35" t="s">
        <v>1286</v>
      </c>
      <c r="D649" s="35" t="s">
        <v>171</v>
      </c>
      <c r="E649" s="35" t="s">
        <v>668</v>
      </c>
      <c r="F649" s="35" t="s">
        <v>669</v>
      </c>
      <c r="G649" s="35" t="s">
        <v>1161</v>
      </c>
      <c r="H649" s="76">
        <v>56200.0</v>
      </c>
      <c r="I649" s="35"/>
      <c r="M649" s="20">
        <f>IF($B649="","",COUNTIFS('Blocker log'!$A:$A,$B649,'Blocker log'!$G:$G,"&lt;&gt;"))</f>
        <v>0</v>
      </c>
      <c r="N649" s="20">
        <f>IF($B649="","",COUNTIFS('Blocker log'!$A:$A,$B649,'Blocker log'!$G:$G,"Hard blocker"))</f>
        <v>0</v>
      </c>
      <c r="O649" s="20">
        <f>IF($B649="","",COUNTIFS('Blocker log'!$A:$A,$B649,'Blocker log'!$G:$G,"Hard blocker",'Blocker log'!$L:$L,9))</f>
        <v>0</v>
      </c>
      <c r="P649" s="20">
        <f>IF($B649="","",MAXIFS('Blocker log'!$L:$L,'Blocker log'!$A:$A,$B649,'Blocker log'!$G:$G,"Hard blocker"))</f>
        <v>0</v>
      </c>
      <c r="Q649" s="20" t="str">
        <f>IF($B649="","",IF($K649&lt;&gt;"Complete","Assessment pending",IF($N649=0,"Ready now",VLOOKUP($P649,Lists!$D$2:$E$5,2,FALSE))))</f>
        <v>Assessment pending</v>
      </c>
    </row>
    <row r="650" ht="15.75" customHeight="1">
      <c r="A650" s="35" t="s">
        <v>1918</v>
      </c>
      <c r="B650" s="35" t="s">
        <v>1919</v>
      </c>
      <c r="C650" s="35" t="s">
        <v>1286</v>
      </c>
      <c r="D650" s="35" t="s">
        <v>58</v>
      </c>
      <c r="E650" s="35" t="s">
        <v>140</v>
      </c>
      <c r="F650" s="35" t="s">
        <v>246</v>
      </c>
      <c r="G650" s="35" t="s">
        <v>1161</v>
      </c>
      <c r="H650" s="76">
        <v>56160.0</v>
      </c>
      <c r="I650" s="35" t="s">
        <v>420</v>
      </c>
      <c r="M650" s="20">
        <f>IF($B650="","",COUNTIFS('Blocker log'!$A:$A,$B650,'Blocker log'!$G:$G,"&lt;&gt;"))</f>
        <v>0</v>
      </c>
      <c r="N650" s="20">
        <f>IF($B650="","",COUNTIFS('Blocker log'!$A:$A,$B650,'Blocker log'!$G:$G,"Hard blocker"))</f>
        <v>0</v>
      </c>
      <c r="O650" s="20">
        <f>IF($B650="","",COUNTIFS('Blocker log'!$A:$A,$B650,'Blocker log'!$G:$G,"Hard blocker",'Blocker log'!$L:$L,9))</f>
        <v>0</v>
      </c>
      <c r="P650" s="20">
        <f>IF($B650="","",MAXIFS('Blocker log'!$L:$L,'Blocker log'!$A:$A,$B650,'Blocker log'!$G:$G,"Hard blocker"))</f>
        <v>0</v>
      </c>
      <c r="Q650" s="20" t="str">
        <f>IF($B650="","",IF($K650&lt;&gt;"Complete","Assessment pending",IF($N650=0,"Ready now",VLOOKUP($P650,Lists!$D$2:$E$5,2,FALSE))))</f>
        <v>Assessment pending</v>
      </c>
    </row>
    <row r="651" ht="15.75" customHeight="1">
      <c r="A651" s="35" t="s">
        <v>1920</v>
      </c>
      <c r="B651" s="35" t="s">
        <v>1921</v>
      </c>
      <c r="C651" s="35" t="s">
        <v>1286</v>
      </c>
      <c r="D651" s="35" t="s">
        <v>58</v>
      </c>
      <c r="E651" s="35" t="s">
        <v>101</v>
      </c>
      <c r="F651" s="35" t="s">
        <v>1386</v>
      </c>
      <c r="G651" s="35" t="s">
        <v>1161</v>
      </c>
      <c r="H651" s="76">
        <v>55692.0</v>
      </c>
      <c r="I651" s="35" t="s">
        <v>447</v>
      </c>
      <c r="M651" s="20">
        <f>IF($B651="","",COUNTIFS('Blocker log'!$A:$A,$B651,'Blocker log'!$G:$G,"&lt;&gt;"))</f>
        <v>0</v>
      </c>
      <c r="N651" s="20">
        <f>IF($B651="","",COUNTIFS('Blocker log'!$A:$A,$B651,'Blocker log'!$G:$G,"Hard blocker"))</f>
        <v>0</v>
      </c>
      <c r="O651" s="20">
        <f>IF($B651="","",COUNTIFS('Blocker log'!$A:$A,$B651,'Blocker log'!$G:$G,"Hard blocker",'Blocker log'!$L:$L,9))</f>
        <v>0</v>
      </c>
      <c r="P651" s="20">
        <f>IF($B651="","",MAXIFS('Blocker log'!$L:$L,'Blocker log'!$A:$A,$B651,'Blocker log'!$G:$G,"Hard blocker"))</f>
        <v>0</v>
      </c>
      <c r="Q651" s="20" t="str">
        <f>IF($B651="","",IF($K651&lt;&gt;"Complete","Assessment pending",IF($N651=0,"Ready now",VLOOKUP($P651,Lists!$D$2:$E$5,2,FALSE))))</f>
        <v>Assessment pending</v>
      </c>
    </row>
    <row r="652" ht="15.75" customHeight="1">
      <c r="A652" s="35" t="s">
        <v>1922</v>
      </c>
      <c r="B652" s="35" t="s">
        <v>1923</v>
      </c>
      <c r="C652" s="35" t="s">
        <v>1286</v>
      </c>
      <c r="D652" s="35" t="s">
        <v>301</v>
      </c>
      <c r="E652" s="35" t="s">
        <v>484</v>
      </c>
      <c r="F652" s="35" t="s">
        <v>484</v>
      </c>
      <c r="G652" s="35" t="s">
        <v>1042</v>
      </c>
      <c r="H652" s="76">
        <v>55609.0</v>
      </c>
      <c r="I652" s="35"/>
      <c r="M652" s="20">
        <f>IF($B652="","",COUNTIFS('Blocker log'!$A:$A,$B652,'Blocker log'!$G:$G,"&lt;&gt;"))</f>
        <v>0</v>
      </c>
      <c r="N652" s="20">
        <f>IF($B652="","",COUNTIFS('Blocker log'!$A:$A,$B652,'Blocker log'!$G:$G,"Hard blocker"))</f>
        <v>0</v>
      </c>
      <c r="O652" s="20">
        <f>IF($B652="","",COUNTIFS('Blocker log'!$A:$A,$B652,'Blocker log'!$G:$G,"Hard blocker",'Blocker log'!$L:$L,9))</f>
        <v>0</v>
      </c>
      <c r="P652" s="20">
        <f>IF($B652="","",MAXIFS('Blocker log'!$L:$L,'Blocker log'!$A:$A,$B652,'Blocker log'!$G:$G,"Hard blocker"))</f>
        <v>0</v>
      </c>
      <c r="Q652" s="20" t="str">
        <f>IF($B652="","",IF($K652&lt;&gt;"Complete","Assessment pending",IF($N652=0,"Ready now",VLOOKUP($P652,Lists!$D$2:$E$5,2,FALSE))))</f>
        <v>Assessment pending</v>
      </c>
    </row>
    <row r="653" ht="15.75" customHeight="1">
      <c r="A653" s="35" t="s">
        <v>1924</v>
      </c>
      <c r="B653" s="35" t="s">
        <v>1925</v>
      </c>
      <c r="C653" s="35" t="s">
        <v>1286</v>
      </c>
      <c r="D653" s="35" t="s">
        <v>171</v>
      </c>
      <c r="E653" s="35" t="s">
        <v>512</v>
      </c>
      <c r="F653" s="35" t="s">
        <v>513</v>
      </c>
      <c r="G653" s="35" t="s">
        <v>1161</v>
      </c>
      <c r="H653" s="76">
        <v>55609.0</v>
      </c>
      <c r="I653" s="35"/>
      <c r="M653" s="20">
        <f>IF($B653="","",COUNTIFS('Blocker log'!$A:$A,$B653,'Blocker log'!$G:$G,"&lt;&gt;"))</f>
        <v>0</v>
      </c>
      <c r="N653" s="20">
        <f>IF($B653="","",COUNTIFS('Blocker log'!$A:$A,$B653,'Blocker log'!$G:$G,"Hard blocker"))</f>
        <v>0</v>
      </c>
      <c r="O653" s="20">
        <f>IF($B653="","",COUNTIFS('Blocker log'!$A:$A,$B653,'Blocker log'!$G:$G,"Hard blocker",'Blocker log'!$L:$L,9))</f>
        <v>0</v>
      </c>
      <c r="P653" s="20">
        <f>IF($B653="","",MAXIFS('Blocker log'!$L:$L,'Blocker log'!$A:$A,$B653,'Blocker log'!$G:$G,"Hard blocker"))</f>
        <v>0</v>
      </c>
      <c r="Q653" s="20" t="str">
        <f>IF($B653="","",IF($K653&lt;&gt;"Complete","Assessment pending",IF($N653=0,"Ready now",VLOOKUP($P653,Lists!$D$2:$E$5,2,FALSE))))</f>
        <v>Assessment pending</v>
      </c>
    </row>
    <row r="654" ht="15.75" customHeight="1">
      <c r="A654" s="35" t="s">
        <v>1926</v>
      </c>
      <c r="B654" s="35" t="s">
        <v>1927</v>
      </c>
      <c r="C654" s="35" t="s">
        <v>1286</v>
      </c>
      <c r="D654" s="35" t="s">
        <v>58</v>
      </c>
      <c r="E654" s="35" t="s">
        <v>494</v>
      </c>
      <c r="F654" s="35" t="s">
        <v>495</v>
      </c>
      <c r="G654" s="35" t="s">
        <v>1161</v>
      </c>
      <c r="H654" s="76">
        <v>55528.0</v>
      </c>
      <c r="I654" s="35"/>
      <c r="M654" s="20">
        <f>IF($B654="","",COUNTIFS('Blocker log'!$A:$A,$B654,'Blocker log'!$G:$G,"&lt;&gt;"))</f>
        <v>0</v>
      </c>
      <c r="N654" s="20">
        <f>IF($B654="","",COUNTIFS('Blocker log'!$A:$A,$B654,'Blocker log'!$G:$G,"Hard blocker"))</f>
        <v>0</v>
      </c>
      <c r="O654" s="20">
        <f>IF($B654="","",COUNTIFS('Blocker log'!$A:$A,$B654,'Blocker log'!$G:$G,"Hard blocker",'Blocker log'!$L:$L,9))</f>
        <v>0</v>
      </c>
      <c r="P654" s="20">
        <f>IF($B654="","",MAXIFS('Blocker log'!$L:$L,'Blocker log'!$A:$A,$B654,'Blocker log'!$G:$G,"Hard blocker"))</f>
        <v>0</v>
      </c>
      <c r="Q654" s="20" t="str">
        <f>IF($B654="","",IF($K654&lt;&gt;"Complete","Assessment pending",IF($N654=0,"Ready now",VLOOKUP($P654,Lists!$D$2:$E$5,2,FALSE))))</f>
        <v>Assessment pending</v>
      </c>
    </row>
    <row r="655" ht="15.75" customHeight="1">
      <c r="A655" s="35" t="s">
        <v>1928</v>
      </c>
      <c r="B655" s="35" t="s">
        <v>1929</v>
      </c>
      <c r="C655" s="35" t="s">
        <v>1286</v>
      </c>
      <c r="D655" s="35" t="s">
        <v>171</v>
      </c>
      <c r="E655" s="35" t="s">
        <v>713</v>
      </c>
      <c r="F655" s="35" t="s">
        <v>714</v>
      </c>
      <c r="G655" s="35" t="s">
        <v>1161</v>
      </c>
      <c r="H655" s="76">
        <v>55507.0</v>
      </c>
      <c r="I655" s="35"/>
      <c r="M655" s="20">
        <f>IF($B655="","",COUNTIFS('Blocker log'!$A:$A,$B655,'Blocker log'!$G:$G,"&lt;&gt;"))</f>
        <v>0</v>
      </c>
      <c r="N655" s="20">
        <f>IF($B655="","",COUNTIFS('Blocker log'!$A:$A,$B655,'Blocker log'!$G:$G,"Hard blocker"))</f>
        <v>0</v>
      </c>
      <c r="O655" s="20">
        <f>IF($B655="","",COUNTIFS('Blocker log'!$A:$A,$B655,'Blocker log'!$G:$G,"Hard blocker",'Blocker log'!$L:$L,9))</f>
        <v>0</v>
      </c>
      <c r="P655" s="20">
        <f>IF($B655="","",MAXIFS('Blocker log'!$L:$L,'Blocker log'!$A:$A,$B655,'Blocker log'!$G:$G,"Hard blocker"))</f>
        <v>0</v>
      </c>
      <c r="Q655" s="20" t="str">
        <f>IF($B655="","",IF($K655&lt;&gt;"Complete","Assessment pending",IF($N655=0,"Ready now",VLOOKUP($P655,Lists!$D$2:$E$5,2,FALSE))))</f>
        <v>Assessment pending</v>
      </c>
    </row>
    <row r="656" ht="15.75" customHeight="1">
      <c r="A656" s="35" t="s">
        <v>1930</v>
      </c>
      <c r="B656" s="35" t="s">
        <v>1931</v>
      </c>
      <c r="C656" s="35" t="s">
        <v>1286</v>
      </c>
      <c r="D656" s="35" t="s">
        <v>58</v>
      </c>
      <c r="E656" s="35" t="s">
        <v>132</v>
      </c>
      <c r="F656" s="35" t="s">
        <v>949</v>
      </c>
      <c r="G656" s="35" t="s">
        <v>1161</v>
      </c>
      <c r="H656" s="76">
        <v>55500.0</v>
      </c>
      <c r="I656" s="35" t="s">
        <v>445</v>
      </c>
      <c r="M656" s="20">
        <f>IF($B656="","",COUNTIFS('Blocker log'!$A:$A,$B656,'Blocker log'!$G:$G,"&lt;&gt;"))</f>
        <v>0</v>
      </c>
      <c r="N656" s="20">
        <f>IF($B656="","",COUNTIFS('Blocker log'!$A:$A,$B656,'Blocker log'!$G:$G,"Hard blocker"))</f>
        <v>0</v>
      </c>
      <c r="O656" s="20">
        <f>IF($B656="","",COUNTIFS('Blocker log'!$A:$A,$B656,'Blocker log'!$G:$G,"Hard blocker",'Blocker log'!$L:$L,9))</f>
        <v>0</v>
      </c>
      <c r="P656" s="20">
        <f>IF($B656="","",MAXIFS('Blocker log'!$L:$L,'Blocker log'!$A:$A,$B656,'Blocker log'!$G:$G,"Hard blocker"))</f>
        <v>0</v>
      </c>
      <c r="Q656" s="20" t="str">
        <f>IF($B656="","",IF($K656&lt;&gt;"Complete","Assessment pending",IF($N656=0,"Ready now",VLOOKUP($P656,Lists!$D$2:$E$5,2,FALSE))))</f>
        <v>Assessment pending</v>
      </c>
    </row>
    <row r="657" ht="15.75" customHeight="1">
      <c r="A657" s="35" t="s">
        <v>1932</v>
      </c>
      <c r="B657" s="35" t="s">
        <v>1933</v>
      </c>
      <c r="C657" s="35" t="s">
        <v>1286</v>
      </c>
      <c r="D657" s="35" t="s">
        <v>171</v>
      </c>
      <c r="E657" s="35" t="s">
        <v>512</v>
      </c>
      <c r="F657" s="35" t="s">
        <v>537</v>
      </c>
      <c r="G657" s="35" t="s">
        <v>1042</v>
      </c>
      <c r="H657" s="76">
        <v>54929.0</v>
      </c>
      <c r="I657" s="35" t="s">
        <v>415</v>
      </c>
      <c r="M657" s="20">
        <f>IF($B657="","",COUNTIFS('Blocker log'!$A:$A,$B657,'Blocker log'!$G:$G,"&lt;&gt;"))</f>
        <v>0</v>
      </c>
      <c r="N657" s="20">
        <f>IF($B657="","",COUNTIFS('Blocker log'!$A:$A,$B657,'Blocker log'!$G:$G,"Hard blocker"))</f>
        <v>0</v>
      </c>
      <c r="O657" s="20">
        <f>IF($B657="","",COUNTIFS('Blocker log'!$A:$A,$B657,'Blocker log'!$G:$G,"Hard blocker",'Blocker log'!$L:$L,9))</f>
        <v>0</v>
      </c>
      <c r="P657" s="20">
        <f>IF($B657="","",MAXIFS('Blocker log'!$L:$L,'Blocker log'!$A:$A,$B657,'Blocker log'!$G:$G,"Hard blocker"))</f>
        <v>0</v>
      </c>
      <c r="Q657" s="20" t="str">
        <f>IF($B657="","",IF($K657&lt;&gt;"Complete","Assessment pending",IF($N657=0,"Ready now",VLOOKUP($P657,Lists!$D$2:$E$5,2,FALSE))))</f>
        <v>Assessment pending</v>
      </c>
    </row>
    <row r="658" ht="15.75" customHeight="1">
      <c r="A658" s="35" t="s">
        <v>1934</v>
      </c>
      <c r="B658" s="35" t="s">
        <v>1935</v>
      </c>
      <c r="C658" s="35" t="s">
        <v>1286</v>
      </c>
      <c r="D658" s="35" t="s">
        <v>301</v>
      </c>
      <c r="E658" s="35" t="s">
        <v>593</v>
      </c>
      <c r="F658" s="35" t="s">
        <v>593</v>
      </c>
      <c r="G658" s="35" t="s">
        <v>1161</v>
      </c>
      <c r="H658" s="76">
        <v>54586.0</v>
      </c>
      <c r="I658" s="35"/>
      <c r="M658" s="20">
        <f>IF($B658="","",COUNTIFS('Blocker log'!$A:$A,$B658,'Blocker log'!$G:$G,"&lt;&gt;"))</f>
        <v>0</v>
      </c>
      <c r="N658" s="20">
        <f>IF($B658="","",COUNTIFS('Blocker log'!$A:$A,$B658,'Blocker log'!$G:$G,"Hard blocker"))</f>
        <v>0</v>
      </c>
      <c r="O658" s="20">
        <f>IF($B658="","",COUNTIFS('Blocker log'!$A:$A,$B658,'Blocker log'!$G:$G,"Hard blocker",'Blocker log'!$L:$L,9))</f>
        <v>0</v>
      </c>
      <c r="P658" s="20">
        <f>IF($B658="","",MAXIFS('Blocker log'!$L:$L,'Blocker log'!$A:$A,$B658,'Blocker log'!$G:$G,"Hard blocker"))</f>
        <v>0</v>
      </c>
      <c r="Q658" s="20" t="str">
        <f>IF($B658="","",IF($K658&lt;&gt;"Complete","Assessment pending",IF($N658=0,"Ready now",VLOOKUP($P658,Lists!$D$2:$E$5,2,FALSE))))</f>
        <v>Assessment pending</v>
      </c>
    </row>
    <row r="659" ht="15.75" customHeight="1">
      <c r="A659" s="35" t="s">
        <v>1936</v>
      </c>
      <c r="B659" s="35" t="s">
        <v>1937</v>
      </c>
      <c r="C659" s="35" t="s">
        <v>1286</v>
      </c>
      <c r="D659" s="35" t="s">
        <v>58</v>
      </c>
      <c r="E659" s="35" t="s">
        <v>101</v>
      </c>
      <c r="F659" s="35" t="s">
        <v>554</v>
      </c>
      <c r="G659" s="35" t="s">
        <v>1161</v>
      </c>
      <c r="H659" s="76">
        <v>54519.0</v>
      </c>
      <c r="I659" s="35"/>
      <c r="M659" s="20">
        <f>IF($B659="","",COUNTIFS('Blocker log'!$A:$A,$B659,'Blocker log'!$G:$G,"&lt;&gt;"))</f>
        <v>0</v>
      </c>
      <c r="N659" s="20">
        <f>IF($B659="","",COUNTIFS('Blocker log'!$A:$A,$B659,'Blocker log'!$G:$G,"Hard blocker"))</f>
        <v>0</v>
      </c>
      <c r="O659" s="20">
        <f>IF($B659="","",COUNTIFS('Blocker log'!$A:$A,$B659,'Blocker log'!$G:$G,"Hard blocker",'Blocker log'!$L:$L,9))</f>
        <v>0</v>
      </c>
      <c r="P659" s="20">
        <f>IF($B659="","",MAXIFS('Blocker log'!$L:$L,'Blocker log'!$A:$A,$B659,'Blocker log'!$G:$G,"Hard blocker"))</f>
        <v>0</v>
      </c>
      <c r="Q659" s="20" t="str">
        <f>IF($B659="","",IF($K659&lt;&gt;"Complete","Assessment pending",IF($N659=0,"Ready now",VLOOKUP($P659,Lists!$D$2:$E$5,2,FALSE))))</f>
        <v>Assessment pending</v>
      </c>
    </row>
    <row r="660" ht="15.75" customHeight="1">
      <c r="A660" s="35" t="s">
        <v>1938</v>
      </c>
      <c r="B660" s="35" t="s">
        <v>1939</v>
      </c>
      <c r="C660" s="35" t="s">
        <v>1286</v>
      </c>
      <c r="D660" s="35" t="s">
        <v>260</v>
      </c>
      <c r="E660" s="35" t="s">
        <v>506</v>
      </c>
      <c r="F660" s="35" t="s">
        <v>798</v>
      </c>
      <c r="G660" s="35" t="s">
        <v>1161</v>
      </c>
      <c r="H660" s="76">
        <v>54205.0</v>
      </c>
      <c r="I660" s="35" t="s">
        <v>416</v>
      </c>
      <c r="M660" s="20">
        <f>IF($B660="","",COUNTIFS('Blocker log'!$A:$A,$B660,'Blocker log'!$G:$G,"&lt;&gt;"))</f>
        <v>0</v>
      </c>
      <c r="N660" s="20">
        <f>IF($B660="","",COUNTIFS('Blocker log'!$A:$A,$B660,'Blocker log'!$G:$G,"Hard blocker"))</f>
        <v>0</v>
      </c>
      <c r="O660" s="20">
        <f>IF($B660="","",COUNTIFS('Blocker log'!$A:$A,$B660,'Blocker log'!$G:$G,"Hard blocker",'Blocker log'!$L:$L,9))</f>
        <v>0</v>
      </c>
      <c r="P660" s="20">
        <f>IF($B660="","",MAXIFS('Blocker log'!$L:$L,'Blocker log'!$A:$A,$B660,'Blocker log'!$G:$G,"Hard blocker"))</f>
        <v>0</v>
      </c>
      <c r="Q660" s="20" t="str">
        <f>IF($B660="","",IF($K660&lt;&gt;"Complete","Assessment pending",IF($N660=0,"Ready now",VLOOKUP($P660,Lists!$D$2:$E$5,2,FALSE))))</f>
        <v>Assessment pending</v>
      </c>
    </row>
    <row r="661" ht="15.75" customHeight="1">
      <c r="A661" s="35" t="s">
        <v>1940</v>
      </c>
      <c r="B661" s="35" t="s">
        <v>1941</v>
      </c>
      <c r="C661" s="35" t="s">
        <v>1286</v>
      </c>
      <c r="D661" s="35" t="s">
        <v>58</v>
      </c>
      <c r="E661" s="35" t="s">
        <v>181</v>
      </c>
      <c r="F661" s="35" t="s">
        <v>653</v>
      </c>
      <c r="G661" s="35" t="s">
        <v>1161</v>
      </c>
      <c r="H661" s="76">
        <v>54140.0</v>
      </c>
      <c r="I661" s="35"/>
      <c r="M661" s="20">
        <f>IF($B661="","",COUNTIFS('Blocker log'!$A:$A,$B661,'Blocker log'!$G:$G,"&lt;&gt;"))</f>
        <v>0</v>
      </c>
      <c r="N661" s="20">
        <f>IF($B661="","",COUNTIFS('Blocker log'!$A:$A,$B661,'Blocker log'!$G:$G,"Hard blocker"))</f>
        <v>0</v>
      </c>
      <c r="O661" s="20">
        <f>IF($B661="","",COUNTIFS('Blocker log'!$A:$A,$B661,'Blocker log'!$G:$G,"Hard blocker",'Blocker log'!$L:$L,9))</f>
        <v>0</v>
      </c>
      <c r="P661" s="20">
        <f>IF($B661="","",MAXIFS('Blocker log'!$L:$L,'Blocker log'!$A:$A,$B661,'Blocker log'!$G:$G,"Hard blocker"))</f>
        <v>0</v>
      </c>
      <c r="Q661" s="20" t="str">
        <f>IF($B661="","",IF($K661&lt;&gt;"Complete","Assessment pending",IF($N661=0,"Ready now",VLOOKUP($P661,Lists!$D$2:$E$5,2,FALSE))))</f>
        <v>Assessment pending</v>
      </c>
    </row>
    <row r="662" ht="15.75" customHeight="1">
      <c r="A662" s="35" t="s">
        <v>1942</v>
      </c>
      <c r="B662" s="35" t="s">
        <v>1943</v>
      </c>
      <c r="C662" s="35" t="s">
        <v>1286</v>
      </c>
      <c r="D662" s="35" t="s">
        <v>58</v>
      </c>
      <c r="E662" s="35" t="s">
        <v>140</v>
      </c>
      <c r="F662" s="35" t="s">
        <v>370</v>
      </c>
      <c r="G662" s="35" t="s">
        <v>1161</v>
      </c>
      <c r="H662" s="76">
        <v>53944.0</v>
      </c>
      <c r="I662" s="35"/>
      <c r="M662" s="20">
        <f>IF($B662="","",COUNTIFS('Blocker log'!$A:$A,$B662,'Blocker log'!$G:$G,"&lt;&gt;"))</f>
        <v>0</v>
      </c>
      <c r="N662" s="20">
        <f>IF($B662="","",COUNTIFS('Blocker log'!$A:$A,$B662,'Blocker log'!$G:$G,"Hard blocker"))</f>
        <v>0</v>
      </c>
      <c r="O662" s="20">
        <f>IF($B662="","",COUNTIFS('Blocker log'!$A:$A,$B662,'Blocker log'!$G:$G,"Hard blocker",'Blocker log'!$L:$L,9))</f>
        <v>0</v>
      </c>
      <c r="P662" s="20">
        <f>IF($B662="","",MAXIFS('Blocker log'!$L:$L,'Blocker log'!$A:$A,$B662,'Blocker log'!$G:$G,"Hard blocker"))</f>
        <v>0</v>
      </c>
      <c r="Q662" s="20" t="str">
        <f>IF($B662="","",IF($K662&lt;&gt;"Complete","Assessment pending",IF($N662=0,"Ready now",VLOOKUP($P662,Lists!$D$2:$E$5,2,FALSE))))</f>
        <v>Assessment pending</v>
      </c>
    </row>
    <row r="663" ht="15.75" customHeight="1">
      <c r="A663" s="35" t="s">
        <v>1944</v>
      </c>
      <c r="B663" s="35" t="s">
        <v>1945</v>
      </c>
      <c r="C663" s="35" t="s">
        <v>1286</v>
      </c>
      <c r="D663" s="35" t="s">
        <v>58</v>
      </c>
      <c r="E663" s="35" t="s">
        <v>101</v>
      </c>
      <c r="F663" s="35" t="s">
        <v>116</v>
      </c>
      <c r="G663" s="35" t="s">
        <v>1042</v>
      </c>
      <c r="H663" s="76">
        <v>53243.0</v>
      </c>
      <c r="I663" s="35" t="s">
        <v>448</v>
      </c>
      <c r="M663" s="20">
        <f>IF($B663="","",COUNTIFS('Blocker log'!$A:$A,$B663,'Blocker log'!$G:$G,"&lt;&gt;"))</f>
        <v>0</v>
      </c>
      <c r="N663" s="20">
        <f>IF($B663="","",COUNTIFS('Blocker log'!$A:$A,$B663,'Blocker log'!$G:$G,"Hard blocker"))</f>
        <v>0</v>
      </c>
      <c r="O663" s="20">
        <f>IF($B663="","",COUNTIFS('Blocker log'!$A:$A,$B663,'Blocker log'!$G:$G,"Hard blocker",'Blocker log'!$L:$L,9))</f>
        <v>0</v>
      </c>
      <c r="P663" s="20">
        <f>IF($B663="","",MAXIFS('Blocker log'!$L:$L,'Blocker log'!$A:$A,$B663,'Blocker log'!$G:$G,"Hard blocker"))</f>
        <v>0</v>
      </c>
      <c r="Q663" s="20" t="str">
        <f>IF($B663="","",IF($K663&lt;&gt;"Complete","Assessment pending",IF($N663=0,"Ready now",VLOOKUP($P663,Lists!$D$2:$E$5,2,FALSE))))</f>
        <v>Assessment pending</v>
      </c>
    </row>
    <row r="664" ht="15.75" customHeight="1">
      <c r="A664" s="35" t="s">
        <v>1946</v>
      </c>
      <c r="B664" s="35" t="s">
        <v>1947</v>
      </c>
      <c r="C664" s="35" t="s">
        <v>1286</v>
      </c>
      <c r="D664" s="35" t="s">
        <v>260</v>
      </c>
      <c r="E664" s="35" t="s">
        <v>351</v>
      </c>
      <c r="F664" s="35" t="s">
        <v>1948</v>
      </c>
      <c r="G664" s="35" t="s">
        <v>1042</v>
      </c>
      <c r="H664" s="76">
        <v>51840.0</v>
      </c>
      <c r="I664" s="35" t="s">
        <v>430</v>
      </c>
      <c r="M664" s="20">
        <f>IF($B664="","",COUNTIFS('Blocker log'!$A:$A,$B664,'Blocker log'!$G:$G,"&lt;&gt;"))</f>
        <v>0</v>
      </c>
      <c r="N664" s="20">
        <f>IF($B664="","",COUNTIFS('Blocker log'!$A:$A,$B664,'Blocker log'!$G:$G,"Hard blocker"))</f>
        <v>0</v>
      </c>
      <c r="O664" s="20">
        <f>IF($B664="","",COUNTIFS('Blocker log'!$A:$A,$B664,'Blocker log'!$G:$G,"Hard blocker",'Blocker log'!$L:$L,9))</f>
        <v>0</v>
      </c>
      <c r="P664" s="20">
        <f>IF($B664="","",MAXIFS('Blocker log'!$L:$L,'Blocker log'!$A:$A,$B664,'Blocker log'!$G:$G,"Hard blocker"))</f>
        <v>0</v>
      </c>
      <c r="Q664" s="20" t="str">
        <f>IF($B664="","",IF($K664&lt;&gt;"Complete","Assessment pending",IF($N664=0,"Ready now",VLOOKUP($P664,Lists!$D$2:$E$5,2,FALSE))))</f>
        <v>Assessment pending</v>
      </c>
    </row>
    <row r="665" ht="15.75" customHeight="1">
      <c r="A665" s="35" t="s">
        <v>1949</v>
      </c>
      <c r="B665" s="35" t="s">
        <v>1950</v>
      </c>
      <c r="C665" s="35" t="s">
        <v>1286</v>
      </c>
      <c r="D665" s="35" t="s">
        <v>58</v>
      </c>
      <c r="E665" s="35" t="s">
        <v>59</v>
      </c>
      <c r="F665" s="35" t="s">
        <v>598</v>
      </c>
      <c r="G665" s="35" t="s">
        <v>1161</v>
      </c>
      <c r="H665" s="76">
        <v>51840.0</v>
      </c>
      <c r="I665" s="35"/>
      <c r="M665" s="20">
        <f>IF($B665="","",COUNTIFS('Blocker log'!$A:$A,$B665,'Blocker log'!$G:$G,"&lt;&gt;"))</f>
        <v>0</v>
      </c>
      <c r="N665" s="20">
        <f>IF($B665="","",COUNTIFS('Blocker log'!$A:$A,$B665,'Blocker log'!$G:$G,"Hard blocker"))</f>
        <v>0</v>
      </c>
      <c r="O665" s="20">
        <f>IF($B665="","",COUNTIFS('Blocker log'!$A:$A,$B665,'Blocker log'!$G:$G,"Hard blocker",'Blocker log'!$L:$L,9))</f>
        <v>0</v>
      </c>
      <c r="P665" s="20">
        <f>IF($B665="","",MAXIFS('Blocker log'!$L:$L,'Blocker log'!$A:$A,$B665,'Blocker log'!$G:$G,"Hard blocker"))</f>
        <v>0</v>
      </c>
      <c r="Q665" s="20" t="str">
        <f>IF($B665="","",IF($K665&lt;&gt;"Complete","Assessment pending",IF($N665=0,"Ready now",VLOOKUP($P665,Lists!$D$2:$E$5,2,FALSE))))</f>
        <v>Assessment pending</v>
      </c>
    </row>
    <row r="666" ht="15.75" customHeight="1">
      <c r="A666" s="35" t="s">
        <v>1951</v>
      </c>
      <c r="B666" s="35" t="s">
        <v>1952</v>
      </c>
      <c r="C666" s="35" t="s">
        <v>76</v>
      </c>
      <c r="D666" s="35" t="s">
        <v>58</v>
      </c>
      <c r="E666" s="35" t="s">
        <v>59</v>
      </c>
      <c r="F666" s="35" t="s">
        <v>77</v>
      </c>
      <c r="G666" s="35" t="s">
        <v>999</v>
      </c>
      <c r="H666" s="76">
        <v>51840.0</v>
      </c>
      <c r="I666" s="35"/>
      <c r="M666" s="20">
        <f>IF($B666="","",COUNTIFS('Blocker log'!$A:$A,$B666,'Blocker log'!$G:$G,"&lt;&gt;"))</f>
        <v>0</v>
      </c>
      <c r="N666" s="20">
        <f>IF($B666="","",COUNTIFS('Blocker log'!$A:$A,$B666,'Blocker log'!$G:$G,"Hard blocker"))</f>
        <v>0</v>
      </c>
      <c r="O666" s="20">
        <f>IF($B666="","",COUNTIFS('Blocker log'!$A:$A,$B666,'Blocker log'!$G:$G,"Hard blocker",'Blocker log'!$L:$L,9))</f>
        <v>0</v>
      </c>
      <c r="P666" s="20">
        <f>IF($B666="","",MAXIFS('Blocker log'!$L:$L,'Blocker log'!$A:$A,$B666,'Blocker log'!$G:$G,"Hard blocker"))</f>
        <v>0</v>
      </c>
      <c r="Q666" s="20" t="str">
        <f>IF($B666="","",IF($K666&lt;&gt;"Complete","Assessment pending",IF($N666=0,"Ready now",VLOOKUP($P666,Lists!$D$2:$E$5,2,FALSE))))</f>
        <v>Assessment pending</v>
      </c>
    </row>
    <row r="667" ht="15.75" customHeight="1">
      <c r="A667" s="35" t="s">
        <v>1953</v>
      </c>
      <c r="B667" s="35" t="s">
        <v>1954</v>
      </c>
      <c r="C667" s="35" t="s">
        <v>1286</v>
      </c>
      <c r="D667" s="35" t="s">
        <v>58</v>
      </c>
      <c r="E667" s="35" t="s">
        <v>101</v>
      </c>
      <c r="F667" s="35" t="s">
        <v>554</v>
      </c>
      <c r="G667" s="35" t="s">
        <v>1161</v>
      </c>
      <c r="H667" s="76">
        <v>51800.0</v>
      </c>
      <c r="I667" s="35" t="s">
        <v>405</v>
      </c>
      <c r="M667" s="20">
        <f>IF($B667="","",COUNTIFS('Blocker log'!$A:$A,$B667,'Blocker log'!$G:$G,"&lt;&gt;"))</f>
        <v>0</v>
      </c>
      <c r="N667" s="20">
        <f>IF($B667="","",COUNTIFS('Blocker log'!$A:$A,$B667,'Blocker log'!$G:$G,"Hard blocker"))</f>
        <v>0</v>
      </c>
      <c r="O667" s="20">
        <f>IF($B667="","",COUNTIFS('Blocker log'!$A:$A,$B667,'Blocker log'!$G:$G,"Hard blocker",'Blocker log'!$L:$L,9))</f>
        <v>0</v>
      </c>
      <c r="P667" s="20">
        <f>IF($B667="","",MAXIFS('Blocker log'!$L:$L,'Blocker log'!$A:$A,$B667,'Blocker log'!$G:$G,"Hard blocker"))</f>
        <v>0</v>
      </c>
      <c r="Q667" s="20" t="str">
        <f>IF($B667="","",IF($K667&lt;&gt;"Complete","Assessment pending",IF($N667=0,"Ready now",VLOOKUP($P667,Lists!$D$2:$E$5,2,FALSE))))</f>
        <v>Assessment pending</v>
      </c>
    </row>
    <row r="668" ht="15.75" customHeight="1">
      <c r="A668" s="35" t="s">
        <v>1955</v>
      </c>
      <c r="B668" s="35" t="s">
        <v>1956</v>
      </c>
      <c r="C668" s="35" t="s">
        <v>1286</v>
      </c>
      <c r="D668" s="35" t="s">
        <v>58</v>
      </c>
      <c r="E668" s="35" t="s">
        <v>59</v>
      </c>
      <c r="F668" s="35" t="s">
        <v>598</v>
      </c>
      <c r="G668" s="35" t="s">
        <v>1042</v>
      </c>
      <c r="H668" s="76">
        <v>51713.0</v>
      </c>
      <c r="I668" s="35" t="s">
        <v>449</v>
      </c>
      <c r="M668" s="20">
        <f>IF($B668="","",COUNTIFS('Blocker log'!$A:$A,$B668,'Blocker log'!$G:$G,"&lt;&gt;"))</f>
        <v>0</v>
      </c>
      <c r="N668" s="20">
        <f>IF($B668="","",COUNTIFS('Blocker log'!$A:$A,$B668,'Blocker log'!$G:$G,"Hard blocker"))</f>
        <v>0</v>
      </c>
      <c r="O668" s="20">
        <f>IF($B668="","",COUNTIFS('Blocker log'!$A:$A,$B668,'Blocker log'!$G:$G,"Hard blocker",'Blocker log'!$L:$L,9))</f>
        <v>0</v>
      </c>
      <c r="P668" s="20">
        <f>IF($B668="","",MAXIFS('Blocker log'!$L:$L,'Blocker log'!$A:$A,$B668,'Blocker log'!$G:$G,"Hard blocker"))</f>
        <v>0</v>
      </c>
      <c r="Q668" s="20" t="str">
        <f>IF($B668="","",IF($K668&lt;&gt;"Complete","Assessment pending",IF($N668=0,"Ready now",VLOOKUP($P668,Lists!$D$2:$E$5,2,FALSE))))</f>
        <v>Assessment pending</v>
      </c>
    </row>
    <row r="669" ht="15.75" customHeight="1">
      <c r="A669" s="35" t="s">
        <v>1957</v>
      </c>
      <c r="B669" s="35" t="s">
        <v>1958</v>
      </c>
      <c r="C669" s="35" t="s">
        <v>1286</v>
      </c>
      <c r="D669" s="35" t="s">
        <v>301</v>
      </c>
      <c r="E669" s="35" t="s">
        <v>593</v>
      </c>
      <c r="F669" s="35" t="s">
        <v>593</v>
      </c>
      <c r="G669" s="35" t="s">
        <v>1161</v>
      </c>
      <c r="H669" s="76">
        <v>51480.0</v>
      </c>
      <c r="I669" s="35"/>
      <c r="M669" s="20">
        <f>IF($B669="","",COUNTIFS('Blocker log'!$A:$A,$B669,'Blocker log'!$G:$G,"&lt;&gt;"))</f>
        <v>0</v>
      </c>
      <c r="N669" s="20">
        <f>IF($B669="","",COUNTIFS('Blocker log'!$A:$A,$B669,'Blocker log'!$G:$G,"Hard blocker"))</f>
        <v>0</v>
      </c>
      <c r="O669" s="20">
        <f>IF($B669="","",COUNTIFS('Blocker log'!$A:$A,$B669,'Blocker log'!$G:$G,"Hard blocker",'Blocker log'!$L:$L,9))</f>
        <v>0</v>
      </c>
      <c r="P669" s="20">
        <f>IF($B669="","",MAXIFS('Blocker log'!$L:$L,'Blocker log'!$A:$A,$B669,'Blocker log'!$G:$G,"Hard blocker"))</f>
        <v>0</v>
      </c>
      <c r="Q669" s="20" t="str">
        <f>IF($B669="","",IF($K669&lt;&gt;"Complete","Assessment pending",IF($N669=0,"Ready now",VLOOKUP($P669,Lists!$D$2:$E$5,2,FALSE))))</f>
        <v>Assessment pending</v>
      </c>
    </row>
    <row r="670" ht="15.75" customHeight="1">
      <c r="A670" s="35" t="s">
        <v>1959</v>
      </c>
      <c r="B670" s="35" t="s">
        <v>1960</v>
      </c>
      <c r="C670" s="35" t="s">
        <v>1286</v>
      </c>
      <c r="D670" s="35" t="s">
        <v>260</v>
      </c>
      <c r="E670" s="35" t="s">
        <v>576</v>
      </c>
      <c r="F670" s="35" t="s">
        <v>1228</v>
      </c>
      <c r="G670" s="35" t="s">
        <v>1161</v>
      </c>
      <c r="H670" s="76">
        <v>51462.0</v>
      </c>
      <c r="I670" s="35" t="s">
        <v>403</v>
      </c>
      <c r="M670" s="20">
        <f>IF($B670="","",COUNTIFS('Blocker log'!$A:$A,$B670,'Blocker log'!$G:$G,"&lt;&gt;"))</f>
        <v>0</v>
      </c>
      <c r="N670" s="20">
        <f>IF($B670="","",COUNTIFS('Blocker log'!$A:$A,$B670,'Blocker log'!$G:$G,"Hard blocker"))</f>
        <v>0</v>
      </c>
      <c r="O670" s="20">
        <f>IF($B670="","",COUNTIFS('Blocker log'!$A:$A,$B670,'Blocker log'!$G:$G,"Hard blocker",'Blocker log'!$L:$L,9))</f>
        <v>0</v>
      </c>
      <c r="P670" s="20">
        <f>IF($B670="","",MAXIFS('Blocker log'!$L:$L,'Blocker log'!$A:$A,$B670,'Blocker log'!$G:$G,"Hard blocker"))</f>
        <v>0</v>
      </c>
      <c r="Q670" s="20" t="str">
        <f>IF($B670="","",IF($K670&lt;&gt;"Complete","Assessment pending",IF($N670=0,"Ready now",VLOOKUP($P670,Lists!$D$2:$E$5,2,FALSE))))</f>
        <v>Assessment pending</v>
      </c>
    </row>
    <row r="671" ht="15.75" customHeight="1">
      <c r="A671" s="35" t="s">
        <v>1961</v>
      </c>
      <c r="B671" s="35" t="s">
        <v>1962</v>
      </c>
      <c r="C671" s="35" t="s">
        <v>1286</v>
      </c>
      <c r="D671" s="35" t="s">
        <v>260</v>
      </c>
      <c r="E671" s="35" t="s">
        <v>351</v>
      </c>
      <c r="F671" s="35" t="s">
        <v>1617</v>
      </c>
      <c r="G671" s="35" t="s">
        <v>1161</v>
      </c>
      <c r="H671" s="76">
        <v>51245.0</v>
      </c>
      <c r="I671" s="35" t="s">
        <v>430</v>
      </c>
      <c r="M671" s="20">
        <f>IF($B671="","",COUNTIFS('Blocker log'!$A:$A,$B671,'Blocker log'!$G:$G,"&lt;&gt;"))</f>
        <v>0</v>
      </c>
      <c r="N671" s="20">
        <f>IF($B671="","",COUNTIFS('Blocker log'!$A:$A,$B671,'Blocker log'!$G:$G,"Hard blocker"))</f>
        <v>0</v>
      </c>
      <c r="O671" s="20">
        <f>IF($B671="","",COUNTIFS('Blocker log'!$A:$A,$B671,'Blocker log'!$G:$G,"Hard blocker",'Blocker log'!$L:$L,9))</f>
        <v>0</v>
      </c>
      <c r="P671" s="20">
        <f>IF($B671="","",MAXIFS('Blocker log'!$L:$L,'Blocker log'!$A:$A,$B671,'Blocker log'!$G:$G,"Hard blocker"))</f>
        <v>0</v>
      </c>
      <c r="Q671" s="20" t="str">
        <f>IF($B671="","",IF($K671&lt;&gt;"Complete","Assessment pending",IF($N671=0,"Ready now",VLOOKUP($P671,Lists!$D$2:$E$5,2,FALSE))))</f>
        <v>Assessment pending</v>
      </c>
    </row>
    <row r="672" ht="15.75" customHeight="1">
      <c r="A672" s="35" t="s">
        <v>1963</v>
      </c>
      <c r="B672" s="35" t="s">
        <v>1964</v>
      </c>
      <c r="C672" s="35" t="s">
        <v>1286</v>
      </c>
      <c r="D672" s="35" t="s">
        <v>260</v>
      </c>
      <c r="E672" s="35" t="s">
        <v>576</v>
      </c>
      <c r="F672" s="35" t="s">
        <v>1965</v>
      </c>
      <c r="G672" s="35" t="s">
        <v>1161</v>
      </c>
      <c r="H672" s="76">
        <v>51223.0</v>
      </c>
      <c r="I672" s="35" t="s">
        <v>403</v>
      </c>
      <c r="M672" s="20">
        <f>IF($B672="","",COUNTIFS('Blocker log'!$A:$A,$B672,'Blocker log'!$G:$G,"&lt;&gt;"))</f>
        <v>0</v>
      </c>
      <c r="N672" s="20">
        <f>IF($B672="","",COUNTIFS('Blocker log'!$A:$A,$B672,'Blocker log'!$G:$G,"Hard blocker"))</f>
        <v>0</v>
      </c>
      <c r="O672" s="20">
        <f>IF($B672="","",COUNTIFS('Blocker log'!$A:$A,$B672,'Blocker log'!$G:$G,"Hard blocker",'Blocker log'!$L:$L,9))</f>
        <v>0</v>
      </c>
      <c r="P672" s="20">
        <f>IF($B672="","",MAXIFS('Blocker log'!$L:$L,'Blocker log'!$A:$A,$B672,'Blocker log'!$G:$G,"Hard blocker"))</f>
        <v>0</v>
      </c>
      <c r="Q672" s="20" t="str">
        <f>IF($B672="","",IF($K672&lt;&gt;"Complete","Assessment pending",IF($N672=0,"Ready now",VLOOKUP($P672,Lists!$D$2:$E$5,2,FALSE))))</f>
        <v>Assessment pending</v>
      </c>
    </row>
    <row r="673" ht="15.75" customHeight="1">
      <c r="A673" s="35" t="s">
        <v>1966</v>
      </c>
      <c r="B673" s="35" t="s">
        <v>1673</v>
      </c>
      <c r="C673" s="35" t="s">
        <v>1286</v>
      </c>
      <c r="D673" s="35" t="s">
        <v>260</v>
      </c>
      <c r="E673" s="35" t="s">
        <v>530</v>
      </c>
      <c r="F673" s="35" t="s">
        <v>1674</v>
      </c>
      <c r="G673" s="35" t="s">
        <v>1161</v>
      </c>
      <c r="H673" s="76">
        <v>50796.0</v>
      </c>
      <c r="I673" s="35"/>
      <c r="M673" s="20">
        <f>IF($B673="","",COUNTIFS('Blocker log'!$A:$A,$B673,'Blocker log'!$G:$G,"&lt;&gt;"))</f>
        <v>0</v>
      </c>
      <c r="N673" s="20">
        <f>IF($B673="","",COUNTIFS('Blocker log'!$A:$A,$B673,'Blocker log'!$G:$G,"Hard blocker"))</f>
        <v>0</v>
      </c>
      <c r="O673" s="20">
        <f>IF($B673="","",COUNTIFS('Blocker log'!$A:$A,$B673,'Blocker log'!$G:$G,"Hard blocker",'Blocker log'!$L:$L,9))</f>
        <v>0</v>
      </c>
      <c r="P673" s="20">
        <f>IF($B673="","",MAXIFS('Blocker log'!$L:$L,'Blocker log'!$A:$A,$B673,'Blocker log'!$G:$G,"Hard blocker"))</f>
        <v>0</v>
      </c>
      <c r="Q673" s="20" t="str">
        <f>IF($B673="","",IF($K673&lt;&gt;"Complete","Assessment pending",IF($N673=0,"Ready now",VLOOKUP($P673,Lists!$D$2:$E$5,2,FALSE))))</f>
        <v>Assessment pending</v>
      </c>
    </row>
    <row r="674" ht="15.75" customHeight="1">
      <c r="A674" s="35" t="s">
        <v>1967</v>
      </c>
      <c r="B674" s="35" t="s">
        <v>1968</v>
      </c>
      <c r="C674" s="35" t="s">
        <v>1286</v>
      </c>
      <c r="D674" s="35" t="s">
        <v>58</v>
      </c>
      <c r="E674" s="35" t="s">
        <v>101</v>
      </c>
      <c r="F674" s="35" t="s">
        <v>102</v>
      </c>
      <c r="G674" s="35" t="s">
        <v>1161</v>
      </c>
      <c r="H674" s="76">
        <v>50512.0</v>
      </c>
      <c r="I674" s="35" t="s">
        <v>435</v>
      </c>
      <c r="M674" s="20">
        <f>IF($B674="","",COUNTIFS('Blocker log'!$A:$A,$B674,'Blocker log'!$G:$G,"&lt;&gt;"))</f>
        <v>0</v>
      </c>
      <c r="N674" s="20">
        <f>IF($B674="","",COUNTIFS('Blocker log'!$A:$A,$B674,'Blocker log'!$G:$G,"Hard blocker"))</f>
        <v>0</v>
      </c>
      <c r="O674" s="20">
        <f>IF($B674="","",COUNTIFS('Blocker log'!$A:$A,$B674,'Blocker log'!$G:$G,"Hard blocker",'Blocker log'!$L:$L,9))</f>
        <v>0</v>
      </c>
      <c r="P674" s="20">
        <f>IF($B674="","",MAXIFS('Blocker log'!$L:$L,'Blocker log'!$A:$A,$B674,'Blocker log'!$G:$G,"Hard blocker"))</f>
        <v>0</v>
      </c>
      <c r="Q674" s="20" t="str">
        <f>IF($B674="","",IF($K674&lt;&gt;"Complete","Assessment pending",IF($N674=0,"Ready now",VLOOKUP($P674,Lists!$D$2:$E$5,2,FALSE))))</f>
        <v>Assessment pending</v>
      </c>
    </row>
    <row r="675" ht="15.75" customHeight="1">
      <c r="A675" s="35" t="s">
        <v>1969</v>
      </c>
      <c r="B675" s="35" t="s">
        <v>1970</v>
      </c>
      <c r="C675" s="35" t="s">
        <v>1286</v>
      </c>
      <c r="D675" s="35" t="s">
        <v>260</v>
      </c>
      <c r="E675" s="35" t="s">
        <v>530</v>
      </c>
      <c r="F675" s="35" t="s">
        <v>1674</v>
      </c>
      <c r="G675" s="35" t="s">
        <v>1161</v>
      </c>
      <c r="H675" s="76">
        <v>50490.0</v>
      </c>
      <c r="I675" s="35"/>
      <c r="M675" s="20">
        <f>IF($B675="","",COUNTIFS('Blocker log'!$A:$A,$B675,'Blocker log'!$G:$G,"&lt;&gt;"))</f>
        <v>0</v>
      </c>
      <c r="N675" s="20">
        <f>IF($B675="","",COUNTIFS('Blocker log'!$A:$A,$B675,'Blocker log'!$G:$G,"Hard blocker"))</f>
        <v>0</v>
      </c>
      <c r="O675" s="20">
        <f>IF($B675="","",COUNTIFS('Blocker log'!$A:$A,$B675,'Blocker log'!$G:$G,"Hard blocker",'Blocker log'!$L:$L,9))</f>
        <v>0</v>
      </c>
      <c r="P675" s="20">
        <f>IF($B675="","",MAXIFS('Blocker log'!$L:$L,'Blocker log'!$A:$A,$B675,'Blocker log'!$G:$G,"Hard blocker"))</f>
        <v>0</v>
      </c>
      <c r="Q675" s="20" t="str">
        <f>IF($B675="","",IF($K675&lt;&gt;"Complete","Assessment pending",IF($N675=0,"Ready now",VLOOKUP($P675,Lists!$D$2:$E$5,2,FALSE))))</f>
        <v>Assessment pending</v>
      </c>
    </row>
    <row r="676" ht="15.75" customHeight="1">
      <c r="A676" s="35" t="s">
        <v>1971</v>
      </c>
      <c r="B676" s="35" t="s">
        <v>1972</v>
      </c>
      <c r="C676" s="35" t="s">
        <v>1286</v>
      </c>
      <c r="D676" s="35" t="s">
        <v>58</v>
      </c>
      <c r="E676" s="35" t="s">
        <v>101</v>
      </c>
      <c r="F676" s="35" t="s">
        <v>554</v>
      </c>
      <c r="G676" s="35" t="s">
        <v>1042</v>
      </c>
      <c r="H676" s="76">
        <v>50400.0</v>
      </c>
      <c r="I676" s="35" t="s">
        <v>408</v>
      </c>
      <c r="M676" s="20">
        <f>IF($B676="","",COUNTIFS('Blocker log'!$A:$A,$B676,'Blocker log'!$G:$G,"&lt;&gt;"))</f>
        <v>0</v>
      </c>
      <c r="N676" s="20">
        <f>IF($B676="","",COUNTIFS('Blocker log'!$A:$A,$B676,'Blocker log'!$G:$G,"Hard blocker"))</f>
        <v>0</v>
      </c>
      <c r="O676" s="20">
        <f>IF($B676="","",COUNTIFS('Blocker log'!$A:$A,$B676,'Blocker log'!$G:$G,"Hard blocker",'Blocker log'!$L:$L,9))</f>
        <v>0</v>
      </c>
      <c r="P676" s="20">
        <f>IF($B676="","",MAXIFS('Blocker log'!$L:$L,'Blocker log'!$A:$A,$B676,'Blocker log'!$G:$G,"Hard blocker"))</f>
        <v>0</v>
      </c>
      <c r="Q676" s="20" t="str">
        <f>IF($B676="","",IF($K676&lt;&gt;"Complete","Assessment pending",IF($N676=0,"Ready now",VLOOKUP($P676,Lists!$D$2:$E$5,2,FALSE))))</f>
        <v>Assessment pending</v>
      </c>
    </row>
    <row r="677" ht="15.75" customHeight="1">
      <c r="A677" s="35" t="s">
        <v>1973</v>
      </c>
      <c r="B677" s="35" t="s">
        <v>1974</v>
      </c>
      <c r="C677" s="35" t="s">
        <v>1286</v>
      </c>
      <c r="D677" s="35" t="s">
        <v>301</v>
      </c>
      <c r="E677" s="35" t="s">
        <v>490</v>
      </c>
      <c r="F677" s="35" t="s">
        <v>490</v>
      </c>
      <c r="G677" s="35" t="s">
        <v>1161</v>
      </c>
      <c r="H677" s="76">
        <v>50213.0</v>
      </c>
      <c r="I677" s="35"/>
      <c r="M677" s="20">
        <f>IF($B677="","",COUNTIFS('Blocker log'!$A:$A,$B677,'Blocker log'!$G:$G,"&lt;&gt;"))</f>
        <v>0</v>
      </c>
      <c r="N677" s="20">
        <f>IF($B677="","",COUNTIFS('Blocker log'!$A:$A,$B677,'Blocker log'!$G:$G,"Hard blocker"))</f>
        <v>0</v>
      </c>
      <c r="O677" s="20">
        <f>IF($B677="","",COUNTIFS('Blocker log'!$A:$A,$B677,'Blocker log'!$G:$G,"Hard blocker",'Blocker log'!$L:$L,9))</f>
        <v>0</v>
      </c>
      <c r="P677" s="20">
        <f>IF($B677="","",MAXIFS('Blocker log'!$L:$L,'Blocker log'!$A:$A,$B677,'Blocker log'!$G:$G,"Hard blocker"))</f>
        <v>0</v>
      </c>
      <c r="Q677" s="20" t="str">
        <f>IF($B677="","",IF($K677&lt;&gt;"Complete","Assessment pending",IF($N677=0,"Ready now",VLOOKUP($P677,Lists!$D$2:$E$5,2,FALSE))))</f>
        <v>Assessment pending</v>
      </c>
    </row>
    <row r="678" ht="15.75" customHeight="1">
      <c r="A678" s="35" t="s">
        <v>1975</v>
      </c>
      <c r="B678" s="35" t="s">
        <v>1976</v>
      </c>
      <c r="C678" s="35" t="s">
        <v>76</v>
      </c>
      <c r="D678" s="35" t="s">
        <v>260</v>
      </c>
      <c r="E678" s="35" t="s">
        <v>576</v>
      </c>
      <c r="F678" s="35" t="s">
        <v>577</v>
      </c>
      <c r="G678" s="35" t="s">
        <v>999</v>
      </c>
      <c r="H678" s="76">
        <v>50156.0</v>
      </c>
      <c r="I678" s="35"/>
      <c r="M678" s="20">
        <f>IF($B678="","",COUNTIFS('Blocker log'!$A:$A,$B678,'Blocker log'!$G:$G,"&lt;&gt;"))</f>
        <v>0</v>
      </c>
      <c r="N678" s="20">
        <f>IF($B678="","",COUNTIFS('Blocker log'!$A:$A,$B678,'Blocker log'!$G:$G,"Hard blocker"))</f>
        <v>0</v>
      </c>
      <c r="O678" s="20">
        <f>IF($B678="","",COUNTIFS('Blocker log'!$A:$A,$B678,'Blocker log'!$G:$G,"Hard blocker",'Blocker log'!$L:$L,9))</f>
        <v>0</v>
      </c>
      <c r="P678" s="20">
        <f>IF($B678="","",MAXIFS('Blocker log'!$L:$L,'Blocker log'!$A:$A,$B678,'Blocker log'!$G:$G,"Hard blocker"))</f>
        <v>0</v>
      </c>
      <c r="Q678" s="20" t="str">
        <f>IF($B678="","",IF($K678&lt;&gt;"Complete","Assessment pending",IF($N678=0,"Ready now",VLOOKUP($P678,Lists!$D$2:$E$5,2,FALSE))))</f>
        <v>Assessment pending</v>
      </c>
    </row>
    <row r="679" ht="15.75" customHeight="1">
      <c r="A679" s="35" t="s">
        <v>1977</v>
      </c>
      <c r="B679" s="35" t="s">
        <v>1978</v>
      </c>
      <c r="C679" s="35" t="s">
        <v>1286</v>
      </c>
      <c r="D679" s="35" t="s">
        <v>171</v>
      </c>
      <c r="E679" s="35" t="s">
        <v>668</v>
      </c>
      <c r="F679" s="35" t="s">
        <v>669</v>
      </c>
      <c r="G679" s="35" t="s">
        <v>1042</v>
      </c>
      <c r="H679" s="76">
        <v>50013.0</v>
      </c>
      <c r="I679" s="35" t="s">
        <v>444</v>
      </c>
      <c r="M679" s="20">
        <f>IF($B679="","",COUNTIFS('Blocker log'!$A:$A,$B679,'Blocker log'!$G:$G,"&lt;&gt;"))</f>
        <v>0</v>
      </c>
      <c r="N679" s="20">
        <f>IF($B679="","",COUNTIFS('Blocker log'!$A:$A,$B679,'Blocker log'!$G:$G,"Hard blocker"))</f>
        <v>0</v>
      </c>
      <c r="O679" s="20">
        <f>IF($B679="","",COUNTIFS('Blocker log'!$A:$A,$B679,'Blocker log'!$G:$G,"Hard blocker",'Blocker log'!$L:$L,9))</f>
        <v>0</v>
      </c>
      <c r="P679" s="20">
        <f>IF($B679="","",MAXIFS('Blocker log'!$L:$L,'Blocker log'!$A:$A,$B679,'Blocker log'!$G:$G,"Hard blocker"))</f>
        <v>0</v>
      </c>
      <c r="Q679" s="20" t="str">
        <f>IF($B679="","",IF($K679&lt;&gt;"Complete","Assessment pending",IF($N679=0,"Ready now",VLOOKUP($P679,Lists!$D$2:$E$5,2,FALSE))))</f>
        <v>Assessment pending</v>
      </c>
    </row>
    <row r="680" ht="15.75" customHeight="1">
      <c r="A680" s="35" t="s">
        <v>1979</v>
      </c>
      <c r="B680" s="35" t="s">
        <v>1980</v>
      </c>
      <c r="C680" s="35" t="s">
        <v>1286</v>
      </c>
      <c r="D680" s="35" t="s">
        <v>260</v>
      </c>
      <c r="E680" s="35" t="s">
        <v>506</v>
      </c>
      <c r="F680" s="35" t="s">
        <v>708</v>
      </c>
      <c r="G680" s="35" t="s">
        <v>1161</v>
      </c>
      <c r="H680" s="76">
        <v>49936.0</v>
      </c>
      <c r="I680" s="35" t="s">
        <v>417</v>
      </c>
      <c r="M680" s="20">
        <f>IF($B680="","",COUNTIFS('Blocker log'!$A:$A,$B680,'Blocker log'!$G:$G,"&lt;&gt;"))</f>
        <v>0</v>
      </c>
      <c r="N680" s="20">
        <f>IF($B680="","",COUNTIFS('Blocker log'!$A:$A,$B680,'Blocker log'!$G:$G,"Hard blocker"))</f>
        <v>0</v>
      </c>
      <c r="O680" s="20">
        <f>IF($B680="","",COUNTIFS('Blocker log'!$A:$A,$B680,'Blocker log'!$G:$G,"Hard blocker",'Blocker log'!$L:$L,9))</f>
        <v>0</v>
      </c>
      <c r="P680" s="20">
        <f>IF($B680="","",MAXIFS('Blocker log'!$L:$L,'Blocker log'!$A:$A,$B680,'Blocker log'!$G:$G,"Hard blocker"))</f>
        <v>0</v>
      </c>
      <c r="Q680" s="20" t="str">
        <f>IF($B680="","",IF($K680&lt;&gt;"Complete","Assessment pending",IF($N680=0,"Ready now",VLOOKUP($P680,Lists!$D$2:$E$5,2,FALSE))))</f>
        <v>Assessment pending</v>
      </c>
    </row>
    <row r="681" ht="15.75" customHeight="1">
      <c r="A681" s="35" t="s">
        <v>1981</v>
      </c>
      <c r="B681" s="35" t="s">
        <v>1982</v>
      </c>
      <c r="C681" s="35" t="s">
        <v>1286</v>
      </c>
      <c r="D681" s="35" t="s">
        <v>260</v>
      </c>
      <c r="E681" s="35" t="s">
        <v>506</v>
      </c>
      <c r="F681" s="35" t="s">
        <v>685</v>
      </c>
      <c r="G681" s="35" t="s">
        <v>1161</v>
      </c>
      <c r="H681" s="76">
        <v>49934.0</v>
      </c>
      <c r="I681" s="35" t="s">
        <v>417</v>
      </c>
      <c r="M681" s="20">
        <f>IF($B681="","",COUNTIFS('Blocker log'!$A:$A,$B681,'Blocker log'!$G:$G,"&lt;&gt;"))</f>
        <v>0</v>
      </c>
      <c r="N681" s="20">
        <f>IF($B681="","",COUNTIFS('Blocker log'!$A:$A,$B681,'Blocker log'!$G:$G,"Hard blocker"))</f>
        <v>0</v>
      </c>
      <c r="O681" s="20">
        <f>IF($B681="","",COUNTIFS('Blocker log'!$A:$A,$B681,'Blocker log'!$G:$G,"Hard blocker",'Blocker log'!$L:$L,9))</f>
        <v>0</v>
      </c>
      <c r="P681" s="20">
        <f>IF($B681="","",MAXIFS('Blocker log'!$L:$L,'Blocker log'!$A:$A,$B681,'Blocker log'!$G:$G,"Hard blocker"))</f>
        <v>0</v>
      </c>
      <c r="Q681" s="20" t="str">
        <f>IF($B681="","",IF($K681&lt;&gt;"Complete","Assessment pending",IF($N681=0,"Ready now",VLOOKUP($P681,Lists!$D$2:$E$5,2,FALSE))))</f>
        <v>Assessment pending</v>
      </c>
    </row>
    <row r="682" ht="15.75" customHeight="1">
      <c r="A682" s="35" t="s">
        <v>1983</v>
      </c>
      <c r="B682" s="35" t="s">
        <v>1984</v>
      </c>
      <c r="C682" s="35" t="s">
        <v>1286</v>
      </c>
      <c r="D682" s="35" t="s">
        <v>171</v>
      </c>
      <c r="E682" s="35" t="s">
        <v>172</v>
      </c>
      <c r="F682" s="35" t="s">
        <v>1437</v>
      </c>
      <c r="G682" s="35" t="s">
        <v>1161</v>
      </c>
      <c r="H682" s="76">
        <v>49774.0</v>
      </c>
      <c r="I682" s="35"/>
      <c r="M682" s="20">
        <f>IF($B682="","",COUNTIFS('Blocker log'!$A:$A,$B682,'Blocker log'!$G:$G,"&lt;&gt;"))</f>
        <v>0</v>
      </c>
      <c r="N682" s="20">
        <f>IF($B682="","",COUNTIFS('Blocker log'!$A:$A,$B682,'Blocker log'!$G:$G,"Hard blocker"))</f>
        <v>0</v>
      </c>
      <c r="O682" s="20">
        <f>IF($B682="","",COUNTIFS('Blocker log'!$A:$A,$B682,'Blocker log'!$G:$G,"Hard blocker",'Blocker log'!$L:$L,9))</f>
        <v>0</v>
      </c>
      <c r="P682" s="20">
        <f>IF($B682="","",MAXIFS('Blocker log'!$L:$L,'Blocker log'!$A:$A,$B682,'Blocker log'!$G:$G,"Hard blocker"))</f>
        <v>0</v>
      </c>
      <c r="Q682" s="20" t="str">
        <f>IF($B682="","",IF($K682&lt;&gt;"Complete","Assessment pending",IF($N682=0,"Ready now",VLOOKUP($P682,Lists!$D$2:$E$5,2,FALSE))))</f>
        <v>Assessment pending</v>
      </c>
    </row>
    <row r="683" ht="15.75" customHeight="1">
      <c r="A683" s="35" t="s">
        <v>1985</v>
      </c>
      <c r="B683" s="35" t="s">
        <v>1986</v>
      </c>
      <c r="C683" s="35" t="s">
        <v>1286</v>
      </c>
      <c r="D683" s="35" t="s">
        <v>58</v>
      </c>
      <c r="E683" s="35" t="s">
        <v>140</v>
      </c>
      <c r="F683" s="35" t="s">
        <v>200</v>
      </c>
      <c r="G683" s="35" t="s">
        <v>1161</v>
      </c>
      <c r="H683" s="76">
        <v>49440.0</v>
      </c>
      <c r="I683" s="35" t="s">
        <v>442</v>
      </c>
      <c r="M683" s="20">
        <f>IF($B683="","",COUNTIFS('Blocker log'!$A:$A,$B683,'Blocker log'!$G:$G,"&lt;&gt;"))</f>
        <v>0</v>
      </c>
      <c r="N683" s="20">
        <f>IF($B683="","",COUNTIFS('Blocker log'!$A:$A,$B683,'Blocker log'!$G:$G,"Hard blocker"))</f>
        <v>0</v>
      </c>
      <c r="O683" s="20">
        <f>IF($B683="","",COUNTIFS('Blocker log'!$A:$A,$B683,'Blocker log'!$G:$G,"Hard blocker",'Blocker log'!$L:$L,9))</f>
        <v>0</v>
      </c>
      <c r="P683" s="20">
        <f>IF($B683="","",MAXIFS('Blocker log'!$L:$L,'Blocker log'!$A:$A,$B683,'Blocker log'!$G:$G,"Hard blocker"))</f>
        <v>0</v>
      </c>
      <c r="Q683" s="20" t="str">
        <f>IF($B683="","",IF($K683&lt;&gt;"Complete","Assessment pending",IF($N683=0,"Ready now",VLOOKUP($P683,Lists!$D$2:$E$5,2,FALSE))))</f>
        <v>Assessment pending</v>
      </c>
    </row>
    <row r="684" ht="15.75" customHeight="1">
      <c r="A684" s="35" t="s">
        <v>1987</v>
      </c>
      <c r="B684" s="35" t="s">
        <v>1988</v>
      </c>
      <c r="C684" s="35" t="s">
        <v>1286</v>
      </c>
      <c r="D684" s="35" t="s">
        <v>301</v>
      </c>
      <c r="E684" s="35" t="s">
        <v>1281</v>
      </c>
      <c r="F684" s="35" t="s">
        <v>1281</v>
      </c>
      <c r="G684" s="35" t="s">
        <v>1042</v>
      </c>
      <c r="H684" s="76">
        <v>49200.0</v>
      </c>
      <c r="I684" s="35" t="s">
        <v>410</v>
      </c>
      <c r="M684" s="20">
        <f>IF($B684="","",COUNTIFS('Blocker log'!$A:$A,$B684,'Blocker log'!$G:$G,"&lt;&gt;"))</f>
        <v>0</v>
      </c>
      <c r="N684" s="20">
        <f>IF($B684="","",COUNTIFS('Blocker log'!$A:$A,$B684,'Blocker log'!$G:$G,"Hard blocker"))</f>
        <v>0</v>
      </c>
      <c r="O684" s="20">
        <f>IF($B684="","",COUNTIFS('Blocker log'!$A:$A,$B684,'Blocker log'!$G:$G,"Hard blocker",'Blocker log'!$L:$L,9))</f>
        <v>0</v>
      </c>
      <c r="P684" s="20">
        <f>IF($B684="","",MAXIFS('Blocker log'!$L:$L,'Blocker log'!$A:$A,$B684,'Blocker log'!$G:$G,"Hard blocker"))</f>
        <v>0</v>
      </c>
      <c r="Q684" s="20" t="str">
        <f>IF($B684="","",IF($K684&lt;&gt;"Complete","Assessment pending",IF($N684=0,"Ready now",VLOOKUP($P684,Lists!$D$2:$E$5,2,FALSE))))</f>
        <v>Assessment pending</v>
      </c>
    </row>
    <row r="685" ht="15.75" customHeight="1">
      <c r="A685" s="35" t="s">
        <v>1989</v>
      </c>
      <c r="B685" s="35" t="s">
        <v>1990</v>
      </c>
      <c r="C685" s="35" t="s">
        <v>1286</v>
      </c>
      <c r="D685" s="35" t="s">
        <v>58</v>
      </c>
      <c r="E685" s="35" t="s">
        <v>59</v>
      </c>
      <c r="F685" s="35" t="s">
        <v>598</v>
      </c>
      <c r="G685" s="35" t="s">
        <v>1161</v>
      </c>
      <c r="H685" s="76">
        <v>49164.0</v>
      </c>
      <c r="I685" s="35" t="s">
        <v>437</v>
      </c>
      <c r="M685" s="20">
        <f>IF($B685="","",COUNTIFS('Blocker log'!$A:$A,$B685,'Blocker log'!$G:$G,"&lt;&gt;"))</f>
        <v>0</v>
      </c>
      <c r="N685" s="20">
        <f>IF($B685="","",COUNTIFS('Blocker log'!$A:$A,$B685,'Blocker log'!$G:$G,"Hard blocker"))</f>
        <v>0</v>
      </c>
      <c r="O685" s="20">
        <f>IF($B685="","",COUNTIFS('Blocker log'!$A:$A,$B685,'Blocker log'!$G:$G,"Hard blocker",'Blocker log'!$L:$L,9))</f>
        <v>0</v>
      </c>
      <c r="P685" s="20">
        <f>IF($B685="","",MAXIFS('Blocker log'!$L:$L,'Blocker log'!$A:$A,$B685,'Blocker log'!$G:$G,"Hard blocker"))</f>
        <v>0</v>
      </c>
      <c r="Q685" s="20" t="str">
        <f>IF($B685="","",IF($K685&lt;&gt;"Complete","Assessment pending",IF($N685=0,"Ready now",VLOOKUP($P685,Lists!$D$2:$E$5,2,FALSE))))</f>
        <v>Assessment pending</v>
      </c>
    </row>
    <row r="686" ht="15.75" customHeight="1">
      <c r="A686" s="35" t="s">
        <v>1991</v>
      </c>
      <c r="B686" s="35" t="s">
        <v>1992</v>
      </c>
      <c r="C686" s="35" t="s">
        <v>1286</v>
      </c>
      <c r="D686" s="35" t="s">
        <v>260</v>
      </c>
      <c r="E686" s="35" t="s">
        <v>351</v>
      </c>
      <c r="F686" s="35" t="s">
        <v>1121</v>
      </c>
      <c r="G686" s="35" t="s">
        <v>1161</v>
      </c>
      <c r="H686" s="76">
        <v>49107.0</v>
      </c>
      <c r="I686" s="35"/>
      <c r="M686" s="20">
        <f>IF($B686="","",COUNTIFS('Blocker log'!$A:$A,$B686,'Blocker log'!$G:$G,"&lt;&gt;"))</f>
        <v>0</v>
      </c>
      <c r="N686" s="20">
        <f>IF($B686="","",COUNTIFS('Blocker log'!$A:$A,$B686,'Blocker log'!$G:$G,"Hard blocker"))</f>
        <v>0</v>
      </c>
      <c r="O686" s="20">
        <f>IF($B686="","",COUNTIFS('Blocker log'!$A:$A,$B686,'Blocker log'!$G:$G,"Hard blocker",'Blocker log'!$L:$L,9))</f>
        <v>0</v>
      </c>
      <c r="P686" s="20">
        <f>IF($B686="","",MAXIFS('Blocker log'!$L:$L,'Blocker log'!$A:$A,$B686,'Blocker log'!$G:$G,"Hard blocker"))</f>
        <v>0</v>
      </c>
      <c r="Q686" s="20" t="str">
        <f>IF($B686="","",IF($K686&lt;&gt;"Complete","Assessment pending",IF($N686=0,"Ready now",VLOOKUP($P686,Lists!$D$2:$E$5,2,FALSE))))</f>
        <v>Assessment pending</v>
      </c>
    </row>
    <row r="687" ht="15.75" customHeight="1">
      <c r="A687" s="35" t="s">
        <v>1993</v>
      </c>
      <c r="B687" s="35" t="s">
        <v>1994</v>
      </c>
      <c r="C687" s="35" t="s">
        <v>1286</v>
      </c>
      <c r="D687" s="35" t="s">
        <v>301</v>
      </c>
      <c r="E687" s="35" t="s">
        <v>1281</v>
      </c>
      <c r="F687" s="35" t="s">
        <v>1281</v>
      </c>
      <c r="G687" s="35" t="s">
        <v>1042</v>
      </c>
      <c r="H687" s="76">
        <v>48803.0</v>
      </c>
      <c r="I687" s="35"/>
      <c r="M687" s="20">
        <f>IF($B687="","",COUNTIFS('Blocker log'!$A:$A,$B687,'Blocker log'!$G:$G,"&lt;&gt;"))</f>
        <v>0</v>
      </c>
      <c r="N687" s="20">
        <f>IF($B687="","",COUNTIFS('Blocker log'!$A:$A,$B687,'Blocker log'!$G:$G,"Hard blocker"))</f>
        <v>0</v>
      </c>
      <c r="O687" s="20">
        <f>IF($B687="","",COUNTIFS('Blocker log'!$A:$A,$B687,'Blocker log'!$G:$G,"Hard blocker",'Blocker log'!$L:$L,9))</f>
        <v>0</v>
      </c>
      <c r="P687" s="20">
        <f>IF($B687="","",MAXIFS('Blocker log'!$L:$L,'Blocker log'!$A:$A,$B687,'Blocker log'!$G:$G,"Hard blocker"))</f>
        <v>0</v>
      </c>
      <c r="Q687" s="20" t="str">
        <f>IF($B687="","",IF($K687&lt;&gt;"Complete","Assessment pending",IF($N687=0,"Ready now",VLOOKUP($P687,Lists!$D$2:$E$5,2,FALSE))))</f>
        <v>Assessment pending</v>
      </c>
    </row>
    <row r="688" ht="15.75" customHeight="1">
      <c r="A688" s="35" t="s">
        <v>1995</v>
      </c>
      <c r="B688" s="35" t="s">
        <v>1996</v>
      </c>
      <c r="C688" s="35" t="s">
        <v>1286</v>
      </c>
      <c r="D688" s="35" t="s">
        <v>171</v>
      </c>
      <c r="E688" s="35" t="s">
        <v>542</v>
      </c>
      <c r="F688" s="35" t="s">
        <v>543</v>
      </c>
      <c r="G688" s="35" t="s">
        <v>1161</v>
      </c>
      <c r="H688" s="76">
        <v>48700.0</v>
      </c>
      <c r="I688" s="35"/>
      <c r="M688" s="20">
        <f>IF($B688="","",COUNTIFS('Blocker log'!$A:$A,$B688,'Blocker log'!$G:$G,"&lt;&gt;"))</f>
        <v>0</v>
      </c>
      <c r="N688" s="20">
        <f>IF($B688="","",COUNTIFS('Blocker log'!$A:$A,$B688,'Blocker log'!$G:$G,"Hard blocker"))</f>
        <v>0</v>
      </c>
      <c r="O688" s="20">
        <f>IF($B688="","",COUNTIFS('Blocker log'!$A:$A,$B688,'Blocker log'!$G:$G,"Hard blocker",'Blocker log'!$L:$L,9))</f>
        <v>0</v>
      </c>
      <c r="P688" s="20">
        <f>IF($B688="","",MAXIFS('Blocker log'!$L:$L,'Blocker log'!$A:$A,$B688,'Blocker log'!$G:$G,"Hard blocker"))</f>
        <v>0</v>
      </c>
      <c r="Q688" s="20" t="str">
        <f>IF($B688="","",IF($K688&lt;&gt;"Complete","Assessment pending",IF($N688=0,"Ready now",VLOOKUP($P688,Lists!$D$2:$E$5,2,FALSE))))</f>
        <v>Assessment pending</v>
      </c>
    </row>
    <row r="689" ht="15.75" customHeight="1">
      <c r="A689" s="35" t="s">
        <v>1997</v>
      </c>
      <c r="B689" s="35" t="s">
        <v>1998</v>
      </c>
      <c r="C689" s="35" t="s">
        <v>1286</v>
      </c>
      <c r="D689" s="35" t="s">
        <v>260</v>
      </c>
      <c r="E689" s="35" t="s">
        <v>506</v>
      </c>
      <c r="F689" s="35" t="s">
        <v>708</v>
      </c>
      <c r="G689" s="35" t="s">
        <v>1161</v>
      </c>
      <c r="H689" s="76">
        <v>48443.0</v>
      </c>
      <c r="I689" s="35" t="s">
        <v>440</v>
      </c>
      <c r="M689" s="20">
        <f>IF($B689="","",COUNTIFS('Blocker log'!$A:$A,$B689,'Blocker log'!$G:$G,"&lt;&gt;"))</f>
        <v>0</v>
      </c>
      <c r="N689" s="20">
        <f>IF($B689="","",COUNTIFS('Blocker log'!$A:$A,$B689,'Blocker log'!$G:$G,"Hard blocker"))</f>
        <v>0</v>
      </c>
      <c r="O689" s="20">
        <f>IF($B689="","",COUNTIFS('Blocker log'!$A:$A,$B689,'Blocker log'!$G:$G,"Hard blocker",'Blocker log'!$L:$L,9))</f>
        <v>0</v>
      </c>
      <c r="P689" s="20">
        <f>IF($B689="","",MAXIFS('Blocker log'!$L:$L,'Blocker log'!$A:$A,$B689,'Blocker log'!$G:$G,"Hard blocker"))</f>
        <v>0</v>
      </c>
      <c r="Q689" s="20" t="str">
        <f>IF($B689="","",IF($K689&lt;&gt;"Complete","Assessment pending",IF($N689=0,"Ready now",VLOOKUP($P689,Lists!$D$2:$E$5,2,FALSE))))</f>
        <v>Assessment pending</v>
      </c>
    </row>
    <row r="690" ht="15.75" customHeight="1">
      <c r="A690" s="35" t="s">
        <v>1999</v>
      </c>
      <c r="B690" s="35" t="s">
        <v>2000</v>
      </c>
      <c r="C690" s="35" t="s">
        <v>1286</v>
      </c>
      <c r="D690" s="35" t="s">
        <v>260</v>
      </c>
      <c r="E690" s="35" t="s">
        <v>576</v>
      </c>
      <c r="F690" s="35" t="s">
        <v>804</v>
      </c>
      <c r="G690" s="35" t="s">
        <v>1161</v>
      </c>
      <c r="H690" s="76">
        <v>48442.0</v>
      </c>
      <c r="I690" s="35" t="s">
        <v>403</v>
      </c>
      <c r="M690" s="20">
        <f>IF($B690="","",COUNTIFS('Blocker log'!$A:$A,$B690,'Blocker log'!$G:$G,"&lt;&gt;"))</f>
        <v>0</v>
      </c>
      <c r="N690" s="20">
        <f>IF($B690="","",COUNTIFS('Blocker log'!$A:$A,$B690,'Blocker log'!$G:$G,"Hard blocker"))</f>
        <v>0</v>
      </c>
      <c r="O690" s="20">
        <f>IF($B690="","",COUNTIFS('Blocker log'!$A:$A,$B690,'Blocker log'!$G:$G,"Hard blocker",'Blocker log'!$L:$L,9))</f>
        <v>0</v>
      </c>
      <c r="P690" s="20">
        <f>IF($B690="","",MAXIFS('Blocker log'!$L:$L,'Blocker log'!$A:$A,$B690,'Blocker log'!$G:$G,"Hard blocker"))</f>
        <v>0</v>
      </c>
      <c r="Q690" s="20" t="str">
        <f>IF($B690="","",IF($K690&lt;&gt;"Complete","Assessment pending",IF($N690=0,"Ready now",VLOOKUP($P690,Lists!$D$2:$E$5,2,FALSE))))</f>
        <v>Assessment pending</v>
      </c>
    </row>
    <row r="691" ht="15.75" customHeight="1">
      <c r="A691" s="35" t="s">
        <v>2001</v>
      </c>
      <c r="B691" s="35" t="s">
        <v>2002</v>
      </c>
      <c r="C691" s="35" t="s">
        <v>1286</v>
      </c>
      <c r="D691" s="35" t="s">
        <v>260</v>
      </c>
      <c r="E691" s="35" t="s">
        <v>530</v>
      </c>
      <c r="F691" s="35" t="s">
        <v>1849</v>
      </c>
      <c r="G691" s="35" t="s">
        <v>1161</v>
      </c>
      <c r="H691" s="76">
        <v>48246.0</v>
      </c>
      <c r="I691" s="35"/>
      <c r="M691" s="20">
        <f>IF($B691="","",COUNTIFS('Blocker log'!$A:$A,$B691,'Blocker log'!$G:$G,"&lt;&gt;"))</f>
        <v>0</v>
      </c>
      <c r="N691" s="20">
        <f>IF($B691="","",COUNTIFS('Blocker log'!$A:$A,$B691,'Blocker log'!$G:$G,"Hard blocker"))</f>
        <v>0</v>
      </c>
      <c r="O691" s="20">
        <f>IF($B691="","",COUNTIFS('Blocker log'!$A:$A,$B691,'Blocker log'!$G:$G,"Hard blocker",'Blocker log'!$L:$L,9))</f>
        <v>0</v>
      </c>
      <c r="P691" s="20">
        <f>IF($B691="","",MAXIFS('Blocker log'!$L:$L,'Blocker log'!$A:$A,$B691,'Blocker log'!$G:$G,"Hard blocker"))</f>
        <v>0</v>
      </c>
      <c r="Q691" s="20" t="str">
        <f>IF($B691="","",IF($K691&lt;&gt;"Complete","Assessment pending",IF($N691=0,"Ready now",VLOOKUP($P691,Lists!$D$2:$E$5,2,FALSE))))</f>
        <v>Assessment pending</v>
      </c>
    </row>
    <row r="692" ht="15.75" customHeight="1">
      <c r="A692" s="35" t="s">
        <v>2003</v>
      </c>
      <c r="B692" s="35" t="s">
        <v>2004</v>
      </c>
      <c r="C692" s="35" t="s">
        <v>1286</v>
      </c>
      <c r="D692" s="35" t="s">
        <v>260</v>
      </c>
      <c r="E692" s="35" t="s">
        <v>506</v>
      </c>
      <c r="F692" s="35" t="s">
        <v>708</v>
      </c>
      <c r="G692" s="35" t="s">
        <v>1161</v>
      </c>
      <c r="H692" s="76">
        <v>47600.0</v>
      </c>
      <c r="I692" s="35" t="s">
        <v>417</v>
      </c>
      <c r="M692" s="20">
        <f>IF($B692="","",COUNTIFS('Blocker log'!$A:$A,$B692,'Blocker log'!$G:$G,"&lt;&gt;"))</f>
        <v>0</v>
      </c>
      <c r="N692" s="20">
        <f>IF($B692="","",COUNTIFS('Blocker log'!$A:$A,$B692,'Blocker log'!$G:$G,"Hard blocker"))</f>
        <v>0</v>
      </c>
      <c r="O692" s="20">
        <f>IF($B692="","",COUNTIFS('Blocker log'!$A:$A,$B692,'Blocker log'!$G:$G,"Hard blocker",'Blocker log'!$L:$L,9))</f>
        <v>0</v>
      </c>
      <c r="P692" s="20">
        <f>IF($B692="","",MAXIFS('Blocker log'!$L:$L,'Blocker log'!$A:$A,$B692,'Blocker log'!$G:$G,"Hard blocker"))</f>
        <v>0</v>
      </c>
      <c r="Q692" s="20" t="str">
        <f>IF($B692="","",IF($K692&lt;&gt;"Complete","Assessment pending",IF($N692=0,"Ready now",VLOOKUP($P692,Lists!$D$2:$E$5,2,FALSE))))</f>
        <v>Assessment pending</v>
      </c>
    </row>
    <row r="693" ht="15.75" customHeight="1">
      <c r="A693" s="35" t="s">
        <v>2005</v>
      </c>
      <c r="B693" s="35" t="s">
        <v>2006</v>
      </c>
      <c r="C693" s="35" t="s">
        <v>1286</v>
      </c>
      <c r="D693" s="35" t="s">
        <v>171</v>
      </c>
      <c r="E693" s="35" t="s">
        <v>668</v>
      </c>
      <c r="F693" s="35" t="s">
        <v>669</v>
      </c>
      <c r="G693" s="35" t="s">
        <v>1161</v>
      </c>
      <c r="H693" s="76">
        <v>47462.0</v>
      </c>
      <c r="I693" s="35"/>
      <c r="M693" s="20">
        <f>IF($B693="","",COUNTIFS('Blocker log'!$A:$A,$B693,'Blocker log'!$G:$G,"&lt;&gt;"))</f>
        <v>0</v>
      </c>
      <c r="N693" s="20">
        <f>IF($B693="","",COUNTIFS('Blocker log'!$A:$A,$B693,'Blocker log'!$G:$G,"Hard blocker"))</f>
        <v>0</v>
      </c>
      <c r="O693" s="20">
        <f>IF($B693="","",COUNTIFS('Blocker log'!$A:$A,$B693,'Blocker log'!$G:$G,"Hard blocker",'Blocker log'!$L:$L,9))</f>
        <v>0</v>
      </c>
      <c r="P693" s="20">
        <f>IF($B693="","",MAXIFS('Blocker log'!$L:$L,'Blocker log'!$A:$A,$B693,'Blocker log'!$G:$G,"Hard blocker"))</f>
        <v>0</v>
      </c>
      <c r="Q693" s="20" t="str">
        <f>IF($B693="","",IF($K693&lt;&gt;"Complete","Assessment pending",IF($N693=0,"Ready now",VLOOKUP($P693,Lists!$D$2:$E$5,2,FALSE))))</f>
        <v>Assessment pending</v>
      </c>
    </row>
    <row r="694" ht="15.75" customHeight="1">
      <c r="A694" s="35" t="s">
        <v>2007</v>
      </c>
      <c r="B694" s="35" t="s">
        <v>2008</v>
      </c>
      <c r="C694" s="35" t="s">
        <v>1286</v>
      </c>
      <c r="D694" s="35" t="s">
        <v>171</v>
      </c>
      <c r="E694" s="35" t="s">
        <v>760</v>
      </c>
      <c r="F694" s="35" t="s">
        <v>1178</v>
      </c>
      <c r="G694" s="35" t="s">
        <v>1161</v>
      </c>
      <c r="H694" s="76">
        <v>47250.0</v>
      </c>
      <c r="I694" s="35" t="s">
        <v>406</v>
      </c>
      <c r="M694" s="20">
        <f>IF($B694="","",COUNTIFS('Blocker log'!$A:$A,$B694,'Blocker log'!$G:$G,"&lt;&gt;"))</f>
        <v>0</v>
      </c>
      <c r="N694" s="20">
        <f>IF($B694="","",COUNTIFS('Blocker log'!$A:$A,$B694,'Blocker log'!$G:$G,"Hard blocker"))</f>
        <v>0</v>
      </c>
      <c r="O694" s="20">
        <f>IF($B694="","",COUNTIFS('Blocker log'!$A:$A,$B694,'Blocker log'!$G:$G,"Hard blocker",'Blocker log'!$L:$L,9))</f>
        <v>0</v>
      </c>
      <c r="P694" s="20">
        <f>IF($B694="","",MAXIFS('Blocker log'!$L:$L,'Blocker log'!$A:$A,$B694,'Blocker log'!$G:$G,"Hard blocker"))</f>
        <v>0</v>
      </c>
      <c r="Q694" s="20" t="str">
        <f>IF($B694="","",IF($K694&lt;&gt;"Complete","Assessment pending",IF($N694=0,"Ready now",VLOOKUP($P694,Lists!$D$2:$E$5,2,FALSE))))</f>
        <v>Assessment pending</v>
      </c>
    </row>
    <row r="695" ht="15.75" customHeight="1">
      <c r="A695" s="35" t="s">
        <v>2009</v>
      </c>
      <c r="B695" s="35" t="s">
        <v>2010</v>
      </c>
      <c r="C695" s="35" t="s">
        <v>1286</v>
      </c>
      <c r="D695" s="35" t="s">
        <v>260</v>
      </c>
      <c r="E695" s="35" t="s">
        <v>576</v>
      </c>
      <c r="F695" s="35" t="s">
        <v>804</v>
      </c>
      <c r="G695" s="35" t="s">
        <v>1161</v>
      </c>
      <c r="H695" s="76">
        <v>47196.0</v>
      </c>
      <c r="I695" s="35" t="s">
        <v>403</v>
      </c>
      <c r="M695" s="20">
        <f>IF($B695="","",COUNTIFS('Blocker log'!$A:$A,$B695,'Blocker log'!$G:$G,"&lt;&gt;"))</f>
        <v>0</v>
      </c>
      <c r="N695" s="20">
        <f>IF($B695="","",COUNTIFS('Blocker log'!$A:$A,$B695,'Blocker log'!$G:$G,"Hard blocker"))</f>
        <v>0</v>
      </c>
      <c r="O695" s="20">
        <f>IF($B695="","",COUNTIFS('Blocker log'!$A:$A,$B695,'Blocker log'!$G:$G,"Hard blocker",'Blocker log'!$L:$L,9))</f>
        <v>0</v>
      </c>
      <c r="P695" s="20">
        <f>IF($B695="","",MAXIFS('Blocker log'!$L:$L,'Blocker log'!$A:$A,$B695,'Blocker log'!$G:$G,"Hard blocker"))</f>
        <v>0</v>
      </c>
      <c r="Q695" s="20" t="str">
        <f>IF($B695="","",IF($K695&lt;&gt;"Complete","Assessment pending",IF($N695=0,"Ready now",VLOOKUP($P695,Lists!$D$2:$E$5,2,FALSE))))</f>
        <v>Assessment pending</v>
      </c>
    </row>
    <row r="696" ht="15.75" customHeight="1">
      <c r="A696" s="35" t="s">
        <v>2011</v>
      </c>
      <c r="B696" s="35" t="s">
        <v>2012</v>
      </c>
      <c r="C696" s="35" t="s">
        <v>1286</v>
      </c>
      <c r="D696" s="35" t="s">
        <v>260</v>
      </c>
      <c r="E696" s="35" t="s">
        <v>506</v>
      </c>
      <c r="F696" s="35" t="s">
        <v>708</v>
      </c>
      <c r="G696" s="35" t="s">
        <v>1161</v>
      </c>
      <c r="H696" s="76">
        <v>47045.0</v>
      </c>
      <c r="I696" s="35" t="s">
        <v>440</v>
      </c>
      <c r="M696" s="20">
        <f>IF($B696="","",COUNTIFS('Blocker log'!$A:$A,$B696,'Blocker log'!$G:$G,"&lt;&gt;"))</f>
        <v>0</v>
      </c>
      <c r="N696" s="20">
        <f>IF($B696="","",COUNTIFS('Blocker log'!$A:$A,$B696,'Blocker log'!$G:$G,"Hard blocker"))</f>
        <v>0</v>
      </c>
      <c r="O696" s="20">
        <f>IF($B696="","",COUNTIFS('Blocker log'!$A:$A,$B696,'Blocker log'!$G:$G,"Hard blocker",'Blocker log'!$L:$L,9))</f>
        <v>0</v>
      </c>
      <c r="P696" s="20">
        <f>IF($B696="","",MAXIFS('Blocker log'!$L:$L,'Blocker log'!$A:$A,$B696,'Blocker log'!$G:$G,"Hard blocker"))</f>
        <v>0</v>
      </c>
      <c r="Q696" s="20" t="str">
        <f>IF($B696="","",IF($K696&lt;&gt;"Complete","Assessment pending",IF($N696=0,"Ready now",VLOOKUP($P696,Lists!$D$2:$E$5,2,FALSE))))</f>
        <v>Assessment pending</v>
      </c>
    </row>
    <row r="697" ht="15.75" customHeight="1">
      <c r="A697" s="35" t="s">
        <v>2013</v>
      </c>
      <c r="B697" s="35" t="s">
        <v>2014</v>
      </c>
      <c r="C697" s="35" t="s">
        <v>1286</v>
      </c>
      <c r="D697" s="35" t="s">
        <v>260</v>
      </c>
      <c r="E697" s="35" t="s">
        <v>576</v>
      </c>
      <c r="F697" s="35" t="s">
        <v>577</v>
      </c>
      <c r="G697" s="35" t="s">
        <v>1161</v>
      </c>
      <c r="H697" s="76">
        <v>46893.0</v>
      </c>
      <c r="I697" s="35" t="s">
        <v>403</v>
      </c>
      <c r="M697" s="20">
        <f>IF($B697="","",COUNTIFS('Blocker log'!$A:$A,$B697,'Blocker log'!$G:$G,"&lt;&gt;"))</f>
        <v>0</v>
      </c>
      <c r="N697" s="20">
        <f>IF($B697="","",COUNTIFS('Blocker log'!$A:$A,$B697,'Blocker log'!$G:$G,"Hard blocker"))</f>
        <v>0</v>
      </c>
      <c r="O697" s="20">
        <f>IF($B697="","",COUNTIFS('Blocker log'!$A:$A,$B697,'Blocker log'!$G:$G,"Hard blocker",'Blocker log'!$L:$L,9))</f>
        <v>0</v>
      </c>
      <c r="P697" s="20">
        <f>IF($B697="","",MAXIFS('Blocker log'!$L:$L,'Blocker log'!$A:$A,$B697,'Blocker log'!$G:$G,"Hard blocker"))</f>
        <v>0</v>
      </c>
      <c r="Q697" s="20" t="str">
        <f>IF($B697="","",IF($K697&lt;&gt;"Complete","Assessment pending",IF($N697=0,"Ready now",VLOOKUP($P697,Lists!$D$2:$E$5,2,FALSE))))</f>
        <v>Assessment pending</v>
      </c>
    </row>
    <row r="698" ht="15.75" customHeight="1">
      <c r="A698" s="35" t="s">
        <v>2015</v>
      </c>
      <c r="B698" s="35" t="s">
        <v>2016</v>
      </c>
      <c r="C698" s="35" t="s">
        <v>1286</v>
      </c>
      <c r="D698" s="35" t="s">
        <v>58</v>
      </c>
      <c r="E698" s="35" t="s">
        <v>101</v>
      </c>
      <c r="F698" s="35" t="s">
        <v>116</v>
      </c>
      <c r="G698" s="35" t="s">
        <v>1042</v>
      </c>
      <c r="H698" s="76">
        <v>46800.0</v>
      </c>
      <c r="I698" s="35" t="s">
        <v>405</v>
      </c>
      <c r="M698" s="20">
        <f>IF($B698="","",COUNTIFS('Blocker log'!$A:$A,$B698,'Blocker log'!$G:$G,"&lt;&gt;"))</f>
        <v>0</v>
      </c>
      <c r="N698" s="20">
        <f>IF($B698="","",COUNTIFS('Blocker log'!$A:$A,$B698,'Blocker log'!$G:$G,"Hard blocker"))</f>
        <v>0</v>
      </c>
      <c r="O698" s="20">
        <f>IF($B698="","",COUNTIFS('Blocker log'!$A:$A,$B698,'Blocker log'!$G:$G,"Hard blocker",'Blocker log'!$L:$L,9))</f>
        <v>0</v>
      </c>
      <c r="P698" s="20">
        <f>IF($B698="","",MAXIFS('Blocker log'!$L:$L,'Blocker log'!$A:$A,$B698,'Blocker log'!$G:$G,"Hard blocker"))</f>
        <v>0</v>
      </c>
      <c r="Q698" s="20" t="str">
        <f>IF($B698="","",IF($K698&lt;&gt;"Complete","Assessment pending",IF($N698=0,"Ready now",VLOOKUP($P698,Lists!$D$2:$E$5,2,FALSE))))</f>
        <v>Assessment pending</v>
      </c>
    </row>
    <row r="699" ht="15.75" customHeight="1">
      <c r="A699" s="35" t="s">
        <v>2017</v>
      </c>
      <c r="B699" s="35" t="s">
        <v>2018</v>
      </c>
      <c r="C699" s="35" t="s">
        <v>1286</v>
      </c>
      <c r="D699" s="35" t="s">
        <v>58</v>
      </c>
      <c r="E699" s="35" t="s">
        <v>101</v>
      </c>
      <c r="F699" s="35" t="s">
        <v>554</v>
      </c>
      <c r="G699" s="35" t="s">
        <v>1161</v>
      </c>
      <c r="H699" s="76">
        <v>46800.0</v>
      </c>
      <c r="I699" s="35" t="s">
        <v>435</v>
      </c>
      <c r="M699" s="20">
        <f>IF($B699="","",COUNTIFS('Blocker log'!$A:$A,$B699,'Blocker log'!$G:$G,"&lt;&gt;"))</f>
        <v>0</v>
      </c>
      <c r="N699" s="20">
        <f>IF($B699="","",COUNTIFS('Blocker log'!$A:$A,$B699,'Blocker log'!$G:$G,"Hard blocker"))</f>
        <v>0</v>
      </c>
      <c r="O699" s="20">
        <f>IF($B699="","",COUNTIFS('Blocker log'!$A:$A,$B699,'Blocker log'!$G:$G,"Hard blocker",'Blocker log'!$L:$L,9))</f>
        <v>0</v>
      </c>
      <c r="P699" s="20">
        <f>IF($B699="","",MAXIFS('Blocker log'!$L:$L,'Blocker log'!$A:$A,$B699,'Blocker log'!$G:$G,"Hard blocker"))</f>
        <v>0</v>
      </c>
      <c r="Q699" s="20" t="str">
        <f>IF($B699="","",IF($K699&lt;&gt;"Complete","Assessment pending",IF($N699=0,"Ready now",VLOOKUP($P699,Lists!$D$2:$E$5,2,FALSE))))</f>
        <v>Assessment pending</v>
      </c>
    </row>
    <row r="700" ht="15.75" customHeight="1">
      <c r="A700" s="35" t="s">
        <v>2019</v>
      </c>
      <c r="B700" s="35" t="s">
        <v>2020</v>
      </c>
      <c r="C700" s="35" t="s">
        <v>1286</v>
      </c>
      <c r="D700" s="35" t="s">
        <v>171</v>
      </c>
      <c r="E700" s="35" t="s">
        <v>713</v>
      </c>
      <c r="F700" s="35" t="s">
        <v>714</v>
      </c>
      <c r="G700" s="35" t="s">
        <v>1161</v>
      </c>
      <c r="H700" s="76">
        <v>46786.0</v>
      </c>
      <c r="I700" s="35"/>
      <c r="M700" s="20">
        <f>IF($B700="","",COUNTIFS('Blocker log'!$A:$A,$B700,'Blocker log'!$G:$G,"&lt;&gt;"))</f>
        <v>0</v>
      </c>
      <c r="N700" s="20">
        <f>IF($B700="","",COUNTIFS('Blocker log'!$A:$A,$B700,'Blocker log'!$G:$G,"Hard blocker"))</f>
        <v>0</v>
      </c>
      <c r="O700" s="20">
        <f>IF($B700="","",COUNTIFS('Blocker log'!$A:$A,$B700,'Blocker log'!$G:$G,"Hard blocker",'Blocker log'!$L:$L,9))</f>
        <v>0</v>
      </c>
      <c r="P700" s="20">
        <f>IF($B700="","",MAXIFS('Blocker log'!$L:$L,'Blocker log'!$A:$A,$B700,'Blocker log'!$G:$G,"Hard blocker"))</f>
        <v>0</v>
      </c>
      <c r="Q700" s="20" t="str">
        <f>IF($B700="","",IF($K700&lt;&gt;"Complete","Assessment pending",IF($N700=0,"Ready now",VLOOKUP($P700,Lists!$D$2:$E$5,2,FALSE))))</f>
        <v>Assessment pending</v>
      </c>
    </row>
    <row r="701" ht="15.75" customHeight="1">
      <c r="A701" s="35" t="s">
        <v>2021</v>
      </c>
      <c r="B701" s="35" t="s">
        <v>2022</v>
      </c>
      <c r="C701" s="35" t="s">
        <v>1286</v>
      </c>
      <c r="D701" s="35" t="s">
        <v>301</v>
      </c>
      <c r="E701" s="35" t="s">
        <v>490</v>
      </c>
      <c r="F701" s="35" t="s">
        <v>490</v>
      </c>
      <c r="G701" s="35" t="s">
        <v>1161</v>
      </c>
      <c r="H701" s="76">
        <v>46472.0</v>
      </c>
      <c r="I701" s="35" t="s">
        <v>410</v>
      </c>
      <c r="M701" s="20">
        <f>IF($B701="","",COUNTIFS('Blocker log'!$A:$A,$B701,'Blocker log'!$G:$G,"&lt;&gt;"))</f>
        <v>0</v>
      </c>
      <c r="N701" s="20">
        <f>IF($B701="","",COUNTIFS('Blocker log'!$A:$A,$B701,'Blocker log'!$G:$G,"Hard blocker"))</f>
        <v>0</v>
      </c>
      <c r="O701" s="20">
        <f>IF($B701="","",COUNTIFS('Blocker log'!$A:$A,$B701,'Blocker log'!$G:$G,"Hard blocker",'Blocker log'!$L:$L,9))</f>
        <v>0</v>
      </c>
      <c r="P701" s="20">
        <f>IF($B701="","",MAXIFS('Blocker log'!$L:$L,'Blocker log'!$A:$A,$B701,'Blocker log'!$G:$G,"Hard blocker"))</f>
        <v>0</v>
      </c>
      <c r="Q701" s="20" t="str">
        <f>IF($B701="","",IF($K701&lt;&gt;"Complete","Assessment pending",IF($N701=0,"Ready now",VLOOKUP($P701,Lists!$D$2:$E$5,2,FALSE))))</f>
        <v>Assessment pending</v>
      </c>
    </row>
    <row r="702" ht="15.75" customHeight="1">
      <c r="A702" s="35" t="s">
        <v>2023</v>
      </c>
      <c r="B702" s="35" t="s">
        <v>2024</v>
      </c>
      <c r="C702" s="35" t="s">
        <v>1286</v>
      </c>
      <c r="D702" s="35" t="s">
        <v>58</v>
      </c>
      <c r="E702" s="35" t="s">
        <v>181</v>
      </c>
      <c r="F702" s="35" t="s">
        <v>653</v>
      </c>
      <c r="G702" s="35" t="s">
        <v>1161</v>
      </c>
      <c r="H702" s="76">
        <v>46333.0</v>
      </c>
      <c r="I702" s="35" t="s">
        <v>450</v>
      </c>
      <c r="M702" s="20">
        <f>IF($B702="","",COUNTIFS('Blocker log'!$A:$A,$B702,'Blocker log'!$G:$G,"&lt;&gt;"))</f>
        <v>0</v>
      </c>
      <c r="N702" s="20">
        <f>IF($B702="","",COUNTIFS('Blocker log'!$A:$A,$B702,'Blocker log'!$G:$G,"Hard blocker"))</f>
        <v>0</v>
      </c>
      <c r="O702" s="20">
        <f>IF($B702="","",COUNTIFS('Blocker log'!$A:$A,$B702,'Blocker log'!$G:$G,"Hard blocker",'Blocker log'!$L:$L,9))</f>
        <v>0</v>
      </c>
      <c r="P702" s="20">
        <f>IF($B702="","",MAXIFS('Blocker log'!$L:$L,'Blocker log'!$A:$A,$B702,'Blocker log'!$G:$G,"Hard blocker"))</f>
        <v>0</v>
      </c>
      <c r="Q702" s="20" t="str">
        <f>IF($B702="","",IF($K702&lt;&gt;"Complete","Assessment pending",IF($N702=0,"Ready now",VLOOKUP($P702,Lists!$D$2:$E$5,2,FALSE))))</f>
        <v>Assessment pending</v>
      </c>
    </row>
    <row r="703" ht="15.75" customHeight="1">
      <c r="A703" s="35" t="s">
        <v>2025</v>
      </c>
      <c r="B703" s="35" t="s">
        <v>2026</v>
      </c>
      <c r="C703" s="35" t="s">
        <v>1286</v>
      </c>
      <c r="D703" s="35" t="s">
        <v>301</v>
      </c>
      <c r="E703" s="35" t="s">
        <v>490</v>
      </c>
      <c r="F703" s="35" t="s">
        <v>490</v>
      </c>
      <c r="G703" s="35" t="s">
        <v>1042</v>
      </c>
      <c r="H703" s="76">
        <v>46267.0</v>
      </c>
      <c r="I703" s="35"/>
      <c r="M703" s="20">
        <f>IF($B703="","",COUNTIFS('Blocker log'!$A:$A,$B703,'Blocker log'!$G:$G,"&lt;&gt;"))</f>
        <v>0</v>
      </c>
      <c r="N703" s="20">
        <f>IF($B703="","",COUNTIFS('Blocker log'!$A:$A,$B703,'Blocker log'!$G:$G,"Hard blocker"))</f>
        <v>0</v>
      </c>
      <c r="O703" s="20">
        <f>IF($B703="","",COUNTIFS('Blocker log'!$A:$A,$B703,'Blocker log'!$G:$G,"Hard blocker",'Blocker log'!$L:$L,9))</f>
        <v>0</v>
      </c>
      <c r="P703" s="20">
        <f>IF($B703="","",MAXIFS('Blocker log'!$L:$L,'Blocker log'!$A:$A,$B703,'Blocker log'!$G:$G,"Hard blocker"))</f>
        <v>0</v>
      </c>
      <c r="Q703" s="20" t="str">
        <f>IF($B703="","",IF($K703&lt;&gt;"Complete","Assessment pending",IF($N703=0,"Ready now",VLOOKUP($P703,Lists!$D$2:$E$5,2,FALSE))))</f>
        <v>Assessment pending</v>
      </c>
    </row>
    <row r="704" ht="15.75" customHeight="1">
      <c r="A704" s="35" t="s">
        <v>2027</v>
      </c>
      <c r="B704" s="35" t="s">
        <v>2028</v>
      </c>
      <c r="C704" s="35" t="s">
        <v>76</v>
      </c>
      <c r="D704" s="35" t="s">
        <v>171</v>
      </c>
      <c r="E704" s="35" t="s">
        <v>542</v>
      </c>
      <c r="F704" s="35" t="s">
        <v>543</v>
      </c>
      <c r="G704" s="35" t="s">
        <v>1006</v>
      </c>
      <c r="H704" s="76">
        <v>46163.0</v>
      </c>
      <c r="I704" s="35"/>
      <c r="M704" s="20">
        <f>IF($B704="","",COUNTIFS('Blocker log'!$A:$A,$B704,'Blocker log'!$G:$G,"&lt;&gt;"))</f>
        <v>0</v>
      </c>
      <c r="N704" s="20">
        <f>IF($B704="","",COUNTIFS('Blocker log'!$A:$A,$B704,'Blocker log'!$G:$G,"Hard blocker"))</f>
        <v>0</v>
      </c>
      <c r="O704" s="20">
        <f>IF($B704="","",COUNTIFS('Blocker log'!$A:$A,$B704,'Blocker log'!$G:$G,"Hard blocker",'Blocker log'!$L:$L,9))</f>
        <v>0</v>
      </c>
      <c r="P704" s="20">
        <f>IF($B704="","",MAXIFS('Blocker log'!$L:$L,'Blocker log'!$A:$A,$B704,'Blocker log'!$G:$G,"Hard blocker"))</f>
        <v>0</v>
      </c>
      <c r="Q704" s="20" t="str">
        <f>IF($B704="","",IF($K704&lt;&gt;"Complete","Assessment pending",IF($N704=0,"Ready now",VLOOKUP($P704,Lists!$D$2:$E$5,2,FALSE))))</f>
        <v>Assessment pending</v>
      </c>
    </row>
    <row r="705" ht="15.75" customHeight="1">
      <c r="A705" s="35" t="s">
        <v>2029</v>
      </c>
      <c r="B705" s="35" t="s">
        <v>2030</v>
      </c>
      <c r="C705" s="35" t="s">
        <v>1286</v>
      </c>
      <c r="D705" s="35" t="s">
        <v>171</v>
      </c>
      <c r="E705" s="35" t="s">
        <v>1465</v>
      </c>
      <c r="F705" s="35" t="s">
        <v>1466</v>
      </c>
      <c r="G705" s="35" t="s">
        <v>1161</v>
      </c>
      <c r="H705" s="76">
        <v>46160.0</v>
      </c>
      <c r="I705" s="35"/>
      <c r="M705" s="20">
        <f>IF($B705="","",COUNTIFS('Blocker log'!$A:$A,$B705,'Blocker log'!$G:$G,"&lt;&gt;"))</f>
        <v>0</v>
      </c>
      <c r="N705" s="20">
        <f>IF($B705="","",COUNTIFS('Blocker log'!$A:$A,$B705,'Blocker log'!$G:$G,"Hard blocker"))</f>
        <v>0</v>
      </c>
      <c r="O705" s="20">
        <f>IF($B705="","",COUNTIFS('Blocker log'!$A:$A,$B705,'Blocker log'!$G:$G,"Hard blocker",'Blocker log'!$L:$L,9))</f>
        <v>0</v>
      </c>
      <c r="P705" s="20">
        <f>IF($B705="","",MAXIFS('Blocker log'!$L:$L,'Blocker log'!$A:$A,$B705,'Blocker log'!$G:$G,"Hard blocker"))</f>
        <v>0</v>
      </c>
      <c r="Q705" s="20" t="str">
        <f>IF($B705="","",IF($K705&lt;&gt;"Complete","Assessment pending",IF($N705=0,"Ready now",VLOOKUP($P705,Lists!$D$2:$E$5,2,FALSE))))</f>
        <v>Assessment pending</v>
      </c>
    </row>
    <row r="706" ht="15.75" customHeight="1">
      <c r="A706" s="35" t="s">
        <v>2031</v>
      </c>
      <c r="B706" s="35" t="s">
        <v>2032</v>
      </c>
      <c r="C706" s="35" t="s">
        <v>1286</v>
      </c>
      <c r="D706" s="35" t="s">
        <v>260</v>
      </c>
      <c r="E706" s="35" t="s">
        <v>530</v>
      </c>
      <c r="F706" s="35" t="s">
        <v>1766</v>
      </c>
      <c r="G706" s="35" t="s">
        <v>1161</v>
      </c>
      <c r="H706" s="76">
        <v>46015.0</v>
      </c>
      <c r="I706" s="35" t="s">
        <v>441</v>
      </c>
      <c r="M706" s="20">
        <f>IF($B706="","",COUNTIFS('Blocker log'!$A:$A,$B706,'Blocker log'!$G:$G,"&lt;&gt;"))</f>
        <v>0</v>
      </c>
      <c r="N706" s="20">
        <f>IF($B706="","",COUNTIFS('Blocker log'!$A:$A,$B706,'Blocker log'!$G:$G,"Hard blocker"))</f>
        <v>0</v>
      </c>
      <c r="O706" s="20">
        <f>IF($B706="","",COUNTIFS('Blocker log'!$A:$A,$B706,'Blocker log'!$G:$G,"Hard blocker",'Blocker log'!$L:$L,9))</f>
        <v>0</v>
      </c>
      <c r="P706" s="20">
        <f>IF($B706="","",MAXIFS('Blocker log'!$L:$L,'Blocker log'!$A:$A,$B706,'Blocker log'!$G:$G,"Hard blocker"))</f>
        <v>0</v>
      </c>
      <c r="Q706" s="20" t="str">
        <f>IF($B706="","",IF($K706&lt;&gt;"Complete","Assessment pending",IF($N706=0,"Ready now",VLOOKUP($P706,Lists!$D$2:$E$5,2,FALSE))))</f>
        <v>Assessment pending</v>
      </c>
    </row>
    <row r="707" ht="15.75" customHeight="1">
      <c r="A707" s="35" t="s">
        <v>2033</v>
      </c>
      <c r="B707" s="35" t="s">
        <v>2034</v>
      </c>
      <c r="C707" s="35" t="s">
        <v>76</v>
      </c>
      <c r="D707" s="35" t="s">
        <v>260</v>
      </c>
      <c r="E707" s="35" t="s">
        <v>576</v>
      </c>
      <c r="F707" s="35" t="s">
        <v>804</v>
      </c>
      <c r="G707" s="35" t="s">
        <v>999</v>
      </c>
      <c r="H707" s="76">
        <v>45914.0</v>
      </c>
      <c r="I707" s="35"/>
      <c r="M707" s="20">
        <f>IF($B707="","",COUNTIFS('Blocker log'!$A:$A,$B707,'Blocker log'!$G:$G,"&lt;&gt;"))</f>
        <v>0</v>
      </c>
      <c r="N707" s="20">
        <f>IF($B707="","",COUNTIFS('Blocker log'!$A:$A,$B707,'Blocker log'!$G:$G,"Hard blocker"))</f>
        <v>0</v>
      </c>
      <c r="O707" s="20">
        <f>IF($B707="","",COUNTIFS('Blocker log'!$A:$A,$B707,'Blocker log'!$G:$G,"Hard blocker",'Blocker log'!$L:$L,9))</f>
        <v>0</v>
      </c>
      <c r="P707" s="20">
        <f>IF($B707="","",MAXIFS('Blocker log'!$L:$L,'Blocker log'!$A:$A,$B707,'Blocker log'!$G:$G,"Hard blocker"))</f>
        <v>0</v>
      </c>
      <c r="Q707" s="20" t="str">
        <f>IF($B707="","",IF($K707&lt;&gt;"Complete","Assessment pending",IF($N707=0,"Ready now",VLOOKUP($P707,Lists!$D$2:$E$5,2,FALSE))))</f>
        <v>Assessment pending</v>
      </c>
    </row>
    <row r="708" ht="15.75" customHeight="1">
      <c r="A708" s="35" t="s">
        <v>2035</v>
      </c>
      <c r="B708" s="35" t="s">
        <v>2036</v>
      </c>
      <c r="C708" s="35" t="s">
        <v>1286</v>
      </c>
      <c r="D708" s="35" t="s">
        <v>58</v>
      </c>
      <c r="E708" s="35" t="s">
        <v>140</v>
      </c>
      <c r="F708" s="35" t="s">
        <v>246</v>
      </c>
      <c r="G708" s="35" t="s">
        <v>1042</v>
      </c>
      <c r="H708" s="76">
        <v>45720.0</v>
      </c>
      <c r="I708" s="35" t="s">
        <v>421</v>
      </c>
      <c r="M708" s="20">
        <f>IF($B708="","",COUNTIFS('Blocker log'!$A:$A,$B708,'Blocker log'!$G:$G,"&lt;&gt;"))</f>
        <v>0</v>
      </c>
      <c r="N708" s="20">
        <f>IF($B708="","",COUNTIFS('Blocker log'!$A:$A,$B708,'Blocker log'!$G:$G,"Hard blocker"))</f>
        <v>0</v>
      </c>
      <c r="O708" s="20">
        <f>IF($B708="","",COUNTIFS('Blocker log'!$A:$A,$B708,'Blocker log'!$G:$G,"Hard blocker",'Blocker log'!$L:$L,9))</f>
        <v>0</v>
      </c>
      <c r="P708" s="20">
        <f>IF($B708="","",MAXIFS('Blocker log'!$L:$L,'Blocker log'!$A:$A,$B708,'Blocker log'!$G:$G,"Hard blocker"))</f>
        <v>0</v>
      </c>
      <c r="Q708" s="20" t="str">
        <f>IF($B708="","",IF($K708&lt;&gt;"Complete","Assessment pending",IF($N708=0,"Ready now",VLOOKUP($P708,Lists!$D$2:$E$5,2,FALSE))))</f>
        <v>Assessment pending</v>
      </c>
    </row>
    <row r="709" ht="15.75" customHeight="1">
      <c r="A709" s="35" t="s">
        <v>2037</v>
      </c>
      <c r="B709" s="35" t="s">
        <v>2038</v>
      </c>
      <c r="C709" s="35" t="s">
        <v>76</v>
      </c>
      <c r="D709" s="35" t="s">
        <v>171</v>
      </c>
      <c r="E709" s="35" t="s">
        <v>713</v>
      </c>
      <c r="F709" s="35" t="s">
        <v>714</v>
      </c>
      <c r="G709" s="35" t="s">
        <v>999</v>
      </c>
      <c r="H709" s="76">
        <v>45509.0</v>
      </c>
      <c r="I709" s="35"/>
      <c r="M709" s="20">
        <f>IF($B709="","",COUNTIFS('Blocker log'!$A:$A,$B709,'Blocker log'!$G:$G,"&lt;&gt;"))</f>
        <v>0</v>
      </c>
      <c r="N709" s="20">
        <f>IF($B709="","",COUNTIFS('Blocker log'!$A:$A,$B709,'Blocker log'!$G:$G,"Hard blocker"))</f>
        <v>0</v>
      </c>
      <c r="O709" s="20">
        <f>IF($B709="","",COUNTIFS('Blocker log'!$A:$A,$B709,'Blocker log'!$G:$G,"Hard blocker",'Blocker log'!$L:$L,9))</f>
        <v>0</v>
      </c>
      <c r="P709" s="20">
        <f>IF($B709="","",MAXIFS('Blocker log'!$L:$L,'Blocker log'!$A:$A,$B709,'Blocker log'!$G:$G,"Hard blocker"))</f>
        <v>0</v>
      </c>
      <c r="Q709" s="20" t="str">
        <f>IF($B709="","",IF($K709&lt;&gt;"Complete","Assessment pending",IF($N709=0,"Ready now",VLOOKUP($P709,Lists!$D$2:$E$5,2,FALSE))))</f>
        <v>Assessment pending</v>
      </c>
    </row>
    <row r="710" ht="15.75" customHeight="1">
      <c r="A710" s="35" t="s">
        <v>2039</v>
      </c>
      <c r="B710" s="35" t="s">
        <v>2040</v>
      </c>
      <c r="C710" s="35" t="s">
        <v>76</v>
      </c>
      <c r="D710" s="35" t="s">
        <v>58</v>
      </c>
      <c r="E710" s="35" t="s">
        <v>59</v>
      </c>
      <c r="F710" s="35" t="s">
        <v>60</v>
      </c>
      <c r="G710" s="35" t="s">
        <v>999</v>
      </c>
      <c r="H710" s="76">
        <v>45450.0</v>
      </c>
      <c r="I710" s="35"/>
      <c r="M710" s="20">
        <f>IF($B710="","",COUNTIFS('Blocker log'!$A:$A,$B710,'Blocker log'!$G:$G,"&lt;&gt;"))</f>
        <v>0</v>
      </c>
      <c r="N710" s="20">
        <f>IF($B710="","",COUNTIFS('Blocker log'!$A:$A,$B710,'Blocker log'!$G:$G,"Hard blocker"))</f>
        <v>0</v>
      </c>
      <c r="O710" s="20">
        <f>IF($B710="","",COUNTIFS('Blocker log'!$A:$A,$B710,'Blocker log'!$G:$G,"Hard blocker",'Blocker log'!$L:$L,9))</f>
        <v>0</v>
      </c>
      <c r="P710" s="20">
        <f>IF($B710="","",MAXIFS('Blocker log'!$L:$L,'Blocker log'!$A:$A,$B710,'Blocker log'!$G:$G,"Hard blocker"))</f>
        <v>0</v>
      </c>
      <c r="Q710" s="20" t="str">
        <f>IF($B710="","",IF($K710&lt;&gt;"Complete","Assessment pending",IF($N710=0,"Ready now",VLOOKUP($P710,Lists!$D$2:$E$5,2,FALSE))))</f>
        <v>Assessment pending</v>
      </c>
    </row>
    <row r="711" ht="15.75" customHeight="1">
      <c r="A711" s="35" t="s">
        <v>2041</v>
      </c>
      <c r="B711" s="35" t="s">
        <v>2042</v>
      </c>
      <c r="C711" s="35" t="s">
        <v>1286</v>
      </c>
      <c r="D711" s="35" t="s">
        <v>171</v>
      </c>
      <c r="E711" s="35" t="s">
        <v>668</v>
      </c>
      <c r="F711" s="35" t="s">
        <v>669</v>
      </c>
      <c r="G711" s="35" t="s">
        <v>1161</v>
      </c>
      <c r="H711" s="76">
        <v>45000.0</v>
      </c>
      <c r="I711" s="35"/>
      <c r="M711" s="20">
        <f>IF($B711="","",COUNTIFS('Blocker log'!$A:$A,$B711,'Blocker log'!$G:$G,"&lt;&gt;"))</f>
        <v>0</v>
      </c>
      <c r="N711" s="20">
        <f>IF($B711="","",COUNTIFS('Blocker log'!$A:$A,$B711,'Blocker log'!$G:$G,"Hard blocker"))</f>
        <v>0</v>
      </c>
      <c r="O711" s="20">
        <f>IF($B711="","",COUNTIFS('Blocker log'!$A:$A,$B711,'Blocker log'!$G:$G,"Hard blocker",'Blocker log'!$L:$L,9))</f>
        <v>0</v>
      </c>
      <c r="P711" s="20">
        <f>IF($B711="","",MAXIFS('Blocker log'!$L:$L,'Blocker log'!$A:$A,$B711,'Blocker log'!$G:$G,"Hard blocker"))</f>
        <v>0</v>
      </c>
      <c r="Q711" s="20" t="str">
        <f>IF($B711="","",IF($K711&lt;&gt;"Complete","Assessment pending",IF($N711=0,"Ready now",VLOOKUP($P711,Lists!$D$2:$E$5,2,FALSE))))</f>
        <v>Assessment pending</v>
      </c>
    </row>
    <row r="712" ht="15.75" customHeight="1">
      <c r="A712" s="35" t="s">
        <v>2043</v>
      </c>
      <c r="B712" s="35" t="s">
        <v>2044</v>
      </c>
      <c r="C712" s="35" t="s">
        <v>1286</v>
      </c>
      <c r="D712" s="35" t="s">
        <v>58</v>
      </c>
      <c r="E712" s="35" t="s">
        <v>1315</v>
      </c>
      <c r="F712" s="35" t="s">
        <v>1315</v>
      </c>
      <c r="G712" s="35" t="s">
        <v>1161</v>
      </c>
      <c r="H712" s="76">
        <v>44972.0</v>
      </c>
      <c r="I712" s="35" t="s">
        <v>448</v>
      </c>
      <c r="M712" s="20">
        <f>IF($B712="","",COUNTIFS('Blocker log'!$A:$A,$B712,'Blocker log'!$G:$G,"&lt;&gt;"))</f>
        <v>0</v>
      </c>
      <c r="N712" s="20">
        <f>IF($B712="","",COUNTIFS('Blocker log'!$A:$A,$B712,'Blocker log'!$G:$G,"Hard blocker"))</f>
        <v>0</v>
      </c>
      <c r="O712" s="20">
        <f>IF($B712="","",COUNTIFS('Blocker log'!$A:$A,$B712,'Blocker log'!$G:$G,"Hard blocker",'Blocker log'!$L:$L,9))</f>
        <v>0</v>
      </c>
      <c r="P712" s="20">
        <f>IF($B712="","",MAXIFS('Blocker log'!$L:$L,'Blocker log'!$A:$A,$B712,'Blocker log'!$G:$G,"Hard blocker"))</f>
        <v>0</v>
      </c>
      <c r="Q712" s="20" t="str">
        <f>IF($B712="","",IF($K712&lt;&gt;"Complete","Assessment pending",IF($N712=0,"Ready now",VLOOKUP($P712,Lists!$D$2:$E$5,2,FALSE))))</f>
        <v>Assessment pending</v>
      </c>
    </row>
    <row r="713" ht="15.75" customHeight="1">
      <c r="A713" s="35" t="s">
        <v>2045</v>
      </c>
      <c r="B713" s="35" t="s">
        <v>2046</v>
      </c>
      <c r="C713" s="35" t="s">
        <v>1286</v>
      </c>
      <c r="D713" s="35" t="s">
        <v>58</v>
      </c>
      <c r="E713" s="35" t="s">
        <v>132</v>
      </c>
      <c r="F713" s="35" t="s">
        <v>949</v>
      </c>
      <c r="G713" s="35" t="s">
        <v>1042</v>
      </c>
      <c r="H713" s="76">
        <v>44939.0</v>
      </c>
      <c r="I713" s="35" t="s">
        <v>408</v>
      </c>
      <c r="M713" s="20">
        <f>IF($B713="","",COUNTIFS('Blocker log'!$A:$A,$B713,'Blocker log'!$G:$G,"&lt;&gt;"))</f>
        <v>0</v>
      </c>
      <c r="N713" s="20">
        <f>IF($B713="","",COUNTIFS('Blocker log'!$A:$A,$B713,'Blocker log'!$G:$G,"Hard blocker"))</f>
        <v>0</v>
      </c>
      <c r="O713" s="20">
        <f>IF($B713="","",COUNTIFS('Blocker log'!$A:$A,$B713,'Blocker log'!$G:$G,"Hard blocker",'Blocker log'!$L:$L,9))</f>
        <v>0</v>
      </c>
      <c r="P713" s="20">
        <f>IF($B713="","",MAXIFS('Blocker log'!$L:$L,'Blocker log'!$A:$A,$B713,'Blocker log'!$G:$G,"Hard blocker"))</f>
        <v>0</v>
      </c>
      <c r="Q713" s="20" t="str">
        <f>IF($B713="","",IF($K713&lt;&gt;"Complete","Assessment pending",IF($N713=0,"Ready now",VLOOKUP($P713,Lists!$D$2:$E$5,2,FALSE))))</f>
        <v>Assessment pending</v>
      </c>
    </row>
    <row r="714" ht="15.75" customHeight="1">
      <c r="A714" s="35" t="s">
        <v>2047</v>
      </c>
      <c r="B714" s="35" t="s">
        <v>2048</v>
      </c>
      <c r="C714" s="35" t="s">
        <v>1286</v>
      </c>
      <c r="D714" s="35" t="s">
        <v>58</v>
      </c>
      <c r="E714" s="35" t="s">
        <v>494</v>
      </c>
      <c r="F714" s="35" t="s">
        <v>495</v>
      </c>
      <c r="G714" s="35" t="s">
        <v>1161</v>
      </c>
      <c r="H714" s="76">
        <v>44281.0</v>
      </c>
      <c r="I714" s="35" t="s">
        <v>425</v>
      </c>
      <c r="M714" s="20">
        <f>IF($B714="","",COUNTIFS('Blocker log'!$A:$A,$B714,'Blocker log'!$G:$G,"&lt;&gt;"))</f>
        <v>0</v>
      </c>
      <c r="N714" s="20">
        <f>IF($B714="","",COUNTIFS('Blocker log'!$A:$A,$B714,'Blocker log'!$G:$G,"Hard blocker"))</f>
        <v>0</v>
      </c>
      <c r="O714" s="20">
        <f>IF($B714="","",COUNTIFS('Blocker log'!$A:$A,$B714,'Blocker log'!$G:$G,"Hard blocker",'Blocker log'!$L:$L,9))</f>
        <v>0</v>
      </c>
      <c r="P714" s="20">
        <f>IF($B714="","",MAXIFS('Blocker log'!$L:$L,'Blocker log'!$A:$A,$B714,'Blocker log'!$G:$G,"Hard blocker"))</f>
        <v>0</v>
      </c>
      <c r="Q714" s="20" t="str">
        <f>IF($B714="","",IF($K714&lt;&gt;"Complete","Assessment pending",IF($N714=0,"Ready now",VLOOKUP($P714,Lists!$D$2:$E$5,2,FALSE))))</f>
        <v>Assessment pending</v>
      </c>
    </row>
    <row r="715" ht="15.75" customHeight="1">
      <c r="A715" s="35" t="s">
        <v>2049</v>
      </c>
      <c r="B715" s="35" t="s">
        <v>2050</v>
      </c>
      <c r="C715" s="35" t="s">
        <v>1286</v>
      </c>
      <c r="D715" s="35" t="s">
        <v>171</v>
      </c>
      <c r="E715" s="35" t="s">
        <v>524</v>
      </c>
      <c r="F715" s="35" t="s">
        <v>1085</v>
      </c>
      <c r="G715" s="35" t="s">
        <v>1161</v>
      </c>
      <c r="H715" s="76">
        <v>44109.0</v>
      </c>
      <c r="I715" s="35" t="s">
        <v>431</v>
      </c>
      <c r="M715" s="20">
        <f>IF($B715="","",COUNTIFS('Blocker log'!$A:$A,$B715,'Blocker log'!$G:$G,"&lt;&gt;"))</f>
        <v>0</v>
      </c>
      <c r="N715" s="20">
        <f>IF($B715="","",COUNTIFS('Blocker log'!$A:$A,$B715,'Blocker log'!$G:$G,"Hard blocker"))</f>
        <v>0</v>
      </c>
      <c r="O715" s="20">
        <f>IF($B715="","",COUNTIFS('Blocker log'!$A:$A,$B715,'Blocker log'!$G:$G,"Hard blocker",'Blocker log'!$L:$L,9))</f>
        <v>0</v>
      </c>
      <c r="P715" s="20">
        <f>IF($B715="","",MAXIFS('Blocker log'!$L:$L,'Blocker log'!$A:$A,$B715,'Blocker log'!$G:$G,"Hard blocker"))</f>
        <v>0</v>
      </c>
      <c r="Q715" s="20" t="str">
        <f>IF($B715="","",IF($K715&lt;&gt;"Complete","Assessment pending",IF($N715=0,"Ready now",VLOOKUP($P715,Lists!$D$2:$E$5,2,FALSE))))</f>
        <v>Assessment pending</v>
      </c>
    </row>
    <row r="716" ht="15.75" customHeight="1">
      <c r="A716" s="35" t="s">
        <v>2051</v>
      </c>
      <c r="B716" s="35" t="s">
        <v>2052</v>
      </c>
      <c r="C716" s="35" t="s">
        <v>1286</v>
      </c>
      <c r="D716" s="35" t="s">
        <v>260</v>
      </c>
      <c r="E716" s="35" t="s">
        <v>351</v>
      </c>
      <c r="F716" s="35" t="s">
        <v>352</v>
      </c>
      <c r="G716" s="35" t="s">
        <v>1161</v>
      </c>
      <c r="H716" s="76">
        <v>44000.0</v>
      </c>
      <c r="I716" s="35" t="s">
        <v>428</v>
      </c>
      <c r="M716" s="20">
        <f>IF($B716="","",COUNTIFS('Blocker log'!$A:$A,$B716,'Blocker log'!$G:$G,"&lt;&gt;"))</f>
        <v>0</v>
      </c>
      <c r="N716" s="20">
        <f>IF($B716="","",COUNTIFS('Blocker log'!$A:$A,$B716,'Blocker log'!$G:$G,"Hard blocker"))</f>
        <v>0</v>
      </c>
      <c r="O716" s="20">
        <f>IF($B716="","",COUNTIFS('Blocker log'!$A:$A,$B716,'Blocker log'!$G:$G,"Hard blocker",'Blocker log'!$L:$L,9))</f>
        <v>0</v>
      </c>
      <c r="P716" s="20">
        <f>IF($B716="","",MAXIFS('Blocker log'!$L:$L,'Blocker log'!$A:$A,$B716,'Blocker log'!$G:$G,"Hard blocker"))</f>
        <v>0</v>
      </c>
      <c r="Q716" s="20" t="str">
        <f>IF($B716="","",IF($K716&lt;&gt;"Complete","Assessment pending",IF($N716=0,"Ready now",VLOOKUP($P716,Lists!$D$2:$E$5,2,FALSE))))</f>
        <v>Assessment pending</v>
      </c>
    </row>
    <row r="717" ht="15.75" customHeight="1">
      <c r="A717" s="35" t="s">
        <v>2053</v>
      </c>
      <c r="B717" s="35" t="s">
        <v>2054</v>
      </c>
      <c r="C717" s="35" t="s">
        <v>1286</v>
      </c>
      <c r="D717" s="35" t="s">
        <v>58</v>
      </c>
      <c r="E717" s="35" t="s">
        <v>140</v>
      </c>
      <c r="F717" s="35" t="s">
        <v>663</v>
      </c>
      <c r="G717" s="35" t="s">
        <v>1161</v>
      </c>
      <c r="H717" s="76">
        <v>43920.0</v>
      </c>
      <c r="I717" s="35"/>
      <c r="M717" s="20">
        <f>IF($B717="","",COUNTIFS('Blocker log'!$A:$A,$B717,'Blocker log'!$G:$G,"&lt;&gt;"))</f>
        <v>0</v>
      </c>
      <c r="N717" s="20">
        <f>IF($B717="","",COUNTIFS('Blocker log'!$A:$A,$B717,'Blocker log'!$G:$G,"Hard blocker"))</f>
        <v>0</v>
      </c>
      <c r="O717" s="20">
        <f>IF($B717="","",COUNTIFS('Blocker log'!$A:$A,$B717,'Blocker log'!$G:$G,"Hard blocker",'Blocker log'!$L:$L,9))</f>
        <v>0</v>
      </c>
      <c r="P717" s="20">
        <f>IF($B717="","",MAXIFS('Blocker log'!$L:$L,'Blocker log'!$A:$A,$B717,'Blocker log'!$G:$G,"Hard blocker"))</f>
        <v>0</v>
      </c>
      <c r="Q717" s="20" t="str">
        <f>IF($B717="","",IF($K717&lt;&gt;"Complete","Assessment pending",IF($N717=0,"Ready now",VLOOKUP($P717,Lists!$D$2:$E$5,2,FALSE))))</f>
        <v>Assessment pending</v>
      </c>
    </row>
    <row r="718" ht="15.75" customHeight="1">
      <c r="A718" s="35" t="s">
        <v>2055</v>
      </c>
      <c r="B718" s="35" t="s">
        <v>2056</v>
      </c>
      <c r="C718" s="35" t="s">
        <v>1286</v>
      </c>
      <c r="D718" s="35" t="s">
        <v>58</v>
      </c>
      <c r="E718" s="35" t="s">
        <v>101</v>
      </c>
      <c r="F718" s="35" t="s">
        <v>102</v>
      </c>
      <c r="G718" s="35" t="s">
        <v>1161</v>
      </c>
      <c r="H718" s="76">
        <v>43860.0</v>
      </c>
      <c r="I718" s="35"/>
      <c r="M718" s="20">
        <f>IF($B718="","",COUNTIFS('Blocker log'!$A:$A,$B718,'Blocker log'!$G:$G,"&lt;&gt;"))</f>
        <v>0</v>
      </c>
      <c r="N718" s="20">
        <f>IF($B718="","",COUNTIFS('Blocker log'!$A:$A,$B718,'Blocker log'!$G:$G,"Hard blocker"))</f>
        <v>0</v>
      </c>
      <c r="O718" s="20">
        <f>IF($B718="","",COUNTIFS('Blocker log'!$A:$A,$B718,'Blocker log'!$G:$G,"Hard blocker",'Blocker log'!$L:$L,9))</f>
        <v>0</v>
      </c>
      <c r="P718" s="20">
        <f>IF($B718="","",MAXIFS('Blocker log'!$L:$L,'Blocker log'!$A:$A,$B718,'Blocker log'!$G:$G,"Hard blocker"))</f>
        <v>0</v>
      </c>
      <c r="Q718" s="20" t="str">
        <f>IF($B718="","",IF($K718&lt;&gt;"Complete","Assessment pending",IF($N718=0,"Ready now",VLOOKUP($P718,Lists!$D$2:$E$5,2,FALSE))))</f>
        <v>Assessment pending</v>
      </c>
    </row>
    <row r="719" ht="15.75" customHeight="1">
      <c r="A719" s="35" t="s">
        <v>2057</v>
      </c>
      <c r="B719" s="35" t="s">
        <v>2058</v>
      </c>
      <c r="C719" s="35" t="s">
        <v>1286</v>
      </c>
      <c r="D719" s="35" t="s">
        <v>171</v>
      </c>
      <c r="E719" s="35" t="s">
        <v>587</v>
      </c>
      <c r="F719" s="35" t="s">
        <v>1643</v>
      </c>
      <c r="G719" s="35" t="s">
        <v>1161</v>
      </c>
      <c r="H719" s="76">
        <v>43779.0</v>
      </c>
      <c r="I719" s="35"/>
      <c r="M719" s="20">
        <f>IF($B719="","",COUNTIFS('Blocker log'!$A:$A,$B719,'Blocker log'!$G:$G,"&lt;&gt;"))</f>
        <v>0</v>
      </c>
      <c r="N719" s="20">
        <f>IF($B719="","",COUNTIFS('Blocker log'!$A:$A,$B719,'Blocker log'!$G:$G,"Hard blocker"))</f>
        <v>0</v>
      </c>
      <c r="O719" s="20">
        <f>IF($B719="","",COUNTIFS('Blocker log'!$A:$A,$B719,'Blocker log'!$G:$G,"Hard blocker",'Blocker log'!$L:$L,9))</f>
        <v>0</v>
      </c>
      <c r="P719" s="20">
        <f>IF($B719="","",MAXIFS('Blocker log'!$L:$L,'Blocker log'!$A:$A,$B719,'Blocker log'!$G:$G,"Hard blocker"))</f>
        <v>0</v>
      </c>
      <c r="Q719" s="20" t="str">
        <f>IF($B719="","",IF($K719&lt;&gt;"Complete","Assessment pending",IF($N719=0,"Ready now",VLOOKUP($P719,Lists!$D$2:$E$5,2,FALSE))))</f>
        <v>Assessment pending</v>
      </c>
    </row>
    <row r="720" ht="15.75" customHeight="1">
      <c r="A720" s="35" t="s">
        <v>2059</v>
      </c>
      <c r="B720" s="35" t="s">
        <v>2060</v>
      </c>
      <c r="C720" s="35" t="s">
        <v>1286</v>
      </c>
      <c r="D720" s="35" t="s">
        <v>171</v>
      </c>
      <c r="E720" s="35" t="s">
        <v>512</v>
      </c>
      <c r="F720" s="35" t="s">
        <v>537</v>
      </c>
      <c r="G720" s="35" t="s">
        <v>1161</v>
      </c>
      <c r="H720" s="76">
        <v>43761.0</v>
      </c>
      <c r="I720" s="35" t="s">
        <v>415</v>
      </c>
      <c r="M720" s="20">
        <f>IF($B720="","",COUNTIFS('Blocker log'!$A:$A,$B720,'Blocker log'!$G:$G,"&lt;&gt;"))</f>
        <v>0</v>
      </c>
      <c r="N720" s="20">
        <f>IF($B720="","",COUNTIFS('Blocker log'!$A:$A,$B720,'Blocker log'!$G:$G,"Hard blocker"))</f>
        <v>0</v>
      </c>
      <c r="O720" s="20">
        <f>IF($B720="","",COUNTIFS('Blocker log'!$A:$A,$B720,'Blocker log'!$G:$G,"Hard blocker",'Blocker log'!$L:$L,9))</f>
        <v>0</v>
      </c>
      <c r="P720" s="20">
        <f>IF($B720="","",MAXIFS('Blocker log'!$L:$L,'Blocker log'!$A:$A,$B720,'Blocker log'!$G:$G,"Hard blocker"))</f>
        <v>0</v>
      </c>
      <c r="Q720" s="20" t="str">
        <f>IF($B720="","",IF($K720&lt;&gt;"Complete","Assessment pending",IF($N720=0,"Ready now",VLOOKUP($P720,Lists!$D$2:$E$5,2,FALSE))))</f>
        <v>Assessment pending</v>
      </c>
    </row>
    <row r="721" ht="15.75" customHeight="1">
      <c r="A721" s="35" t="s">
        <v>2061</v>
      </c>
      <c r="B721" s="35" t="s">
        <v>2062</v>
      </c>
      <c r="C721" s="35" t="s">
        <v>76</v>
      </c>
      <c r="D721" s="35" t="s">
        <v>58</v>
      </c>
      <c r="E721" s="35" t="s">
        <v>59</v>
      </c>
      <c r="F721" s="35" t="s">
        <v>598</v>
      </c>
      <c r="G721" s="35" t="s">
        <v>980</v>
      </c>
      <c r="H721" s="76">
        <v>43750.0</v>
      </c>
      <c r="I721" s="35"/>
      <c r="M721" s="20">
        <f>IF($B721="","",COUNTIFS('Blocker log'!$A:$A,$B721,'Blocker log'!$G:$G,"&lt;&gt;"))</f>
        <v>0</v>
      </c>
      <c r="N721" s="20">
        <f>IF($B721="","",COUNTIFS('Blocker log'!$A:$A,$B721,'Blocker log'!$G:$G,"Hard blocker"))</f>
        <v>0</v>
      </c>
      <c r="O721" s="20">
        <f>IF($B721="","",COUNTIFS('Blocker log'!$A:$A,$B721,'Blocker log'!$G:$G,"Hard blocker",'Blocker log'!$L:$L,9))</f>
        <v>0</v>
      </c>
      <c r="P721" s="20">
        <f>IF($B721="","",MAXIFS('Blocker log'!$L:$L,'Blocker log'!$A:$A,$B721,'Blocker log'!$G:$G,"Hard blocker"))</f>
        <v>0</v>
      </c>
      <c r="Q721" s="20" t="str">
        <f>IF($B721="","",IF($K721&lt;&gt;"Complete","Assessment pending",IF($N721=0,"Ready now",VLOOKUP($P721,Lists!$D$2:$E$5,2,FALSE))))</f>
        <v>Assessment pending</v>
      </c>
    </row>
    <row r="722" ht="15.75" customHeight="1">
      <c r="A722" s="35" t="s">
        <v>2063</v>
      </c>
      <c r="B722" s="35" t="s">
        <v>2064</v>
      </c>
      <c r="C722" s="35" t="s">
        <v>1286</v>
      </c>
      <c r="D722" s="35" t="s">
        <v>301</v>
      </c>
      <c r="E722" s="35" t="s">
        <v>593</v>
      </c>
      <c r="F722" s="35" t="s">
        <v>593</v>
      </c>
      <c r="G722" s="35" t="s">
        <v>1042</v>
      </c>
      <c r="H722" s="76">
        <v>43742.0</v>
      </c>
      <c r="I722" s="35"/>
      <c r="M722" s="20">
        <f>IF($B722="","",COUNTIFS('Blocker log'!$A:$A,$B722,'Blocker log'!$G:$G,"&lt;&gt;"))</f>
        <v>0</v>
      </c>
      <c r="N722" s="20">
        <f>IF($B722="","",COUNTIFS('Blocker log'!$A:$A,$B722,'Blocker log'!$G:$G,"Hard blocker"))</f>
        <v>0</v>
      </c>
      <c r="O722" s="20">
        <f>IF($B722="","",COUNTIFS('Blocker log'!$A:$A,$B722,'Blocker log'!$G:$G,"Hard blocker",'Blocker log'!$L:$L,9))</f>
        <v>0</v>
      </c>
      <c r="P722" s="20">
        <f>IF($B722="","",MAXIFS('Blocker log'!$L:$L,'Blocker log'!$A:$A,$B722,'Blocker log'!$G:$G,"Hard blocker"))</f>
        <v>0</v>
      </c>
      <c r="Q722" s="20" t="str">
        <f>IF($B722="","",IF($K722&lt;&gt;"Complete","Assessment pending",IF($N722=0,"Ready now",VLOOKUP($P722,Lists!$D$2:$E$5,2,FALSE))))</f>
        <v>Assessment pending</v>
      </c>
    </row>
    <row r="723" ht="15.75" customHeight="1">
      <c r="A723" s="35" t="s">
        <v>2065</v>
      </c>
      <c r="B723" s="35" t="s">
        <v>2066</v>
      </c>
      <c r="C723" s="35" t="s">
        <v>1286</v>
      </c>
      <c r="D723" s="35" t="s">
        <v>58</v>
      </c>
      <c r="E723" s="35" t="s">
        <v>494</v>
      </c>
      <c r="F723" s="35" t="s">
        <v>629</v>
      </c>
      <c r="G723" s="35" t="s">
        <v>1161</v>
      </c>
      <c r="H723" s="76">
        <v>43648.0</v>
      </c>
      <c r="I723" s="35" t="s">
        <v>404</v>
      </c>
      <c r="M723" s="20">
        <f>IF($B723="","",COUNTIFS('Blocker log'!$A:$A,$B723,'Blocker log'!$G:$G,"&lt;&gt;"))</f>
        <v>0</v>
      </c>
      <c r="N723" s="20">
        <f>IF($B723="","",COUNTIFS('Blocker log'!$A:$A,$B723,'Blocker log'!$G:$G,"Hard blocker"))</f>
        <v>0</v>
      </c>
      <c r="O723" s="20">
        <f>IF($B723="","",COUNTIFS('Blocker log'!$A:$A,$B723,'Blocker log'!$G:$G,"Hard blocker",'Blocker log'!$L:$L,9))</f>
        <v>0</v>
      </c>
      <c r="P723" s="20">
        <f>IF($B723="","",MAXIFS('Blocker log'!$L:$L,'Blocker log'!$A:$A,$B723,'Blocker log'!$G:$G,"Hard blocker"))</f>
        <v>0</v>
      </c>
      <c r="Q723" s="20" t="str">
        <f>IF($B723="","",IF($K723&lt;&gt;"Complete","Assessment pending",IF($N723=0,"Ready now",VLOOKUP($P723,Lists!$D$2:$E$5,2,FALSE))))</f>
        <v>Assessment pending</v>
      </c>
    </row>
    <row r="724" ht="15.75" customHeight="1">
      <c r="A724" s="35" t="s">
        <v>2067</v>
      </c>
      <c r="B724" s="35" t="s">
        <v>2068</v>
      </c>
      <c r="C724" s="35" t="s">
        <v>1286</v>
      </c>
      <c r="D724" s="35" t="s">
        <v>58</v>
      </c>
      <c r="E724" s="35" t="s">
        <v>494</v>
      </c>
      <c r="F724" s="35" t="s">
        <v>629</v>
      </c>
      <c r="G724" s="35" t="s">
        <v>1042</v>
      </c>
      <c r="H724" s="76">
        <v>43500.0</v>
      </c>
      <c r="I724" s="35" t="s">
        <v>451</v>
      </c>
      <c r="M724" s="20">
        <f>IF($B724="","",COUNTIFS('Blocker log'!$A:$A,$B724,'Blocker log'!$G:$G,"&lt;&gt;"))</f>
        <v>0</v>
      </c>
      <c r="N724" s="20">
        <f>IF($B724="","",COUNTIFS('Blocker log'!$A:$A,$B724,'Blocker log'!$G:$G,"Hard blocker"))</f>
        <v>0</v>
      </c>
      <c r="O724" s="20">
        <f>IF($B724="","",COUNTIFS('Blocker log'!$A:$A,$B724,'Blocker log'!$G:$G,"Hard blocker",'Blocker log'!$L:$L,9))</f>
        <v>0</v>
      </c>
      <c r="P724" s="20">
        <f>IF($B724="","",MAXIFS('Blocker log'!$L:$L,'Blocker log'!$A:$A,$B724,'Blocker log'!$G:$G,"Hard blocker"))</f>
        <v>0</v>
      </c>
      <c r="Q724" s="20" t="str">
        <f>IF($B724="","",IF($K724&lt;&gt;"Complete","Assessment pending",IF($N724=0,"Ready now",VLOOKUP($P724,Lists!$D$2:$E$5,2,FALSE))))</f>
        <v>Assessment pending</v>
      </c>
    </row>
    <row r="725" ht="15.75" customHeight="1">
      <c r="A725" s="35" t="s">
        <v>2069</v>
      </c>
      <c r="B725" s="35" t="s">
        <v>2070</v>
      </c>
      <c r="C725" s="35" t="s">
        <v>1286</v>
      </c>
      <c r="D725" s="35" t="s">
        <v>260</v>
      </c>
      <c r="E725" s="35" t="s">
        <v>1096</v>
      </c>
      <c r="F725" s="35" t="s">
        <v>1366</v>
      </c>
      <c r="G725" s="35" t="s">
        <v>1161</v>
      </c>
      <c r="H725" s="76">
        <v>43290.0</v>
      </c>
      <c r="I725" s="35" t="s">
        <v>429</v>
      </c>
      <c r="M725" s="20">
        <f>IF($B725="","",COUNTIFS('Blocker log'!$A:$A,$B725,'Blocker log'!$G:$G,"&lt;&gt;"))</f>
        <v>0</v>
      </c>
      <c r="N725" s="20">
        <f>IF($B725="","",COUNTIFS('Blocker log'!$A:$A,$B725,'Blocker log'!$G:$G,"Hard blocker"))</f>
        <v>0</v>
      </c>
      <c r="O725" s="20">
        <f>IF($B725="","",COUNTIFS('Blocker log'!$A:$A,$B725,'Blocker log'!$G:$G,"Hard blocker",'Blocker log'!$L:$L,9))</f>
        <v>0</v>
      </c>
      <c r="P725" s="20">
        <f>IF($B725="","",MAXIFS('Blocker log'!$L:$L,'Blocker log'!$A:$A,$B725,'Blocker log'!$G:$G,"Hard blocker"))</f>
        <v>0</v>
      </c>
      <c r="Q725" s="20" t="str">
        <f>IF($B725="","",IF($K725&lt;&gt;"Complete","Assessment pending",IF($N725=0,"Ready now",VLOOKUP($P725,Lists!$D$2:$E$5,2,FALSE))))</f>
        <v>Assessment pending</v>
      </c>
    </row>
    <row r="726" ht="15.75" customHeight="1">
      <c r="A726" s="35" t="s">
        <v>2071</v>
      </c>
      <c r="B726" s="35" t="s">
        <v>2072</v>
      </c>
      <c r="C726" s="35" t="s">
        <v>1286</v>
      </c>
      <c r="D726" s="35" t="s">
        <v>301</v>
      </c>
      <c r="E726" s="35" t="s">
        <v>2073</v>
      </c>
      <c r="F726" s="35" t="s">
        <v>2074</v>
      </c>
      <c r="G726" s="35" t="s">
        <v>1161</v>
      </c>
      <c r="H726" s="76">
        <v>43243.0</v>
      </c>
      <c r="I726" s="35"/>
      <c r="M726" s="20">
        <f>IF($B726="","",COUNTIFS('Blocker log'!$A:$A,$B726,'Blocker log'!$G:$G,"&lt;&gt;"))</f>
        <v>0</v>
      </c>
      <c r="N726" s="20">
        <f>IF($B726="","",COUNTIFS('Blocker log'!$A:$A,$B726,'Blocker log'!$G:$G,"Hard blocker"))</f>
        <v>0</v>
      </c>
      <c r="O726" s="20">
        <f>IF($B726="","",COUNTIFS('Blocker log'!$A:$A,$B726,'Blocker log'!$G:$G,"Hard blocker",'Blocker log'!$L:$L,9))</f>
        <v>0</v>
      </c>
      <c r="P726" s="20">
        <f>IF($B726="","",MAXIFS('Blocker log'!$L:$L,'Blocker log'!$A:$A,$B726,'Blocker log'!$G:$G,"Hard blocker"))</f>
        <v>0</v>
      </c>
      <c r="Q726" s="20" t="str">
        <f>IF($B726="","",IF($K726&lt;&gt;"Complete","Assessment pending",IF($N726=0,"Ready now",VLOOKUP($P726,Lists!$D$2:$E$5,2,FALSE))))</f>
        <v>Assessment pending</v>
      </c>
    </row>
    <row r="727" ht="15.75" customHeight="1">
      <c r="A727" s="35" t="s">
        <v>2075</v>
      </c>
      <c r="B727" s="35" t="s">
        <v>2076</v>
      </c>
      <c r="C727" s="35" t="s">
        <v>1286</v>
      </c>
      <c r="D727" s="35" t="s">
        <v>301</v>
      </c>
      <c r="E727" s="35" t="s">
        <v>484</v>
      </c>
      <c r="F727" s="35" t="s">
        <v>484</v>
      </c>
      <c r="G727" s="35" t="s">
        <v>1161</v>
      </c>
      <c r="H727" s="76">
        <v>42907.0</v>
      </c>
      <c r="I727" s="35"/>
      <c r="M727" s="20">
        <f>IF($B727="","",COUNTIFS('Blocker log'!$A:$A,$B727,'Blocker log'!$G:$G,"&lt;&gt;"))</f>
        <v>0</v>
      </c>
      <c r="N727" s="20">
        <f>IF($B727="","",COUNTIFS('Blocker log'!$A:$A,$B727,'Blocker log'!$G:$G,"Hard blocker"))</f>
        <v>0</v>
      </c>
      <c r="O727" s="20">
        <f>IF($B727="","",COUNTIFS('Blocker log'!$A:$A,$B727,'Blocker log'!$G:$G,"Hard blocker",'Blocker log'!$L:$L,9))</f>
        <v>0</v>
      </c>
      <c r="P727" s="20">
        <f>IF($B727="","",MAXIFS('Blocker log'!$L:$L,'Blocker log'!$A:$A,$B727,'Blocker log'!$G:$G,"Hard blocker"))</f>
        <v>0</v>
      </c>
      <c r="Q727" s="20" t="str">
        <f>IF($B727="","",IF($K727&lt;&gt;"Complete","Assessment pending",IF($N727=0,"Ready now",VLOOKUP($P727,Lists!$D$2:$E$5,2,FALSE))))</f>
        <v>Assessment pending</v>
      </c>
    </row>
    <row r="728" ht="15.75" customHeight="1">
      <c r="A728" s="35" t="s">
        <v>2077</v>
      </c>
      <c r="B728" s="35" t="s">
        <v>2078</v>
      </c>
      <c r="C728" s="35" t="s">
        <v>1286</v>
      </c>
      <c r="D728" s="35" t="s">
        <v>260</v>
      </c>
      <c r="E728" s="35" t="s">
        <v>261</v>
      </c>
      <c r="F728" s="35" t="s">
        <v>261</v>
      </c>
      <c r="G728" s="35" t="s">
        <v>1161</v>
      </c>
      <c r="H728" s="76">
        <v>42758.0</v>
      </c>
      <c r="I728" s="35" t="s">
        <v>416</v>
      </c>
      <c r="M728" s="20">
        <f>IF($B728="","",COUNTIFS('Blocker log'!$A:$A,$B728,'Blocker log'!$G:$G,"&lt;&gt;"))</f>
        <v>0</v>
      </c>
      <c r="N728" s="20">
        <f>IF($B728="","",COUNTIFS('Blocker log'!$A:$A,$B728,'Blocker log'!$G:$G,"Hard blocker"))</f>
        <v>0</v>
      </c>
      <c r="O728" s="20">
        <f>IF($B728="","",COUNTIFS('Blocker log'!$A:$A,$B728,'Blocker log'!$G:$G,"Hard blocker",'Blocker log'!$L:$L,9))</f>
        <v>0</v>
      </c>
      <c r="P728" s="20">
        <f>IF($B728="","",MAXIFS('Blocker log'!$L:$L,'Blocker log'!$A:$A,$B728,'Blocker log'!$G:$G,"Hard blocker"))</f>
        <v>0</v>
      </c>
      <c r="Q728" s="20" t="str">
        <f>IF($B728="","",IF($K728&lt;&gt;"Complete","Assessment pending",IF($N728=0,"Ready now",VLOOKUP($P728,Lists!$D$2:$E$5,2,FALSE))))</f>
        <v>Assessment pending</v>
      </c>
    </row>
    <row r="729" ht="15.75" customHeight="1">
      <c r="A729" s="35" t="s">
        <v>2079</v>
      </c>
      <c r="B729" s="35" t="s">
        <v>2072</v>
      </c>
      <c r="C729" s="35" t="s">
        <v>1286</v>
      </c>
      <c r="D729" s="35" t="s">
        <v>301</v>
      </c>
      <c r="E729" s="35" t="s">
        <v>2073</v>
      </c>
      <c r="F729" s="35" t="s">
        <v>2074</v>
      </c>
      <c r="G729" s="35" t="s">
        <v>1161</v>
      </c>
      <c r="H729" s="76">
        <v>42726.0</v>
      </c>
      <c r="I729" s="35"/>
      <c r="M729" s="20">
        <f>IF($B729="","",COUNTIFS('Blocker log'!$A:$A,$B729,'Blocker log'!$G:$G,"&lt;&gt;"))</f>
        <v>0</v>
      </c>
      <c r="N729" s="20">
        <f>IF($B729="","",COUNTIFS('Blocker log'!$A:$A,$B729,'Blocker log'!$G:$G,"Hard blocker"))</f>
        <v>0</v>
      </c>
      <c r="O729" s="20">
        <f>IF($B729="","",COUNTIFS('Blocker log'!$A:$A,$B729,'Blocker log'!$G:$G,"Hard blocker",'Blocker log'!$L:$L,9))</f>
        <v>0</v>
      </c>
      <c r="P729" s="20">
        <f>IF($B729="","",MAXIFS('Blocker log'!$L:$L,'Blocker log'!$A:$A,$B729,'Blocker log'!$G:$G,"Hard blocker"))</f>
        <v>0</v>
      </c>
      <c r="Q729" s="20" t="str">
        <f>IF($B729="","",IF($K729&lt;&gt;"Complete","Assessment pending",IF($N729=0,"Ready now",VLOOKUP($P729,Lists!$D$2:$E$5,2,FALSE))))</f>
        <v>Assessment pending</v>
      </c>
    </row>
    <row r="730" ht="15.75" customHeight="1">
      <c r="A730" s="35" t="s">
        <v>2080</v>
      </c>
      <c r="B730" s="35" t="s">
        <v>2081</v>
      </c>
      <c r="C730" s="35" t="s">
        <v>1286</v>
      </c>
      <c r="D730" s="35" t="s">
        <v>58</v>
      </c>
      <c r="E730" s="35" t="s">
        <v>132</v>
      </c>
      <c r="F730" s="35" t="s">
        <v>2082</v>
      </c>
      <c r="G730" s="35" t="s">
        <v>1161</v>
      </c>
      <c r="H730" s="76">
        <v>42461.0</v>
      </c>
      <c r="I730" s="35" t="s">
        <v>445</v>
      </c>
      <c r="M730" s="20">
        <f>IF($B730="","",COUNTIFS('Blocker log'!$A:$A,$B730,'Blocker log'!$G:$G,"&lt;&gt;"))</f>
        <v>0</v>
      </c>
      <c r="N730" s="20">
        <f>IF($B730="","",COUNTIFS('Blocker log'!$A:$A,$B730,'Blocker log'!$G:$G,"Hard blocker"))</f>
        <v>0</v>
      </c>
      <c r="O730" s="20">
        <f>IF($B730="","",COUNTIFS('Blocker log'!$A:$A,$B730,'Blocker log'!$G:$G,"Hard blocker",'Blocker log'!$L:$L,9))</f>
        <v>0</v>
      </c>
      <c r="P730" s="20">
        <f>IF($B730="","",MAXIFS('Blocker log'!$L:$L,'Blocker log'!$A:$A,$B730,'Blocker log'!$G:$G,"Hard blocker"))</f>
        <v>0</v>
      </c>
      <c r="Q730" s="20" t="str">
        <f>IF($B730="","",IF($K730&lt;&gt;"Complete","Assessment pending",IF($N730=0,"Ready now",VLOOKUP($P730,Lists!$D$2:$E$5,2,FALSE))))</f>
        <v>Assessment pending</v>
      </c>
    </row>
    <row r="731" ht="15.75" customHeight="1">
      <c r="A731" s="35" t="s">
        <v>2083</v>
      </c>
      <c r="B731" s="35" t="s">
        <v>2084</v>
      </c>
      <c r="C731" s="35" t="s">
        <v>1286</v>
      </c>
      <c r="D731" s="35" t="s">
        <v>301</v>
      </c>
      <c r="E731" s="35" t="s">
        <v>1281</v>
      </c>
      <c r="F731" s="35" t="s">
        <v>1281</v>
      </c>
      <c r="G731" s="35" t="s">
        <v>1042</v>
      </c>
      <c r="H731" s="76">
        <v>42272.0</v>
      </c>
      <c r="I731" s="35"/>
      <c r="M731" s="20">
        <f>IF($B731="","",COUNTIFS('Blocker log'!$A:$A,$B731,'Blocker log'!$G:$G,"&lt;&gt;"))</f>
        <v>0</v>
      </c>
      <c r="N731" s="20">
        <f>IF($B731="","",COUNTIFS('Blocker log'!$A:$A,$B731,'Blocker log'!$G:$G,"Hard blocker"))</f>
        <v>0</v>
      </c>
      <c r="O731" s="20">
        <f>IF($B731="","",COUNTIFS('Blocker log'!$A:$A,$B731,'Blocker log'!$G:$G,"Hard blocker",'Blocker log'!$L:$L,9))</f>
        <v>0</v>
      </c>
      <c r="P731" s="20">
        <f>IF($B731="","",MAXIFS('Blocker log'!$L:$L,'Blocker log'!$A:$A,$B731,'Blocker log'!$G:$G,"Hard blocker"))</f>
        <v>0</v>
      </c>
      <c r="Q731" s="20" t="str">
        <f>IF($B731="","",IF($K731&lt;&gt;"Complete","Assessment pending",IF($N731=0,"Ready now",VLOOKUP($P731,Lists!$D$2:$E$5,2,FALSE))))</f>
        <v>Assessment pending</v>
      </c>
    </row>
    <row r="732" ht="15.75" customHeight="1">
      <c r="A732" s="35" t="s">
        <v>2085</v>
      </c>
      <c r="B732" s="35" t="s">
        <v>2086</v>
      </c>
      <c r="C732" s="35" t="s">
        <v>1286</v>
      </c>
      <c r="D732" s="35" t="s">
        <v>58</v>
      </c>
      <c r="E732" s="35" t="s">
        <v>494</v>
      </c>
      <c r="F732" s="35" t="s">
        <v>690</v>
      </c>
      <c r="G732" s="35" t="s">
        <v>1042</v>
      </c>
      <c r="H732" s="76">
        <v>42072.0</v>
      </c>
      <c r="I732" s="35"/>
      <c r="M732" s="20">
        <f>IF($B732="","",COUNTIFS('Blocker log'!$A:$A,$B732,'Blocker log'!$G:$G,"&lt;&gt;"))</f>
        <v>0</v>
      </c>
      <c r="N732" s="20">
        <f>IF($B732="","",COUNTIFS('Blocker log'!$A:$A,$B732,'Blocker log'!$G:$G,"Hard blocker"))</f>
        <v>0</v>
      </c>
      <c r="O732" s="20">
        <f>IF($B732="","",COUNTIFS('Blocker log'!$A:$A,$B732,'Blocker log'!$G:$G,"Hard blocker",'Blocker log'!$L:$L,9))</f>
        <v>0</v>
      </c>
      <c r="P732" s="20">
        <f>IF($B732="","",MAXIFS('Blocker log'!$L:$L,'Blocker log'!$A:$A,$B732,'Blocker log'!$G:$G,"Hard blocker"))</f>
        <v>0</v>
      </c>
      <c r="Q732" s="20" t="str">
        <f>IF($B732="","",IF($K732&lt;&gt;"Complete","Assessment pending",IF($N732=0,"Ready now",VLOOKUP($P732,Lists!$D$2:$E$5,2,FALSE))))</f>
        <v>Assessment pending</v>
      </c>
    </row>
    <row r="733" ht="15.75" customHeight="1">
      <c r="A733" s="35" t="s">
        <v>2087</v>
      </c>
      <c r="B733" s="35" t="s">
        <v>2088</v>
      </c>
      <c r="C733" s="35"/>
      <c r="D733" s="35" t="s">
        <v>260</v>
      </c>
      <c r="E733" s="35" t="s">
        <v>1096</v>
      </c>
      <c r="F733" s="35" t="s">
        <v>1366</v>
      </c>
      <c r="G733" s="35" t="s">
        <v>1161</v>
      </c>
      <c r="H733" s="76">
        <v>42015.0</v>
      </c>
      <c r="I733" s="35"/>
      <c r="M733" s="20">
        <f>IF($B733="","",COUNTIFS('Blocker log'!$A:$A,$B733,'Blocker log'!$G:$G,"&lt;&gt;"))</f>
        <v>0</v>
      </c>
      <c r="N733" s="20">
        <f>IF($B733="","",COUNTIFS('Blocker log'!$A:$A,$B733,'Blocker log'!$G:$G,"Hard blocker"))</f>
        <v>0</v>
      </c>
      <c r="O733" s="20">
        <f>IF($B733="","",COUNTIFS('Blocker log'!$A:$A,$B733,'Blocker log'!$G:$G,"Hard blocker",'Blocker log'!$L:$L,9))</f>
        <v>0</v>
      </c>
      <c r="P733" s="20">
        <f>IF($B733="","",MAXIFS('Blocker log'!$L:$L,'Blocker log'!$A:$A,$B733,'Blocker log'!$G:$G,"Hard blocker"))</f>
        <v>0</v>
      </c>
      <c r="Q733" s="20" t="str">
        <f>IF($B733="","",IF($K733&lt;&gt;"Complete","Assessment pending",IF($N733=0,"Ready now",VLOOKUP($P733,Lists!$D$2:$E$5,2,FALSE))))</f>
        <v>Assessment pending</v>
      </c>
    </row>
    <row r="734" ht="15.75" customHeight="1">
      <c r="A734" s="35" t="s">
        <v>2089</v>
      </c>
      <c r="B734" s="35" t="s">
        <v>2090</v>
      </c>
      <c r="C734" s="35" t="s">
        <v>1286</v>
      </c>
      <c r="D734" s="35" t="s">
        <v>171</v>
      </c>
      <c r="E734" s="35" t="s">
        <v>205</v>
      </c>
      <c r="F734" s="35" t="s">
        <v>916</v>
      </c>
      <c r="G734" s="35" t="s">
        <v>1161</v>
      </c>
      <c r="H734" s="76">
        <v>41877.0</v>
      </c>
      <c r="I734" s="35"/>
      <c r="M734" s="20">
        <f>IF($B734="","",COUNTIFS('Blocker log'!$A:$A,$B734,'Blocker log'!$G:$G,"&lt;&gt;"))</f>
        <v>0</v>
      </c>
      <c r="N734" s="20">
        <f>IF($B734="","",COUNTIFS('Blocker log'!$A:$A,$B734,'Blocker log'!$G:$G,"Hard blocker"))</f>
        <v>0</v>
      </c>
      <c r="O734" s="20">
        <f>IF($B734="","",COUNTIFS('Blocker log'!$A:$A,$B734,'Blocker log'!$G:$G,"Hard blocker",'Blocker log'!$L:$L,9))</f>
        <v>0</v>
      </c>
      <c r="P734" s="20">
        <f>IF($B734="","",MAXIFS('Blocker log'!$L:$L,'Blocker log'!$A:$A,$B734,'Blocker log'!$G:$G,"Hard blocker"))</f>
        <v>0</v>
      </c>
      <c r="Q734" s="20" t="str">
        <f>IF($B734="","",IF($K734&lt;&gt;"Complete","Assessment pending",IF($N734=0,"Ready now",VLOOKUP($P734,Lists!$D$2:$E$5,2,FALSE))))</f>
        <v>Assessment pending</v>
      </c>
    </row>
    <row r="735" ht="15.75" customHeight="1">
      <c r="A735" s="35" t="s">
        <v>2091</v>
      </c>
      <c r="B735" s="35" t="s">
        <v>2092</v>
      </c>
      <c r="C735" s="35" t="s">
        <v>57</v>
      </c>
      <c r="D735" s="35" t="s">
        <v>58</v>
      </c>
      <c r="E735" s="35" t="s">
        <v>59</v>
      </c>
      <c r="F735" s="35" t="s">
        <v>77</v>
      </c>
      <c r="G735" s="35" t="s">
        <v>1006</v>
      </c>
      <c r="H735" s="76">
        <v>41875.0</v>
      </c>
      <c r="I735" s="35" t="s">
        <v>62</v>
      </c>
      <c r="M735" s="20">
        <f>IF($B735="","",COUNTIFS('Blocker log'!$A:$A,$B735,'Blocker log'!$G:$G,"&lt;&gt;"))</f>
        <v>0</v>
      </c>
      <c r="N735" s="20">
        <f>IF($B735="","",COUNTIFS('Blocker log'!$A:$A,$B735,'Blocker log'!$G:$G,"Hard blocker"))</f>
        <v>0</v>
      </c>
      <c r="O735" s="20">
        <f>IF($B735="","",COUNTIFS('Blocker log'!$A:$A,$B735,'Blocker log'!$G:$G,"Hard blocker",'Blocker log'!$L:$L,9))</f>
        <v>0</v>
      </c>
      <c r="P735" s="20">
        <f>IF($B735="","",MAXIFS('Blocker log'!$L:$L,'Blocker log'!$A:$A,$B735,'Blocker log'!$G:$G,"Hard blocker"))</f>
        <v>0</v>
      </c>
      <c r="Q735" s="20" t="str">
        <f>IF($B735="","",IF($K735&lt;&gt;"Complete","Assessment pending",IF($N735=0,"Ready now",VLOOKUP($P735,Lists!$D$2:$E$5,2,FALSE))))</f>
        <v>Assessment pending</v>
      </c>
    </row>
    <row r="736" ht="15.75" customHeight="1">
      <c r="A736" s="35" t="s">
        <v>2093</v>
      </c>
      <c r="B736" s="35" t="s">
        <v>2094</v>
      </c>
      <c r="C736" s="35" t="s">
        <v>1286</v>
      </c>
      <c r="D736" s="35" t="s">
        <v>58</v>
      </c>
      <c r="E736" s="35" t="s">
        <v>59</v>
      </c>
      <c r="F736" s="35" t="s">
        <v>278</v>
      </c>
      <c r="G736" s="35" t="s">
        <v>1161</v>
      </c>
      <c r="H736" s="76">
        <v>41852.0</v>
      </c>
      <c r="I736" s="35" t="s">
        <v>452</v>
      </c>
      <c r="M736" s="20">
        <f>IF($B736="","",COUNTIFS('Blocker log'!$A:$A,$B736,'Blocker log'!$G:$G,"&lt;&gt;"))</f>
        <v>0</v>
      </c>
      <c r="N736" s="20">
        <f>IF($B736="","",COUNTIFS('Blocker log'!$A:$A,$B736,'Blocker log'!$G:$G,"Hard blocker"))</f>
        <v>0</v>
      </c>
      <c r="O736" s="20">
        <f>IF($B736="","",COUNTIFS('Blocker log'!$A:$A,$B736,'Blocker log'!$G:$G,"Hard blocker",'Blocker log'!$L:$L,9))</f>
        <v>0</v>
      </c>
      <c r="P736" s="20">
        <f>IF($B736="","",MAXIFS('Blocker log'!$L:$L,'Blocker log'!$A:$A,$B736,'Blocker log'!$G:$G,"Hard blocker"))</f>
        <v>0</v>
      </c>
      <c r="Q736" s="20" t="str">
        <f>IF($B736="","",IF($K736&lt;&gt;"Complete","Assessment pending",IF($N736=0,"Ready now",VLOOKUP($P736,Lists!$D$2:$E$5,2,FALSE))))</f>
        <v>Assessment pending</v>
      </c>
    </row>
    <row r="737" ht="15.75" customHeight="1">
      <c r="A737" s="35" t="s">
        <v>2095</v>
      </c>
      <c r="B737" s="35" t="s">
        <v>2096</v>
      </c>
      <c r="C737" s="35" t="s">
        <v>1286</v>
      </c>
      <c r="D737" s="35" t="s">
        <v>58</v>
      </c>
      <c r="E737" s="35" t="s">
        <v>101</v>
      </c>
      <c r="F737" s="35" t="s">
        <v>116</v>
      </c>
      <c r="G737" s="35" t="s">
        <v>1161</v>
      </c>
      <c r="H737" s="76">
        <v>41674.0</v>
      </c>
      <c r="I737" s="35" t="s">
        <v>448</v>
      </c>
      <c r="M737" s="20">
        <f>IF($B737="","",COUNTIFS('Blocker log'!$A:$A,$B737,'Blocker log'!$G:$G,"&lt;&gt;"))</f>
        <v>0</v>
      </c>
      <c r="N737" s="20">
        <f>IF($B737="","",COUNTIFS('Blocker log'!$A:$A,$B737,'Blocker log'!$G:$G,"Hard blocker"))</f>
        <v>0</v>
      </c>
      <c r="O737" s="20">
        <f>IF($B737="","",COUNTIFS('Blocker log'!$A:$A,$B737,'Blocker log'!$G:$G,"Hard blocker",'Blocker log'!$L:$L,9))</f>
        <v>0</v>
      </c>
      <c r="P737" s="20">
        <f>IF($B737="","",MAXIFS('Blocker log'!$L:$L,'Blocker log'!$A:$A,$B737,'Blocker log'!$G:$G,"Hard blocker"))</f>
        <v>0</v>
      </c>
      <c r="Q737" s="20" t="str">
        <f>IF($B737="","",IF($K737&lt;&gt;"Complete","Assessment pending",IF($N737=0,"Ready now",VLOOKUP($P737,Lists!$D$2:$E$5,2,FALSE))))</f>
        <v>Assessment pending</v>
      </c>
    </row>
    <row r="738" ht="15.75" customHeight="1">
      <c r="A738" s="35" t="s">
        <v>2097</v>
      </c>
      <c r="B738" s="35" t="s">
        <v>2098</v>
      </c>
      <c r="C738" s="35" t="s">
        <v>1286</v>
      </c>
      <c r="D738" s="35" t="s">
        <v>58</v>
      </c>
      <c r="E738" s="35" t="s">
        <v>59</v>
      </c>
      <c r="F738" s="35" t="s">
        <v>77</v>
      </c>
      <c r="G738" s="35" t="s">
        <v>1161</v>
      </c>
      <c r="H738" s="76">
        <v>41359.0</v>
      </c>
      <c r="I738" s="35"/>
      <c r="M738" s="20">
        <f>IF($B738="","",COUNTIFS('Blocker log'!$A:$A,$B738,'Blocker log'!$G:$G,"&lt;&gt;"))</f>
        <v>0</v>
      </c>
      <c r="N738" s="20">
        <f>IF($B738="","",COUNTIFS('Blocker log'!$A:$A,$B738,'Blocker log'!$G:$G,"Hard blocker"))</f>
        <v>0</v>
      </c>
      <c r="O738" s="20">
        <f>IF($B738="","",COUNTIFS('Blocker log'!$A:$A,$B738,'Blocker log'!$G:$G,"Hard blocker",'Blocker log'!$L:$L,9))</f>
        <v>0</v>
      </c>
      <c r="P738" s="20">
        <f>IF($B738="","",MAXIFS('Blocker log'!$L:$L,'Blocker log'!$A:$A,$B738,'Blocker log'!$G:$G,"Hard blocker"))</f>
        <v>0</v>
      </c>
      <c r="Q738" s="20" t="str">
        <f>IF($B738="","",IF($K738&lt;&gt;"Complete","Assessment pending",IF($N738=0,"Ready now",VLOOKUP($P738,Lists!$D$2:$E$5,2,FALSE))))</f>
        <v>Assessment pending</v>
      </c>
    </row>
    <row r="739" ht="15.75" customHeight="1">
      <c r="A739" s="35" t="s">
        <v>2099</v>
      </c>
      <c r="B739" s="35" t="s">
        <v>2100</v>
      </c>
      <c r="C739" s="35" t="s">
        <v>1286</v>
      </c>
      <c r="D739" s="35" t="s">
        <v>301</v>
      </c>
      <c r="E739" s="35" t="s">
        <v>1281</v>
      </c>
      <c r="F739" s="35" t="s">
        <v>1281</v>
      </c>
      <c r="G739" s="35" t="s">
        <v>1042</v>
      </c>
      <c r="H739" s="76">
        <v>41314.0</v>
      </c>
      <c r="I739" s="35"/>
      <c r="M739" s="20">
        <f>IF($B739="","",COUNTIFS('Blocker log'!$A:$A,$B739,'Blocker log'!$G:$G,"&lt;&gt;"))</f>
        <v>0</v>
      </c>
      <c r="N739" s="20">
        <f>IF($B739="","",COUNTIFS('Blocker log'!$A:$A,$B739,'Blocker log'!$G:$G,"Hard blocker"))</f>
        <v>0</v>
      </c>
      <c r="O739" s="20">
        <f>IF($B739="","",COUNTIFS('Blocker log'!$A:$A,$B739,'Blocker log'!$G:$G,"Hard blocker",'Blocker log'!$L:$L,9))</f>
        <v>0</v>
      </c>
      <c r="P739" s="20">
        <f>IF($B739="","",MAXIFS('Blocker log'!$L:$L,'Blocker log'!$A:$A,$B739,'Blocker log'!$G:$G,"Hard blocker"))</f>
        <v>0</v>
      </c>
      <c r="Q739" s="20" t="str">
        <f>IF($B739="","",IF($K739&lt;&gt;"Complete","Assessment pending",IF($N739=0,"Ready now",VLOOKUP($P739,Lists!$D$2:$E$5,2,FALSE))))</f>
        <v>Assessment pending</v>
      </c>
    </row>
    <row r="740" ht="15.75" customHeight="1">
      <c r="A740" s="35" t="s">
        <v>2101</v>
      </c>
      <c r="B740" s="35" t="s">
        <v>2102</v>
      </c>
      <c r="C740" s="35" t="s">
        <v>1286</v>
      </c>
      <c r="D740" s="35" t="s">
        <v>58</v>
      </c>
      <c r="E740" s="35" t="s">
        <v>101</v>
      </c>
      <c r="F740" s="35" t="s">
        <v>102</v>
      </c>
      <c r="G740" s="35" t="s">
        <v>1161</v>
      </c>
      <c r="H740" s="76">
        <v>41280.0</v>
      </c>
      <c r="I740" s="35" t="s">
        <v>447</v>
      </c>
      <c r="M740" s="20">
        <f>IF($B740="","",COUNTIFS('Blocker log'!$A:$A,$B740,'Blocker log'!$G:$G,"&lt;&gt;"))</f>
        <v>0</v>
      </c>
      <c r="N740" s="20">
        <f>IF($B740="","",COUNTIFS('Blocker log'!$A:$A,$B740,'Blocker log'!$G:$G,"Hard blocker"))</f>
        <v>0</v>
      </c>
      <c r="O740" s="20">
        <f>IF($B740="","",COUNTIFS('Blocker log'!$A:$A,$B740,'Blocker log'!$G:$G,"Hard blocker",'Blocker log'!$L:$L,9))</f>
        <v>0</v>
      </c>
      <c r="P740" s="20">
        <f>IF($B740="","",MAXIFS('Blocker log'!$L:$L,'Blocker log'!$A:$A,$B740,'Blocker log'!$G:$G,"Hard blocker"))</f>
        <v>0</v>
      </c>
      <c r="Q740" s="20" t="str">
        <f>IF($B740="","",IF($K740&lt;&gt;"Complete","Assessment pending",IF($N740=0,"Ready now",VLOOKUP($P740,Lists!$D$2:$E$5,2,FALSE))))</f>
        <v>Assessment pending</v>
      </c>
    </row>
    <row r="741" ht="15.75" customHeight="1">
      <c r="A741" s="35" t="s">
        <v>2103</v>
      </c>
      <c r="B741" s="35" t="s">
        <v>2104</v>
      </c>
      <c r="C741" s="35" t="s">
        <v>1286</v>
      </c>
      <c r="D741" s="35" t="s">
        <v>171</v>
      </c>
      <c r="E741" s="35" t="s">
        <v>587</v>
      </c>
      <c r="F741" s="35" t="s">
        <v>1643</v>
      </c>
      <c r="G741" s="35" t="s">
        <v>1161</v>
      </c>
      <c r="H741" s="76">
        <v>41245.0</v>
      </c>
      <c r="I741" s="35"/>
      <c r="M741" s="20">
        <f>IF($B741="","",COUNTIFS('Blocker log'!$A:$A,$B741,'Blocker log'!$G:$G,"&lt;&gt;"))</f>
        <v>0</v>
      </c>
      <c r="N741" s="20">
        <f>IF($B741="","",COUNTIFS('Blocker log'!$A:$A,$B741,'Blocker log'!$G:$G,"Hard blocker"))</f>
        <v>0</v>
      </c>
      <c r="O741" s="20">
        <f>IF($B741="","",COUNTIFS('Blocker log'!$A:$A,$B741,'Blocker log'!$G:$G,"Hard blocker",'Blocker log'!$L:$L,9))</f>
        <v>0</v>
      </c>
      <c r="P741" s="20">
        <f>IF($B741="","",MAXIFS('Blocker log'!$L:$L,'Blocker log'!$A:$A,$B741,'Blocker log'!$G:$G,"Hard blocker"))</f>
        <v>0</v>
      </c>
      <c r="Q741" s="20" t="str">
        <f>IF($B741="","",IF($K741&lt;&gt;"Complete","Assessment pending",IF($N741=0,"Ready now",VLOOKUP($P741,Lists!$D$2:$E$5,2,FALSE))))</f>
        <v>Assessment pending</v>
      </c>
    </row>
    <row r="742" ht="15.75" customHeight="1">
      <c r="A742" s="35" t="s">
        <v>2105</v>
      </c>
      <c r="B742" s="35" t="s">
        <v>2106</v>
      </c>
      <c r="C742" s="35" t="s">
        <v>1286</v>
      </c>
      <c r="D742" s="35" t="s">
        <v>58</v>
      </c>
      <c r="E742" s="35" t="s">
        <v>59</v>
      </c>
      <c r="F742" s="35" t="s">
        <v>225</v>
      </c>
      <c r="G742" s="35" t="s">
        <v>1161</v>
      </c>
      <c r="H742" s="76">
        <v>41245.0</v>
      </c>
      <c r="I742" s="35" t="s">
        <v>404</v>
      </c>
      <c r="M742" s="20">
        <f>IF($B742="","",COUNTIFS('Blocker log'!$A:$A,$B742,'Blocker log'!$G:$G,"&lt;&gt;"))</f>
        <v>0</v>
      </c>
      <c r="N742" s="20">
        <f>IF($B742="","",COUNTIFS('Blocker log'!$A:$A,$B742,'Blocker log'!$G:$G,"Hard blocker"))</f>
        <v>0</v>
      </c>
      <c r="O742" s="20">
        <f>IF($B742="","",COUNTIFS('Blocker log'!$A:$A,$B742,'Blocker log'!$G:$G,"Hard blocker",'Blocker log'!$L:$L,9))</f>
        <v>0</v>
      </c>
      <c r="P742" s="20">
        <f>IF($B742="","",MAXIFS('Blocker log'!$L:$L,'Blocker log'!$A:$A,$B742,'Blocker log'!$G:$G,"Hard blocker"))</f>
        <v>0</v>
      </c>
      <c r="Q742" s="20" t="str">
        <f>IF($B742="","",IF($K742&lt;&gt;"Complete","Assessment pending",IF($N742=0,"Ready now",VLOOKUP($P742,Lists!$D$2:$E$5,2,FALSE))))</f>
        <v>Assessment pending</v>
      </c>
    </row>
    <row r="743" ht="15.75" customHeight="1">
      <c r="A743" s="35" t="s">
        <v>2107</v>
      </c>
      <c r="B743" s="35" t="s">
        <v>2108</v>
      </c>
      <c r="C743" s="35" t="s">
        <v>76</v>
      </c>
      <c r="D743" s="35" t="s">
        <v>58</v>
      </c>
      <c r="E743" s="35" t="s">
        <v>140</v>
      </c>
      <c r="F743" s="35" t="s">
        <v>663</v>
      </c>
      <c r="G743" s="35" t="s">
        <v>980</v>
      </c>
      <c r="H743" s="76">
        <v>41134.0</v>
      </c>
      <c r="I743" s="35"/>
      <c r="M743" s="20">
        <f>IF($B743="","",COUNTIFS('Blocker log'!$A:$A,$B743,'Blocker log'!$G:$G,"&lt;&gt;"))</f>
        <v>0</v>
      </c>
      <c r="N743" s="20">
        <f>IF($B743="","",COUNTIFS('Blocker log'!$A:$A,$B743,'Blocker log'!$G:$G,"Hard blocker"))</f>
        <v>0</v>
      </c>
      <c r="O743" s="20">
        <f>IF($B743="","",COUNTIFS('Blocker log'!$A:$A,$B743,'Blocker log'!$G:$G,"Hard blocker",'Blocker log'!$L:$L,9))</f>
        <v>0</v>
      </c>
      <c r="P743" s="20">
        <f>IF($B743="","",MAXIFS('Blocker log'!$L:$L,'Blocker log'!$A:$A,$B743,'Blocker log'!$G:$G,"Hard blocker"))</f>
        <v>0</v>
      </c>
      <c r="Q743" s="20" t="str">
        <f>IF($B743="","",IF($K743&lt;&gt;"Complete","Assessment pending",IF($N743=0,"Ready now",VLOOKUP($P743,Lists!$D$2:$E$5,2,FALSE))))</f>
        <v>Assessment pending</v>
      </c>
    </row>
    <row r="744" ht="15.75" customHeight="1">
      <c r="A744" s="35" t="s">
        <v>2109</v>
      </c>
      <c r="B744" s="35" t="s">
        <v>2110</v>
      </c>
      <c r="C744" s="35" t="s">
        <v>1286</v>
      </c>
      <c r="D744" s="35" t="s">
        <v>260</v>
      </c>
      <c r="E744" s="35" t="s">
        <v>506</v>
      </c>
      <c r="F744" s="35" t="s">
        <v>708</v>
      </c>
      <c r="G744" s="35" t="s">
        <v>1161</v>
      </c>
      <c r="H744" s="76">
        <v>41083.0</v>
      </c>
      <c r="I744" s="35" t="s">
        <v>417</v>
      </c>
      <c r="M744" s="20">
        <f>IF($B744="","",COUNTIFS('Blocker log'!$A:$A,$B744,'Blocker log'!$G:$G,"&lt;&gt;"))</f>
        <v>0</v>
      </c>
      <c r="N744" s="20">
        <f>IF($B744="","",COUNTIFS('Blocker log'!$A:$A,$B744,'Blocker log'!$G:$G,"Hard blocker"))</f>
        <v>0</v>
      </c>
      <c r="O744" s="20">
        <f>IF($B744="","",COUNTIFS('Blocker log'!$A:$A,$B744,'Blocker log'!$G:$G,"Hard blocker",'Blocker log'!$L:$L,9))</f>
        <v>0</v>
      </c>
      <c r="P744" s="20">
        <f>IF($B744="","",MAXIFS('Blocker log'!$L:$L,'Blocker log'!$A:$A,$B744,'Blocker log'!$G:$G,"Hard blocker"))</f>
        <v>0</v>
      </c>
      <c r="Q744" s="20" t="str">
        <f>IF($B744="","",IF($K744&lt;&gt;"Complete","Assessment pending",IF($N744=0,"Ready now",VLOOKUP($P744,Lists!$D$2:$E$5,2,FALSE))))</f>
        <v>Assessment pending</v>
      </c>
    </row>
    <row r="745" ht="15.75" customHeight="1">
      <c r="A745" s="35" t="s">
        <v>2111</v>
      </c>
      <c r="B745" s="35" t="s">
        <v>2112</v>
      </c>
      <c r="C745" s="35" t="s">
        <v>76</v>
      </c>
      <c r="D745" s="35" t="s">
        <v>260</v>
      </c>
      <c r="E745" s="35" t="s">
        <v>530</v>
      </c>
      <c r="F745" s="35" t="s">
        <v>795</v>
      </c>
      <c r="G745" s="35" t="s">
        <v>980</v>
      </c>
      <c r="H745" s="76">
        <v>40749.0</v>
      </c>
      <c r="I745" s="35"/>
      <c r="M745" s="20">
        <f>IF($B745="","",COUNTIFS('Blocker log'!$A:$A,$B745,'Blocker log'!$G:$G,"&lt;&gt;"))</f>
        <v>0</v>
      </c>
      <c r="N745" s="20">
        <f>IF($B745="","",COUNTIFS('Blocker log'!$A:$A,$B745,'Blocker log'!$G:$G,"Hard blocker"))</f>
        <v>0</v>
      </c>
      <c r="O745" s="20">
        <f>IF($B745="","",COUNTIFS('Blocker log'!$A:$A,$B745,'Blocker log'!$G:$G,"Hard blocker",'Blocker log'!$L:$L,9))</f>
        <v>0</v>
      </c>
      <c r="P745" s="20">
        <f>IF($B745="","",MAXIFS('Blocker log'!$L:$L,'Blocker log'!$A:$A,$B745,'Blocker log'!$G:$G,"Hard blocker"))</f>
        <v>0</v>
      </c>
      <c r="Q745" s="20" t="str">
        <f>IF($B745="","",IF($K745&lt;&gt;"Complete","Assessment pending",IF($N745=0,"Ready now",VLOOKUP($P745,Lists!$D$2:$E$5,2,FALSE))))</f>
        <v>Assessment pending</v>
      </c>
    </row>
    <row r="746" ht="15.75" customHeight="1">
      <c r="A746" s="35" t="s">
        <v>2113</v>
      </c>
      <c r="B746" s="35" t="s">
        <v>2114</v>
      </c>
      <c r="C746" s="35" t="s">
        <v>1286</v>
      </c>
      <c r="D746" s="35" t="s">
        <v>260</v>
      </c>
      <c r="E746" s="35" t="s">
        <v>506</v>
      </c>
      <c r="F746" s="35" t="s">
        <v>674</v>
      </c>
      <c r="G746" s="35" t="s">
        <v>1161</v>
      </c>
      <c r="H746" s="76">
        <v>40608.0</v>
      </c>
      <c r="I746" s="35" t="s">
        <v>417</v>
      </c>
      <c r="M746" s="20">
        <f>IF($B746="","",COUNTIFS('Blocker log'!$A:$A,$B746,'Blocker log'!$G:$G,"&lt;&gt;"))</f>
        <v>0</v>
      </c>
      <c r="N746" s="20">
        <f>IF($B746="","",COUNTIFS('Blocker log'!$A:$A,$B746,'Blocker log'!$G:$G,"Hard blocker"))</f>
        <v>0</v>
      </c>
      <c r="O746" s="20">
        <f>IF($B746="","",COUNTIFS('Blocker log'!$A:$A,$B746,'Blocker log'!$G:$G,"Hard blocker",'Blocker log'!$L:$L,9))</f>
        <v>0</v>
      </c>
      <c r="P746" s="20">
        <f>IF($B746="","",MAXIFS('Blocker log'!$L:$L,'Blocker log'!$A:$A,$B746,'Blocker log'!$G:$G,"Hard blocker"))</f>
        <v>0</v>
      </c>
      <c r="Q746" s="20" t="str">
        <f>IF($B746="","",IF($K746&lt;&gt;"Complete","Assessment pending",IF($N746=0,"Ready now",VLOOKUP($P746,Lists!$D$2:$E$5,2,FALSE))))</f>
        <v>Assessment pending</v>
      </c>
    </row>
    <row r="747" ht="15.75" customHeight="1">
      <c r="A747" s="35" t="s">
        <v>2115</v>
      </c>
      <c r="B747" s="35" t="s">
        <v>2116</v>
      </c>
      <c r="C747" s="35" t="s">
        <v>1286</v>
      </c>
      <c r="D747" s="35" t="s">
        <v>260</v>
      </c>
      <c r="E747" s="35" t="s">
        <v>261</v>
      </c>
      <c r="F747" s="35" t="s">
        <v>261</v>
      </c>
      <c r="G747" s="35" t="s">
        <v>1161</v>
      </c>
      <c r="H747" s="76">
        <v>40570.0</v>
      </c>
      <c r="I747" s="35"/>
      <c r="M747" s="20">
        <f>IF($B747="","",COUNTIFS('Blocker log'!$A:$A,$B747,'Blocker log'!$G:$G,"&lt;&gt;"))</f>
        <v>0</v>
      </c>
      <c r="N747" s="20">
        <f>IF($B747="","",COUNTIFS('Blocker log'!$A:$A,$B747,'Blocker log'!$G:$G,"Hard blocker"))</f>
        <v>0</v>
      </c>
      <c r="O747" s="20">
        <f>IF($B747="","",COUNTIFS('Blocker log'!$A:$A,$B747,'Blocker log'!$G:$G,"Hard blocker",'Blocker log'!$L:$L,9))</f>
        <v>0</v>
      </c>
      <c r="P747" s="20">
        <f>IF($B747="","",MAXIFS('Blocker log'!$L:$L,'Blocker log'!$A:$A,$B747,'Blocker log'!$G:$G,"Hard blocker"))</f>
        <v>0</v>
      </c>
      <c r="Q747" s="20" t="str">
        <f>IF($B747="","",IF($K747&lt;&gt;"Complete","Assessment pending",IF($N747=0,"Ready now",VLOOKUP($P747,Lists!$D$2:$E$5,2,FALSE))))</f>
        <v>Assessment pending</v>
      </c>
    </row>
    <row r="748" ht="15.75" customHeight="1">
      <c r="A748" s="35" t="s">
        <v>2117</v>
      </c>
      <c r="B748" s="35" t="s">
        <v>2118</v>
      </c>
      <c r="C748" s="35" t="s">
        <v>76</v>
      </c>
      <c r="D748" s="35" t="s">
        <v>260</v>
      </c>
      <c r="E748" s="35" t="s">
        <v>351</v>
      </c>
      <c r="F748" s="35" t="s">
        <v>886</v>
      </c>
      <c r="G748" s="35" t="s">
        <v>999</v>
      </c>
      <c r="H748" s="76">
        <v>40446.0</v>
      </c>
      <c r="I748" s="35"/>
      <c r="M748" s="20">
        <f>IF($B748="","",COUNTIFS('Blocker log'!$A:$A,$B748,'Blocker log'!$G:$G,"&lt;&gt;"))</f>
        <v>0</v>
      </c>
      <c r="N748" s="20">
        <f>IF($B748="","",COUNTIFS('Blocker log'!$A:$A,$B748,'Blocker log'!$G:$G,"Hard blocker"))</f>
        <v>0</v>
      </c>
      <c r="O748" s="20">
        <f>IF($B748="","",COUNTIFS('Blocker log'!$A:$A,$B748,'Blocker log'!$G:$G,"Hard blocker",'Blocker log'!$L:$L,9))</f>
        <v>0</v>
      </c>
      <c r="P748" s="20">
        <f>IF($B748="","",MAXIFS('Blocker log'!$L:$L,'Blocker log'!$A:$A,$B748,'Blocker log'!$G:$G,"Hard blocker"))</f>
        <v>0</v>
      </c>
      <c r="Q748" s="20" t="str">
        <f>IF($B748="","",IF($K748&lt;&gt;"Complete","Assessment pending",IF($N748=0,"Ready now",VLOOKUP($P748,Lists!$D$2:$E$5,2,FALSE))))</f>
        <v>Assessment pending</v>
      </c>
    </row>
    <row r="749" ht="15.75" customHeight="1">
      <c r="A749" s="35" t="s">
        <v>2119</v>
      </c>
      <c r="B749" s="35" t="s">
        <v>2120</v>
      </c>
      <c r="C749" s="35" t="s">
        <v>1286</v>
      </c>
      <c r="D749" s="35" t="s">
        <v>58</v>
      </c>
      <c r="E749" s="35" t="s">
        <v>101</v>
      </c>
      <c r="F749" s="35" t="s">
        <v>554</v>
      </c>
      <c r="G749" s="35" t="s">
        <v>1161</v>
      </c>
      <c r="H749" s="76">
        <v>40186.0</v>
      </c>
      <c r="I749" s="35"/>
      <c r="M749" s="20">
        <f>IF($B749="","",COUNTIFS('Blocker log'!$A:$A,$B749,'Blocker log'!$G:$G,"&lt;&gt;"))</f>
        <v>0</v>
      </c>
      <c r="N749" s="20">
        <f>IF($B749="","",COUNTIFS('Blocker log'!$A:$A,$B749,'Blocker log'!$G:$G,"Hard blocker"))</f>
        <v>0</v>
      </c>
      <c r="O749" s="20">
        <f>IF($B749="","",COUNTIFS('Blocker log'!$A:$A,$B749,'Blocker log'!$G:$G,"Hard blocker",'Blocker log'!$L:$L,9))</f>
        <v>0</v>
      </c>
      <c r="P749" s="20">
        <f>IF($B749="","",MAXIFS('Blocker log'!$L:$L,'Blocker log'!$A:$A,$B749,'Blocker log'!$G:$G,"Hard blocker"))</f>
        <v>0</v>
      </c>
      <c r="Q749" s="20" t="str">
        <f>IF($B749="","",IF($K749&lt;&gt;"Complete","Assessment pending",IF($N749=0,"Ready now",VLOOKUP($P749,Lists!$D$2:$E$5,2,FALSE))))</f>
        <v>Assessment pending</v>
      </c>
    </row>
    <row r="750" ht="15.75" customHeight="1">
      <c r="A750" s="35" t="s">
        <v>2121</v>
      </c>
      <c r="B750" s="35" t="s">
        <v>2122</v>
      </c>
      <c r="C750" s="35" t="s">
        <v>1286</v>
      </c>
      <c r="D750" s="35" t="s">
        <v>58</v>
      </c>
      <c r="E750" s="35" t="s">
        <v>101</v>
      </c>
      <c r="F750" s="35" t="s">
        <v>116</v>
      </c>
      <c r="G750" s="35" t="s">
        <v>1161</v>
      </c>
      <c r="H750" s="76">
        <v>40176.0</v>
      </c>
      <c r="I750" s="35" t="s">
        <v>453</v>
      </c>
      <c r="M750" s="20">
        <f>IF($B750="","",COUNTIFS('Blocker log'!$A:$A,$B750,'Blocker log'!$G:$G,"&lt;&gt;"))</f>
        <v>0</v>
      </c>
      <c r="N750" s="20">
        <f>IF($B750="","",COUNTIFS('Blocker log'!$A:$A,$B750,'Blocker log'!$G:$G,"Hard blocker"))</f>
        <v>0</v>
      </c>
      <c r="O750" s="20">
        <f>IF($B750="","",COUNTIFS('Blocker log'!$A:$A,$B750,'Blocker log'!$G:$G,"Hard blocker",'Blocker log'!$L:$L,9))</f>
        <v>0</v>
      </c>
      <c r="P750" s="20">
        <f>IF($B750="","",MAXIFS('Blocker log'!$L:$L,'Blocker log'!$A:$A,$B750,'Blocker log'!$G:$G,"Hard blocker"))</f>
        <v>0</v>
      </c>
      <c r="Q750" s="20" t="str">
        <f>IF($B750="","",IF($K750&lt;&gt;"Complete","Assessment pending",IF($N750=0,"Ready now",VLOOKUP($P750,Lists!$D$2:$E$5,2,FALSE))))</f>
        <v>Assessment pending</v>
      </c>
    </row>
    <row r="751" ht="15.75" customHeight="1">
      <c r="A751" s="35" t="s">
        <v>2123</v>
      </c>
      <c r="B751" s="35" t="s">
        <v>2124</v>
      </c>
      <c r="C751" s="35" t="s">
        <v>1286</v>
      </c>
      <c r="D751" s="35" t="s">
        <v>171</v>
      </c>
      <c r="E751" s="35" t="s">
        <v>542</v>
      </c>
      <c r="F751" s="35" t="s">
        <v>1713</v>
      </c>
      <c r="G751" s="35" t="s">
        <v>1161</v>
      </c>
      <c r="H751" s="76">
        <v>40080.0</v>
      </c>
      <c r="I751" s="35" t="s">
        <v>424</v>
      </c>
      <c r="M751" s="20">
        <f>IF($B751="","",COUNTIFS('Blocker log'!$A:$A,$B751,'Blocker log'!$G:$G,"&lt;&gt;"))</f>
        <v>0</v>
      </c>
      <c r="N751" s="20">
        <f>IF($B751="","",COUNTIFS('Blocker log'!$A:$A,$B751,'Blocker log'!$G:$G,"Hard blocker"))</f>
        <v>0</v>
      </c>
      <c r="O751" s="20">
        <f>IF($B751="","",COUNTIFS('Blocker log'!$A:$A,$B751,'Blocker log'!$G:$G,"Hard blocker",'Blocker log'!$L:$L,9))</f>
        <v>0</v>
      </c>
      <c r="P751" s="20">
        <f>IF($B751="","",MAXIFS('Blocker log'!$L:$L,'Blocker log'!$A:$A,$B751,'Blocker log'!$G:$G,"Hard blocker"))</f>
        <v>0</v>
      </c>
      <c r="Q751" s="20" t="str">
        <f>IF($B751="","",IF($K751&lt;&gt;"Complete","Assessment pending",IF($N751=0,"Ready now",VLOOKUP($P751,Lists!$D$2:$E$5,2,FALSE))))</f>
        <v>Assessment pending</v>
      </c>
    </row>
    <row r="752" ht="15.75" customHeight="1">
      <c r="A752" s="35" t="s">
        <v>2125</v>
      </c>
      <c r="B752" s="35" t="s">
        <v>2126</v>
      </c>
      <c r="C752" s="35" t="s">
        <v>1286</v>
      </c>
      <c r="D752" s="35" t="s">
        <v>171</v>
      </c>
      <c r="E752" s="35" t="s">
        <v>512</v>
      </c>
      <c r="F752" s="35" t="s">
        <v>2127</v>
      </c>
      <c r="G752" s="35" t="s">
        <v>1161</v>
      </c>
      <c r="H752" s="76">
        <v>40014.0</v>
      </c>
      <c r="I752" s="35"/>
      <c r="M752" s="20">
        <f>IF($B752="","",COUNTIFS('Blocker log'!$A:$A,$B752,'Blocker log'!$G:$G,"&lt;&gt;"))</f>
        <v>0</v>
      </c>
      <c r="N752" s="20">
        <f>IF($B752="","",COUNTIFS('Blocker log'!$A:$A,$B752,'Blocker log'!$G:$G,"Hard blocker"))</f>
        <v>0</v>
      </c>
      <c r="O752" s="20">
        <f>IF($B752="","",COUNTIFS('Blocker log'!$A:$A,$B752,'Blocker log'!$G:$G,"Hard blocker",'Blocker log'!$L:$L,9))</f>
        <v>0</v>
      </c>
      <c r="P752" s="20">
        <f>IF($B752="","",MAXIFS('Blocker log'!$L:$L,'Blocker log'!$A:$A,$B752,'Blocker log'!$G:$G,"Hard blocker"))</f>
        <v>0</v>
      </c>
      <c r="Q752" s="20" t="str">
        <f>IF($B752="","",IF($K752&lt;&gt;"Complete","Assessment pending",IF($N752=0,"Ready now",VLOOKUP($P752,Lists!$D$2:$E$5,2,FALSE))))</f>
        <v>Assessment pending</v>
      </c>
    </row>
    <row r="753" ht="15.75" customHeight="1">
      <c r="A753" s="35" t="s">
        <v>2128</v>
      </c>
      <c r="B753" s="35" t="s">
        <v>2129</v>
      </c>
      <c r="C753" s="35" t="s">
        <v>1286</v>
      </c>
      <c r="D753" s="35" t="s">
        <v>58</v>
      </c>
      <c r="E753" s="35" t="s">
        <v>101</v>
      </c>
      <c r="F753" s="35" t="s">
        <v>102</v>
      </c>
      <c r="G753" s="35" t="s">
        <v>1161</v>
      </c>
      <c r="H753" s="76">
        <v>40005.0</v>
      </c>
      <c r="I753" s="35" t="s">
        <v>448</v>
      </c>
      <c r="M753" s="20">
        <f>IF($B753="","",COUNTIFS('Blocker log'!$A:$A,$B753,'Blocker log'!$G:$G,"&lt;&gt;"))</f>
        <v>0</v>
      </c>
      <c r="N753" s="20">
        <f>IF($B753="","",COUNTIFS('Blocker log'!$A:$A,$B753,'Blocker log'!$G:$G,"Hard blocker"))</f>
        <v>0</v>
      </c>
      <c r="O753" s="20">
        <f>IF($B753="","",COUNTIFS('Blocker log'!$A:$A,$B753,'Blocker log'!$G:$G,"Hard blocker",'Blocker log'!$L:$L,9))</f>
        <v>0</v>
      </c>
      <c r="P753" s="20">
        <f>IF($B753="","",MAXIFS('Blocker log'!$L:$L,'Blocker log'!$A:$A,$B753,'Blocker log'!$G:$G,"Hard blocker"))</f>
        <v>0</v>
      </c>
      <c r="Q753" s="20" t="str">
        <f>IF($B753="","",IF($K753&lt;&gt;"Complete","Assessment pending",IF($N753=0,"Ready now",VLOOKUP($P753,Lists!$D$2:$E$5,2,FALSE))))</f>
        <v>Assessment pending</v>
      </c>
    </row>
    <row r="754" ht="15.75" customHeight="1">
      <c r="A754" s="35" t="s">
        <v>2130</v>
      </c>
      <c r="B754" s="35" t="s">
        <v>2131</v>
      </c>
      <c r="C754" s="35" t="s">
        <v>1286</v>
      </c>
      <c r="D754" s="35" t="s">
        <v>171</v>
      </c>
      <c r="E754" s="35" t="s">
        <v>587</v>
      </c>
      <c r="F754" s="35" t="s">
        <v>588</v>
      </c>
      <c r="G754" s="35" t="s">
        <v>1161</v>
      </c>
      <c r="H754" s="76">
        <v>39994.0</v>
      </c>
      <c r="I754" s="35"/>
      <c r="M754" s="20">
        <f>IF($B754="","",COUNTIFS('Blocker log'!$A:$A,$B754,'Blocker log'!$G:$G,"&lt;&gt;"))</f>
        <v>0</v>
      </c>
      <c r="N754" s="20">
        <f>IF($B754="","",COUNTIFS('Blocker log'!$A:$A,$B754,'Blocker log'!$G:$G,"Hard blocker"))</f>
        <v>0</v>
      </c>
      <c r="O754" s="20">
        <f>IF($B754="","",COUNTIFS('Blocker log'!$A:$A,$B754,'Blocker log'!$G:$G,"Hard blocker",'Blocker log'!$L:$L,9))</f>
        <v>0</v>
      </c>
      <c r="P754" s="20">
        <f>IF($B754="","",MAXIFS('Blocker log'!$L:$L,'Blocker log'!$A:$A,$B754,'Blocker log'!$G:$G,"Hard blocker"))</f>
        <v>0</v>
      </c>
      <c r="Q754" s="20" t="str">
        <f>IF($B754="","",IF($K754&lt;&gt;"Complete","Assessment pending",IF($N754=0,"Ready now",VLOOKUP($P754,Lists!$D$2:$E$5,2,FALSE))))</f>
        <v>Assessment pending</v>
      </c>
    </row>
    <row r="755" ht="15.75" customHeight="1">
      <c r="A755" s="35" t="s">
        <v>2132</v>
      </c>
      <c r="B755" s="35" t="s">
        <v>2133</v>
      </c>
      <c r="C755" s="35" t="s">
        <v>1286</v>
      </c>
      <c r="D755" s="35" t="s">
        <v>171</v>
      </c>
      <c r="E755" s="35" t="s">
        <v>205</v>
      </c>
      <c r="F755" s="35" t="s">
        <v>206</v>
      </c>
      <c r="G755" s="35" t="s">
        <v>1161</v>
      </c>
      <c r="H755" s="76">
        <v>39842.0</v>
      </c>
      <c r="I755" s="35"/>
      <c r="M755" s="20">
        <f>IF($B755="","",COUNTIFS('Blocker log'!$A:$A,$B755,'Blocker log'!$G:$G,"&lt;&gt;"))</f>
        <v>0</v>
      </c>
      <c r="N755" s="20">
        <f>IF($B755="","",COUNTIFS('Blocker log'!$A:$A,$B755,'Blocker log'!$G:$G,"Hard blocker"))</f>
        <v>0</v>
      </c>
      <c r="O755" s="20">
        <f>IF($B755="","",COUNTIFS('Blocker log'!$A:$A,$B755,'Blocker log'!$G:$G,"Hard blocker",'Blocker log'!$L:$L,9))</f>
        <v>0</v>
      </c>
      <c r="P755" s="20">
        <f>IF($B755="","",MAXIFS('Blocker log'!$L:$L,'Blocker log'!$A:$A,$B755,'Blocker log'!$G:$G,"Hard blocker"))</f>
        <v>0</v>
      </c>
      <c r="Q755" s="20" t="str">
        <f>IF($B755="","",IF($K755&lt;&gt;"Complete","Assessment pending",IF($N755=0,"Ready now",VLOOKUP($P755,Lists!$D$2:$E$5,2,FALSE))))</f>
        <v>Assessment pending</v>
      </c>
    </row>
    <row r="756" ht="15.75" customHeight="1">
      <c r="A756" s="35" t="s">
        <v>2134</v>
      </c>
      <c r="B756" s="35" t="s">
        <v>2135</v>
      </c>
      <c r="C756" s="35" t="s">
        <v>1286</v>
      </c>
      <c r="D756" s="35" t="s">
        <v>301</v>
      </c>
      <c r="E756" s="35" t="s">
        <v>490</v>
      </c>
      <c r="F756" s="35" t="s">
        <v>490</v>
      </c>
      <c r="G756" s="35" t="s">
        <v>1161</v>
      </c>
      <c r="H756" s="76">
        <v>39623.0</v>
      </c>
      <c r="I756" s="35"/>
      <c r="M756" s="20">
        <f>IF($B756="","",COUNTIFS('Blocker log'!$A:$A,$B756,'Blocker log'!$G:$G,"&lt;&gt;"))</f>
        <v>0</v>
      </c>
      <c r="N756" s="20">
        <f>IF($B756="","",COUNTIFS('Blocker log'!$A:$A,$B756,'Blocker log'!$G:$G,"Hard blocker"))</f>
        <v>0</v>
      </c>
      <c r="O756" s="20">
        <f>IF($B756="","",COUNTIFS('Blocker log'!$A:$A,$B756,'Blocker log'!$G:$G,"Hard blocker",'Blocker log'!$L:$L,9))</f>
        <v>0</v>
      </c>
      <c r="P756" s="20">
        <f>IF($B756="","",MAXIFS('Blocker log'!$L:$L,'Blocker log'!$A:$A,$B756,'Blocker log'!$G:$G,"Hard blocker"))</f>
        <v>0</v>
      </c>
      <c r="Q756" s="20" t="str">
        <f>IF($B756="","",IF($K756&lt;&gt;"Complete","Assessment pending",IF($N756=0,"Ready now",VLOOKUP($P756,Lists!$D$2:$E$5,2,FALSE))))</f>
        <v>Assessment pending</v>
      </c>
    </row>
    <row r="757" ht="15.75" customHeight="1">
      <c r="A757" s="35" t="s">
        <v>2136</v>
      </c>
      <c r="B757" s="35" t="s">
        <v>2137</v>
      </c>
      <c r="C757" s="35" t="s">
        <v>1286</v>
      </c>
      <c r="D757" s="35" t="s">
        <v>58</v>
      </c>
      <c r="E757" s="35" t="s">
        <v>101</v>
      </c>
      <c r="F757" s="35" t="s">
        <v>554</v>
      </c>
      <c r="G757" s="35" t="s">
        <v>1042</v>
      </c>
      <c r="H757" s="76">
        <v>39480.0</v>
      </c>
      <c r="I757" s="35" t="s">
        <v>443</v>
      </c>
      <c r="M757" s="20">
        <f>IF($B757="","",COUNTIFS('Blocker log'!$A:$A,$B757,'Blocker log'!$G:$G,"&lt;&gt;"))</f>
        <v>0</v>
      </c>
      <c r="N757" s="20">
        <f>IF($B757="","",COUNTIFS('Blocker log'!$A:$A,$B757,'Blocker log'!$G:$G,"Hard blocker"))</f>
        <v>0</v>
      </c>
      <c r="O757" s="20">
        <f>IF($B757="","",COUNTIFS('Blocker log'!$A:$A,$B757,'Blocker log'!$G:$G,"Hard blocker",'Blocker log'!$L:$L,9))</f>
        <v>0</v>
      </c>
      <c r="P757" s="20">
        <f>IF($B757="","",MAXIFS('Blocker log'!$L:$L,'Blocker log'!$A:$A,$B757,'Blocker log'!$G:$G,"Hard blocker"))</f>
        <v>0</v>
      </c>
      <c r="Q757" s="20" t="str">
        <f>IF($B757="","",IF($K757&lt;&gt;"Complete","Assessment pending",IF($N757=0,"Ready now",VLOOKUP($P757,Lists!$D$2:$E$5,2,FALSE))))</f>
        <v>Assessment pending</v>
      </c>
    </row>
    <row r="758" ht="15.75" customHeight="1">
      <c r="A758" s="35" t="s">
        <v>2138</v>
      </c>
      <c r="B758" s="35" t="s">
        <v>2139</v>
      </c>
      <c r="C758" s="35" t="s">
        <v>1286</v>
      </c>
      <c r="D758" s="35" t="s">
        <v>171</v>
      </c>
      <c r="E758" s="35" t="s">
        <v>773</v>
      </c>
      <c r="F758" s="35" t="s">
        <v>774</v>
      </c>
      <c r="G758" s="35" t="s">
        <v>1042</v>
      </c>
      <c r="H758" s="76">
        <v>39400.0</v>
      </c>
      <c r="I758" s="35" t="s">
        <v>407</v>
      </c>
      <c r="M758" s="20">
        <f>IF($B758="","",COUNTIFS('Blocker log'!$A:$A,$B758,'Blocker log'!$G:$G,"&lt;&gt;"))</f>
        <v>0</v>
      </c>
      <c r="N758" s="20">
        <f>IF($B758="","",COUNTIFS('Blocker log'!$A:$A,$B758,'Blocker log'!$G:$G,"Hard blocker"))</f>
        <v>0</v>
      </c>
      <c r="O758" s="20">
        <f>IF($B758="","",COUNTIFS('Blocker log'!$A:$A,$B758,'Blocker log'!$G:$G,"Hard blocker",'Blocker log'!$L:$L,9))</f>
        <v>0</v>
      </c>
      <c r="P758" s="20">
        <f>IF($B758="","",MAXIFS('Blocker log'!$L:$L,'Blocker log'!$A:$A,$B758,'Blocker log'!$G:$G,"Hard blocker"))</f>
        <v>0</v>
      </c>
      <c r="Q758" s="20" t="str">
        <f>IF($B758="","",IF($K758&lt;&gt;"Complete","Assessment pending",IF($N758=0,"Ready now",VLOOKUP($P758,Lists!$D$2:$E$5,2,FALSE))))</f>
        <v>Assessment pending</v>
      </c>
    </row>
    <row r="759" ht="15.75" customHeight="1">
      <c r="A759" s="35" t="s">
        <v>2140</v>
      </c>
      <c r="B759" s="35" t="s">
        <v>2141</v>
      </c>
      <c r="C759" s="35" t="s">
        <v>76</v>
      </c>
      <c r="D759" s="35" t="s">
        <v>171</v>
      </c>
      <c r="E759" s="35" t="s">
        <v>542</v>
      </c>
      <c r="F759" s="35" t="s">
        <v>543</v>
      </c>
      <c r="G759" s="35" t="s">
        <v>999</v>
      </c>
      <c r="H759" s="76">
        <v>39343.0</v>
      </c>
      <c r="I759" s="35"/>
      <c r="M759" s="20">
        <f>IF($B759="","",COUNTIFS('Blocker log'!$A:$A,$B759,'Blocker log'!$G:$G,"&lt;&gt;"))</f>
        <v>0</v>
      </c>
      <c r="N759" s="20">
        <f>IF($B759="","",COUNTIFS('Blocker log'!$A:$A,$B759,'Blocker log'!$G:$G,"Hard blocker"))</f>
        <v>0</v>
      </c>
      <c r="O759" s="20">
        <f>IF($B759="","",COUNTIFS('Blocker log'!$A:$A,$B759,'Blocker log'!$G:$G,"Hard blocker",'Blocker log'!$L:$L,9))</f>
        <v>0</v>
      </c>
      <c r="P759" s="20">
        <f>IF($B759="","",MAXIFS('Blocker log'!$L:$L,'Blocker log'!$A:$A,$B759,'Blocker log'!$G:$G,"Hard blocker"))</f>
        <v>0</v>
      </c>
      <c r="Q759" s="20" t="str">
        <f>IF($B759="","",IF($K759&lt;&gt;"Complete","Assessment pending",IF($N759=0,"Ready now",VLOOKUP($P759,Lists!$D$2:$E$5,2,FALSE))))</f>
        <v>Assessment pending</v>
      </c>
    </row>
    <row r="760" ht="15.75" customHeight="1">
      <c r="A760" s="35" t="s">
        <v>2142</v>
      </c>
      <c r="B760" s="35" t="s">
        <v>2143</v>
      </c>
      <c r="C760" s="35" t="s">
        <v>76</v>
      </c>
      <c r="D760" s="35" t="s">
        <v>58</v>
      </c>
      <c r="E760" s="35" t="s">
        <v>59</v>
      </c>
      <c r="F760" s="35" t="s">
        <v>60</v>
      </c>
      <c r="G760" s="35" t="s">
        <v>980</v>
      </c>
      <c r="H760" s="76">
        <v>39060.0</v>
      </c>
      <c r="I760" s="35"/>
      <c r="M760" s="20">
        <f>IF($B760="","",COUNTIFS('Blocker log'!$A:$A,$B760,'Blocker log'!$G:$G,"&lt;&gt;"))</f>
        <v>0</v>
      </c>
      <c r="N760" s="20">
        <f>IF($B760="","",COUNTIFS('Blocker log'!$A:$A,$B760,'Blocker log'!$G:$G,"Hard blocker"))</f>
        <v>0</v>
      </c>
      <c r="O760" s="20">
        <f>IF($B760="","",COUNTIFS('Blocker log'!$A:$A,$B760,'Blocker log'!$G:$G,"Hard blocker",'Blocker log'!$L:$L,9))</f>
        <v>0</v>
      </c>
      <c r="P760" s="20">
        <f>IF($B760="","",MAXIFS('Blocker log'!$L:$L,'Blocker log'!$A:$A,$B760,'Blocker log'!$G:$G,"Hard blocker"))</f>
        <v>0</v>
      </c>
      <c r="Q760" s="20" t="str">
        <f>IF($B760="","",IF($K760&lt;&gt;"Complete","Assessment pending",IF($N760=0,"Ready now",VLOOKUP($P760,Lists!$D$2:$E$5,2,FALSE))))</f>
        <v>Assessment pending</v>
      </c>
    </row>
    <row r="761" ht="15.75" customHeight="1">
      <c r="A761" s="35" t="s">
        <v>2144</v>
      </c>
      <c r="B761" s="35" t="s">
        <v>2145</v>
      </c>
      <c r="C761" s="35" t="s">
        <v>1286</v>
      </c>
      <c r="D761" s="35" t="s">
        <v>260</v>
      </c>
      <c r="E761" s="35" t="s">
        <v>576</v>
      </c>
      <c r="F761" s="35" t="s">
        <v>577</v>
      </c>
      <c r="G761" s="35" t="s">
        <v>1161</v>
      </c>
      <c r="H761" s="76">
        <v>39047.0</v>
      </c>
      <c r="I761" s="35" t="s">
        <v>403</v>
      </c>
      <c r="M761" s="20">
        <f>IF($B761="","",COUNTIFS('Blocker log'!$A:$A,$B761,'Blocker log'!$G:$G,"&lt;&gt;"))</f>
        <v>0</v>
      </c>
      <c r="N761" s="20">
        <f>IF($B761="","",COUNTIFS('Blocker log'!$A:$A,$B761,'Blocker log'!$G:$G,"Hard blocker"))</f>
        <v>0</v>
      </c>
      <c r="O761" s="20">
        <f>IF($B761="","",COUNTIFS('Blocker log'!$A:$A,$B761,'Blocker log'!$G:$G,"Hard blocker",'Blocker log'!$L:$L,9))</f>
        <v>0</v>
      </c>
      <c r="P761" s="20">
        <f>IF($B761="","",MAXIFS('Blocker log'!$L:$L,'Blocker log'!$A:$A,$B761,'Blocker log'!$G:$G,"Hard blocker"))</f>
        <v>0</v>
      </c>
      <c r="Q761" s="20" t="str">
        <f>IF($B761="","",IF($K761&lt;&gt;"Complete","Assessment pending",IF($N761=0,"Ready now",VLOOKUP($P761,Lists!$D$2:$E$5,2,FALSE))))</f>
        <v>Assessment pending</v>
      </c>
    </row>
    <row r="762" ht="15.75" customHeight="1">
      <c r="A762" s="35" t="s">
        <v>2146</v>
      </c>
      <c r="B762" s="35" t="s">
        <v>2147</v>
      </c>
      <c r="C762" s="35" t="s">
        <v>1286</v>
      </c>
      <c r="D762" s="35" t="s">
        <v>58</v>
      </c>
      <c r="E762" s="35" t="s">
        <v>181</v>
      </c>
      <c r="F762" s="35" t="s">
        <v>182</v>
      </c>
      <c r="G762" s="35" t="s">
        <v>1161</v>
      </c>
      <c r="H762" s="76">
        <v>38901.0</v>
      </c>
      <c r="I762" s="35" t="s">
        <v>418</v>
      </c>
      <c r="M762" s="20">
        <f>IF($B762="","",COUNTIFS('Blocker log'!$A:$A,$B762,'Blocker log'!$G:$G,"&lt;&gt;"))</f>
        <v>0</v>
      </c>
      <c r="N762" s="20">
        <f>IF($B762="","",COUNTIFS('Blocker log'!$A:$A,$B762,'Blocker log'!$G:$G,"Hard blocker"))</f>
        <v>0</v>
      </c>
      <c r="O762" s="20">
        <f>IF($B762="","",COUNTIFS('Blocker log'!$A:$A,$B762,'Blocker log'!$G:$G,"Hard blocker",'Blocker log'!$L:$L,9))</f>
        <v>0</v>
      </c>
      <c r="P762" s="20">
        <f>IF($B762="","",MAXIFS('Blocker log'!$L:$L,'Blocker log'!$A:$A,$B762,'Blocker log'!$G:$G,"Hard blocker"))</f>
        <v>0</v>
      </c>
      <c r="Q762" s="20" t="str">
        <f>IF($B762="","",IF($K762&lt;&gt;"Complete","Assessment pending",IF($N762=0,"Ready now",VLOOKUP($P762,Lists!$D$2:$E$5,2,FALSE))))</f>
        <v>Assessment pending</v>
      </c>
    </row>
    <row r="763" ht="15.75" customHeight="1">
      <c r="A763" s="35" t="s">
        <v>2148</v>
      </c>
      <c r="B763" s="35" t="s">
        <v>2149</v>
      </c>
      <c r="C763" s="35" t="s">
        <v>1286</v>
      </c>
      <c r="D763" s="35" t="s">
        <v>58</v>
      </c>
      <c r="E763" s="35" t="s">
        <v>101</v>
      </c>
      <c r="F763" s="35" t="s">
        <v>554</v>
      </c>
      <c r="G763" s="35" t="s">
        <v>1161</v>
      </c>
      <c r="H763" s="76">
        <v>38720.0</v>
      </c>
      <c r="I763" s="35" t="s">
        <v>448</v>
      </c>
      <c r="M763" s="20">
        <f>IF($B763="","",COUNTIFS('Blocker log'!$A:$A,$B763,'Blocker log'!$G:$G,"&lt;&gt;"))</f>
        <v>0</v>
      </c>
      <c r="N763" s="20">
        <f>IF($B763="","",COUNTIFS('Blocker log'!$A:$A,$B763,'Blocker log'!$G:$G,"Hard blocker"))</f>
        <v>0</v>
      </c>
      <c r="O763" s="20">
        <f>IF($B763="","",COUNTIFS('Blocker log'!$A:$A,$B763,'Blocker log'!$G:$G,"Hard blocker",'Blocker log'!$L:$L,9))</f>
        <v>0</v>
      </c>
      <c r="P763" s="20">
        <f>IF($B763="","",MAXIFS('Blocker log'!$L:$L,'Blocker log'!$A:$A,$B763,'Blocker log'!$G:$G,"Hard blocker"))</f>
        <v>0</v>
      </c>
      <c r="Q763" s="20" t="str">
        <f>IF($B763="","",IF($K763&lt;&gt;"Complete","Assessment pending",IF($N763=0,"Ready now",VLOOKUP($P763,Lists!$D$2:$E$5,2,FALSE))))</f>
        <v>Assessment pending</v>
      </c>
    </row>
    <row r="764" ht="15.75" customHeight="1">
      <c r="A764" s="35" t="s">
        <v>2150</v>
      </c>
      <c r="B764" s="35" t="s">
        <v>2151</v>
      </c>
      <c r="C764" s="35" t="s">
        <v>1286</v>
      </c>
      <c r="D764" s="35" t="s">
        <v>301</v>
      </c>
      <c r="E764" s="35" t="s">
        <v>484</v>
      </c>
      <c r="F764" s="35" t="s">
        <v>484</v>
      </c>
      <c r="G764" s="35" t="s">
        <v>1161</v>
      </c>
      <c r="H764" s="76">
        <v>38694.0</v>
      </c>
      <c r="I764" s="35"/>
      <c r="M764" s="20">
        <f>IF($B764="","",COUNTIFS('Blocker log'!$A:$A,$B764,'Blocker log'!$G:$G,"&lt;&gt;"))</f>
        <v>0</v>
      </c>
      <c r="N764" s="20">
        <f>IF($B764="","",COUNTIFS('Blocker log'!$A:$A,$B764,'Blocker log'!$G:$G,"Hard blocker"))</f>
        <v>0</v>
      </c>
      <c r="O764" s="20">
        <f>IF($B764="","",COUNTIFS('Blocker log'!$A:$A,$B764,'Blocker log'!$G:$G,"Hard blocker",'Blocker log'!$L:$L,9))</f>
        <v>0</v>
      </c>
      <c r="P764" s="20">
        <f>IF($B764="","",MAXIFS('Blocker log'!$L:$L,'Blocker log'!$A:$A,$B764,'Blocker log'!$G:$G,"Hard blocker"))</f>
        <v>0</v>
      </c>
      <c r="Q764" s="20" t="str">
        <f>IF($B764="","",IF($K764&lt;&gt;"Complete","Assessment pending",IF($N764=0,"Ready now",VLOOKUP($P764,Lists!$D$2:$E$5,2,FALSE))))</f>
        <v>Assessment pending</v>
      </c>
    </row>
    <row r="765" ht="15.75" customHeight="1">
      <c r="A765" s="35" t="s">
        <v>2152</v>
      </c>
      <c r="B765" s="35" t="s">
        <v>2153</v>
      </c>
      <c r="C765" s="35" t="s">
        <v>1286</v>
      </c>
      <c r="D765" s="35" t="s">
        <v>171</v>
      </c>
      <c r="E765" s="35" t="s">
        <v>542</v>
      </c>
      <c r="F765" s="35" t="s">
        <v>1713</v>
      </c>
      <c r="G765" s="35" t="s">
        <v>1161</v>
      </c>
      <c r="H765" s="76">
        <v>38400.0</v>
      </c>
      <c r="I765" s="35" t="s">
        <v>415</v>
      </c>
      <c r="M765" s="20">
        <f>IF($B765="","",COUNTIFS('Blocker log'!$A:$A,$B765,'Blocker log'!$G:$G,"&lt;&gt;"))</f>
        <v>0</v>
      </c>
      <c r="N765" s="20">
        <f>IF($B765="","",COUNTIFS('Blocker log'!$A:$A,$B765,'Blocker log'!$G:$G,"Hard blocker"))</f>
        <v>0</v>
      </c>
      <c r="O765" s="20">
        <f>IF($B765="","",COUNTIFS('Blocker log'!$A:$A,$B765,'Blocker log'!$G:$G,"Hard blocker",'Blocker log'!$L:$L,9))</f>
        <v>0</v>
      </c>
      <c r="P765" s="20">
        <f>IF($B765="","",MAXIFS('Blocker log'!$L:$L,'Blocker log'!$A:$A,$B765,'Blocker log'!$G:$G,"Hard blocker"))</f>
        <v>0</v>
      </c>
      <c r="Q765" s="20" t="str">
        <f>IF($B765="","",IF($K765&lt;&gt;"Complete","Assessment pending",IF($N765=0,"Ready now",VLOOKUP($P765,Lists!$D$2:$E$5,2,FALSE))))</f>
        <v>Assessment pending</v>
      </c>
    </row>
    <row r="766" ht="15.75" customHeight="1">
      <c r="A766" s="35" t="s">
        <v>2154</v>
      </c>
      <c r="B766" s="35" t="s">
        <v>2155</v>
      </c>
      <c r="C766" s="35" t="s">
        <v>1286</v>
      </c>
      <c r="D766" s="35" t="s">
        <v>58</v>
      </c>
      <c r="E766" s="35" t="s">
        <v>132</v>
      </c>
      <c r="F766" s="35" t="s">
        <v>2082</v>
      </c>
      <c r="G766" s="35" t="s">
        <v>1161</v>
      </c>
      <c r="H766" s="76">
        <v>38400.0</v>
      </c>
      <c r="I766" s="35" t="s">
        <v>453</v>
      </c>
      <c r="M766" s="20">
        <f>IF($B766="","",COUNTIFS('Blocker log'!$A:$A,$B766,'Blocker log'!$G:$G,"&lt;&gt;"))</f>
        <v>0</v>
      </c>
      <c r="N766" s="20">
        <f>IF($B766="","",COUNTIFS('Blocker log'!$A:$A,$B766,'Blocker log'!$G:$G,"Hard blocker"))</f>
        <v>0</v>
      </c>
      <c r="O766" s="20">
        <f>IF($B766="","",COUNTIFS('Blocker log'!$A:$A,$B766,'Blocker log'!$G:$G,"Hard blocker",'Blocker log'!$L:$L,9))</f>
        <v>0</v>
      </c>
      <c r="P766" s="20">
        <f>IF($B766="","",MAXIFS('Blocker log'!$L:$L,'Blocker log'!$A:$A,$B766,'Blocker log'!$G:$G,"Hard blocker"))</f>
        <v>0</v>
      </c>
      <c r="Q766" s="20" t="str">
        <f>IF($B766="","",IF($K766&lt;&gt;"Complete","Assessment pending",IF($N766=0,"Ready now",VLOOKUP($P766,Lists!$D$2:$E$5,2,FALSE))))</f>
        <v>Assessment pending</v>
      </c>
    </row>
    <row r="767" ht="15.75" customHeight="1">
      <c r="A767" s="35" t="s">
        <v>2156</v>
      </c>
      <c r="B767" s="35" t="s">
        <v>2157</v>
      </c>
      <c r="C767" s="35" t="s">
        <v>1286</v>
      </c>
      <c r="D767" s="35" t="s">
        <v>58</v>
      </c>
      <c r="E767" s="35" t="s">
        <v>101</v>
      </c>
      <c r="F767" s="35" t="s">
        <v>554</v>
      </c>
      <c r="G767" s="35" t="s">
        <v>1161</v>
      </c>
      <c r="H767" s="76">
        <v>38385.0</v>
      </c>
      <c r="I767" s="35" t="s">
        <v>448</v>
      </c>
      <c r="M767" s="20">
        <f>IF($B767="","",COUNTIFS('Blocker log'!$A:$A,$B767,'Blocker log'!$G:$G,"&lt;&gt;"))</f>
        <v>0</v>
      </c>
      <c r="N767" s="20">
        <f>IF($B767="","",COUNTIFS('Blocker log'!$A:$A,$B767,'Blocker log'!$G:$G,"Hard blocker"))</f>
        <v>0</v>
      </c>
      <c r="O767" s="20">
        <f>IF($B767="","",COUNTIFS('Blocker log'!$A:$A,$B767,'Blocker log'!$G:$G,"Hard blocker",'Blocker log'!$L:$L,9))</f>
        <v>0</v>
      </c>
      <c r="P767" s="20">
        <f>IF($B767="","",MAXIFS('Blocker log'!$L:$L,'Blocker log'!$A:$A,$B767,'Blocker log'!$G:$G,"Hard blocker"))</f>
        <v>0</v>
      </c>
      <c r="Q767" s="20" t="str">
        <f>IF($B767="","",IF($K767&lt;&gt;"Complete","Assessment pending",IF($N767=0,"Ready now",VLOOKUP($P767,Lists!$D$2:$E$5,2,FALSE))))</f>
        <v>Assessment pending</v>
      </c>
    </row>
    <row r="768" ht="15.75" customHeight="1">
      <c r="A768" s="35" t="s">
        <v>2158</v>
      </c>
      <c r="B768" s="35" t="s">
        <v>2159</v>
      </c>
      <c r="C768" s="35" t="s">
        <v>1286</v>
      </c>
      <c r="D768" s="35" t="s">
        <v>171</v>
      </c>
      <c r="E768" s="35" t="s">
        <v>172</v>
      </c>
      <c r="F768" s="35" t="s">
        <v>173</v>
      </c>
      <c r="G768" s="35" t="s">
        <v>1161</v>
      </c>
      <c r="H768" s="76">
        <v>38344.0</v>
      </c>
      <c r="I768" s="35"/>
      <c r="M768" s="20">
        <f>IF($B768="","",COUNTIFS('Blocker log'!$A:$A,$B768,'Blocker log'!$G:$G,"&lt;&gt;"))</f>
        <v>0</v>
      </c>
      <c r="N768" s="20">
        <f>IF($B768="","",COUNTIFS('Blocker log'!$A:$A,$B768,'Blocker log'!$G:$G,"Hard blocker"))</f>
        <v>0</v>
      </c>
      <c r="O768" s="20">
        <f>IF($B768="","",COUNTIFS('Blocker log'!$A:$A,$B768,'Blocker log'!$G:$G,"Hard blocker",'Blocker log'!$L:$L,9))</f>
        <v>0</v>
      </c>
      <c r="P768" s="20">
        <f>IF($B768="","",MAXIFS('Blocker log'!$L:$L,'Blocker log'!$A:$A,$B768,'Blocker log'!$G:$G,"Hard blocker"))</f>
        <v>0</v>
      </c>
      <c r="Q768" s="20" t="str">
        <f>IF($B768="","",IF($K768&lt;&gt;"Complete","Assessment pending",IF($N768=0,"Ready now",VLOOKUP($P768,Lists!$D$2:$E$5,2,FALSE))))</f>
        <v>Assessment pending</v>
      </c>
    </row>
    <row r="769" ht="15.75" customHeight="1">
      <c r="A769" s="35" t="s">
        <v>2160</v>
      </c>
      <c r="B769" s="35" t="s">
        <v>2161</v>
      </c>
      <c r="C769" s="35" t="s">
        <v>1286</v>
      </c>
      <c r="D769" s="35" t="s">
        <v>171</v>
      </c>
      <c r="E769" s="35" t="s">
        <v>760</v>
      </c>
      <c r="F769" s="35" t="s">
        <v>761</v>
      </c>
      <c r="G769" s="35" t="s">
        <v>1161</v>
      </c>
      <c r="H769" s="76">
        <v>38329.0</v>
      </c>
      <c r="I769" s="35"/>
      <c r="M769" s="20">
        <f>IF($B769="","",COUNTIFS('Blocker log'!$A:$A,$B769,'Blocker log'!$G:$G,"&lt;&gt;"))</f>
        <v>0</v>
      </c>
      <c r="N769" s="20">
        <f>IF($B769="","",COUNTIFS('Blocker log'!$A:$A,$B769,'Blocker log'!$G:$G,"Hard blocker"))</f>
        <v>0</v>
      </c>
      <c r="O769" s="20">
        <f>IF($B769="","",COUNTIFS('Blocker log'!$A:$A,$B769,'Blocker log'!$G:$G,"Hard blocker",'Blocker log'!$L:$L,9))</f>
        <v>0</v>
      </c>
      <c r="P769" s="20">
        <f>IF($B769="","",MAXIFS('Blocker log'!$L:$L,'Blocker log'!$A:$A,$B769,'Blocker log'!$G:$G,"Hard blocker"))</f>
        <v>0</v>
      </c>
      <c r="Q769" s="20" t="str">
        <f>IF($B769="","",IF($K769&lt;&gt;"Complete","Assessment pending",IF($N769=0,"Ready now",VLOOKUP($P769,Lists!$D$2:$E$5,2,FALSE))))</f>
        <v>Assessment pending</v>
      </c>
    </row>
    <row r="770" ht="15.75" customHeight="1">
      <c r="A770" s="35" t="s">
        <v>2162</v>
      </c>
      <c r="B770" s="35" t="s">
        <v>2163</v>
      </c>
      <c r="C770" s="35" t="s">
        <v>1286</v>
      </c>
      <c r="D770" s="35" t="s">
        <v>171</v>
      </c>
      <c r="E770" s="35" t="s">
        <v>542</v>
      </c>
      <c r="F770" s="35" t="s">
        <v>543</v>
      </c>
      <c r="G770" s="35" t="s">
        <v>1161</v>
      </c>
      <c r="H770" s="76">
        <v>37993.0</v>
      </c>
      <c r="I770" s="35" t="s">
        <v>415</v>
      </c>
      <c r="M770" s="20">
        <f>IF($B770="","",COUNTIFS('Blocker log'!$A:$A,$B770,'Blocker log'!$G:$G,"&lt;&gt;"))</f>
        <v>0</v>
      </c>
      <c r="N770" s="20">
        <f>IF($B770="","",COUNTIFS('Blocker log'!$A:$A,$B770,'Blocker log'!$G:$G,"Hard blocker"))</f>
        <v>0</v>
      </c>
      <c r="O770" s="20">
        <f>IF($B770="","",COUNTIFS('Blocker log'!$A:$A,$B770,'Blocker log'!$G:$G,"Hard blocker",'Blocker log'!$L:$L,9))</f>
        <v>0</v>
      </c>
      <c r="P770" s="20">
        <f>IF($B770="","",MAXIFS('Blocker log'!$L:$L,'Blocker log'!$A:$A,$B770,'Blocker log'!$G:$G,"Hard blocker"))</f>
        <v>0</v>
      </c>
      <c r="Q770" s="20" t="str">
        <f>IF($B770="","",IF($K770&lt;&gt;"Complete","Assessment pending",IF($N770=0,"Ready now",VLOOKUP($P770,Lists!$D$2:$E$5,2,FALSE))))</f>
        <v>Assessment pending</v>
      </c>
    </row>
    <row r="771" ht="15.75" customHeight="1">
      <c r="A771" s="35" t="s">
        <v>2164</v>
      </c>
      <c r="B771" s="35" t="s">
        <v>2165</v>
      </c>
      <c r="C771" s="35" t="s">
        <v>1286</v>
      </c>
      <c r="D771" s="35" t="s">
        <v>58</v>
      </c>
      <c r="E771" s="35" t="s">
        <v>1315</v>
      </c>
      <c r="F771" s="35" t="s">
        <v>1315</v>
      </c>
      <c r="G771" s="35" t="s">
        <v>1161</v>
      </c>
      <c r="H771" s="76">
        <v>37746.0</v>
      </c>
      <c r="I771" s="35"/>
      <c r="M771" s="20">
        <f>IF($B771="","",COUNTIFS('Blocker log'!$A:$A,$B771,'Blocker log'!$G:$G,"&lt;&gt;"))</f>
        <v>0</v>
      </c>
      <c r="N771" s="20">
        <f>IF($B771="","",COUNTIFS('Blocker log'!$A:$A,$B771,'Blocker log'!$G:$G,"Hard blocker"))</f>
        <v>0</v>
      </c>
      <c r="O771" s="20">
        <f>IF($B771="","",COUNTIFS('Blocker log'!$A:$A,$B771,'Blocker log'!$G:$G,"Hard blocker",'Blocker log'!$L:$L,9))</f>
        <v>0</v>
      </c>
      <c r="P771" s="20">
        <f>IF($B771="","",MAXIFS('Blocker log'!$L:$L,'Blocker log'!$A:$A,$B771,'Blocker log'!$G:$G,"Hard blocker"))</f>
        <v>0</v>
      </c>
      <c r="Q771" s="20" t="str">
        <f>IF($B771="","",IF($K771&lt;&gt;"Complete","Assessment pending",IF($N771=0,"Ready now",VLOOKUP($P771,Lists!$D$2:$E$5,2,FALSE))))</f>
        <v>Assessment pending</v>
      </c>
    </row>
    <row r="772" ht="15.75" customHeight="1">
      <c r="A772" s="35" t="s">
        <v>2166</v>
      </c>
      <c r="B772" s="35" t="s">
        <v>2167</v>
      </c>
      <c r="C772" s="35" t="s">
        <v>1286</v>
      </c>
      <c r="D772" s="35" t="s">
        <v>171</v>
      </c>
      <c r="E772" s="35" t="s">
        <v>668</v>
      </c>
      <c r="F772" s="35" t="s">
        <v>669</v>
      </c>
      <c r="G772" s="35" t="s">
        <v>1161</v>
      </c>
      <c r="H772" s="76">
        <v>37582.0</v>
      </c>
      <c r="I772" s="35"/>
      <c r="M772" s="20">
        <f>IF($B772="","",COUNTIFS('Blocker log'!$A:$A,$B772,'Blocker log'!$G:$G,"&lt;&gt;"))</f>
        <v>0</v>
      </c>
      <c r="N772" s="20">
        <f>IF($B772="","",COUNTIFS('Blocker log'!$A:$A,$B772,'Blocker log'!$G:$G,"Hard blocker"))</f>
        <v>0</v>
      </c>
      <c r="O772" s="20">
        <f>IF($B772="","",COUNTIFS('Blocker log'!$A:$A,$B772,'Blocker log'!$G:$G,"Hard blocker",'Blocker log'!$L:$L,9))</f>
        <v>0</v>
      </c>
      <c r="P772" s="20">
        <f>IF($B772="","",MAXIFS('Blocker log'!$L:$L,'Blocker log'!$A:$A,$B772,'Blocker log'!$G:$G,"Hard blocker"))</f>
        <v>0</v>
      </c>
      <c r="Q772" s="20" t="str">
        <f>IF($B772="","",IF($K772&lt;&gt;"Complete","Assessment pending",IF($N772=0,"Ready now",VLOOKUP($P772,Lists!$D$2:$E$5,2,FALSE))))</f>
        <v>Assessment pending</v>
      </c>
    </row>
    <row r="773" ht="15.75" customHeight="1">
      <c r="A773" s="35" t="s">
        <v>2168</v>
      </c>
      <c r="B773" s="35" t="s">
        <v>2169</v>
      </c>
      <c r="C773" s="35" t="s">
        <v>1286</v>
      </c>
      <c r="D773" s="35" t="s">
        <v>58</v>
      </c>
      <c r="E773" s="35" t="s">
        <v>101</v>
      </c>
      <c r="F773" s="35" t="s">
        <v>1386</v>
      </c>
      <c r="G773" s="35" t="s">
        <v>1161</v>
      </c>
      <c r="H773" s="76">
        <v>37346.0</v>
      </c>
      <c r="I773" s="35"/>
      <c r="M773" s="20">
        <f>IF($B773="","",COUNTIFS('Blocker log'!$A:$A,$B773,'Blocker log'!$G:$G,"&lt;&gt;"))</f>
        <v>0</v>
      </c>
      <c r="N773" s="20">
        <f>IF($B773="","",COUNTIFS('Blocker log'!$A:$A,$B773,'Blocker log'!$G:$G,"Hard blocker"))</f>
        <v>0</v>
      </c>
      <c r="O773" s="20">
        <f>IF($B773="","",COUNTIFS('Blocker log'!$A:$A,$B773,'Blocker log'!$G:$G,"Hard blocker",'Blocker log'!$L:$L,9))</f>
        <v>0</v>
      </c>
      <c r="P773" s="20">
        <f>IF($B773="","",MAXIFS('Blocker log'!$L:$L,'Blocker log'!$A:$A,$B773,'Blocker log'!$G:$G,"Hard blocker"))</f>
        <v>0</v>
      </c>
      <c r="Q773" s="20" t="str">
        <f>IF($B773="","",IF($K773&lt;&gt;"Complete","Assessment pending",IF($N773=0,"Ready now",VLOOKUP($P773,Lists!$D$2:$E$5,2,FALSE))))</f>
        <v>Assessment pending</v>
      </c>
    </row>
    <row r="774" ht="15.75" customHeight="1">
      <c r="A774" s="35" t="s">
        <v>2170</v>
      </c>
      <c r="B774" s="35" t="s">
        <v>2171</v>
      </c>
      <c r="C774" s="35" t="s">
        <v>76</v>
      </c>
      <c r="D774" s="35" t="s">
        <v>171</v>
      </c>
      <c r="E774" s="35" t="s">
        <v>172</v>
      </c>
      <c r="F774" s="35" t="s">
        <v>1110</v>
      </c>
      <c r="G774" s="35" t="s">
        <v>999</v>
      </c>
      <c r="H774" s="76">
        <v>37149.0</v>
      </c>
      <c r="I774" s="35"/>
      <c r="M774" s="20">
        <f>IF($B774="","",COUNTIFS('Blocker log'!$A:$A,$B774,'Blocker log'!$G:$G,"&lt;&gt;"))</f>
        <v>0</v>
      </c>
      <c r="N774" s="20">
        <f>IF($B774="","",COUNTIFS('Blocker log'!$A:$A,$B774,'Blocker log'!$G:$G,"Hard blocker"))</f>
        <v>0</v>
      </c>
      <c r="O774" s="20">
        <f>IF($B774="","",COUNTIFS('Blocker log'!$A:$A,$B774,'Blocker log'!$G:$G,"Hard blocker",'Blocker log'!$L:$L,9))</f>
        <v>0</v>
      </c>
      <c r="P774" s="20">
        <f>IF($B774="","",MAXIFS('Blocker log'!$L:$L,'Blocker log'!$A:$A,$B774,'Blocker log'!$G:$G,"Hard blocker"))</f>
        <v>0</v>
      </c>
      <c r="Q774" s="20" t="str">
        <f>IF($B774="","",IF($K774&lt;&gt;"Complete","Assessment pending",IF($N774=0,"Ready now",VLOOKUP($P774,Lists!$D$2:$E$5,2,FALSE))))</f>
        <v>Assessment pending</v>
      </c>
    </row>
    <row r="775" ht="15.75" customHeight="1">
      <c r="A775" s="35" t="s">
        <v>2172</v>
      </c>
      <c r="B775" s="35" t="s">
        <v>2173</v>
      </c>
      <c r="C775" s="35" t="s">
        <v>1286</v>
      </c>
      <c r="D775" s="35" t="s">
        <v>260</v>
      </c>
      <c r="E775" s="35" t="s">
        <v>506</v>
      </c>
      <c r="F775" s="35" t="s">
        <v>685</v>
      </c>
      <c r="G775" s="35" t="s">
        <v>1161</v>
      </c>
      <c r="H775" s="76">
        <v>37143.0</v>
      </c>
      <c r="I775" s="35" t="s">
        <v>417</v>
      </c>
      <c r="M775" s="20">
        <f>IF($B775="","",COUNTIFS('Blocker log'!$A:$A,$B775,'Blocker log'!$G:$G,"&lt;&gt;"))</f>
        <v>0</v>
      </c>
      <c r="N775" s="20">
        <f>IF($B775="","",COUNTIFS('Blocker log'!$A:$A,$B775,'Blocker log'!$G:$G,"Hard blocker"))</f>
        <v>0</v>
      </c>
      <c r="O775" s="20">
        <f>IF($B775="","",COUNTIFS('Blocker log'!$A:$A,$B775,'Blocker log'!$G:$G,"Hard blocker",'Blocker log'!$L:$L,9))</f>
        <v>0</v>
      </c>
      <c r="P775" s="20">
        <f>IF($B775="","",MAXIFS('Blocker log'!$L:$L,'Blocker log'!$A:$A,$B775,'Blocker log'!$G:$G,"Hard blocker"))</f>
        <v>0</v>
      </c>
      <c r="Q775" s="20" t="str">
        <f>IF($B775="","",IF($K775&lt;&gt;"Complete","Assessment pending",IF($N775=0,"Ready now",VLOOKUP($P775,Lists!$D$2:$E$5,2,FALSE))))</f>
        <v>Assessment pending</v>
      </c>
    </row>
    <row r="776" ht="15.75" customHeight="1">
      <c r="A776" s="35" t="s">
        <v>2174</v>
      </c>
      <c r="B776" s="35" t="s">
        <v>2175</v>
      </c>
      <c r="C776" s="35" t="s">
        <v>1286</v>
      </c>
      <c r="D776" s="35" t="s">
        <v>260</v>
      </c>
      <c r="E776" s="35" t="s">
        <v>576</v>
      </c>
      <c r="F776" s="35" t="s">
        <v>1228</v>
      </c>
      <c r="G776" s="35" t="s">
        <v>1161</v>
      </c>
      <c r="H776" s="76">
        <v>37134.0</v>
      </c>
      <c r="I776" s="35" t="s">
        <v>403</v>
      </c>
      <c r="M776" s="20">
        <f>IF($B776="","",COUNTIFS('Blocker log'!$A:$A,$B776,'Blocker log'!$G:$G,"&lt;&gt;"))</f>
        <v>0</v>
      </c>
      <c r="N776" s="20">
        <f>IF($B776="","",COUNTIFS('Blocker log'!$A:$A,$B776,'Blocker log'!$G:$G,"Hard blocker"))</f>
        <v>0</v>
      </c>
      <c r="O776" s="20">
        <f>IF($B776="","",COUNTIFS('Blocker log'!$A:$A,$B776,'Blocker log'!$G:$G,"Hard blocker",'Blocker log'!$L:$L,9))</f>
        <v>0</v>
      </c>
      <c r="P776" s="20">
        <f>IF($B776="","",MAXIFS('Blocker log'!$L:$L,'Blocker log'!$A:$A,$B776,'Blocker log'!$G:$G,"Hard blocker"))</f>
        <v>0</v>
      </c>
      <c r="Q776" s="20" t="str">
        <f>IF($B776="","",IF($K776&lt;&gt;"Complete","Assessment pending",IF($N776=0,"Ready now",VLOOKUP($P776,Lists!$D$2:$E$5,2,FALSE))))</f>
        <v>Assessment pending</v>
      </c>
    </row>
    <row r="777" ht="15.75" customHeight="1">
      <c r="A777" s="35" t="s">
        <v>2176</v>
      </c>
      <c r="B777" s="35" t="s">
        <v>2177</v>
      </c>
      <c r="C777" s="35" t="s">
        <v>1286</v>
      </c>
      <c r="D777" s="35" t="s">
        <v>260</v>
      </c>
      <c r="E777" s="35" t="s">
        <v>530</v>
      </c>
      <c r="F777" s="35" t="s">
        <v>1766</v>
      </c>
      <c r="G777" s="35" t="s">
        <v>1161</v>
      </c>
      <c r="H777" s="76">
        <v>36800.0</v>
      </c>
      <c r="I777" s="35"/>
      <c r="M777" s="20">
        <f>IF($B777="","",COUNTIFS('Blocker log'!$A:$A,$B777,'Blocker log'!$G:$G,"&lt;&gt;"))</f>
        <v>0</v>
      </c>
      <c r="N777" s="20">
        <f>IF($B777="","",COUNTIFS('Blocker log'!$A:$A,$B777,'Blocker log'!$G:$G,"Hard blocker"))</f>
        <v>0</v>
      </c>
      <c r="O777" s="20">
        <f>IF($B777="","",COUNTIFS('Blocker log'!$A:$A,$B777,'Blocker log'!$G:$G,"Hard blocker",'Blocker log'!$L:$L,9))</f>
        <v>0</v>
      </c>
      <c r="P777" s="20">
        <f>IF($B777="","",MAXIFS('Blocker log'!$L:$L,'Blocker log'!$A:$A,$B777,'Blocker log'!$G:$G,"Hard blocker"))</f>
        <v>0</v>
      </c>
      <c r="Q777" s="20" t="str">
        <f>IF($B777="","",IF($K777&lt;&gt;"Complete","Assessment pending",IF($N777=0,"Ready now",VLOOKUP($P777,Lists!$D$2:$E$5,2,FALSE))))</f>
        <v>Assessment pending</v>
      </c>
    </row>
    <row r="778" ht="15.75" customHeight="1">
      <c r="A778" s="35" t="s">
        <v>2178</v>
      </c>
      <c r="B778" s="35" t="s">
        <v>2179</v>
      </c>
      <c r="C778" s="35" t="s">
        <v>76</v>
      </c>
      <c r="D778" s="35" t="s">
        <v>171</v>
      </c>
      <c r="E778" s="35" t="s">
        <v>512</v>
      </c>
      <c r="F778" s="35" t="s">
        <v>782</v>
      </c>
      <c r="G778" s="35" t="s">
        <v>999</v>
      </c>
      <c r="H778" s="76">
        <v>36754.0</v>
      </c>
      <c r="I778" s="35"/>
      <c r="M778" s="20">
        <f>IF($B778="","",COUNTIFS('Blocker log'!$A:$A,$B778,'Blocker log'!$G:$G,"&lt;&gt;"))</f>
        <v>0</v>
      </c>
      <c r="N778" s="20">
        <f>IF($B778="","",COUNTIFS('Blocker log'!$A:$A,$B778,'Blocker log'!$G:$G,"Hard blocker"))</f>
        <v>0</v>
      </c>
      <c r="O778" s="20">
        <f>IF($B778="","",COUNTIFS('Blocker log'!$A:$A,$B778,'Blocker log'!$G:$G,"Hard blocker",'Blocker log'!$L:$L,9))</f>
        <v>0</v>
      </c>
      <c r="P778" s="20">
        <f>IF($B778="","",MAXIFS('Blocker log'!$L:$L,'Blocker log'!$A:$A,$B778,'Blocker log'!$G:$G,"Hard blocker"))</f>
        <v>0</v>
      </c>
      <c r="Q778" s="20" t="str">
        <f>IF($B778="","",IF($K778&lt;&gt;"Complete","Assessment pending",IF($N778=0,"Ready now",VLOOKUP($P778,Lists!$D$2:$E$5,2,FALSE))))</f>
        <v>Assessment pending</v>
      </c>
    </row>
    <row r="779" ht="15.75" customHeight="1">
      <c r="A779" s="35" t="s">
        <v>2180</v>
      </c>
      <c r="B779" s="35" t="s">
        <v>2181</v>
      </c>
      <c r="C779" s="35" t="s">
        <v>1286</v>
      </c>
      <c r="D779" s="35" t="s">
        <v>58</v>
      </c>
      <c r="E779" s="35" t="s">
        <v>101</v>
      </c>
      <c r="F779" s="35" t="s">
        <v>116</v>
      </c>
      <c r="G779" s="35" t="s">
        <v>1161</v>
      </c>
      <c r="H779" s="76">
        <v>36720.0</v>
      </c>
      <c r="I779" s="35"/>
      <c r="M779" s="20">
        <f>IF($B779="","",COUNTIFS('Blocker log'!$A:$A,$B779,'Blocker log'!$G:$G,"&lt;&gt;"))</f>
        <v>0</v>
      </c>
      <c r="N779" s="20">
        <f>IF($B779="","",COUNTIFS('Blocker log'!$A:$A,$B779,'Blocker log'!$G:$G,"Hard blocker"))</f>
        <v>0</v>
      </c>
      <c r="O779" s="20">
        <f>IF($B779="","",COUNTIFS('Blocker log'!$A:$A,$B779,'Blocker log'!$G:$G,"Hard blocker",'Blocker log'!$L:$L,9))</f>
        <v>0</v>
      </c>
      <c r="P779" s="20">
        <f>IF($B779="","",MAXIFS('Blocker log'!$L:$L,'Blocker log'!$A:$A,$B779,'Blocker log'!$G:$G,"Hard blocker"))</f>
        <v>0</v>
      </c>
      <c r="Q779" s="20" t="str">
        <f>IF($B779="","",IF($K779&lt;&gt;"Complete","Assessment pending",IF($N779=0,"Ready now",VLOOKUP($P779,Lists!$D$2:$E$5,2,FALSE))))</f>
        <v>Assessment pending</v>
      </c>
    </row>
    <row r="780" ht="15.75" customHeight="1">
      <c r="A780" s="35" t="s">
        <v>2182</v>
      </c>
      <c r="B780" s="35" t="s">
        <v>2183</v>
      </c>
      <c r="C780" s="35" t="s">
        <v>76</v>
      </c>
      <c r="D780" s="35" t="s">
        <v>260</v>
      </c>
      <c r="E780" s="35" t="s">
        <v>576</v>
      </c>
      <c r="F780" s="35" t="s">
        <v>804</v>
      </c>
      <c r="G780" s="35" t="s">
        <v>980</v>
      </c>
      <c r="H780" s="76">
        <v>36629.0</v>
      </c>
      <c r="I780" s="35"/>
      <c r="M780" s="20">
        <f>IF($B780="","",COUNTIFS('Blocker log'!$A:$A,$B780,'Blocker log'!$G:$G,"&lt;&gt;"))</f>
        <v>0</v>
      </c>
      <c r="N780" s="20">
        <f>IF($B780="","",COUNTIFS('Blocker log'!$A:$A,$B780,'Blocker log'!$G:$G,"Hard blocker"))</f>
        <v>0</v>
      </c>
      <c r="O780" s="20">
        <f>IF($B780="","",COUNTIFS('Blocker log'!$A:$A,$B780,'Blocker log'!$G:$G,"Hard blocker",'Blocker log'!$L:$L,9))</f>
        <v>0</v>
      </c>
      <c r="P780" s="20">
        <f>IF($B780="","",MAXIFS('Blocker log'!$L:$L,'Blocker log'!$A:$A,$B780,'Blocker log'!$G:$G,"Hard blocker"))</f>
        <v>0</v>
      </c>
      <c r="Q780" s="20" t="str">
        <f>IF($B780="","",IF($K780&lt;&gt;"Complete","Assessment pending",IF($N780=0,"Ready now",VLOOKUP($P780,Lists!$D$2:$E$5,2,FALSE))))</f>
        <v>Assessment pending</v>
      </c>
    </row>
    <row r="781" ht="15.75" customHeight="1">
      <c r="A781" s="35" t="s">
        <v>2184</v>
      </c>
      <c r="B781" s="35" t="s">
        <v>2185</v>
      </c>
      <c r="C781" s="35" t="s">
        <v>1286</v>
      </c>
      <c r="D781" s="35" t="s">
        <v>58</v>
      </c>
      <c r="E781" s="35" t="s">
        <v>101</v>
      </c>
      <c r="F781" s="35" t="s">
        <v>102</v>
      </c>
      <c r="G781" s="35" t="s">
        <v>1161</v>
      </c>
      <c r="H781" s="76">
        <v>36456.0</v>
      </c>
      <c r="I781" s="35" t="s">
        <v>405</v>
      </c>
      <c r="M781" s="20">
        <f>IF($B781="","",COUNTIFS('Blocker log'!$A:$A,$B781,'Blocker log'!$G:$G,"&lt;&gt;"))</f>
        <v>0</v>
      </c>
      <c r="N781" s="20">
        <f>IF($B781="","",COUNTIFS('Blocker log'!$A:$A,$B781,'Blocker log'!$G:$G,"Hard blocker"))</f>
        <v>0</v>
      </c>
      <c r="O781" s="20">
        <f>IF($B781="","",COUNTIFS('Blocker log'!$A:$A,$B781,'Blocker log'!$G:$G,"Hard blocker",'Blocker log'!$L:$L,9))</f>
        <v>0</v>
      </c>
      <c r="P781" s="20">
        <f>IF($B781="","",MAXIFS('Blocker log'!$L:$L,'Blocker log'!$A:$A,$B781,'Blocker log'!$G:$G,"Hard blocker"))</f>
        <v>0</v>
      </c>
      <c r="Q781" s="20" t="str">
        <f>IF($B781="","",IF($K781&lt;&gt;"Complete","Assessment pending",IF($N781=0,"Ready now",VLOOKUP($P781,Lists!$D$2:$E$5,2,FALSE))))</f>
        <v>Assessment pending</v>
      </c>
    </row>
    <row r="782" ht="15.75" customHeight="1">
      <c r="A782" s="35" t="s">
        <v>2186</v>
      </c>
      <c r="B782" s="35" t="s">
        <v>2187</v>
      </c>
      <c r="C782" s="35" t="s">
        <v>1286</v>
      </c>
      <c r="D782" s="35" t="s">
        <v>260</v>
      </c>
      <c r="E782" s="35" t="s">
        <v>530</v>
      </c>
      <c r="F782" s="35" t="s">
        <v>795</v>
      </c>
      <c r="G782" s="35" t="s">
        <v>1161</v>
      </c>
      <c r="H782" s="76">
        <v>36258.0</v>
      </c>
      <c r="I782" s="35"/>
      <c r="M782" s="20">
        <f>IF($B782="","",COUNTIFS('Blocker log'!$A:$A,$B782,'Blocker log'!$G:$G,"&lt;&gt;"))</f>
        <v>0</v>
      </c>
      <c r="N782" s="20">
        <f>IF($B782="","",COUNTIFS('Blocker log'!$A:$A,$B782,'Blocker log'!$G:$G,"Hard blocker"))</f>
        <v>0</v>
      </c>
      <c r="O782" s="20">
        <f>IF($B782="","",COUNTIFS('Blocker log'!$A:$A,$B782,'Blocker log'!$G:$G,"Hard blocker",'Blocker log'!$L:$L,9))</f>
        <v>0</v>
      </c>
      <c r="P782" s="20">
        <f>IF($B782="","",MAXIFS('Blocker log'!$L:$L,'Blocker log'!$A:$A,$B782,'Blocker log'!$G:$G,"Hard blocker"))</f>
        <v>0</v>
      </c>
      <c r="Q782" s="20" t="str">
        <f>IF($B782="","",IF($K782&lt;&gt;"Complete","Assessment pending",IF($N782=0,"Ready now",VLOOKUP($P782,Lists!$D$2:$E$5,2,FALSE))))</f>
        <v>Assessment pending</v>
      </c>
    </row>
    <row r="783" ht="15.75" customHeight="1">
      <c r="A783" s="35" t="s">
        <v>2188</v>
      </c>
      <c r="B783" s="35" t="s">
        <v>2189</v>
      </c>
      <c r="C783" s="35" t="s">
        <v>1286</v>
      </c>
      <c r="D783" s="35" t="s">
        <v>260</v>
      </c>
      <c r="E783" s="35" t="s">
        <v>351</v>
      </c>
      <c r="F783" s="35" t="s">
        <v>886</v>
      </c>
      <c r="G783" s="35" t="s">
        <v>1161</v>
      </c>
      <c r="H783" s="76">
        <v>36047.0</v>
      </c>
      <c r="I783" s="35" t="s">
        <v>430</v>
      </c>
      <c r="M783" s="20">
        <f>IF($B783="","",COUNTIFS('Blocker log'!$A:$A,$B783,'Blocker log'!$G:$G,"&lt;&gt;"))</f>
        <v>0</v>
      </c>
      <c r="N783" s="20">
        <f>IF($B783="","",COUNTIFS('Blocker log'!$A:$A,$B783,'Blocker log'!$G:$G,"Hard blocker"))</f>
        <v>0</v>
      </c>
      <c r="O783" s="20">
        <f>IF($B783="","",COUNTIFS('Blocker log'!$A:$A,$B783,'Blocker log'!$G:$G,"Hard blocker",'Blocker log'!$L:$L,9))</f>
        <v>0</v>
      </c>
      <c r="P783" s="20">
        <f>IF($B783="","",MAXIFS('Blocker log'!$L:$L,'Blocker log'!$A:$A,$B783,'Blocker log'!$G:$G,"Hard blocker"))</f>
        <v>0</v>
      </c>
      <c r="Q783" s="20" t="str">
        <f>IF($B783="","",IF($K783&lt;&gt;"Complete","Assessment pending",IF($N783=0,"Ready now",VLOOKUP($P783,Lists!$D$2:$E$5,2,FALSE))))</f>
        <v>Assessment pending</v>
      </c>
    </row>
    <row r="784" ht="15.75" customHeight="1">
      <c r="A784" s="35" t="s">
        <v>2190</v>
      </c>
      <c r="B784" s="35" t="s">
        <v>2191</v>
      </c>
      <c r="C784" s="35" t="s">
        <v>1286</v>
      </c>
      <c r="D784" s="35" t="s">
        <v>260</v>
      </c>
      <c r="E784" s="35" t="s">
        <v>576</v>
      </c>
      <c r="F784" s="35" t="s">
        <v>804</v>
      </c>
      <c r="G784" s="35" t="s">
        <v>1161</v>
      </c>
      <c r="H784" s="76">
        <v>36047.0</v>
      </c>
      <c r="I784" s="35" t="s">
        <v>403</v>
      </c>
      <c r="M784" s="20">
        <f>IF($B784="","",COUNTIFS('Blocker log'!$A:$A,$B784,'Blocker log'!$G:$G,"&lt;&gt;"))</f>
        <v>0</v>
      </c>
      <c r="N784" s="20">
        <f>IF($B784="","",COUNTIFS('Blocker log'!$A:$A,$B784,'Blocker log'!$G:$G,"Hard blocker"))</f>
        <v>0</v>
      </c>
      <c r="O784" s="20">
        <f>IF($B784="","",COUNTIFS('Blocker log'!$A:$A,$B784,'Blocker log'!$G:$G,"Hard blocker",'Blocker log'!$L:$L,9))</f>
        <v>0</v>
      </c>
      <c r="P784" s="20">
        <f>IF($B784="","",MAXIFS('Blocker log'!$L:$L,'Blocker log'!$A:$A,$B784,'Blocker log'!$G:$G,"Hard blocker"))</f>
        <v>0</v>
      </c>
      <c r="Q784" s="20" t="str">
        <f>IF($B784="","",IF($K784&lt;&gt;"Complete","Assessment pending",IF($N784=0,"Ready now",VLOOKUP($P784,Lists!$D$2:$E$5,2,FALSE))))</f>
        <v>Assessment pending</v>
      </c>
    </row>
    <row r="785" ht="15.75" customHeight="1">
      <c r="A785" s="35" t="s">
        <v>2192</v>
      </c>
      <c r="B785" s="35" t="s">
        <v>2193</v>
      </c>
      <c r="C785" s="35" t="s">
        <v>1286</v>
      </c>
      <c r="D785" s="35" t="s">
        <v>260</v>
      </c>
      <c r="E785" s="35" t="s">
        <v>351</v>
      </c>
      <c r="F785" s="35" t="s">
        <v>1617</v>
      </c>
      <c r="G785" s="35" t="s">
        <v>1161</v>
      </c>
      <c r="H785" s="76">
        <v>35732.0</v>
      </c>
      <c r="I785" s="35" t="s">
        <v>430</v>
      </c>
      <c r="M785" s="20">
        <f>IF($B785="","",COUNTIFS('Blocker log'!$A:$A,$B785,'Blocker log'!$G:$G,"&lt;&gt;"))</f>
        <v>0</v>
      </c>
      <c r="N785" s="20">
        <f>IF($B785="","",COUNTIFS('Blocker log'!$A:$A,$B785,'Blocker log'!$G:$G,"Hard blocker"))</f>
        <v>0</v>
      </c>
      <c r="O785" s="20">
        <f>IF($B785="","",COUNTIFS('Blocker log'!$A:$A,$B785,'Blocker log'!$G:$G,"Hard blocker",'Blocker log'!$L:$L,9))</f>
        <v>0</v>
      </c>
      <c r="P785" s="20">
        <f>IF($B785="","",MAXIFS('Blocker log'!$L:$L,'Blocker log'!$A:$A,$B785,'Blocker log'!$G:$G,"Hard blocker"))</f>
        <v>0</v>
      </c>
      <c r="Q785" s="20" t="str">
        <f>IF($B785="","",IF($K785&lt;&gt;"Complete","Assessment pending",IF($N785=0,"Ready now",VLOOKUP($P785,Lists!$D$2:$E$5,2,FALSE))))</f>
        <v>Assessment pending</v>
      </c>
    </row>
    <row r="786" ht="15.75" customHeight="1">
      <c r="A786" s="35" t="s">
        <v>2194</v>
      </c>
      <c r="B786" s="35" t="s">
        <v>2195</v>
      </c>
      <c r="C786" s="35" t="s">
        <v>1286</v>
      </c>
      <c r="D786" s="35" t="s">
        <v>260</v>
      </c>
      <c r="E786" s="35" t="s">
        <v>506</v>
      </c>
      <c r="F786" s="35" t="s">
        <v>685</v>
      </c>
      <c r="G786" s="35" t="s">
        <v>1161</v>
      </c>
      <c r="H786" s="76">
        <v>35640.0</v>
      </c>
      <c r="I786" s="35" t="s">
        <v>417</v>
      </c>
      <c r="M786" s="20">
        <f>IF($B786="","",COUNTIFS('Blocker log'!$A:$A,$B786,'Blocker log'!$G:$G,"&lt;&gt;"))</f>
        <v>0</v>
      </c>
      <c r="N786" s="20">
        <f>IF($B786="","",COUNTIFS('Blocker log'!$A:$A,$B786,'Blocker log'!$G:$G,"Hard blocker"))</f>
        <v>0</v>
      </c>
      <c r="O786" s="20">
        <f>IF($B786="","",COUNTIFS('Blocker log'!$A:$A,$B786,'Blocker log'!$G:$G,"Hard blocker",'Blocker log'!$L:$L,9))</f>
        <v>0</v>
      </c>
      <c r="P786" s="20">
        <f>IF($B786="","",MAXIFS('Blocker log'!$L:$L,'Blocker log'!$A:$A,$B786,'Blocker log'!$G:$G,"Hard blocker"))</f>
        <v>0</v>
      </c>
      <c r="Q786" s="20" t="str">
        <f>IF($B786="","",IF($K786&lt;&gt;"Complete","Assessment pending",IF($N786=0,"Ready now",VLOOKUP($P786,Lists!$D$2:$E$5,2,FALSE))))</f>
        <v>Assessment pending</v>
      </c>
    </row>
    <row r="787" ht="15.75" customHeight="1">
      <c r="A787" s="35" t="s">
        <v>2196</v>
      </c>
      <c r="B787" s="35" t="s">
        <v>2197</v>
      </c>
      <c r="C787" s="35" t="s">
        <v>1286</v>
      </c>
      <c r="D787" s="35" t="s">
        <v>260</v>
      </c>
      <c r="E787" s="35" t="s">
        <v>351</v>
      </c>
      <c r="F787" s="35" t="s">
        <v>886</v>
      </c>
      <c r="G787" s="35" t="s">
        <v>1161</v>
      </c>
      <c r="H787" s="76">
        <v>35568.0</v>
      </c>
      <c r="I787" s="35" t="s">
        <v>403</v>
      </c>
      <c r="M787" s="20">
        <f>IF($B787="","",COUNTIFS('Blocker log'!$A:$A,$B787,'Blocker log'!$G:$G,"&lt;&gt;"))</f>
        <v>0</v>
      </c>
      <c r="N787" s="20">
        <f>IF($B787="","",COUNTIFS('Blocker log'!$A:$A,$B787,'Blocker log'!$G:$G,"Hard blocker"))</f>
        <v>0</v>
      </c>
      <c r="O787" s="20">
        <f>IF($B787="","",COUNTIFS('Blocker log'!$A:$A,$B787,'Blocker log'!$G:$G,"Hard blocker",'Blocker log'!$L:$L,9))</f>
        <v>0</v>
      </c>
      <c r="P787" s="20">
        <f>IF($B787="","",MAXIFS('Blocker log'!$L:$L,'Blocker log'!$A:$A,$B787,'Blocker log'!$G:$G,"Hard blocker"))</f>
        <v>0</v>
      </c>
      <c r="Q787" s="20" t="str">
        <f>IF($B787="","",IF($K787&lt;&gt;"Complete","Assessment pending",IF($N787=0,"Ready now",VLOOKUP($P787,Lists!$D$2:$E$5,2,FALSE))))</f>
        <v>Assessment pending</v>
      </c>
    </row>
    <row r="788" ht="15.75" customHeight="1">
      <c r="A788" s="35" t="s">
        <v>2198</v>
      </c>
      <c r="B788" s="35" t="s">
        <v>2199</v>
      </c>
      <c r="C788" s="35" t="s">
        <v>1286</v>
      </c>
      <c r="D788" s="35" t="s">
        <v>171</v>
      </c>
      <c r="E788" s="35" t="s">
        <v>172</v>
      </c>
      <c r="F788" s="35" t="s">
        <v>1357</v>
      </c>
      <c r="G788" s="35" t="s">
        <v>1161</v>
      </c>
      <c r="H788" s="76">
        <v>35431.0</v>
      </c>
      <c r="I788" s="35" t="s">
        <v>424</v>
      </c>
      <c r="M788" s="20">
        <f>IF($B788="","",COUNTIFS('Blocker log'!$A:$A,$B788,'Blocker log'!$G:$G,"&lt;&gt;"))</f>
        <v>0</v>
      </c>
      <c r="N788" s="20">
        <f>IF($B788="","",COUNTIFS('Blocker log'!$A:$A,$B788,'Blocker log'!$G:$G,"Hard blocker"))</f>
        <v>0</v>
      </c>
      <c r="O788" s="20">
        <f>IF($B788="","",COUNTIFS('Blocker log'!$A:$A,$B788,'Blocker log'!$G:$G,"Hard blocker",'Blocker log'!$L:$L,9))</f>
        <v>0</v>
      </c>
      <c r="P788" s="20">
        <f>IF($B788="","",MAXIFS('Blocker log'!$L:$L,'Blocker log'!$A:$A,$B788,'Blocker log'!$G:$G,"Hard blocker"))</f>
        <v>0</v>
      </c>
      <c r="Q788" s="20" t="str">
        <f>IF($B788="","",IF($K788&lt;&gt;"Complete","Assessment pending",IF($N788=0,"Ready now",VLOOKUP($P788,Lists!$D$2:$E$5,2,FALSE))))</f>
        <v>Assessment pending</v>
      </c>
    </row>
    <row r="789" ht="15.75" customHeight="1">
      <c r="A789" s="35" t="s">
        <v>2200</v>
      </c>
      <c r="B789" s="35" t="s">
        <v>2201</v>
      </c>
      <c r="C789" s="35" t="s">
        <v>76</v>
      </c>
      <c r="D789" s="35" t="s">
        <v>260</v>
      </c>
      <c r="E789" s="35" t="s">
        <v>530</v>
      </c>
      <c r="F789" s="35" t="s">
        <v>531</v>
      </c>
      <c r="G789" s="35" t="s">
        <v>980</v>
      </c>
      <c r="H789" s="76">
        <v>35413.0</v>
      </c>
      <c r="I789" s="35"/>
      <c r="M789" s="20">
        <f>IF($B789="","",COUNTIFS('Blocker log'!$A:$A,$B789,'Blocker log'!$G:$G,"&lt;&gt;"))</f>
        <v>0</v>
      </c>
      <c r="N789" s="20">
        <f>IF($B789="","",COUNTIFS('Blocker log'!$A:$A,$B789,'Blocker log'!$G:$G,"Hard blocker"))</f>
        <v>0</v>
      </c>
      <c r="O789" s="20">
        <f>IF($B789="","",COUNTIFS('Blocker log'!$A:$A,$B789,'Blocker log'!$G:$G,"Hard blocker",'Blocker log'!$L:$L,9))</f>
        <v>0</v>
      </c>
      <c r="P789" s="20">
        <f>IF($B789="","",MAXIFS('Blocker log'!$L:$L,'Blocker log'!$A:$A,$B789,'Blocker log'!$G:$G,"Hard blocker"))</f>
        <v>0</v>
      </c>
      <c r="Q789" s="20" t="str">
        <f>IF($B789="","",IF($K789&lt;&gt;"Complete","Assessment pending",IF($N789=0,"Ready now",VLOOKUP($P789,Lists!$D$2:$E$5,2,FALSE))))</f>
        <v>Assessment pending</v>
      </c>
    </row>
    <row r="790" ht="15.75" customHeight="1">
      <c r="A790" s="35" t="s">
        <v>2202</v>
      </c>
      <c r="B790" s="35" t="s">
        <v>2203</v>
      </c>
      <c r="C790" s="35" t="s">
        <v>1286</v>
      </c>
      <c r="D790" s="35" t="s">
        <v>260</v>
      </c>
      <c r="E790" s="35" t="s">
        <v>1096</v>
      </c>
      <c r="F790" s="35" t="s">
        <v>1366</v>
      </c>
      <c r="G790" s="35" t="s">
        <v>1161</v>
      </c>
      <c r="H790" s="76">
        <v>35316.0</v>
      </c>
      <c r="I790" s="35"/>
      <c r="M790" s="20">
        <f>IF($B790="","",COUNTIFS('Blocker log'!$A:$A,$B790,'Blocker log'!$G:$G,"&lt;&gt;"))</f>
        <v>0</v>
      </c>
      <c r="N790" s="20">
        <f>IF($B790="","",COUNTIFS('Blocker log'!$A:$A,$B790,'Blocker log'!$G:$G,"Hard blocker"))</f>
        <v>0</v>
      </c>
      <c r="O790" s="20">
        <f>IF($B790="","",COUNTIFS('Blocker log'!$A:$A,$B790,'Blocker log'!$G:$G,"Hard blocker",'Blocker log'!$L:$L,9))</f>
        <v>0</v>
      </c>
      <c r="P790" s="20">
        <f>IF($B790="","",MAXIFS('Blocker log'!$L:$L,'Blocker log'!$A:$A,$B790,'Blocker log'!$G:$G,"Hard blocker"))</f>
        <v>0</v>
      </c>
      <c r="Q790" s="20" t="str">
        <f>IF($B790="","",IF($K790&lt;&gt;"Complete","Assessment pending",IF($N790=0,"Ready now",VLOOKUP($P790,Lists!$D$2:$E$5,2,FALSE))))</f>
        <v>Assessment pending</v>
      </c>
    </row>
    <row r="791" ht="15.75" customHeight="1">
      <c r="A791" s="35" t="s">
        <v>2204</v>
      </c>
      <c r="B791" s="35" t="s">
        <v>2205</v>
      </c>
      <c r="C791" s="35" t="s">
        <v>76</v>
      </c>
      <c r="D791" s="35" t="s">
        <v>58</v>
      </c>
      <c r="E791" s="35" t="s">
        <v>494</v>
      </c>
      <c r="F791" s="35" t="s">
        <v>629</v>
      </c>
      <c r="G791" s="35" t="s">
        <v>999</v>
      </c>
      <c r="H791" s="76">
        <v>35000.0</v>
      </c>
      <c r="I791" s="35"/>
      <c r="M791" s="20">
        <f>IF($B791="","",COUNTIFS('Blocker log'!$A:$A,$B791,'Blocker log'!$G:$G,"&lt;&gt;"))</f>
        <v>0</v>
      </c>
      <c r="N791" s="20">
        <f>IF($B791="","",COUNTIFS('Blocker log'!$A:$A,$B791,'Blocker log'!$G:$G,"Hard blocker"))</f>
        <v>0</v>
      </c>
      <c r="O791" s="20">
        <f>IF($B791="","",COUNTIFS('Blocker log'!$A:$A,$B791,'Blocker log'!$G:$G,"Hard blocker",'Blocker log'!$L:$L,9))</f>
        <v>0</v>
      </c>
      <c r="P791" s="20">
        <f>IF($B791="","",MAXIFS('Blocker log'!$L:$L,'Blocker log'!$A:$A,$B791,'Blocker log'!$G:$G,"Hard blocker"))</f>
        <v>0</v>
      </c>
      <c r="Q791" s="20" t="str">
        <f>IF($B791="","",IF($K791&lt;&gt;"Complete","Assessment pending",IF($N791=0,"Ready now",VLOOKUP($P791,Lists!$D$2:$E$5,2,FALSE))))</f>
        <v>Assessment pending</v>
      </c>
    </row>
    <row r="792" ht="15.75" customHeight="1">
      <c r="A792" s="35" t="s">
        <v>2206</v>
      </c>
      <c r="B792" s="35" t="s">
        <v>2207</v>
      </c>
      <c r="C792" s="35" t="s">
        <v>1286</v>
      </c>
      <c r="D792" s="35" t="s">
        <v>260</v>
      </c>
      <c r="E792" s="35" t="s">
        <v>1096</v>
      </c>
      <c r="F792" s="35" t="s">
        <v>1097</v>
      </c>
      <c r="G792" s="35" t="s">
        <v>1161</v>
      </c>
      <c r="H792" s="76">
        <v>34965.0</v>
      </c>
      <c r="I792" s="35" t="s">
        <v>416</v>
      </c>
      <c r="M792" s="20">
        <f>IF($B792="","",COUNTIFS('Blocker log'!$A:$A,$B792,'Blocker log'!$G:$G,"&lt;&gt;"))</f>
        <v>0</v>
      </c>
      <c r="N792" s="20">
        <f>IF($B792="","",COUNTIFS('Blocker log'!$A:$A,$B792,'Blocker log'!$G:$G,"Hard blocker"))</f>
        <v>0</v>
      </c>
      <c r="O792" s="20">
        <f>IF($B792="","",COUNTIFS('Blocker log'!$A:$A,$B792,'Blocker log'!$G:$G,"Hard blocker",'Blocker log'!$L:$L,9))</f>
        <v>0</v>
      </c>
      <c r="P792" s="20">
        <f>IF($B792="","",MAXIFS('Blocker log'!$L:$L,'Blocker log'!$A:$A,$B792,'Blocker log'!$G:$G,"Hard blocker"))</f>
        <v>0</v>
      </c>
      <c r="Q792" s="20" t="str">
        <f>IF($B792="","",IF($K792&lt;&gt;"Complete","Assessment pending",IF($N792=0,"Ready now",VLOOKUP($P792,Lists!$D$2:$E$5,2,FALSE))))</f>
        <v>Assessment pending</v>
      </c>
    </row>
    <row r="793" ht="15.75" customHeight="1">
      <c r="A793" s="35" t="s">
        <v>2208</v>
      </c>
      <c r="B793" s="35" t="s">
        <v>2209</v>
      </c>
      <c r="C793" s="35" t="s">
        <v>1286</v>
      </c>
      <c r="D793" s="35" t="s">
        <v>171</v>
      </c>
      <c r="E793" s="35" t="s">
        <v>542</v>
      </c>
      <c r="F793" s="35" t="s">
        <v>543</v>
      </c>
      <c r="G793" s="35" t="s">
        <v>1161</v>
      </c>
      <c r="H793" s="76">
        <v>34960.0</v>
      </c>
      <c r="I793" s="35"/>
      <c r="M793" s="20">
        <f>IF($B793="","",COUNTIFS('Blocker log'!$A:$A,$B793,'Blocker log'!$G:$G,"&lt;&gt;"))</f>
        <v>0</v>
      </c>
      <c r="N793" s="20">
        <f>IF($B793="","",COUNTIFS('Blocker log'!$A:$A,$B793,'Blocker log'!$G:$G,"Hard blocker"))</f>
        <v>0</v>
      </c>
      <c r="O793" s="20">
        <f>IF($B793="","",COUNTIFS('Blocker log'!$A:$A,$B793,'Blocker log'!$G:$G,"Hard blocker",'Blocker log'!$L:$L,9))</f>
        <v>0</v>
      </c>
      <c r="P793" s="20">
        <f>IF($B793="","",MAXIFS('Blocker log'!$L:$L,'Blocker log'!$A:$A,$B793,'Blocker log'!$G:$G,"Hard blocker"))</f>
        <v>0</v>
      </c>
      <c r="Q793" s="20" t="str">
        <f>IF($B793="","",IF($K793&lt;&gt;"Complete","Assessment pending",IF($N793=0,"Ready now",VLOOKUP($P793,Lists!$D$2:$E$5,2,FALSE))))</f>
        <v>Assessment pending</v>
      </c>
    </row>
    <row r="794" ht="15.75" customHeight="1">
      <c r="A794" s="35" t="s">
        <v>2210</v>
      </c>
      <c r="B794" s="35" t="s">
        <v>2211</v>
      </c>
      <c r="C794" s="35" t="s">
        <v>1286</v>
      </c>
      <c r="D794" s="35" t="s">
        <v>301</v>
      </c>
      <c r="E794" s="35" t="s">
        <v>593</v>
      </c>
      <c r="F794" s="35" t="s">
        <v>593</v>
      </c>
      <c r="G794" s="35" t="s">
        <v>1042</v>
      </c>
      <c r="H794" s="76">
        <v>34806.0</v>
      </c>
      <c r="I794" s="35"/>
      <c r="M794" s="20">
        <f>IF($B794="","",COUNTIFS('Blocker log'!$A:$A,$B794,'Blocker log'!$G:$G,"&lt;&gt;"))</f>
        <v>0</v>
      </c>
      <c r="N794" s="20">
        <f>IF($B794="","",COUNTIFS('Blocker log'!$A:$A,$B794,'Blocker log'!$G:$G,"Hard blocker"))</f>
        <v>0</v>
      </c>
      <c r="O794" s="20">
        <f>IF($B794="","",COUNTIFS('Blocker log'!$A:$A,$B794,'Blocker log'!$G:$G,"Hard blocker",'Blocker log'!$L:$L,9))</f>
        <v>0</v>
      </c>
      <c r="P794" s="20">
        <f>IF($B794="","",MAXIFS('Blocker log'!$L:$L,'Blocker log'!$A:$A,$B794,'Blocker log'!$G:$G,"Hard blocker"))</f>
        <v>0</v>
      </c>
      <c r="Q794" s="20" t="str">
        <f>IF($B794="","",IF($K794&lt;&gt;"Complete","Assessment pending",IF($N794=0,"Ready now",VLOOKUP($P794,Lists!$D$2:$E$5,2,FALSE))))</f>
        <v>Assessment pending</v>
      </c>
    </row>
    <row r="795" ht="15.75" customHeight="1">
      <c r="A795" s="35" t="s">
        <v>2212</v>
      </c>
      <c r="B795" s="35" t="s">
        <v>2213</v>
      </c>
      <c r="C795" s="35" t="s">
        <v>1286</v>
      </c>
      <c r="D795" s="35" t="s">
        <v>260</v>
      </c>
      <c r="E795" s="35" t="s">
        <v>506</v>
      </c>
      <c r="F795" s="35" t="s">
        <v>674</v>
      </c>
      <c r="G795" s="35" t="s">
        <v>1161</v>
      </c>
      <c r="H795" s="76">
        <v>34560.0</v>
      </c>
      <c r="I795" s="35" t="s">
        <v>416</v>
      </c>
      <c r="M795" s="20">
        <f>IF($B795="","",COUNTIFS('Blocker log'!$A:$A,$B795,'Blocker log'!$G:$G,"&lt;&gt;"))</f>
        <v>0</v>
      </c>
      <c r="N795" s="20">
        <f>IF($B795="","",COUNTIFS('Blocker log'!$A:$A,$B795,'Blocker log'!$G:$G,"Hard blocker"))</f>
        <v>0</v>
      </c>
      <c r="O795" s="20">
        <f>IF($B795="","",COUNTIFS('Blocker log'!$A:$A,$B795,'Blocker log'!$G:$G,"Hard blocker",'Blocker log'!$L:$L,9))</f>
        <v>0</v>
      </c>
      <c r="P795" s="20">
        <f>IF($B795="","",MAXIFS('Blocker log'!$L:$L,'Blocker log'!$A:$A,$B795,'Blocker log'!$G:$G,"Hard blocker"))</f>
        <v>0</v>
      </c>
      <c r="Q795" s="20" t="str">
        <f>IF($B795="","",IF($K795&lt;&gt;"Complete","Assessment pending",IF($N795=0,"Ready now",VLOOKUP($P795,Lists!$D$2:$E$5,2,FALSE))))</f>
        <v>Assessment pending</v>
      </c>
    </row>
    <row r="796" ht="15.75" customHeight="1">
      <c r="A796" s="35" t="s">
        <v>2214</v>
      </c>
      <c r="B796" s="35" t="s">
        <v>2215</v>
      </c>
      <c r="C796" s="35" t="s">
        <v>1286</v>
      </c>
      <c r="D796" s="35" t="s">
        <v>260</v>
      </c>
      <c r="E796" s="35" t="s">
        <v>530</v>
      </c>
      <c r="F796" s="35" t="s">
        <v>2216</v>
      </c>
      <c r="G796" s="35" t="s">
        <v>1161</v>
      </c>
      <c r="H796" s="76">
        <v>34544.0</v>
      </c>
      <c r="I796" s="35"/>
      <c r="M796" s="20">
        <f>IF($B796="","",COUNTIFS('Blocker log'!$A:$A,$B796,'Blocker log'!$G:$G,"&lt;&gt;"))</f>
        <v>0</v>
      </c>
      <c r="N796" s="20">
        <f>IF($B796="","",COUNTIFS('Blocker log'!$A:$A,$B796,'Blocker log'!$G:$G,"Hard blocker"))</f>
        <v>0</v>
      </c>
      <c r="O796" s="20">
        <f>IF($B796="","",COUNTIFS('Blocker log'!$A:$A,$B796,'Blocker log'!$G:$G,"Hard blocker",'Blocker log'!$L:$L,9))</f>
        <v>0</v>
      </c>
      <c r="P796" s="20">
        <f>IF($B796="","",MAXIFS('Blocker log'!$L:$L,'Blocker log'!$A:$A,$B796,'Blocker log'!$G:$G,"Hard blocker"))</f>
        <v>0</v>
      </c>
      <c r="Q796" s="20" t="str">
        <f>IF($B796="","",IF($K796&lt;&gt;"Complete","Assessment pending",IF($N796=0,"Ready now",VLOOKUP($P796,Lists!$D$2:$E$5,2,FALSE))))</f>
        <v>Assessment pending</v>
      </c>
    </row>
    <row r="797" ht="15.75" customHeight="1">
      <c r="A797" s="35" t="s">
        <v>2217</v>
      </c>
      <c r="B797" s="35" t="s">
        <v>2218</v>
      </c>
      <c r="C797" s="35" t="s">
        <v>1286</v>
      </c>
      <c r="D797" s="35" t="s">
        <v>171</v>
      </c>
      <c r="E797" s="35" t="s">
        <v>1584</v>
      </c>
      <c r="F797" s="35" t="s">
        <v>1585</v>
      </c>
      <c r="G797" s="35" t="s">
        <v>1161</v>
      </c>
      <c r="H797" s="76">
        <v>34400.0</v>
      </c>
      <c r="I797" s="35"/>
      <c r="M797" s="20">
        <f>IF($B797="","",COUNTIFS('Blocker log'!$A:$A,$B797,'Blocker log'!$G:$G,"&lt;&gt;"))</f>
        <v>0</v>
      </c>
      <c r="N797" s="20">
        <f>IF($B797="","",COUNTIFS('Blocker log'!$A:$A,$B797,'Blocker log'!$G:$G,"Hard blocker"))</f>
        <v>0</v>
      </c>
      <c r="O797" s="20">
        <f>IF($B797="","",COUNTIFS('Blocker log'!$A:$A,$B797,'Blocker log'!$G:$G,"Hard blocker",'Blocker log'!$L:$L,9))</f>
        <v>0</v>
      </c>
      <c r="P797" s="20">
        <f>IF($B797="","",MAXIFS('Blocker log'!$L:$L,'Blocker log'!$A:$A,$B797,'Blocker log'!$G:$G,"Hard blocker"))</f>
        <v>0</v>
      </c>
      <c r="Q797" s="20" t="str">
        <f>IF($B797="","",IF($K797&lt;&gt;"Complete","Assessment pending",IF($N797=0,"Ready now",VLOOKUP($P797,Lists!$D$2:$E$5,2,FALSE))))</f>
        <v>Assessment pending</v>
      </c>
    </row>
    <row r="798" ht="15.75" customHeight="1">
      <c r="A798" s="35" t="s">
        <v>2219</v>
      </c>
      <c r="B798" s="35" t="s">
        <v>2220</v>
      </c>
      <c r="C798" s="35" t="s">
        <v>1286</v>
      </c>
      <c r="D798" s="35" t="s">
        <v>301</v>
      </c>
      <c r="E798" s="35" t="s">
        <v>1281</v>
      </c>
      <c r="F798" s="35" t="s">
        <v>1281</v>
      </c>
      <c r="G798" s="35" t="s">
        <v>1161</v>
      </c>
      <c r="H798" s="76">
        <v>34371.0</v>
      </c>
      <c r="I798" s="35"/>
      <c r="M798" s="20">
        <f>IF($B798="","",COUNTIFS('Blocker log'!$A:$A,$B798,'Blocker log'!$G:$G,"&lt;&gt;"))</f>
        <v>0</v>
      </c>
      <c r="N798" s="20">
        <f>IF($B798="","",COUNTIFS('Blocker log'!$A:$A,$B798,'Blocker log'!$G:$G,"Hard blocker"))</f>
        <v>0</v>
      </c>
      <c r="O798" s="20">
        <f>IF($B798="","",COUNTIFS('Blocker log'!$A:$A,$B798,'Blocker log'!$G:$G,"Hard blocker",'Blocker log'!$L:$L,9))</f>
        <v>0</v>
      </c>
      <c r="P798" s="20">
        <f>IF($B798="","",MAXIFS('Blocker log'!$L:$L,'Blocker log'!$A:$A,$B798,'Blocker log'!$G:$G,"Hard blocker"))</f>
        <v>0</v>
      </c>
      <c r="Q798" s="20" t="str">
        <f>IF($B798="","",IF($K798&lt;&gt;"Complete","Assessment pending",IF($N798=0,"Ready now",VLOOKUP($P798,Lists!$D$2:$E$5,2,FALSE))))</f>
        <v>Assessment pending</v>
      </c>
    </row>
    <row r="799" ht="15.75" customHeight="1">
      <c r="A799" s="35" t="s">
        <v>2221</v>
      </c>
      <c r="B799" s="35" t="s">
        <v>2222</v>
      </c>
      <c r="C799" s="35" t="s">
        <v>76</v>
      </c>
      <c r="D799" s="35" t="s">
        <v>58</v>
      </c>
      <c r="E799" s="35" t="s">
        <v>181</v>
      </c>
      <c r="F799" s="35" t="s">
        <v>190</v>
      </c>
      <c r="G799" s="35" t="s">
        <v>999</v>
      </c>
      <c r="H799" s="76">
        <v>34244.0</v>
      </c>
      <c r="I799" s="35"/>
      <c r="M799" s="20">
        <f>IF($B799="","",COUNTIFS('Blocker log'!$A:$A,$B799,'Blocker log'!$G:$G,"&lt;&gt;"))</f>
        <v>0</v>
      </c>
      <c r="N799" s="20">
        <f>IF($B799="","",COUNTIFS('Blocker log'!$A:$A,$B799,'Blocker log'!$G:$G,"Hard blocker"))</f>
        <v>0</v>
      </c>
      <c r="O799" s="20">
        <f>IF($B799="","",COUNTIFS('Blocker log'!$A:$A,$B799,'Blocker log'!$G:$G,"Hard blocker",'Blocker log'!$L:$L,9))</f>
        <v>0</v>
      </c>
      <c r="P799" s="20">
        <f>IF($B799="","",MAXIFS('Blocker log'!$L:$L,'Blocker log'!$A:$A,$B799,'Blocker log'!$G:$G,"Hard blocker"))</f>
        <v>0</v>
      </c>
      <c r="Q799" s="20" t="str">
        <f>IF($B799="","",IF($K799&lt;&gt;"Complete","Assessment pending",IF($N799=0,"Ready now",VLOOKUP($P799,Lists!$D$2:$E$5,2,FALSE))))</f>
        <v>Assessment pending</v>
      </c>
    </row>
    <row r="800" ht="15.75" customHeight="1">
      <c r="A800" s="35" t="s">
        <v>2223</v>
      </c>
      <c r="B800" s="35" t="s">
        <v>2224</v>
      </c>
      <c r="C800" s="35" t="s">
        <v>1286</v>
      </c>
      <c r="D800" s="35" t="s">
        <v>58</v>
      </c>
      <c r="E800" s="35" t="s">
        <v>101</v>
      </c>
      <c r="F800" s="35" t="s">
        <v>554</v>
      </c>
      <c r="G800" s="35" t="s">
        <v>1161</v>
      </c>
      <c r="H800" s="76">
        <v>34200.0</v>
      </c>
      <c r="I800" s="35"/>
      <c r="M800" s="20">
        <f>IF($B800="","",COUNTIFS('Blocker log'!$A:$A,$B800,'Blocker log'!$G:$G,"&lt;&gt;"))</f>
        <v>0</v>
      </c>
      <c r="N800" s="20">
        <f>IF($B800="","",COUNTIFS('Blocker log'!$A:$A,$B800,'Blocker log'!$G:$G,"Hard blocker"))</f>
        <v>0</v>
      </c>
      <c r="O800" s="20">
        <f>IF($B800="","",COUNTIFS('Blocker log'!$A:$A,$B800,'Blocker log'!$G:$G,"Hard blocker",'Blocker log'!$L:$L,9))</f>
        <v>0</v>
      </c>
      <c r="P800" s="20">
        <f>IF($B800="","",MAXIFS('Blocker log'!$L:$L,'Blocker log'!$A:$A,$B800,'Blocker log'!$G:$G,"Hard blocker"))</f>
        <v>0</v>
      </c>
      <c r="Q800" s="20" t="str">
        <f>IF($B800="","",IF($K800&lt;&gt;"Complete","Assessment pending",IF($N800=0,"Ready now",VLOOKUP($P800,Lists!$D$2:$E$5,2,FALSE))))</f>
        <v>Assessment pending</v>
      </c>
    </row>
    <row r="801" ht="15.75" customHeight="1">
      <c r="A801" s="35" t="s">
        <v>2225</v>
      </c>
      <c r="B801" s="35" t="s">
        <v>2226</v>
      </c>
      <c r="C801" s="35" t="s">
        <v>1286</v>
      </c>
      <c r="D801" s="35" t="s">
        <v>58</v>
      </c>
      <c r="E801" s="35" t="s">
        <v>132</v>
      </c>
      <c r="F801" s="35" t="s">
        <v>2082</v>
      </c>
      <c r="G801" s="35" t="s">
        <v>1161</v>
      </c>
      <c r="H801" s="76">
        <v>34197.0</v>
      </c>
      <c r="I801" s="35" t="s">
        <v>448</v>
      </c>
      <c r="M801" s="20">
        <f>IF($B801="","",COUNTIFS('Blocker log'!$A:$A,$B801,'Blocker log'!$G:$G,"&lt;&gt;"))</f>
        <v>0</v>
      </c>
      <c r="N801" s="20">
        <f>IF($B801="","",COUNTIFS('Blocker log'!$A:$A,$B801,'Blocker log'!$G:$G,"Hard blocker"))</f>
        <v>0</v>
      </c>
      <c r="O801" s="20">
        <f>IF($B801="","",COUNTIFS('Blocker log'!$A:$A,$B801,'Blocker log'!$G:$G,"Hard blocker",'Blocker log'!$L:$L,9))</f>
        <v>0</v>
      </c>
      <c r="P801" s="20">
        <f>IF($B801="","",MAXIFS('Blocker log'!$L:$L,'Blocker log'!$A:$A,$B801,'Blocker log'!$G:$G,"Hard blocker"))</f>
        <v>0</v>
      </c>
      <c r="Q801" s="20" t="str">
        <f>IF($B801="","",IF($K801&lt;&gt;"Complete","Assessment pending",IF($N801=0,"Ready now",VLOOKUP($P801,Lists!$D$2:$E$5,2,FALSE))))</f>
        <v>Assessment pending</v>
      </c>
    </row>
    <row r="802" ht="15.75" customHeight="1">
      <c r="A802" s="35" t="s">
        <v>2227</v>
      </c>
      <c r="B802" s="35" t="s">
        <v>2228</v>
      </c>
      <c r="C802" s="35" t="s">
        <v>1286</v>
      </c>
      <c r="D802" s="35" t="s">
        <v>171</v>
      </c>
      <c r="E802" s="35" t="s">
        <v>760</v>
      </c>
      <c r="F802" s="35" t="s">
        <v>761</v>
      </c>
      <c r="G802" s="35" t="s">
        <v>1161</v>
      </c>
      <c r="H802" s="76">
        <v>34187.0</v>
      </c>
      <c r="I802" s="35"/>
      <c r="M802" s="20">
        <f>IF($B802="","",COUNTIFS('Blocker log'!$A:$A,$B802,'Blocker log'!$G:$G,"&lt;&gt;"))</f>
        <v>0</v>
      </c>
      <c r="N802" s="20">
        <f>IF($B802="","",COUNTIFS('Blocker log'!$A:$A,$B802,'Blocker log'!$G:$G,"Hard blocker"))</f>
        <v>0</v>
      </c>
      <c r="O802" s="20">
        <f>IF($B802="","",COUNTIFS('Blocker log'!$A:$A,$B802,'Blocker log'!$G:$G,"Hard blocker",'Blocker log'!$L:$L,9))</f>
        <v>0</v>
      </c>
      <c r="P802" s="20">
        <f>IF($B802="","",MAXIFS('Blocker log'!$L:$L,'Blocker log'!$A:$A,$B802,'Blocker log'!$G:$G,"Hard blocker"))</f>
        <v>0</v>
      </c>
      <c r="Q802" s="20" t="str">
        <f>IF($B802="","",IF($K802&lt;&gt;"Complete","Assessment pending",IF($N802=0,"Ready now",VLOOKUP($P802,Lists!$D$2:$E$5,2,FALSE))))</f>
        <v>Assessment pending</v>
      </c>
    </row>
    <row r="803" ht="15.75" customHeight="1">
      <c r="A803" s="35" t="s">
        <v>2229</v>
      </c>
      <c r="B803" s="35" t="s">
        <v>1678</v>
      </c>
      <c r="C803" s="35" t="s">
        <v>1286</v>
      </c>
      <c r="D803" s="35" t="s">
        <v>260</v>
      </c>
      <c r="E803" s="35" t="s">
        <v>530</v>
      </c>
      <c r="F803" s="35" t="s">
        <v>1674</v>
      </c>
      <c r="G803" s="35" t="s">
        <v>1161</v>
      </c>
      <c r="H803" s="76">
        <v>34063.0</v>
      </c>
      <c r="I803" s="35"/>
      <c r="M803" s="20">
        <f>IF($B803="","",COUNTIFS('Blocker log'!$A:$A,$B803,'Blocker log'!$G:$G,"&lt;&gt;"))</f>
        <v>0</v>
      </c>
      <c r="N803" s="20">
        <f>IF($B803="","",COUNTIFS('Blocker log'!$A:$A,$B803,'Blocker log'!$G:$G,"Hard blocker"))</f>
        <v>0</v>
      </c>
      <c r="O803" s="20">
        <f>IF($B803="","",COUNTIFS('Blocker log'!$A:$A,$B803,'Blocker log'!$G:$G,"Hard blocker",'Blocker log'!$L:$L,9))</f>
        <v>0</v>
      </c>
      <c r="P803" s="20">
        <f>IF($B803="","",MAXIFS('Blocker log'!$L:$L,'Blocker log'!$A:$A,$B803,'Blocker log'!$G:$G,"Hard blocker"))</f>
        <v>0</v>
      </c>
      <c r="Q803" s="20" t="str">
        <f>IF($B803="","",IF($K803&lt;&gt;"Complete","Assessment pending",IF($N803=0,"Ready now",VLOOKUP($P803,Lists!$D$2:$E$5,2,FALSE))))</f>
        <v>Assessment pending</v>
      </c>
    </row>
    <row r="804" ht="15.75" customHeight="1">
      <c r="A804" s="35" t="s">
        <v>2230</v>
      </c>
      <c r="B804" s="35" t="s">
        <v>2231</v>
      </c>
      <c r="C804" s="35" t="s">
        <v>1286</v>
      </c>
      <c r="D804" s="35" t="s">
        <v>301</v>
      </c>
      <c r="E804" s="35" t="s">
        <v>593</v>
      </c>
      <c r="F804" s="35" t="s">
        <v>593</v>
      </c>
      <c r="G804" s="35" t="s">
        <v>1161</v>
      </c>
      <c r="H804" s="76">
        <v>34060.0</v>
      </c>
      <c r="I804" s="35" t="s">
        <v>410</v>
      </c>
      <c r="M804" s="20">
        <f>IF($B804="","",COUNTIFS('Blocker log'!$A:$A,$B804,'Blocker log'!$G:$G,"&lt;&gt;"))</f>
        <v>0</v>
      </c>
      <c r="N804" s="20">
        <f>IF($B804="","",COUNTIFS('Blocker log'!$A:$A,$B804,'Blocker log'!$G:$G,"Hard blocker"))</f>
        <v>0</v>
      </c>
      <c r="O804" s="20">
        <f>IF($B804="","",COUNTIFS('Blocker log'!$A:$A,$B804,'Blocker log'!$G:$G,"Hard blocker",'Blocker log'!$L:$L,9))</f>
        <v>0</v>
      </c>
      <c r="P804" s="20">
        <f>IF($B804="","",MAXIFS('Blocker log'!$L:$L,'Blocker log'!$A:$A,$B804,'Blocker log'!$G:$G,"Hard blocker"))</f>
        <v>0</v>
      </c>
      <c r="Q804" s="20" t="str">
        <f>IF($B804="","",IF($K804&lt;&gt;"Complete","Assessment pending",IF($N804=0,"Ready now",VLOOKUP($P804,Lists!$D$2:$E$5,2,FALSE))))</f>
        <v>Assessment pending</v>
      </c>
    </row>
    <row r="805" ht="15.75" customHeight="1">
      <c r="A805" s="35" t="s">
        <v>2232</v>
      </c>
      <c r="B805" s="35" t="s">
        <v>2233</v>
      </c>
      <c r="C805" s="35" t="s">
        <v>1286</v>
      </c>
      <c r="D805" s="35" t="s">
        <v>58</v>
      </c>
      <c r="E805" s="35" t="s">
        <v>1315</v>
      </c>
      <c r="F805" s="35" t="s">
        <v>1315</v>
      </c>
      <c r="G805" s="35" t="s">
        <v>1161</v>
      </c>
      <c r="H805" s="76">
        <v>33975.0</v>
      </c>
      <c r="I805" s="35"/>
      <c r="M805" s="20">
        <f>IF($B805="","",COUNTIFS('Blocker log'!$A:$A,$B805,'Blocker log'!$G:$G,"&lt;&gt;"))</f>
        <v>0</v>
      </c>
      <c r="N805" s="20">
        <f>IF($B805="","",COUNTIFS('Blocker log'!$A:$A,$B805,'Blocker log'!$G:$G,"Hard blocker"))</f>
        <v>0</v>
      </c>
      <c r="O805" s="20">
        <f>IF($B805="","",COUNTIFS('Blocker log'!$A:$A,$B805,'Blocker log'!$G:$G,"Hard blocker",'Blocker log'!$L:$L,9))</f>
        <v>0</v>
      </c>
      <c r="P805" s="20">
        <f>IF($B805="","",MAXIFS('Blocker log'!$L:$L,'Blocker log'!$A:$A,$B805,'Blocker log'!$G:$G,"Hard blocker"))</f>
        <v>0</v>
      </c>
      <c r="Q805" s="20" t="str">
        <f>IF($B805="","",IF($K805&lt;&gt;"Complete","Assessment pending",IF($N805=0,"Ready now",VLOOKUP($P805,Lists!$D$2:$E$5,2,FALSE))))</f>
        <v>Assessment pending</v>
      </c>
    </row>
    <row r="806" ht="15.75" customHeight="1">
      <c r="A806" s="35" t="s">
        <v>2234</v>
      </c>
      <c r="B806" s="35" t="s">
        <v>2235</v>
      </c>
      <c r="C806" s="35" t="s">
        <v>1286</v>
      </c>
      <c r="D806" s="35" t="s">
        <v>301</v>
      </c>
      <c r="E806" s="35" t="s">
        <v>593</v>
      </c>
      <c r="F806" s="35" t="s">
        <v>593</v>
      </c>
      <c r="G806" s="35" t="s">
        <v>1161</v>
      </c>
      <c r="H806" s="76">
        <v>33836.0</v>
      </c>
      <c r="I806" s="35"/>
      <c r="M806" s="20">
        <f>IF($B806="","",COUNTIFS('Blocker log'!$A:$A,$B806,'Blocker log'!$G:$G,"&lt;&gt;"))</f>
        <v>0</v>
      </c>
      <c r="N806" s="20">
        <f>IF($B806="","",COUNTIFS('Blocker log'!$A:$A,$B806,'Blocker log'!$G:$G,"Hard blocker"))</f>
        <v>0</v>
      </c>
      <c r="O806" s="20">
        <f>IF($B806="","",COUNTIFS('Blocker log'!$A:$A,$B806,'Blocker log'!$G:$G,"Hard blocker",'Blocker log'!$L:$L,9))</f>
        <v>0</v>
      </c>
      <c r="P806" s="20">
        <f>IF($B806="","",MAXIFS('Blocker log'!$L:$L,'Blocker log'!$A:$A,$B806,'Blocker log'!$G:$G,"Hard blocker"))</f>
        <v>0</v>
      </c>
      <c r="Q806" s="20" t="str">
        <f>IF($B806="","",IF($K806&lt;&gt;"Complete","Assessment pending",IF($N806=0,"Ready now",VLOOKUP($P806,Lists!$D$2:$E$5,2,FALSE))))</f>
        <v>Assessment pending</v>
      </c>
    </row>
    <row r="807" ht="15.75" customHeight="1">
      <c r="A807" s="35" t="s">
        <v>2236</v>
      </c>
      <c r="B807" s="35" t="s">
        <v>2237</v>
      </c>
      <c r="C807" s="35" t="s">
        <v>1286</v>
      </c>
      <c r="D807" s="35" t="s">
        <v>171</v>
      </c>
      <c r="E807" s="35" t="s">
        <v>713</v>
      </c>
      <c r="F807" s="35" t="s">
        <v>714</v>
      </c>
      <c r="G807" s="35" t="s">
        <v>1161</v>
      </c>
      <c r="H807" s="76">
        <v>33733.0</v>
      </c>
      <c r="I807" s="35"/>
      <c r="M807" s="20">
        <f>IF($B807="","",COUNTIFS('Blocker log'!$A:$A,$B807,'Blocker log'!$G:$G,"&lt;&gt;"))</f>
        <v>0</v>
      </c>
      <c r="N807" s="20">
        <f>IF($B807="","",COUNTIFS('Blocker log'!$A:$A,$B807,'Blocker log'!$G:$G,"Hard blocker"))</f>
        <v>0</v>
      </c>
      <c r="O807" s="20">
        <f>IF($B807="","",COUNTIFS('Blocker log'!$A:$A,$B807,'Blocker log'!$G:$G,"Hard blocker",'Blocker log'!$L:$L,9))</f>
        <v>0</v>
      </c>
      <c r="P807" s="20">
        <f>IF($B807="","",MAXIFS('Blocker log'!$L:$L,'Blocker log'!$A:$A,$B807,'Blocker log'!$G:$G,"Hard blocker"))</f>
        <v>0</v>
      </c>
      <c r="Q807" s="20" t="str">
        <f>IF($B807="","",IF($K807&lt;&gt;"Complete","Assessment pending",IF($N807=0,"Ready now",VLOOKUP($P807,Lists!$D$2:$E$5,2,FALSE))))</f>
        <v>Assessment pending</v>
      </c>
    </row>
    <row r="808" ht="15.75" customHeight="1">
      <c r="A808" s="35" t="s">
        <v>2238</v>
      </c>
      <c r="B808" s="35" t="s">
        <v>2239</v>
      </c>
      <c r="C808" s="35" t="s">
        <v>1286</v>
      </c>
      <c r="D808" s="35" t="s">
        <v>260</v>
      </c>
      <c r="E808" s="35" t="s">
        <v>506</v>
      </c>
      <c r="F808" s="35" t="s">
        <v>507</v>
      </c>
      <c r="G808" s="35" t="s">
        <v>1161</v>
      </c>
      <c r="H808" s="76">
        <v>33566.0</v>
      </c>
      <c r="I808" s="35" t="s">
        <v>417</v>
      </c>
      <c r="M808" s="20">
        <f>IF($B808="","",COUNTIFS('Blocker log'!$A:$A,$B808,'Blocker log'!$G:$G,"&lt;&gt;"))</f>
        <v>0</v>
      </c>
      <c r="N808" s="20">
        <f>IF($B808="","",COUNTIFS('Blocker log'!$A:$A,$B808,'Blocker log'!$G:$G,"Hard blocker"))</f>
        <v>0</v>
      </c>
      <c r="O808" s="20">
        <f>IF($B808="","",COUNTIFS('Blocker log'!$A:$A,$B808,'Blocker log'!$G:$G,"Hard blocker",'Blocker log'!$L:$L,9))</f>
        <v>0</v>
      </c>
      <c r="P808" s="20">
        <f>IF($B808="","",MAXIFS('Blocker log'!$L:$L,'Blocker log'!$A:$A,$B808,'Blocker log'!$G:$G,"Hard blocker"))</f>
        <v>0</v>
      </c>
      <c r="Q808" s="20" t="str">
        <f>IF($B808="","",IF($K808&lt;&gt;"Complete","Assessment pending",IF($N808=0,"Ready now",VLOOKUP($P808,Lists!$D$2:$E$5,2,FALSE))))</f>
        <v>Assessment pending</v>
      </c>
    </row>
    <row r="809" ht="15.75" customHeight="1">
      <c r="A809" s="35" t="s">
        <v>2240</v>
      </c>
      <c r="B809" s="35" t="s">
        <v>2241</v>
      </c>
      <c r="C809" s="35" t="s">
        <v>1286</v>
      </c>
      <c r="D809" s="35" t="s">
        <v>58</v>
      </c>
      <c r="E809" s="35" t="s">
        <v>101</v>
      </c>
      <c r="F809" s="35" t="s">
        <v>1386</v>
      </c>
      <c r="G809" s="35" t="s">
        <v>1161</v>
      </c>
      <c r="H809" s="76">
        <v>33480.0</v>
      </c>
      <c r="I809" s="35"/>
      <c r="M809" s="20">
        <f>IF($B809="","",COUNTIFS('Blocker log'!$A:$A,$B809,'Blocker log'!$G:$G,"&lt;&gt;"))</f>
        <v>0</v>
      </c>
      <c r="N809" s="20">
        <f>IF($B809="","",COUNTIFS('Blocker log'!$A:$A,$B809,'Blocker log'!$G:$G,"Hard blocker"))</f>
        <v>0</v>
      </c>
      <c r="O809" s="20">
        <f>IF($B809="","",COUNTIFS('Blocker log'!$A:$A,$B809,'Blocker log'!$G:$G,"Hard blocker",'Blocker log'!$L:$L,9))</f>
        <v>0</v>
      </c>
      <c r="P809" s="20">
        <f>IF($B809="","",MAXIFS('Blocker log'!$L:$L,'Blocker log'!$A:$A,$B809,'Blocker log'!$G:$G,"Hard blocker"))</f>
        <v>0</v>
      </c>
      <c r="Q809" s="20" t="str">
        <f>IF($B809="","",IF($K809&lt;&gt;"Complete","Assessment pending",IF($N809=0,"Ready now",VLOOKUP($P809,Lists!$D$2:$E$5,2,FALSE))))</f>
        <v>Assessment pending</v>
      </c>
    </row>
    <row r="810" ht="15.75" customHeight="1">
      <c r="A810" s="35" t="s">
        <v>2242</v>
      </c>
      <c r="B810" s="35" t="s">
        <v>2243</v>
      </c>
      <c r="C810" s="35" t="s">
        <v>76</v>
      </c>
      <c r="D810" s="35" t="s">
        <v>58</v>
      </c>
      <c r="E810" s="35" t="s">
        <v>140</v>
      </c>
      <c r="F810" s="35" t="s">
        <v>141</v>
      </c>
      <c r="G810" s="35" t="s">
        <v>1006</v>
      </c>
      <c r="H810" s="76">
        <v>33240.0</v>
      </c>
      <c r="I810" s="35"/>
      <c r="M810" s="20">
        <f>IF($B810="","",COUNTIFS('Blocker log'!$A:$A,$B810,'Blocker log'!$G:$G,"&lt;&gt;"))</f>
        <v>0</v>
      </c>
      <c r="N810" s="20">
        <f>IF($B810="","",COUNTIFS('Blocker log'!$A:$A,$B810,'Blocker log'!$G:$G,"Hard blocker"))</f>
        <v>0</v>
      </c>
      <c r="O810" s="20">
        <f>IF($B810="","",COUNTIFS('Blocker log'!$A:$A,$B810,'Blocker log'!$G:$G,"Hard blocker",'Blocker log'!$L:$L,9))</f>
        <v>0</v>
      </c>
      <c r="P810" s="20">
        <f>IF($B810="","",MAXIFS('Blocker log'!$L:$L,'Blocker log'!$A:$A,$B810,'Blocker log'!$G:$G,"Hard blocker"))</f>
        <v>0</v>
      </c>
      <c r="Q810" s="20" t="str">
        <f>IF($B810="","",IF($K810&lt;&gt;"Complete","Assessment pending",IF($N810=0,"Ready now",VLOOKUP($P810,Lists!$D$2:$E$5,2,FALSE))))</f>
        <v>Assessment pending</v>
      </c>
    </row>
    <row r="811" ht="15.75" customHeight="1">
      <c r="A811" s="35" t="s">
        <v>2244</v>
      </c>
      <c r="B811" s="35" t="s">
        <v>2245</v>
      </c>
      <c r="C811" s="35" t="s">
        <v>1286</v>
      </c>
      <c r="D811" s="35" t="s">
        <v>58</v>
      </c>
      <c r="E811" s="35" t="s">
        <v>140</v>
      </c>
      <c r="F811" s="35" t="s">
        <v>663</v>
      </c>
      <c r="G811" s="35" t="s">
        <v>1161</v>
      </c>
      <c r="H811" s="76">
        <v>33128.0</v>
      </c>
      <c r="I811" s="35" t="s">
        <v>408</v>
      </c>
      <c r="M811" s="20">
        <f>IF($B811="","",COUNTIFS('Blocker log'!$A:$A,$B811,'Blocker log'!$G:$G,"&lt;&gt;"))</f>
        <v>0</v>
      </c>
      <c r="N811" s="20">
        <f>IF($B811="","",COUNTIFS('Blocker log'!$A:$A,$B811,'Blocker log'!$G:$G,"Hard blocker"))</f>
        <v>0</v>
      </c>
      <c r="O811" s="20">
        <f>IF($B811="","",COUNTIFS('Blocker log'!$A:$A,$B811,'Blocker log'!$G:$G,"Hard blocker",'Blocker log'!$L:$L,9))</f>
        <v>0</v>
      </c>
      <c r="P811" s="20">
        <f>IF($B811="","",MAXIFS('Blocker log'!$L:$L,'Blocker log'!$A:$A,$B811,'Blocker log'!$G:$G,"Hard blocker"))</f>
        <v>0</v>
      </c>
      <c r="Q811" s="20" t="str">
        <f>IF($B811="","",IF($K811&lt;&gt;"Complete","Assessment pending",IF($N811=0,"Ready now",VLOOKUP($P811,Lists!$D$2:$E$5,2,FALSE))))</f>
        <v>Assessment pending</v>
      </c>
    </row>
    <row r="812" ht="15.75" customHeight="1">
      <c r="A812" s="35" t="s">
        <v>2246</v>
      </c>
      <c r="B812" s="35" t="s">
        <v>2247</v>
      </c>
      <c r="C812" s="35" t="s">
        <v>1286</v>
      </c>
      <c r="D812" s="35" t="s">
        <v>171</v>
      </c>
      <c r="E812" s="35" t="s">
        <v>542</v>
      </c>
      <c r="F812" s="35" t="s">
        <v>543</v>
      </c>
      <c r="G812" s="35" t="s">
        <v>1161</v>
      </c>
      <c r="H812" s="76">
        <v>32886.0</v>
      </c>
      <c r="I812" s="35"/>
      <c r="M812" s="20">
        <f>IF($B812="","",COUNTIFS('Blocker log'!$A:$A,$B812,'Blocker log'!$G:$G,"&lt;&gt;"))</f>
        <v>0</v>
      </c>
      <c r="N812" s="20">
        <f>IF($B812="","",COUNTIFS('Blocker log'!$A:$A,$B812,'Blocker log'!$G:$G,"Hard blocker"))</f>
        <v>0</v>
      </c>
      <c r="O812" s="20">
        <f>IF($B812="","",COUNTIFS('Blocker log'!$A:$A,$B812,'Blocker log'!$G:$G,"Hard blocker",'Blocker log'!$L:$L,9))</f>
        <v>0</v>
      </c>
      <c r="P812" s="20">
        <f>IF($B812="","",MAXIFS('Blocker log'!$L:$L,'Blocker log'!$A:$A,$B812,'Blocker log'!$G:$G,"Hard blocker"))</f>
        <v>0</v>
      </c>
      <c r="Q812" s="20" t="str">
        <f>IF($B812="","",IF($K812&lt;&gt;"Complete","Assessment pending",IF($N812=0,"Ready now",VLOOKUP($P812,Lists!$D$2:$E$5,2,FALSE))))</f>
        <v>Assessment pending</v>
      </c>
    </row>
    <row r="813" ht="15.75" customHeight="1">
      <c r="A813" s="35" t="s">
        <v>2248</v>
      </c>
      <c r="B813" s="35" t="s">
        <v>2249</v>
      </c>
      <c r="C813" s="35" t="s">
        <v>1286</v>
      </c>
      <c r="D813" s="35" t="s">
        <v>301</v>
      </c>
      <c r="E813" s="35" t="s">
        <v>593</v>
      </c>
      <c r="F813" s="35" t="s">
        <v>593</v>
      </c>
      <c r="G813" s="35" t="s">
        <v>1161</v>
      </c>
      <c r="H813" s="76">
        <v>32805.0</v>
      </c>
      <c r="I813" s="35"/>
      <c r="M813" s="20">
        <f>IF($B813="","",COUNTIFS('Blocker log'!$A:$A,$B813,'Blocker log'!$G:$G,"&lt;&gt;"))</f>
        <v>0</v>
      </c>
      <c r="N813" s="20">
        <f>IF($B813="","",COUNTIFS('Blocker log'!$A:$A,$B813,'Blocker log'!$G:$G,"Hard blocker"))</f>
        <v>0</v>
      </c>
      <c r="O813" s="20">
        <f>IF($B813="","",COUNTIFS('Blocker log'!$A:$A,$B813,'Blocker log'!$G:$G,"Hard blocker",'Blocker log'!$L:$L,9))</f>
        <v>0</v>
      </c>
      <c r="P813" s="20">
        <f>IF($B813="","",MAXIFS('Blocker log'!$L:$L,'Blocker log'!$A:$A,$B813,'Blocker log'!$G:$G,"Hard blocker"))</f>
        <v>0</v>
      </c>
      <c r="Q813" s="20" t="str">
        <f>IF($B813="","",IF($K813&lt;&gt;"Complete","Assessment pending",IF($N813=0,"Ready now",VLOOKUP($P813,Lists!$D$2:$E$5,2,FALSE))))</f>
        <v>Assessment pending</v>
      </c>
    </row>
    <row r="814" ht="15.75" customHeight="1">
      <c r="A814" s="35" t="s">
        <v>2250</v>
      </c>
      <c r="B814" s="35" t="s">
        <v>2251</v>
      </c>
      <c r="C814" s="35" t="s">
        <v>1286</v>
      </c>
      <c r="D814" s="35" t="s">
        <v>260</v>
      </c>
      <c r="E814" s="35" t="s">
        <v>506</v>
      </c>
      <c r="F814" s="35" t="s">
        <v>685</v>
      </c>
      <c r="G814" s="35" t="s">
        <v>1161</v>
      </c>
      <c r="H814" s="76">
        <v>32640.0</v>
      </c>
      <c r="I814" s="35" t="s">
        <v>440</v>
      </c>
      <c r="M814" s="20">
        <f>IF($B814="","",COUNTIFS('Blocker log'!$A:$A,$B814,'Blocker log'!$G:$G,"&lt;&gt;"))</f>
        <v>0</v>
      </c>
      <c r="N814" s="20">
        <f>IF($B814="","",COUNTIFS('Blocker log'!$A:$A,$B814,'Blocker log'!$G:$G,"Hard blocker"))</f>
        <v>0</v>
      </c>
      <c r="O814" s="20">
        <f>IF($B814="","",COUNTIFS('Blocker log'!$A:$A,$B814,'Blocker log'!$G:$G,"Hard blocker",'Blocker log'!$L:$L,9))</f>
        <v>0</v>
      </c>
      <c r="P814" s="20">
        <f>IF($B814="","",MAXIFS('Blocker log'!$L:$L,'Blocker log'!$A:$A,$B814,'Blocker log'!$G:$G,"Hard blocker"))</f>
        <v>0</v>
      </c>
      <c r="Q814" s="20" t="str">
        <f>IF($B814="","",IF($K814&lt;&gt;"Complete","Assessment pending",IF($N814=0,"Ready now",VLOOKUP($P814,Lists!$D$2:$E$5,2,FALSE))))</f>
        <v>Assessment pending</v>
      </c>
    </row>
    <row r="815" ht="15.75" customHeight="1">
      <c r="A815" s="35" t="s">
        <v>2252</v>
      </c>
      <c r="B815" s="35" t="s">
        <v>2253</v>
      </c>
      <c r="C815" s="35" t="s">
        <v>1286</v>
      </c>
      <c r="D815" s="35" t="s">
        <v>171</v>
      </c>
      <c r="E815" s="35" t="s">
        <v>512</v>
      </c>
      <c r="F815" s="35" t="s">
        <v>944</v>
      </c>
      <c r="G815" s="35" t="s">
        <v>1161</v>
      </c>
      <c r="H815" s="76">
        <v>32508.0</v>
      </c>
      <c r="I815" s="35"/>
      <c r="M815" s="20">
        <f>IF($B815="","",COUNTIFS('Blocker log'!$A:$A,$B815,'Blocker log'!$G:$G,"&lt;&gt;"))</f>
        <v>0</v>
      </c>
      <c r="N815" s="20">
        <f>IF($B815="","",COUNTIFS('Blocker log'!$A:$A,$B815,'Blocker log'!$G:$G,"Hard blocker"))</f>
        <v>0</v>
      </c>
      <c r="O815" s="20">
        <f>IF($B815="","",COUNTIFS('Blocker log'!$A:$A,$B815,'Blocker log'!$G:$G,"Hard blocker",'Blocker log'!$L:$L,9))</f>
        <v>0</v>
      </c>
      <c r="P815" s="20">
        <f>IF($B815="","",MAXIFS('Blocker log'!$L:$L,'Blocker log'!$A:$A,$B815,'Blocker log'!$G:$G,"Hard blocker"))</f>
        <v>0</v>
      </c>
      <c r="Q815" s="20" t="str">
        <f>IF($B815="","",IF($K815&lt;&gt;"Complete","Assessment pending",IF($N815=0,"Ready now",VLOOKUP($P815,Lists!$D$2:$E$5,2,FALSE))))</f>
        <v>Assessment pending</v>
      </c>
    </row>
    <row r="816" ht="15.75" customHeight="1">
      <c r="A816" s="35" t="s">
        <v>2254</v>
      </c>
      <c r="B816" s="35" t="s">
        <v>2255</v>
      </c>
      <c r="C816" s="35" t="s">
        <v>1286</v>
      </c>
      <c r="D816" s="35" t="s">
        <v>58</v>
      </c>
      <c r="E816" s="35" t="s">
        <v>181</v>
      </c>
      <c r="F816" s="35" t="s">
        <v>217</v>
      </c>
      <c r="G816" s="35" t="s">
        <v>1161</v>
      </c>
      <c r="H816" s="76">
        <v>32451.0</v>
      </c>
      <c r="I816" s="35"/>
      <c r="M816" s="20">
        <f>IF($B816="","",COUNTIFS('Blocker log'!$A:$A,$B816,'Blocker log'!$G:$G,"&lt;&gt;"))</f>
        <v>0</v>
      </c>
      <c r="N816" s="20">
        <f>IF($B816="","",COUNTIFS('Blocker log'!$A:$A,$B816,'Blocker log'!$G:$G,"Hard blocker"))</f>
        <v>0</v>
      </c>
      <c r="O816" s="20">
        <f>IF($B816="","",COUNTIFS('Blocker log'!$A:$A,$B816,'Blocker log'!$G:$G,"Hard blocker",'Blocker log'!$L:$L,9))</f>
        <v>0</v>
      </c>
      <c r="P816" s="20">
        <f>IF($B816="","",MAXIFS('Blocker log'!$L:$L,'Blocker log'!$A:$A,$B816,'Blocker log'!$G:$G,"Hard blocker"))</f>
        <v>0</v>
      </c>
      <c r="Q816" s="20" t="str">
        <f>IF($B816="","",IF($K816&lt;&gt;"Complete","Assessment pending",IF($N816=0,"Ready now",VLOOKUP($P816,Lists!$D$2:$E$5,2,FALSE))))</f>
        <v>Assessment pending</v>
      </c>
    </row>
    <row r="817" ht="15.75" customHeight="1">
      <c r="A817" s="35" t="s">
        <v>2256</v>
      </c>
      <c r="B817" s="35" t="s">
        <v>2257</v>
      </c>
      <c r="C817" s="35" t="s">
        <v>1286</v>
      </c>
      <c r="D817" s="35" t="s">
        <v>58</v>
      </c>
      <c r="E817" s="35" t="s">
        <v>494</v>
      </c>
      <c r="F817" s="35" t="s">
        <v>690</v>
      </c>
      <c r="G817" s="35" t="s">
        <v>1161</v>
      </c>
      <c r="H817" s="76">
        <v>32400.0</v>
      </c>
      <c r="I817" s="35" t="s">
        <v>451</v>
      </c>
      <c r="M817" s="20">
        <f>IF($B817="","",COUNTIFS('Blocker log'!$A:$A,$B817,'Blocker log'!$G:$G,"&lt;&gt;"))</f>
        <v>0</v>
      </c>
      <c r="N817" s="20">
        <f>IF($B817="","",COUNTIFS('Blocker log'!$A:$A,$B817,'Blocker log'!$G:$G,"Hard blocker"))</f>
        <v>0</v>
      </c>
      <c r="O817" s="20">
        <f>IF($B817="","",COUNTIFS('Blocker log'!$A:$A,$B817,'Blocker log'!$G:$G,"Hard blocker",'Blocker log'!$L:$L,9))</f>
        <v>0</v>
      </c>
      <c r="P817" s="20">
        <f>IF($B817="","",MAXIFS('Blocker log'!$L:$L,'Blocker log'!$A:$A,$B817,'Blocker log'!$G:$G,"Hard blocker"))</f>
        <v>0</v>
      </c>
      <c r="Q817" s="20" t="str">
        <f>IF($B817="","",IF($K817&lt;&gt;"Complete","Assessment pending",IF($N817=0,"Ready now",VLOOKUP($P817,Lists!$D$2:$E$5,2,FALSE))))</f>
        <v>Assessment pending</v>
      </c>
    </row>
    <row r="818" ht="15.75" customHeight="1">
      <c r="A818" s="35" t="s">
        <v>2258</v>
      </c>
      <c r="B818" s="35" t="s">
        <v>2259</v>
      </c>
      <c r="C818" s="35" t="s">
        <v>1286</v>
      </c>
      <c r="D818" s="35" t="s">
        <v>58</v>
      </c>
      <c r="E818" s="35" t="s">
        <v>101</v>
      </c>
      <c r="F818" s="35" t="s">
        <v>116</v>
      </c>
      <c r="G818" s="35" t="s">
        <v>1161</v>
      </c>
      <c r="H818" s="76">
        <v>32272.0</v>
      </c>
      <c r="I818" s="35" t="s">
        <v>426</v>
      </c>
      <c r="M818" s="20">
        <f>IF($B818="","",COUNTIFS('Blocker log'!$A:$A,$B818,'Blocker log'!$G:$G,"&lt;&gt;"))</f>
        <v>0</v>
      </c>
      <c r="N818" s="20">
        <f>IF($B818="","",COUNTIFS('Blocker log'!$A:$A,$B818,'Blocker log'!$G:$G,"Hard blocker"))</f>
        <v>0</v>
      </c>
      <c r="O818" s="20">
        <f>IF($B818="","",COUNTIFS('Blocker log'!$A:$A,$B818,'Blocker log'!$G:$G,"Hard blocker",'Blocker log'!$L:$L,9))</f>
        <v>0</v>
      </c>
      <c r="P818" s="20">
        <f>IF($B818="","",MAXIFS('Blocker log'!$L:$L,'Blocker log'!$A:$A,$B818,'Blocker log'!$G:$G,"Hard blocker"))</f>
        <v>0</v>
      </c>
      <c r="Q818" s="20" t="str">
        <f>IF($B818="","",IF($K818&lt;&gt;"Complete","Assessment pending",IF($N818=0,"Ready now",VLOOKUP($P818,Lists!$D$2:$E$5,2,FALSE))))</f>
        <v>Assessment pending</v>
      </c>
    </row>
    <row r="819" ht="15.75" customHeight="1">
      <c r="A819" s="35" t="s">
        <v>2260</v>
      </c>
      <c r="B819" s="35" t="s">
        <v>2261</v>
      </c>
      <c r="C819" s="35" t="s">
        <v>1286</v>
      </c>
      <c r="D819" s="35" t="s">
        <v>58</v>
      </c>
      <c r="E819" s="35" t="s">
        <v>140</v>
      </c>
      <c r="F819" s="35" t="s">
        <v>370</v>
      </c>
      <c r="G819" s="35" t="s">
        <v>1161</v>
      </c>
      <c r="H819" s="76">
        <v>32000.0</v>
      </c>
      <c r="I819" s="35"/>
      <c r="M819" s="20">
        <f>IF($B819="","",COUNTIFS('Blocker log'!$A:$A,$B819,'Blocker log'!$G:$G,"&lt;&gt;"))</f>
        <v>0</v>
      </c>
      <c r="N819" s="20">
        <f>IF($B819="","",COUNTIFS('Blocker log'!$A:$A,$B819,'Blocker log'!$G:$G,"Hard blocker"))</f>
        <v>0</v>
      </c>
      <c r="O819" s="20">
        <f>IF($B819="","",COUNTIFS('Blocker log'!$A:$A,$B819,'Blocker log'!$G:$G,"Hard blocker",'Blocker log'!$L:$L,9))</f>
        <v>0</v>
      </c>
      <c r="P819" s="20">
        <f>IF($B819="","",MAXIFS('Blocker log'!$L:$L,'Blocker log'!$A:$A,$B819,'Blocker log'!$G:$G,"Hard blocker"))</f>
        <v>0</v>
      </c>
      <c r="Q819" s="20" t="str">
        <f>IF($B819="","",IF($K819&lt;&gt;"Complete","Assessment pending",IF($N819=0,"Ready now",VLOOKUP($P819,Lists!$D$2:$E$5,2,FALSE))))</f>
        <v>Assessment pending</v>
      </c>
    </row>
    <row r="820" ht="15.75" customHeight="1">
      <c r="A820" s="35" t="s">
        <v>2262</v>
      </c>
      <c r="B820" s="35" t="s">
        <v>2263</v>
      </c>
      <c r="C820" s="35" t="s">
        <v>1286</v>
      </c>
      <c r="D820" s="35" t="s">
        <v>58</v>
      </c>
      <c r="E820" s="35" t="s">
        <v>494</v>
      </c>
      <c r="F820" s="35" t="s">
        <v>629</v>
      </c>
      <c r="G820" s="35" t="s">
        <v>1161</v>
      </c>
      <c r="H820" s="76">
        <v>31999.0</v>
      </c>
      <c r="I820" s="35"/>
      <c r="M820" s="20">
        <f>IF($B820="","",COUNTIFS('Blocker log'!$A:$A,$B820,'Blocker log'!$G:$G,"&lt;&gt;"))</f>
        <v>0</v>
      </c>
      <c r="N820" s="20">
        <f>IF($B820="","",COUNTIFS('Blocker log'!$A:$A,$B820,'Blocker log'!$G:$G,"Hard blocker"))</f>
        <v>0</v>
      </c>
      <c r="O820" s="20">
        <f>IF($B820="","",COUNTIFS('Blocker log'!$A:$A,$B820,'Blocker log'!$G:$G,"Hard blocker",'Blocker log'!$L:$L,9))</f>
        <v>0</v>
      </c>
      <c r="P820" s="20">
        <f>IF($B820="","",MAXIFS('Blocker log'!$L:$L,'Blocker log'!$A:$A,$B820,'Blocker log'!$G:$G,"Hard blocker"))</f>
        <v>0</v>
      </c>
      <c r="Q820" s="20" t="str">
        <f>IF($B820="","",IF($K820&lt;&gt;"Complete","Assessment pending",IF($N820=0,"Ready now",VLOOKUP($P820,Lists!$D$2:$E$5,2,FALSE))))</f>
        <v>Assessment pending</v>
      </c>
    </row>
    <row r="821" ht="15.75" customHeight="1">
      <c r="A821" s="35" t="s">
        <v>2264</v>
      </c>
      <c r="B821" s="35" t="s">
        <v>2265</v>
      </c>
      <c r="C821" s="35" t="s">
        <v>1286</v>
      </c>
      <c r="D821" s="35" t="s">
        <v>171</v>
      </c>
      <c r="E821" s="35" t="s">
        <v>524</v>
      </c>
      <c r="F821" s="35" t="s">
        <v>525</v>
      </c>
      <c r="G821" s="35" t="s">
        <v>1161</v>
      </c>
      <c r="H821" s="76">
        <v>31979.0</v>
      </c>
      <c r="I821" s="35"/>
      <c r="M821" s="20">
        <f>IF($B821="","",COUNTIFS('Blocker log'!$A:$A,$B821,'Blocker log'!$G:$G,"&lt;&gt;"))</f>
        <v>0</v>
      </c>
      <c r="N821" s="20">
        <f>IF($B821="","",COUNTIFS('Blocker log'!$A:$A,$B821,'Blocker log'!$G:$G,"Hard blocker"))</f>
        <v>0</v>
      </c>
      <c r="O821" s="20">
        <f>IF($B821="","",COUNTIFS('Blocker log'!$A:$A,$B821,'Blocker log'!$G:$G,"Hard blocker",'Blocker log'!$L:$L,9))</f>
        <v>0</v>
      </c>
      <c r="P821" s="20">
        <f>IF($B821="","",MAXIFS('Blocker log'!$L:$L,'Blocker log'!$A:$A,$B821,'Blocker log'!$G:$G,"Hard blocker"))</f>
        <v>0</v>
      </c>
      <c r="Q821" s="20" t="str">
        <f>IF($B821="","",IF($K821&lt;&gt;"Complete","Assessment pending",IF($N821=0,"Ready now",VLOOKUP($P821,Lists!$D$2:$E$5,2,FALSE))))</f>
        <v>Assessment pending</v>
      </c>
    </row>
    <row r="822" ht="15.75" customHeight="1">
      <c r="A822" s="35" t="s">
        <v>2266</v>
      </c>
      <c r="B822" s="35" t="s">
        <v>2267</v>
      </c>
      <c r="C822" s="35" t="s">
        <v>1286</v>
      </c>
      <c r="D822" s="35" t="s">
        <v>171</v>
      </c>
      <c r="E822" s="35" t="s">
        <v>755</v>
      </c>
      <c r="F822" s="35" t="s">
        <v>756</v>
      </c>
      <c r="G822" s="35" t="s">
        <v>1161</v>
      </c>
      <c r="H822" s="76">
        <v>31680.0</v>
      </c>
      <c r="I822" s="35"/>
      <c r="M822" s="20">
        <f>IF($B822="","",COUNTIFS('Blocker log'!$A:$A,$B822,'Blocker log'!$G:$G,"&lt;&gt;"))</f>
        <v>0</v>
      </c>
      <c r="N822" s="20">
        <f>IF($B822="","",COUNTIFS('Blocker log'!$A:$A,$B822,'Blocker log'!$G:$G,"Hard blocker"))</f>
        <v>0</v>
      </c>
      <c r="O822" s="20">
        <f>IF($B822="","",COUNTIFS('Blocker log'!$A:$A,$B822,'Blocker log'!$G:$G,"Hard blocker",'Blocker log'!$L:$L,9))</f>
        <v>0</v>
      </c>
      <c r="P822" s="20">
        <f>IF($B822="","",MAXIFS('Blocker log'!$L:$L,'Blocker log'!$A:$A,$B822,'Blocker log'!$G:$G,"Hard blocker"))</f>
        <v>0</v>
      </c>
      <c r="Q822" s="20" t="str">
        <f>IF($B822="","",IF($K822&lt;&gt;"Complete","Assessment pending",IF($N822=0,"Ready now",VLOOKUP($P822,Lists!$D$2:$E$5,2,FALSE))))</f>
        <v>Assessment pending</v>
      </c>
    </row>
    <row r="823" ht="15.75" customHeight="1">
      <c r="A823" s="35" t="s">
        <v>2268</v>
      </c>
      <c r="B823" s="35" t="s">
        <v>2269</v>
      </c>
      <c r="C823" s="35" t="s">
        <v>1286</v>
      </c>
      <c r="D823" s="35" t="s">
        <v>260</v>
      </c>
      <c r="E823" s="35" t="s">
        <v>351</v>
      </c>
      <c r="F823" s="35" t="s">
        <v>352</v>
      </c>
      <c r="G823" s="35" t="s">
        <v>1161</v>
      </c>
      <c r="H823" s="76">
        <v>31520.0</v>
      </c>
      <c r="I823" s="35"/>
      <c r="M823" s="20">
        <f>IF($B823="","",COUNTIFS('Blocker log'!$A:$A,$B823,'Blocker log'!$G:$G,"&lt;&gt;"))</f>
        <v>0</v>
      </c>
      <c r="N823" s="20">
        <f>IF($B823="","",COUNTIFS('Blocker log'!$A:$A,$B823,'Blocker log'!$G:$G,"Hard blocker"))</f>
        <v>0</v>
      </c>
      <c r="O823" s="20">
        <f>IF($B823="","",COUNTIFS('Blocker log'!$A:$A,$B823,'Blocker log'!$G:$G,"Hard blocker",'Blocker log'!$L:$L,9))</f>
        <v>0</v>
      </c>
      <c r="P823" s="20">
        <f>IF($B823="","",MAXIFS('Blocker log'!$L:$L,'Blocker log'!$A:$A,$B823,'Blocker log'!$G:$G,"Hard blocker"))</f>
        <v>0</v>
      </c>
      <c r="Q823" s="20" t="str">
        <f>IF($B823="","",IF($K823&lt;&gt;"Complete","Assessment pending",IF($N823=0,"Ready now",VLOOKUP($P823,Lists!$D$2:$E$5,2,FALSE))))</f>
        <v>Assessment pending</v>
      </c>
    </row>
    <row r="824" ht="15.75" customHeight="1">
      <c r="A824" s="35" t="s">
        <v>2270</v>
      </c>
      <c r="B824" s="35" t="s">
        <v>1673</v>
      </c>
      <c r="C824" s="35" t="s">
        <v>1286</v>
      </c>
      <c r="D824" s="35" t="s">
        <v>260</v>
      </c>
      <c r="E824" s="35" t="s">
        <v>530</v>
      </c>
      <c r="F824" s="35" t="s">
        <v>1674</v>
      </c>
      <c r="G824" s="35" t="s">
        <v>1161</v>
      </c>
      <c r="H824" s="76">
        <v>31498.0</v>
      </c>
      <c r="I824" s="35"/>
      <c r="M824" s="20">
        <f>IF($B824="","",COUNTIFS('Blocker log'!$A:$A,$B824,'Blocker log'!$G:$G,"&lt;&gt;"))</f>
        <v>0</v>
      </c>
      <c r="N824" s="20">
        <f>IF($B824="","",COUNTIFS('Blocker log'!$A:$A,$B824,'Blocker log'!$G:$G,"Hard blocker"))</f>
        <v>0</v>
      </c>
      <c r="O824" s="20">
        <f>IF($B824="","",COUNTIFS('Blocker log'!$A:$A,$B824,'Blocker log'!$G:$G,"Hard blocker",'Blocker log'!$L:$L,9))</f>
        <v>0</v>
      </c>
      <c r="P824" s="20">
        <f>IF($B824="","",MAXIFS('Blocker log'!$L:$L,'Blocker log'!$A:$A,$B824,'Blocker log'!$G:$G,"Hard blocker"))</f>
        <v>0</v>
      </c>
      <c r="Q824" s="20" t="str">
        <f>IF($B824="","",IF($K824&lt;&gt;"Complete","Assessment pending",IF($N824=0,"Ready now",VLOOKUP($P824,Lists!$D$2:$E$5,2,FALSE))))</f>
        <v>Assessment pending</v>
      </c>
    </row>
    <row r="825" ht="15.75" customHeight="1">
      <c r="A825" s="35" t="s">
        <v>2271</v>
      </c>
      <c r="B825" s="35" t="s">
        <v>2272</v>
      </c>
      <c r="C825" s="35" t="s">
        <v>1286</v>
      </c>
      <c r="D825" s="35" t="s">
        <v>171</v>
      </c>
      <c r="E825" s="35" t="s">
        <v>512</v>
      </c>
      <c r="F825" s="35" t="s">
        <v>782</v>
      </c>
      <c r="G825" s="35" t="s">
        <v>1161</v>
      </c>
      <c r="H825" s="76">
        <v>31487.0</v>
      </c>
      <c r="I825" s="35" t="s">
        <v>406</v>
      </c>
      <c r="M825" s="20">
        <f>IF($B825="","",COUNTIFS('Blocker log'!$A:$A,$B825,'Blocker log'!$G:$G,"&lt;&gt;"))</f>
        <v>0</v>
      </c>
      <c r="N825" s="20">
        <f>IF($B825="","",COUNTIFS('Blocker log'!$A:$A,$B825,'Blocker log'!$G:$G,"Hard blocker"))</f>
        <v>0</v>
      </c>
      <c r="O825" s="20">
        <f>IF($B825="","",COUNTIFS('Blocker log'!$A:$A,$B825,'Blocker log'!$G:$G,"Hard blocker",'Blocker log'!$L:$L,9))</f>
        <v>0</v>
      </c>
      <c r="P825" s="20">
        <f>IF($B825="","",MAXIFS('Blocker log'!$L:$L,'Blocker log'!$A:$A,$B825,'Blocker log'!$G:$G,"Hard blocker"))</f>
        <v>0</v>
      </c>
      <c r="Q825" s="20" t="str">
        <f>IF($B825="","",IF($K825&lt;&gt;"Complete","Assessment pending",IF($N825=0,"Ready now",VLOOKUP($P825,Lists!$D$2:$E$5,2,FALSE))))</f>
        <v>Assessment pending</v>
      </c>
    </row>
    <row r="826" ht="15.75" customHeight="1">
      <c r="A826" s="35" t="s">
        <v>2273</v>
      </c>
      <c r="B826" s="35" t="s">
        <v>2274</v>
      </c>
      <c r="C826" s="35" t="s">
        <v>76</v>
      </c>
      <c r="D826" s="35" t="s">
        <v>58</v>
      </c>
      <c r="E826" s="35" t="s">
        <v>59</v>
      </c>
      <c r="F826" s="35" t="s">
        <v>278</v>
      </c>
      <c r="G826" s="35" t="s">
        <v>980</v>
      </c>
      <c r="H826" s="76">
        <v>31299.0</v>
      </c>
      <c r="I826" s="35"/>
      <c r="M826" s="20">
        <f>IF($B826="","",COUNTIFS('Blocker log'!$A:$A,$B826,'Blocker log'!$G:$G,"&lt;&gt;"))</f>
        <v>0</v>
      </c>
      <c r="N826" s="20">
        <f>IF($B826="","",COUNTIFS('Blocker log'!$A:$A,$B826,'Blocker log'!$G:$G,"Hard blocker"))</f>
        <v>0</v>
      </c>
      <c r="O826" s="20">
        <f>IF($B826="","",COUNTIFS('Blocker log'!$A:$A,$B826,'Blocker log'!$G:$G,"Hard blocker",'Blocker log'!$L:$L,9))</f>
        <v>0</v>
      </c>
      <c r="P826" s="20">
        <f>IF($B826="","",MAXIFS('Blocker log'!$L:$L,'Blocker log'!$A:$A,$B826,'Blocker log'!$G:$G,"Hard blocker"))</f>
        <v>0</v>
      </c>
      <c r="Q826" s="20" t="str">
        <f>IF($B826="","",IF($K826&lt;&gt;"Complete","Assessment pending",IF($N826=0,"Ready now",VLOOKUP($P826,Lists!$D$2:$E$5,2,FALSE))))</f>
        <v>Assessment pending</v>
      </c>
    </row>
    <row r="827" ht="15.75" customHeight="1">
      <c r="A827" s="35" t="s">
        <v>2275</v>
      </c>
      <c r="B827" s="35" t="s">
        <v>2276</v>
      </c>
      <c r="C827" s="35" t="s">
        <v>1286</v>
      </c>
      <c r="D827" s="35" t="s">
        <v>260</v>
      </c>
      <c r="E827" s="35" t="s">
        <v>576</v>
      </c>
      <c r="F827" s="35" t="s">
        <v>577</v>
      </c>
      <c r="G827" s="35" t="s">
        <v>1161</v>
      </c>
      <c r="H827" s="76">
        <v>31273.0</v>
      </c>
      <c r="I827" s="35" t="s">
        <v>403</v>
      </c>
      <c r="M827" s="20">
        <f>IF($B827="","",COUNTIFS('Blocker log'!$A:$A,$B827,'Blocker log'!$G:$G,"&lt;&gt;"))</f>
        <v>0</v>
      </c>
      <c r="N827" s="20">
        <f>IF($B827="","",COUNTIFS('Blocker log'!$A:$A,$B827,'Blocker log'!$G:$G,"Hard blocker"))</f>
        <v>0</v>
      </c>
      <c r="O827" s="20">
        <f>IF($B827="","",COUNTIFS('Blocker log'!$A:$A,$B827,'Blocker log'!$G:$G,"Hard blocker",'Blocker log'!$L:$L,9))</f>
        <v>0</v>
      </c>
      <c r="P827" s="20">
        <f>IF($B827="","",MAXIFS('Blocker log'!$L:$L,'Blocker log'!$A:$A,$B827,'Blocker log'!$G:$G,"Hard blocker"))</f>
        <v>0</v>
      </c>
      <c r="Q827" s="20" t="str">
        <f>IF($B827="","",IF($K827&lt;&gt;"Complete","Assessment pending",IF($N827=0,"Ready now",VLOOKUP($P827,Lists!$D$2:$E$5,2,FALSE))))</f>
        <v>Assessment pending</v>
      </c>
    </row>
    <row r="828" ht="15.75" customHeight="1">
      <c r="A828" s="35" t="s">
        <v>2277</v>
      </c>
      <c r="B828" s="35" t="s">
        <v>2278</v>
      </c>
      <c r="C828" s="35" t="s">
        <v>1286</v>
      </c>
      <c r="D828" s="35" t="s">
        <v>171</v>
      </c>
      <c r="E828" s="35" t="s">
        <v>760</v>
      </c>
      <c r="F828" s="35" t="s">
        <v>1178</v>
      </c>
      <c r="G828" s="35" t="s">
        <v>1161</v>
      </c>
      <c r="H828" s="76">
        <v>31185.0</v>
      </c>
      <c r="I828" s="35"/>
      <c r="M828" s="20">
        <f>IF($B828="","",COUNTIFS('Blocker log'!$A:$A,$B828,'Blocker log'!$G:$G,"&lt;&gt;"))</f>
        <v>0</v>
      </c>
      <c r="N828" s="20">
        <f>IF($B828="","",COUNTIFS('Blocker log'!$A:$A,$B828,'Blocker log'!$G:$G,"Hard blocker"))</f>
        <v>0</v>
      </c>
      <c r="O828" s="20">
        <f>IF($B828="","",COUNTIFS('Blocker log'!$A:$A,$B828,'Blocker log'!$G:$G,"Hard blocker",'Blocker log'!$L:$L,9))</f>
        <v>0</v>
      </c>
      <c r="P828" s="20">
        <f>IF($B828="","",MAXIFS('Blocker log'!$L:$L,'Blocker log'!$A:$A,$B828,'Blocker log'!$G:$G,"Hard blocker"))</f>
        <v>0</v>
      </c>
      <c r="Q828" s="20" t="str">
        <f>IF($B828="","",IF($K828&lt;&gt;"Complete","Assessment pending",IF($N828=0,"Ready now",VLOOKUP($P828,Lists!$D$2:$E$5,2,FALSE))))</f>
        <v>Assessment pending</v>
      </c>
    </row>
    <row r="829" ht="15.75" customHeight="1">
      <c r="A829" s="35" t="s">
        <v>2279</v>
      </c>
      <c r="B829" s="35" t="s">
        <v>2280</v>
      </c>
      <c r="C829" s="35" t="s">
        <v>1286</v>
      </c>
      <c r="D829" s="35" t="s">
        <v>260</v>
      </c>
      <c r="E829" s="35" t="s">
        <v>530</v>
      </c>
      <c r="F829" s="35" t="s">
        <v>2216</v>
      </c>
      <c r="G829" s="35" t="s">
        <v>1161</v>
      </c>
      <c r="H829" s="76">
        <v>30960.0</v>
      </c>
      <c r="I829" s="35" t="s">
        <v>441</v>
      </c>
      <c r="M829" s="20">
        <f>IF($B829="","",COUNTIFS('Blocker log'!$A:$A,$B829,'Blocker log'!$G:$G,"&lt;&gt;"))</f>
        <v>0</v>
      </c>
      <c r="N829" s="20">
        <f>IF($B829="","",COUNTIFS('Blocker log'!$A:$A,$B829,'Blocker log'!$G:$G,"Hard blocker"))</f>
        <v>0</v>
      </c>
      <c r="O829" s="20">
        <f>IF($B829="","",COUNTIFS('Blocker log'!$A:$A,$B829,'Blocker log'!$G:$G,"Hard blocker",'Blocker log'!$L:$L,9))</f>
        <v>0</v>
      </c>
      <c r="P829" s="20">
        <f>IF($B829="","",MAXIFS('Blocker log'!$L:$L,'Blocker log'!$A:$A,$B829,'Blocker log'!$G:$G,"Hard blocker"))</f>
        <v>0</v>
      </c>
      <c r="Q829" s="20" t="str">
        <f>IF($B829="","",IF($K829&lt;&gt;"Complete","Assessment pending",IF($N829=0,"Ready now",VLOOKUP($P829,Lists!$D$2:$E$5,2,FALSE))))</f>
        <v>Assessment pending</v>
      </c>
    </row>
    <row r="830" ht="15.75" customHeight="1">
      <c r="A830" s="35" t="s">
        <v>2281</v>
      </c>
      <c r="B830" s="35" t="s">
        <v>2282</v>
      </c>
      <c r="C830" s="35" t="s">
        <v>1286</v>
      </c>
      <c r="D830" s="35" t="s">
        <v>260</v>
      </c>
      <c r="E830" s="35" t="s">
        <v>506</v>
      </c>
      <c r="F830" s="35" t="s">
        <v>815</v>
      </c>
      <c r="G830" s="35" t="s">
        <v>1161</v>
      </c>
      <c r="H830" s="76">
        <v>30883.0</v>
      </c>
      <c r="I830" s="35" t="s">
        <v>430</v>
      </c>
      <c r="M830" s="20">
        <f>IF($B830="","",COUNTIFS('Blocker log'!$A:$A,$B830,'Blocker log'!$G:$G,"&lt;&gt;"))</f>
        <v>0</v>
      </c>
      <c r="N830" s="20">
        <f>IF($B830="","",COUNTIFS('Blocker log'!$A:$A,$B830,'Blocker log'!$G:$G,"Hard blocker"))</f>
        <v>0</v>
      </c>
      <c r="O830" s="20">
        <f>IF($B830="","",COUNTIFS('Blocker log'!$A:$A,$B830,'Blocker log'!$G:$G,"Hard blocker",'Blocker log'!$L:$L,9))</f>
        <v>0</v>
      </c>
      <c r="P830" s="20">
        <f>IF($B830="","",MAXIFS('Blocker log'!$L:$L,'Blocker log'!$A:$A,$B830,'Blocker log'!$G:$G,"Hard blocker"))</f>
        <v>0</v>
      </c>
      <c r="Q830" s="20" t="str">
        <f>IF($B830="","",IF($K830&lt;&gt;"Complete","Assessment pending",IF($N830=0,"Ready now",VLOOKUP($P830,Lists!$D$2:$E$5,2,FALSE))))</f>
        <v>Assessment pending</v>
      </c>
    </row>
    <row r="831" ht="15.75" customHeight="1">
      <c r="A831" s="35" t="s">
        <v>2283</v>
      </c>
      <c r="B831" s="35" t="s">
        <v>2284</v>
      </c>
      <c r="C831" s="35" t="s">
        <v>1286</v>
      </c>
      <c r="D831" s="35" t="s">
        <v>171</v>
      </c>
      <c r="E831" s="35" t="s">
        <v>542</v>
      </c>
      <c r="F831" s="35" t="s">
        <v>549</v>
      </c>
      <c r="G831" s="35" t="s">
        <v>1161</v>
      </c>
      <c r="H831" s="76">
        <v>30875.0</v>
      </c>
      <c r="I831" s="35" t="s">
        <v>424</v>
      </c>
      <c r="M831" s="20">
        <f>IF($B831="","",COUNTIFS('Blocker log'!$A:$A,$B831,'Blocker log'!$G:$G,"&lt;&gt;"))</f>
        <v>0</v>
      </c>
      <c r="N831" s="20">
        <f>IF($B831="","",COUNTIFS('Blocker log'!$A:$A,$B831,'Blocker log'!$G:$G,"Hard blocker"))</f>
        <v>0</v>
      </c>
      <c r="O831" s="20">
        <f>IF($B831="","",COUNTIFS('Blocker log'!$A:$A,$B831,'Blocker log'!$G:$G,"Hard blocker",'Blocker log'!$L:$L,9))</f>
        <v>0</v>
      </c>
      <c r="P831" s="20">
        <f>IF($B831="","",MAXIFS('Blocker log'!$L:$L,'Blocker log'!$A:$A,$B831,'Blocker log'!$G:$G,"Hard blocker"))</f>
        <v>0</v>
      </c>
      <c r="Q831" s="20" t="str">
        <f>IF($B831="","",IF($K831&lt;&gt;"Complete","Assessment pending",IF($N831=0,"Ready now",VLOOKUP($P831,Lists!$D$2:$E$5,2,FALSE))))</f>
        <v>Assessment pending</v>
      </c>
    </row>
    <row r="832" ht="15.75" customHeight="1">
      <c r="A832" s="35" t="s">
        <v>2285</v>
      </c>
      <c r="B832" s="35" t="s">
        <v>2286</v>
      </c>
      <c r="C832" s="35" t="s">
        <v>1286</v>
      </c>
      <c r="D832" s="35" t="s">
        <v>301</v>
      </c>
      <c r="E832" s="35" t="s">
        <v>1281</v>
      </c>
      <c r="F832" s="35" t="s">
        <v>1281</v>
      </c>
      <c r="G832" s="35" t="s">
        <v>1042</v>
      </c>
      <c r="H832" s="76">
        <v>30772.0</v>
      </c>
      <c r="I832" s="35"/>
      <c r="M832" s="20">
        <f>IF($B832="","",COUNTIFS('Blocker log'!$A:$A,$B832,'Blocker log'!$G:$G,"&lt;&gt;"))</f>
        <v>0</v>
      </c>
      <c r="N832" s="20">
        <f>IF($B832="","",COUNTIFS('Blocker log'!$A:$A,$B832,'Blocker log'!$G:$G,"Hard blocker"))</f>
        <v>0</v>
      </c>
      <c r="O832" s="20">
        <f>IF($B832="","",COUNTIFS('Blocker log'!$A:$A,$B832,'Blocker log'!$G:$G,"Hard blocker",'Blocker log'!$L:$L,9))</f>
        <v>0</v>
      </c>
      <c r="P832" s="20">
        <f>IF($B832="","",MAXIFS('Blocker log'!$L:$L,'Blocker log'!$A:$A,$B832,'Blocker log'!$G:$G,"Hard blocker"))</f>
        <v>0</v>
      </c>
      <c r="Q832" s="20" t="str">
        <f>IF($B832="","",IF($K832&lt;&gt;"Complete","Assessment pending",IF($N832=0,"Ready now",VLOOKUP($P832,Lists!$D$2:$E$5,2,FALSE))))</f>
        <v>Assessment pending</v>
      </c>
    </row>
    <row r="833" ht="15.75" customHeight="1">
      <c r="A833" s="35" t="s">
        <v>2287</v>
      </c>
      <c r="B833" s="35" t="s">
        <v>2288</v>
      </c>
      <c r="C833" s="35" t="s">
        <v>1286</v>
      </c>
      <c r="D833" s="35" t="s">
        <v>260</v>
      </c>
      <c r="E833" s="35" t="s">
        <v>530</v>
      </c>
      <c r="F833" s="35" t="s">
        <v>1849</v>
      </c>
      <c r="G833" s="35" t="s">
        <v>1161</v>
      </c>
      <c r="H833" s="76">
        <v>30600.0</v>
      </c>
      <c r="I833" s="35"/>
      <c r="M833" s="20">
        <f>IF($B833="","",COUNTIFS('Blocker log'!$A:$A,$B833,'Blocker log'!$G:$G,"&lt;&gt;"))</f>
        <v>0</v>
      </c>
      <c r="N833" s="20">
        <f>IF($B833="","",COUNTIFS('Blocker log'!$A:$A,$B833,'Blocker log'!$G:$G,"Hard blocker"))</f>
        <v>0</v>
      </c>
      <c r="O833" s="20">
        <f>IF($B833="","",COUNTIFS('Blocker log'!$A:$A,$B833,'Blocker log'!$G:$G,"Hard blocker",'Blocker log'!$L:$L,9))</f>
        <v>0</v>
      </c>
      <c r="P833" s="20">
        <f>IF($B833="","",MAXIFS('Blocker log'!$L:$L,'Blocker log'!$A:$A,$B833,'Blocker log'!$G:$G,"Hard blocker"))</f>
        <v>0</v>
      </c>
      <c r="Q833" s="20" t="str">
        <f>IF($B833="","",IF($K833&lt;&gt;"Complete","Assessment pending",IF($N833=0,"Ready now",VLOOKUP($P833,Lists!$D$2:$E$5,2,FALSE))))</f>
        <v>Assessment pending</v>
      </c>
    </row>
    <row r="834" ht="15.75" customHeight="1">
      <c r="A834" s="35" t="s">
        <v>2289</v>
      </c>
      <c r="B834" s="35" t="s">
        <v>2290</v>
      </c>
      <c r="C834" s="35" t="s">
        <v>1286</v>
      </c>
      <c r="D834" s="35" t="s">
        <v>260</v>
      </c>
      <c r="E834" s="35" t="s">
        <v>506</v>
      </c>
      <c r="F834" s="35" t="s">
        <v>708</v>
      </c>
      <c r="G834" s="35" t="s">
        <v>1161</v>
      </c>
      <c r="H834" s="76">
        <v>30488.0</v>
      </c>
      <c r="I834" s="35" t="s">
        <v>417</v>
      </c>
      <c r="M834" s="20">
        <f>IF($B834="","",COUNTIFS('Blocker log'!$A:$A,$B834,'Blocker log'!$G:$G,"&lt;&gt;"))</f>
        <v>0</v>
      </c>
      <c r="N834" s="20">
        <f>IF($B834="","",COUNTIFS('Blocker log'!$A:$A,$B834,'Blocker log'!$G:$G,"Hard blocker"))</f>
        <v>0</v>
      </c>
      <c r="O834" s="20">
        <f>IF($B834="","",COUNTIFS('Blocker log'!$A:$A,$B834,'Blocker log'!$G:$G,"Hard blocker",'Blocker log'!$L:$L,9))</f>
        <v>0</v>
      </c>
      <c r="P834" s="20">
        <f>IF($B834="","",MAXIFS('Blocker log'!$L:$L,'Blocker log'!$A:$A,$B834,'Blocker log'!$G:$G,"Hard blocker"))</f>
        <v>0</v>
      </c>
      <c r="Q834" s="20" t="str">
        <f>IF($B834="","",IF($K834&lt;&gt;"Complete","Assessment pending",IF($N834=0,"Ready now",VLOOKUP($P834,Lists!$D$2:$E$5,2,FALSE))))</f>
        <v>Assessment pending</v>
      </c>
    </row>
    <row r="835" ht="15.75" customHeight="1">
      <c r="A835" s="35" t="s">
        <v>2291</v>
      </c>
      <c r="B835" s="35" t="s">
        <v>1678</v>
      </c>
      <c r="C835" s="35" t="s">
        <v>1286</v>
      </c>
      <c r="D835" s="35" t="s">
        <v>260</v>
      </c>
      <c r="E835" s="35" t="s">
        <v>530</v>
      </c>
      <c r="F835" s="35" t="s">
        <v>1674</v>
      </c>
      <c r="G835" s="35" t="s">
        <v>1161</v>
      </c>
      <c r="H835" s="76">
        <v>30483.0</v>
      </c>
      <c r="I835" s="35"/>
      <c r="M835" s="20">
        <f>IF($B835="","",COUNTIFS('Blocker log'!$A:$A,$B835,'Blocker log'!$G:$G,"&lt;&gt;"))</f>
        <v>0</v>
      </c>
      <c r="N835" s="20">
        <f>IF($B835="","",COUNTIFS('Blocker log'!$A:$A,$B835,'Blocker log'!$G:$G,"Hard blocker"))</f>
        <v>0</v>
      </c>
      <c r="O835" s="20">
        <f>IF($B835="","",COUNTIFS('Blocker log'!$A:$A,$B835,'Blocker log'!$G:$G,"Hard blocker",'Blocker log'!$L:$L,9))</f>
        <v>0</v>
      </c>
      <c r="P835" s="20">
        <f>IF($B835="","",MAXIFS('Blocker log'!$L:$L,'Blocker log'!$A:$A,$B835,'Blocker log'!$G:$G,"Hard blocker"))</f>
        <v>0</v>
      </c>
      <c r="Q835" s="20" t="str">
        <f>IF($B835="","",IF($K835&lt;&gt;"Complete","Assessment pending",IF($N835=0,"Ready now",VLOOKUP($P835,Lists!$D$2:$E$5,2,FALSE))))</f>
        <v>Assessment pending</v>
      </c>
    </row>
    <row r="836" ht="15.75" customHeight="1">
      <c r="A836" s="35" t="s">
        <v>2292</v>
      </c>
      <c r="B836" s="35" t="s">
        <v>2293</v>
      </c>
      <c r="C836" s="35" t="s">
        <v>1286</v>
      </c>
      <c r="D836" s="35" t="s">
        <v>260</v>
      </c>
      <c r="E836" s="35" t="s">
        <v>576</v>
      </c>
      <c r="F836" s="35" t="s">
        <v>658</v>
      </c>
      <c r="G836" s="35" t="s">
        <v>1161</v>
      </c>
      <c r="H836" s="76">
        <v>30438.0</v>
      </c>
      <c r="I836" s="35" t="s">
        <v>403</v>
      </c>
      <c r="M836" s="20">
        <f>IF($B836="","",COUNTIFS('Blocker log'!$A:$A,$B836,'Blocker log'!$G:$G,"&lt;&gt;"))</f>
        <v>0</v>
      </c>
      <c r="N836" s="20">
        <f>IF($B836="","",COUNTIFS('Blocker log'!$A:$A,$B836,'Blocker log'!$G:$G,"Hard blocker"))</f>
        <v>0</v>
      </c>
      <c r="O836" s="20">
        <f>IF($B836="","",COUNTIFS('Blocker log'!$A:$A,$B836,'Blocker log'!$G:$G,"Hard blocker",'Blocker log'!$L:$L,9))</f>
        <v>0</v>
      </c>
      <c r="P836" s="20">
        <f>IF($B836="","",MAXIFS('Blocker log'!$L:$L,'Blocker log'!$A:$A,$B836,'Blocker log'!$G:$G,"Hard blocker"))</f>
        <v>0</v>
      </c>
      <c r="Q836" s="20" t="str">
        <f>IF($B836="","",IF($K836&lt;&gt;"Complete","Assessment pending",IF($N836=0,"Ready now",VLOOKUP($P836,Lists!$D$2:$E$5,2,FALSE))))</f>
        <v>Assessment pending</v>
      </c>
    </row>
    <row r="837" ht="15.75" customHeight="1">
      <c r="A837" s="35" t="s">
        <v>2294</v>
      </c>
      <c r="B837" s="35" t="s">
        <v>2295</v>
      </c>
      <c r="C837" s="35" t="s">
        <v>1286</v>
      </c>
      <c r="D837" s="35" t="s">
        <v>58</v>
      </c>
      <c r="E837" s="35" t="s">
        <v>101</v>
      </c>
      <c r="F837" s="35" t="s">
        <v>116</v>
      </c>
      <c r="G837" s="35" t="s">
        <v>1161</v>
      </c>
      <c r="H837" s="76">
        <v>30240.0</v>
      </c>
      <c r="I837" s="35" t="s">
        <v>413</v>
      </c>
      <c r="M837" s="20">
        <f>IF($B837="","",COUNTIFS('Blocker log'!$A:$A,$B837,'Blocker log'!$G:$G,"&lt;&gt;"))</f>
        <v>0</v>
      </c>
      <c r="N837" s="20">
        <f>IF($B837="","",COUNTIFS('Blocker log'!$A:$A,$B837,'Blocker log'!$G:$G,"Hard blocker"))</f>
        <v>0</v>
      </c>
      <c r="O837" s="20">
        <f>IF($B837="","",COUNTIFS('Blocker log'!$A:$A,$B837,'Blocker log'!$G:$G,"Hard blocker",'Blocker log'!$L:$L,9))</f>
        <v>0</v>
      </c>
      <c r="P837" s="20">
        <f>IF($B837="","",MAXIFS('Blocker log'!$L:$L,'Blocker log'!$A:$A,$B837,'Blocker log'!$G:$G,"Hard blocker"))</f>
        <v>0</v>
      </c>
      <c r="Q837" s="20" t="str">
        <f>IF($B837="","",IF($K837&lt;&gt;"Complete","Assessment pending",IF($N837=0,"Ready now",VLOOKUP($P837,Lists!$D$2:$E$5,2,FALSE))))</f>
        <v>Assessment pending</v>
      </c>
    </row>
    <row r="838" ht="15.75" customHeight="1">
      <c r="A838" s="35" t="s">
        <v>2296</v>
      </c>
      <c r="B838" s="35" t="s">
        <v>2297</v>
      </c>
      <c r="C838" s="35" t="s">
        <v>1286</v>
      </c>
      <c r="D838" s="35" t="s">
        <v>58</v>
      </c>
      <c r="E838" s="35" t="s">
        <v>94</v>
      </c>
      <c r="F838" s="35" t="s">
        <v>94</v>
      </c>
      <c r="G838" s="35" t="s">
        <v>1042</v>
      </c>
      <c r="H838" s="76">
        <v>30240.0</v>
      </c>
      <c r="I838" s="35" t="s">
        <v>445</v>
      </c>
      <c r="M838" s="20">
        <f>IF($B838="","",COUNTIFS('Blocker log'!$A:$A,$B838,'Blocker log'!$G:$G,"&lt;&gt;"))</f>
        <v>0</v>
      </c>
      <c r="N838" s="20">
        <f>IF($B838="","",COUNTIFS('Blocker log'!$A:$A,$B838,'Blocker log'!$G:$G,"Hard blocker"))</f>
        <v>0</v>
      </c>
      <c r="O838" s="20">
        <f>IF($B838="","",COUNTIFS('Blocker log'!$A:$A,$B838,'Blocker log'!$G:$G,"Hard blocker",'Blocker log'!$L:$L,9))</f>
        <v>0</v>
      </c>
      <c r="P838" s="20">
        <f>IF($B838="","",MAXIFS('Blocker log'!$L:$L,'Blocker log'!$A:$A,$B838,'Blocker log'!$G:$G,"Hard blocker"))</f>
        <v>0</v>
      </c>
      <c r="Q838" s="20" t="str">
        <f>IF($B838="","",IF($K838&lt;&gt;"Complete","Assessment pending",IF($N838=0,"Ready now",VLOOKUP($P838,Lists!$D$2:$E$5,2,FALSE))))</f>
        <v>Assessment pending</v>
      </c>
    </row>
    <row r="839" ht="15.75" customHeight="1">
      <c r="A839" s="35" t="s">
        <v>2298</v>
      </c>
      <c r="B839" s="35" t="s">
        <v>2299</v>
      </c>
      <c r="C839" s="35" t="s">
        <v>1286</v>
      </c>
      <c r="D839" s="35" t="s">
        <v>260</v>
      </c>
      <c r="E839" s="35" t="s">
        <v>1096</v>
      </c>
      <c r="F839" s="35" t="s">
        <v>1366</v>
      </c>
      <c r="G839" s="35" t="s">
        <v>1161</v>
      </c>
      <c r="H839" s="76">
        <v>30202.0</v>
      </c>
      <c r="I839" s="35"/>
      <c r="M839" s="20">
        <f>IF($B839="","",COUNTIFS('Blocker log'!$A:$A,$B839,'Blocker log'!$G:$G,"&lt;&gt;"))</f>
        <v>0</v>
      </c>
      <c r="N839" s="20">
        <f>IF($B839="","",COUNTIFS('Blocker log'!$A:$A,$B839,'Blocker log'!$G:$G,"Hard blocker"))</f>
        <v>0</v>
      </c>
      <c r="O839" s="20">
        <f>IF($B839="","",COUNTIFS('Blocker log'!$A:$A,$B839,'Blocker log'!$G:$G,"Hard blocker",'Blocker log'!$L:$L,9))</f>
        <v>0</v>
      </c>
      <c r="P839" s="20">
        <f>IF($B839="","",MAXIFS('Blocker log'!$L:$L,'Blocker log'!$A:$A,$B839,'Blocker log'!$G:$G,"Hard blocker"))</f>
        <v>0</v>
      </c>
      <c r="Q839" s="20" t="str">
        <f>IF($B839="","",IF($K839&lt;&gt;"Complete","Assessment pending",IF($N839=0,"Ready now",VLOOKUP($P839,Lists!$D$2:$E$5,2,FALSE))))</f>
        <v>Assessment pending</v>
      </c>
    </row>
    <row r="840" ht="15.75" customHeight="1">
      <c r="A840" s="35" t="s">
        <v>2300</v>
      </c>
      <c r="B840" s="35" t="s">
        <v>2301</v>
      </c>
      <c r="C840" s="35" t="s">
        <v>1286</v>
      </c>
      <c r="D840" s="35" t="s">
        <v>171</v>
      </c>
      <c r="E840" s="35" t="s">
        <v>713</v>
      </c>
      <c r="F840" s="35" t="s">
        <v>714</v>
      </c>
      <c r="G840" s="35" t="s">
        <v>1161</v>
      </c>
      <c r="H840" s="76">
        <v>30085.0</v>
      </c>
      <c r="I840" s="35" t="s">
        <v>424</v>
      </c>
      <c r="M840" s="20">
        <f>IF($B840="","",COUNTIFS('Blocker log'!$A:$A,$B840,'Blocker log'!$G:$G,"&lt;&gt;"))</f>
        <v>0</v>
      </c>
      <c r="N840" s="20">
        <f>IF($B840="","",COUNTIFS('Blocker log'!$A:$A,$B840,'Blocker log'!$G:$G,"Hard blocker"))</f>
        <v>0</v>
      </c>
      <c r="O840" s="20">
        <f>IF($B840="","",COUNTIFS('Blocker log'!$A:$A,$B840,'Blocker log'!$G:$G,"Hard blocker",'Blocker log'!$L:$L,9))</f>
        <v>0</v>
      </c>
      <c r="P840" s="20">
        <f>IF($B840="","",MAXIFS('Blocker log'!$L:$L,'Blocker log'!$A:$A,$B840,'Blocker log'!$G:$G,"Hard blocker"))</f>
        <v>0</v>
      </c>
      <c r="Q840" s="20" t="str">
        <f>IF($B840="","",IF($K840&lt;&gt;"Complete","Assessment pending",IF($N840=0,"Ready now",VLOOKUP($P840,Lists!$D$2:$E$5,2,FALSE))))</f>
        <v>Assessment pending</v>
      </c>
    </row>
    <row r="841" ht="15.75" customHeight="1">
      <c r="A841" s="35" t="s">
        <v>2302</v>
      </c>
      <c r="B841" s="35" t="s">
        <v>2303</v>
      </c>
      <c r="C841" s="35" t="s">
        <v>76</v>
      </c>
      <c r="D841" s="35" t="s">
        <v>260</v>
      </c>
      <c r="E841" s="35" t="s">
        <v>530</v>
      </c>
      <c r="F841" s="35" t="s">
        <v>1493</v>
      </c>
      <c r="G841" s="35" t="s">
        <v>999</v>
      </c>
      <c r="H841" s="76">
        <v>30000.0</v>
      </c>
      <c r="I841" s="35"/>
      <c r="M841" s="20">
        <f>IF($B841="","",COUNTIFS('Blocker log'!$A:$A,$B841,'Blocker log'!$G:$G,"&lt;&gt;"))</f>
        <v>0</v>
      </c>
      <c r="N841" s="20">
        <f>IF($B841="","",COUNTIFS('Blocker log'!$A:$A,$B841,'Blocker log'!$G:$G,"Hard blocker"))</f>
        <v>0</v>
      </c>
      <c r="O841" s="20">
        <f>IF($B841="","",COUNTIFS('Blocker log'!$A:$A,$B841,'Blocker log'!$G:$G,"Hard blocker",'Blocker log'!$L:$L,9))</f>
        <v>0</v>
      </c>
      <c r="P841" s="20">
        <f>IF($B841="","",MAXIFS('Blocker log'!$L:$L,'Blocker log'!$A:$A,$B841,'Blocker log'!$G:$G,"Hard blocker"))</f>
        <v>0</v>
      </c>
      <c r="Q841" s="20" t="str">
        <f>IF($B841="","",IF($K841&lt;&gt;"Complete","Assessment pending",IF($N841=0,"Ready now",VLOOKUP($P841,Lists!$D$2:$E$5,2,FALSE))))</f>
        <v>Assessment pending</v>
      </c>
    </row>
    <row r="842" ht="15.75" customHeight="1">
      <c r="A842" s="35" t="s">
        <v>2304</v>
      </c>
      <c r="B842" s="35" t="s">
        <v>2305</v>
      </c>
      <c r="C842" s="35" t="s">
        <v>1286</v>
      </c>
      <c r="D842" s="35" t="s">
        <v>58</v>
      </c>
      <c r="E842" s="35" t="s">
        <v>101</v>
      </c>
      <c r="F842" s="35" t="s">
        <v>554</v>
      </c>
      <c r="G842" s="35" t="s">
        <v>1161</v>
      </c>
      <c r="H842" s="76">
        <v>29936.0</v>
      </c>
      <c r="I842" s="35"/>
      <c r="M842" s="20">
        <f>IF($B842="","",COUNTIFS('Blocker log'!$A:$A,$B842,'Blocker log'!$G:$G,"&lt;&gt;"))</f>
        <v>0</v>
      </c>
      <c r="N842" s="20">
        <f>IF($B842="","",COUNTIFS('Blocker log'!$A:$A,$B842,'Blocker log'!$G:$G,"Hard blocker"))</f>
        <v>0</v>
      </c>
      <c r="O842" s="20">
        <f>IF($B842="","",COUNTIFS('Blocker log'!$A:$A,$B842,'Blocker log'!$G:$G,"Hard blocker",'Blocker log'!$L:$L,9))</f>
        <v>0</v>
      </c>
      <c r="P842" s="20">
        <f>IF($B842="","",MAXIFS('Blocker log'!$L:$L,'Blocker log'!$A:$A,$B842,'Blocker log'!$G:$G,"Hard blocker"))</f>
        <v>0</v>
      </c>
      <c r="Q842" s="20" t="str">
        <f>IF($B842="","",IF($K842&lt;&gt;"Complete","Assessment pending",IF($N842=0,"Ready now",VLOOKUP($P842,Lists!$D$2:$E$5,2,FALSE))))</f>
        <v>Assessment pending</v>
      </c>
    </row>
    <row r="843" ht="15.75" customHeight="1">
      <c r="A843" s="35" t="s">
        <v>2306</v>
      </c>
      <c r="B843" s="35" t="s">
        <v>2307</v>
      </c>
      <c r="C843" s="35" t="s">
        <v>1286</v>
      </c>
      <c r="D843" s="35" t="s">
        <v>260</v>
      </c>
      <c r="E843" s="35" t="s">
        <v>1096</v>
      </c>
      <c r="F843" s="35" t="s">
        <v>1097</v>
      </c>
      <c r="G843" s="35" t="s">
        <v>1161</v>
      </c>
      <c r="H843" s="76">
        <v>29934.0</v>
      </c>
      <c r="I843" s="35" t="s">
        <v>416</v>
      </c>
      <c r="M843" s="20">
        <f>IF($B843="","",COUNTIFS('Blocker log'!$A:$A,$B843,'Blocker log'!$G:$G,"&lt;&gt;"))</f>
        <v>0</v>
      </c>
      <c r="N843" s="20">
        <f>IF($B843="","",COUNTIFS('Blocker log'!$A:$A,$B843,'Blocker log'!$G:$G,"Hard blocker"))</f>
        <v>0</v>
      </c>
      <c r="O843" s="20">
        <f>IF($B843="","",COUNTIFS('Blocker log'!$A:$A,$B843,'Blocker log'!$G:$G,"Hard blocker",'Blocker log'!$L:$L,9))</f>
        <v>0</v>
      </c>
      <c r="P843" s="20">
        <f>IF($B843="","",MAXIFS('Blocker log'!$L:$L,'Blocker log'!$A:$A,$B843,'Blocker log'!$G:$G,"Hard blocker"))</f>
        <v>0</v>
      </c>
      <c r="Q843" s="20" t="str">
        <f>IF($B843="","",IF($K843&lt;&gt;"Complete","Assessment pending",IF($N843=0,"Ready now",VLOOKUP($P843,Lists!$D$2:$E$5,2,FALSE))))</f>
        <v>Assessment pending</v>
      </c>
    </row>
    <row r="844" ht="15.75" customHeight="1">
      <c r="A844" s="35" t="s">
        <v>2308</v>
      </c>
      <c r="B844" s="35" t="s">
        <v>2309</v>
      </c>
      <c r="C844" s="35" t="s">
        <v>1286</v>
      </c>
      <c r="D844" s="35" t="s">
        <v>260</v>
      </c>
      <c r="E844" s="35" t="s">
        <v>506</v>
      </c>
      <c r="F844" s="35" t="s">
        <v>708</v>
      </c>
      <c r="G844" s="35" t="s">
        <v>1161</v>
      </c>
      <c r="H844" s="76">
        <v>29918.0</v>
      </c>
      <c r="I844" s="35" t="s">
        <v>417</v>
      </c>
      <c r="M844" s="20">
        <f>IF($B844="","",COUNTIFS('Blocker log'!$A:$A,$B844,'Blocker log'!$G:$G,"&lt;&gt;"))</f>
        <v>0</v>
      </c>
      <c r="N844" s="20">
        <f>IF($B844="","",COUNTIFS('Blocker log'!$A:$A,$B844,'Blocker log'!$G:$G,"Hard blocker"))</f>
        <v>0</v>
      </c>
      <c r="O844" s="20">
        <f>IF($B844="","",COUNTIFS('Blocker log'!$A:$A,$B844,'Blocker log'!$G:$G,"Hard blocker",'Blocker log'!$L:$L,9))</f>
        <v>0</v>
      </c>
      <c r="P844" s="20">
        <f>IF($B844="","",MAXIFS('Blocker log'!$L:$L,'Blocker log'!$A:$A,$B844,'Blocker log'!$G:$G,"Hard blocker"))</f>
        <v>0</v>
      </c>
      <c r="Q844" s="20" t="str">
        <f>IF($B844="","",IF($K844&lt;&gt;"Complete","Assessment pending",IF($N844=0,"Ready now",VLOOKUP($P844,Lists!$D$2:$E$5,2,FALSE))))</f>
        <v>Assessment pending</v>
      </c>
    </row>
    <row r="845" ht="15.75" customHeight="1">
      <c r="A845" s="35" t="s">
        <v>2310</v>
      </c>
      <c r="B845" s="35" t="s">
        <v>2311</v>
      </c>
      <c r="C845" s="35" t="s">
        <v>1286</v>
      </c>
      <c r="D845" s="35" t="s">
        <v>260</v>
      </c>
      <c r="E845" s="35" t="s">
        <v>576</v>
      </c>
      <c r="F845" s="35" t="s">
        <v>577</v>
      </c>
      <c r="G845" s="35" t="s">
        <v>1161</v>
      </c>
      <c r="H845" s="76">
        <v>29845.0</v>
      </c>
      <c r="I845" s="35" t="s">
        <v>403</v>
      </c>
      <c r="M845" s="20">
        <f>IF($B845="","",COUNTIFS('Blocker log'!$A:$A,$B845,'Blocker log'!$G:$G,"&lt;&gt;"))</f>
        <v>0</v>
      </c>
      <c r="N845" s="20">
        <f>IF($B845="","",COUNTIFS('Blocker log'!$A:$A,$B845,'Blocker log'!$G:$G,"Hard blocker"))</f>
        <v>0</v>
      </c>
      <c r="O845" s="20">
        <f>IF($B845="","",COUNTIFS('Blocker log'!$A:$A,$B845,'Blocker log'!$G:$G,"Hard blocker",'Blocker log'!$L:$L,9))</f>
        <v>0</v>
      </c>
      <c r="P845" s="20">
        <f>IF($B845="","",MAXIFS('Blocker log'!$L:$L,'Blocker log'!$A:$A,$B845,'Blocker log'!$G:$G,"Hard blocker"))</f>
        <v>0</v>
      </c>
      <c r="Q845" s="20" t="str">
        <f>IF($B845="","",IF($K845&lt;&gt;"Complete","Assessment pending",IF($N845=0,"Ready now",VLOOKUP($P845,Lists!$D$2:$E$5,2,FALSE))))</f>
        <v>Assessment pending</v>
      </c>
    </row>
    <row r="846" ht="15.75" customHeight="1">
      <c r="A846" s="35" t="s">
        <v>2312</v>
      </c>
      <c r="B846" s="35" t="s">
        <v>2313</v>
      </c>
      <c r="C846" s="35" t="s">
        <v>1286</v>
      </c>
      <c r="D846" s="35" t="s">
        <v>301</v>
      </c>
      <c r="E846" s="35" t="s">
        <v>593</v>
      </c>
      <c r="F846" s="35" t="s">
        <v>593</v>
      </c>
      <c r="G846" s="35" t="s">
        <v>1161</v>
      </c>
      <c r="H846" s="76">
        <v>29769.0</v>
      </c>
      <c r="I846" s="35"/>
      <c r="M846" s="20">
        <f>IF($B846="","",COUNTIFS('Blocker log'!$A:$A,$B846,'Blocker log'!$G:$G,"&lt;&gt;"))</f>
        <v>0</v>
      </c>
      <c r="N846" s="20">
        <f>IF($B846="","",COUNTIFS('Blocker log'!$A:$A,$B846,'Blocker log'!$G:$G,"Hard blocker"))</f>
        <v>0</v>
      </c>
      <c r="O846" s="20">
        <f>IF($B846="","",COUNTIFS('Blocker log'!$A:$A,$B846,'Blocker log'!$G:$G,"Hard blocker",'Blocker log'!$L:$L,9))</f>
        <v>0</v>
      </c>
      <c r="P846" s="20">
        <f>IF($B846="","",MAXIFS('Blocker log'!$L:$L,'Blocker log'!$A:$A,$B846,'Blocker log'!$G:$G,"Hard blocker"))</f>
        <v>0</v>
      </c>
      <c r="Q846" s="20" t="str">
        <f>IF($B846="","",IF($K846&lt;&gt;"Complete","Assessment pending",IF($N846=0,"Ready now",VLOOKUP($P846,Lists!$D$2:$E$5,2,FALSE))))</f>
        <v>Assessment pending</v>
      </c>
    </row>
    <row r="847" ht="15.75" customHeight="1">
      <c r="A847" s="35" t="s">
        <v>2314</v>
      </c>
      <c r="B847" s="35" t="s">
        <v>2315</v>
      </c>
      <c r="C847" s="35" t="s">
        <v>1286</v>
      </c>
      <c r="D847" s="35" t="s">
        <v>301</v>
      </c>
      <c r="E847" s="35" t="s">
        <v>593</v>
      </c>
      <c r="F847" s="35" t="s">
        <v>593</v>
      </c>
      <c r="G847" s="35" t="s">
        <v>1161</v>
      </c>
      <c r="H847" s="76">
        <v>29565.0</v>
      </c>
      <c r="I847" s="35" t="s">
        <v>410</v>
      </c>
      <c r="M847" s="20">
        <f>IF($B847="","",COUNTIFS('Blocker log'!$A:$A,$B847,'Blocker log'!$G:$G,"&lt;&gt;"))</f>
        <v>0</v>
      </c>
      <c r="N847" s="20">
        <f>IF($B847="","",COUNTIFS('Blocker log'!$A:$A,$B847,'Blocker log'!$G:$G,"Hard blocker"))</f>
        <v>0</v>
      </c>
      <c r="O847" s="20">
        <f>IF($B847="","",COUNTIFS('Blocker log'!$A:$A,$B847,'Blocker log'!$G:$G,"Hard blocker",'Blocker log'!$L:$L,9))</f>
        <v>0</v>
      </c>
      <c r="P847" s="20">
        <f>IF($B847="","",MAXIFS('Blocker log'!$L:$L,'Blocker log'!$A:$A,$B847,'Blocker log'!$G:$G,"Hard blocker"))</f>
        <v>0</v>
      </c>
      <c r="Q847" s="20" t="str">
        <f>IF($B847="","",IF($K847&lt;&gt;"Complete","Assessment pending",IF($N847=0,"Ready now",VLOOKUP($P847,Lists!$D$2:$E$5,2,FALSE))))</f>
        <v>Assessment pending</v>
      </c>
    </row>
    <row r="848" ht="15.75" customHeight="1">
      <c r="A848" s="35" t="s">
        <v>2316</v>
      </c>
      <c r="B848" s="35" t="s">
        <v>2317</v>
      </c>
      <c r="C848" s="35" t="s">
        <v>1286</v>
      </c>
      <c r="D848" s="35" t="s">
        <v>260</v>
      </c>
      <c r="E848" s="35" t="s">
        <v>530</v>
      </c>
      <c r="F848" s="35" t="s">
        <v>531</v>
      </c>
      <c r="G848" s="35" t="s">
        <v>1161</v>
      </c>
      <c r="H848" s="76">
        <v>29412.0</v>
      </c>
      <c r="I848" s="35"/>
      <c r="M848" s="20">
        <f>IF($B848="","",COUNTIFS('Blocker log'!$A:$A,$B848,'Blocker log'!$G:$G,"&lt;&gt;"))</f>
        <v>0</v>
      </c>
      <c r="N848" s="20">
        <f>IF($B848="","",COUNTIFS('Blocker log'!$A:$A,$B848,'Blocker log'!$G:$G,"Hard blocker"))</f>
        <v>0</v>
      </c>
      <c r="O848" s="20">
        <f>IF($B848="","",COUNTIFS('Blocker log'!$A:$A,$B848,'Blocker log'!$G:$G,"Hard blocker",'Blocker log'!$L:$L,9))</f>
        <v>0</v>
      </c>
      <c r="P848" s="20">
        <f>IF($B848="","",MAXIFS('Blocker log'!$L:$L,'Blocker log'!$A:$A,$B848,'Blocker log'!$G:$G,"Hard blocker"))</f>
        <v>0</v>
      </c>
      <c r="Q848" s="20" t="str">
        <f>IF($B848="","",IF($K848&lt;&gt;"Complete","Assessment pending",IF($N848=0,"Ready now",VLOOKUP($P848,Lists!$D$2:$E$5,2,FALSE))))</f>
        <v>Assessment pending</v>
      </c>
    </row>
    <row r="849" ht="15.75" customHeight="1">
      <c r="A849" s="35" t="s">
        <v>2318</v>
      </c>
      <c r="B849" s="35" t="s">
        <v>2319</v>
      </c>
      <c r="C849" s="35" t="s">
        <v>1286</v>
      </c>
      <c r="D849" s="35" t="s">
        <v>171</v>
      </c>
      <c r="E849" s="35" t="s">
        <v>760</v>
      </c>
      <c r="F849" s="35" t="s">
        <v>1178</v>
      </c>
      <c r="G849" s="35" t="s">
        <v>1161</v>
      </c>
      <c r="H849" s="76">
        <v>29339.0</v>
      </c>
      <c r="I849" s="35"/>
      <c r="M849" s="20">
        <f>IF($B849="","",COUNTIFS('Blocker log'!$A:$A,$B849,'Blocker log'!$G:$G,"&lt;&gt;"))</f>
        <v>0</v>
      </c>
      <c r="N849" s="20">
        <f>IF($B849="","",COUNTIFS('Blocker log'!$A:$A,$B849,'Blocker log'!$G:$G,"Hard blocker"))</f>
        <v>0</v>
      </c>
      <c r="O849" s="20">
        <f>IF($B849="","",COUNTIFS('Blocker log'!$A:$A,$B849,'Blocker log'!$G:$G,"Hard blocker",'Blocker log'!$L:$L,9))</f>
        <v>0</v>
      </c>
      <c r="P849" s="20">
        <f>IF($B849="","",MAXIFS('Blocker log'!$L:$L,'Blocker log'!$A:$A,$B849,'Blocker log'!$G:$G,"Hard blocker"))</f>
        <v>0</v>
      </c>
      <c r="Q849" s="20" t="str">
        <f>IF($B849="","",IF($K849&lt;&gt;"Complete","Assessment pending",IF($N849=0,"Ready now",VLOOKUP($P849,Lists!$D$2:$E$5,2,FALSE))))</f>
        <v>Assessment pending</v>
      </c>
    </row>
    <row r="850" ht="15.75" customHeight="1">
      <c r="A850" s="35" t="s">
        <v>2320</v>
      </c>
      <c r="B850" s="35" t="s">
        <v>2321</v>
      </c>
      <c r="C850" s="35" t="s">
        <v>1286</v>
      </c>
      <c r="D850" s="35" t="s">
        <v>301</v>
      </c>
      <c r="E850" s="35" t="s">
        <v>490</v>
      </c>
      <c r="F850" s="35" t="s">
        <v>490</v>
      </c>
      <c r="G850" s="35" t="s">
        <v>1161</v>
      </c>
      <c r="H850" s="76">
        <v>29295.0</v>
      </c>
      <c r="I850" s="35"/>
      <c r="M850" s="20">
        <f>IF($B850="","",COUNTIFS('Blocker log'!$A:$A,$B850,'Blocker log'!$G:$G,"&lt;&gt;"))</f>
        <v>0</v>
      </c>
      <c r="N850" s="20">
        <f>IF($B850="","",COUNTIFS('Blocker log'!$A:$A,$B850,'Blocker log'!$G:$G,"Hard blocker"))</f>
        <v>0</v>
      </c>
      <c r="O850" s="20">
        <f>IF($B850="","",COUNTIFS('Blocker log'!$A:$A,$B850,'Blocker log'!$G:$G,"Hard blocker",'Blocker log'!$L:$L,9))</f>
        <v>0</v>
      </c>
      <c r="P850" s="20">
        <f>IF($B850="","",MAXIFS('Blocker log'!$L:$L,'Blocker log'!$A:$A,$B850,'Blocker log'!$G:$G,"Hard blocker"))</f>
        <v>0</v>
      </c>
      <c r="Q850" s="20" t="str">
        <f>IF($B850="","",IF($K850&lt;&gt;"Complete","Assessment pending",IF($N850=0,"Ready now",VLOOKUP($P850,Lists!$D$2:$E$5,2,FALSE))))</f>
        <v>Assessment pending</v>
      </c>
    </row>
    <row r="851" ht="15.75" customHeight="1">
      <c r="A851" s="35" t="s">
        <v>2322</v>
      </c>
      <c r="B851" s="35" t="s">
        <v>2323</v>
      </c>
      <c r="C851" s="35" t="s">
        <v>1286</v>
      </c>
      <c r="D851" s="35" t="s">
        <v>171</v>
      </c>
      <c r="E851" s="35" t="s">
        <v>542</v>
      </c>
      <c r="F851" s="35" t="s">
        <v>543</v>
      </c>
      <c r="G851" s="35" t="s">
        <v>1161</v>
      </c>
      <c r="H851" s="76">
        <v>29196.0</v>
      </c>
      <c r="I851" s="35"/>
      <c r="M851" s="20">
        <f>IF($B851="","",COUNTIFS('Blocker log'!$A:$A,$B851,'Blocker log'!$G:$G,"&lt;&gt;"))</f>
        <v>0</v>
      </c>
      <c r="N851" s="20">
        <f>IF($B851="","",COUNTIFS('Blocker log'!$A:$A,$B851,'Blocker log'!$G:$G,"Hard blocker"))</f>
        <v>0</v>
      </c>
      <c r="O851" s="20">
        <f>IF($B851="","",COUNTIFS('Blocker log'!$A:$A,$B851,'Blocker log'!$G:$G,"Hard blocker",'Blocker log'!$L:$L,9))</f>
        <v>0</v>
      </c>
      <c r="P851" s="20">
        <f>IF($B851="","",MAXIFS('Blocker log'!$L:$L,'Blocker log'!$A:$A,$B851,'Blocker log'!$G:$G,"Hard blocker"))</f>
        <v>0</v>
      </c>
      <c r="Q851" s="20" t="str">
        <f>IF($B851="","",IF($K851&lt;&gt;"Complete","Assessment pending",IF($N851=0,"Ready now",VLOOKUP($P851,Lists!$D$2:$E$5,2,FALSE))))</f>
        <v>Assessment pending</v>
      </c>
    </row>
    <row r="852" ht="15.75" customHeight="1">
      <c r="A852" s="35" t="s">
        <v>2324</v>
      </c>
      <c r="B852" s="35" t="s">
        <v>2325</v>
      </c>
      <c r="C852" s="35" t="s">
        <v>1286</v>
      </c>
      <c r="D852" s="35" t="s">
        <v>171</v>
      </c>
      <c r="E852" s="35" t="s">
        <v>205</v>
      </c>
      <c r="F852" s="35" t="s">
        <v>916</v>
      </c>
      <c r="G852" s="35" t="s">
        <v>1161</v>
      </c>
      <c r="H852" s="76">
        <v>29194.0</v>
      </c>
      <c r="I852" s="35"/>
      <c r="M852" s="20">
        <f>IF($B852="","",COUNTIFS('Blocker log'!$A:$A,$B852,'Blocker log'!$G:$G,"&lt;&gt;"))</f>
        <v>0</v>
      </c>
      <c r="N852" s="20">
        <f>IF($B852="","",COUNTIFS('Blocker log'!$A:$A,$B852,'Blocker log'!$G:$G,"Hard blocker"))</f>
        <v>0</v>
      </c>
      <c r="O852" s="20">
        <f>IF($B852="","",COUNTIFS('Blocker log'!$A:$A,$B852,'Blocker log'!$G:$G,"Hard blocker",'Blocker log'!$L:$L,9))</f>
        <v>0</v>
      </c>
      <c r="P852" s="20">
        <f>IF($B852="","",MAXIFS('Blocker log'!$L:$L,'Blocker log'!$A:$A,$B852,'Blocker log'!$G:$G,"Hard blocker"))</f>
        <v>0</v>
      </c>
      <c r="Q852" s="20" t="str">
        <f>IF($B852="","",IF($K852&lt;&gt;"Complete","Assessment pending",IF($N852=0,"Ready now",VLOOKUP($P852,Lists!$D$2:$E$5,2,FALSE))))</f>
        <v>Assessment pending</v>
      </c>
    </row>
    <row r="853" ht="15.75" customHeight="1">
      <c r="A853" s="35" t="s">
        <v>2326</v>
      </c>
      <c r="B853" s="35" t="s">
        <v>2327</v>
      </c>
      <c r="C853" s="35" t="s">
        <v>1286</v>
      </c>
      <c r="D853" s="35" t="s">
        <v>171</v>
      </c>
      <c r="E853" s="35" t="s">
        <v>205</v>
      </c>
      <c r="F853" s="35" t="s">
        <v>916</v>
      </c>
      <c r="G853" s="35" t="s">
        <v>1161</v>
      </c>
      <c r="H853" s="76">
        <v>29174.0</v>
      </c>
      <c r="I853" s="35"/>
      <c r="M853" s="20">
        <f>IF($B853="","",COUNTIFS('Blocker log'!$A:$A,$B853,'Blocker log'!$G:$G,"&lt;&gt;"))</f>
        <v>0</v>
      </c>
      <c r="N853" s="20">
        <f>IF($B853="","",COUNTIFS('Blocker log'!$A:$A,$B853,'Blocker log'!$G:$G,"Hard blocker"))</f>
        <v>0</v>
      </c>
      <c r="O853" s="20">
        <f>IF($B853="","",COUNTIFS('Blocker log'!$A:$A,$B853,'Blocker log'!$G:$G,"Hard blocker",'Blocker log'!$L:$L,9))</f>
        <v>0</v>
      </c>
      <c r="P853" s="20">
        <f>IF($B853="","",MAXIFS('Blocker log'!$L:$L,'Blocker log'!$A:$A,$B853,'Blocker log'!$G:$G,"Hard blocker"))</f>
        <v>0</v>
      </c>
      <c r="Q853" s="20" t="str">
        <f>IF($B853="","",IF($K853&lt;&gt;"Complete","Assessment pending",IF($N853=0,"Ready now",VLOOKUP($P853,Lists!$D$2:$E$5,2,FALSE))))</f>
        <v>Assessment pending</v>
      </c>
    </row>
    <row r="854" ht="15.75" customHeight="1">
      <c r="A854" s="35" t="s">
        <v>2328</v>
      </c>
      <c r="B854" s="35" t="s">
        <v>2329</v>
      </c>
      <c r="C854" s="35" t="s">
        <v>1286</v>
      </c>
      <c r="D854" s="35" t="s">
        <v>171</v>
      </c>
      <c r="E854" s="35" t="s">
        <v>668</v>
      </c>
      <c r="F854" s="35" t="s">
        <v>1634</v>
      </c>
      <c r="G854" s="35" t="s">
        <v>1161</v>
      </c>
      <c r="H854" s="76">
        <v>29059.0</v>
      </c>
      <c r="I854" s="35" t="s">
        <v>424</v>
      </c>
      <c r="M854" s="20">
        <f>IF($B854="","",COUNTIFS('Blocker log'!$A:$A,$B854,'Blocker log'!$G:$G,"&lt;&gt;"))</f>
        <v>0</v>
      </c>
      <c r="N854" s="20">
        <f>IF($B854="","",COUNTIFS('Blocker log'!$A:$A,$B854,'Blocker log'!$G:$G,"Hard blocker"))</f>
        <v>0</v>
      </c>
      <c r="O854" s="20">
        <f>IF($B854="","",COUNTIFS('Blocker log'!$A:$A,$B854,'Blocker log'!$G:$G,"Hard blocker",'Blocker log'!$L:$L,9))</f>
        <v>0</v>
      </c>
      <c r="P854" s="20">
        <f>IF($B854="","",MAXIFS('Blocker log'!$L:$L,'Blocker log'!$A:$A,$B854,'Blocker log'!$G:$G,"Hard blocker"))</f>
        <v>0</v>
      </c>
      <c r="Q854" s="20" t="str">
        <f>IF($B854="","",IF($K854&lt;&gt;"Complete","Assessment pending",IF($N854=0,"Ready now",VLOOKUP($P854,Lists!$D$2:$E$5,2,FALSE))))</f>
        <v>Assessment pending</v>
      </c>
    </row>
    <row r="855" ht="15.75" customHeight="1">
      <c r="A855" s="35" t="s">
        <v>2330</v>
      </c>
      <c r="B855" s="35" t="s">
        <v>2331</v>
      </c>
      <c r="C855" s="35" t="s">
        <v>1286</v>
      </c>
      <c r="D855" s="35" t="s">
        <v>260</v>
      </c>
      <c r="E855" s="35" t="s">
        <v>351</v>
      </c>
      <c r="F855" s="35" t="s">
        <v>1906</v>
      </c>
      <c r="G855" s="35" t="s">
        <v>1161</v>
      </c>
      <c r="H855" s="76">
        <v>28996.0</v>
      </c>
      <c r="I855" s="35" t="s">
        <v>430</v>
      </c>
      <c r="M855" s="20">
        <f>IF($B855="","",COUNTIFS('Blocker log'!$A:$A,$B855,'Blocker log'!$G:$G,"&lt;&gt;"))</f>
        <v>0</v>
      </c>
      <c r="N855" s="20">
        <f>IF($B855="","",COUNTIFS('Blocker log'!$A:$A,$B855,'Blocker log'!$G:$G,"Hard blocker"))</f>
        <v>0</v>
      </c>
      <c r="O855" s="20">
        <f>IF($B855="","",COUNTIFS('Blocker log'!$A:$A,$B855,'Blocker log'!$G:$G,"Hard blocker",'Blocker log'!$L:$L,9))</f>
        <v>0</v>
      </c>
      <c r="P855" s="20">
        <f>IF($B855="","",MAXIFS('Blocker log'!$L:$L,'Blocker log'!$A:$A,$B855,'Blocker log'!$G:$G,"Hard blocker"))</f>
        <v>0</v>
      </c>
      <c r="Q855" s="20" t="str">
        <f>IF($B855="","",IF($K855&lt;&gt;"Complete","Assessment pending",IF($N855=0,"Ready now",VLOOKUP($P855,Lists!$D$2:$E$5,2,FALSE))))</f>
        <v>Assessment pending</v>
      </c>
    </row>
    <row r="856" ht="15.75" customHeight="1">
      <c r="A856" s="35" t="s">
        <v>2332</v>
      </c>
      <c r="B856" s="35" t="s">
        <v>2333</v>
      </c>
      <c r="C856" s="35" t="s">
        <v>1286</v>
      </c>
      <c r="D856" s="35" t="s">
        <v>58</v>
      </c>
      <c r="E856" s="35" t="s">
        <v>101</v>
      </c>
      <c r="F856" s="35" t="s">
        <v>554</v>
      </c>
      <c r="G856" s="35" t="s">
        <v>1161</v>
      </c>
      <c r="H856" s="76">
        <v>28800.0</v>
      </c>
      <c r="I856" s="35" t="s">
        <v>448</v>
      </c>
      <c r="M856" s="20">
        <f>IF($B856="","",COUNTIFS('Blocker log'!$A:$A,$B856,'Blocker log'!$G:$G,"&lt;&gt;"))</f>
        <v>0</v>
      </c>
      <c r="N856" s="20">
        <f>IF($B856="","",COUNTIFS('Blocker log'!$A:$A,$B856,'Blocker log'!$G:$G,"Hard blocker"))</f>
        <v>0</v>
      </c>
      <c r="O856" s="20">
        <f>IF($B856="","",COUNTIFS('Blocker log'!$A:$A,$B856,'Blocker log'!$G:$G,"Hard blocker",'Blocker log'!$L:$L,9))</f>
        <v>0</v>
      </c>
      <c r="P856" s="20">
        <f>IF($B856="","",MAXIFS('Blocker log'!$L:$L,'Blocker log'!$A:$A,$B856,'Blocker log'!$G:$G,"Hard blocker"))</f>
        <v>0</v>
      </c>
      <c r="Q856" s="20" t="str">
        <f>IF($B856="","",IF($K856&lt;&gt;"Complete","Assessment pending",IF($N856=0,"Ready now",VLOOKUP($P856,Lists!$D$2:$E$5,2,FALSE))))</f>
        <v>Assessment pending</v>
      </c>
    </row>
    <row r="857" ht="15.75" customHeight="1">
      <c r="A857" s="35" t="s">
        <v>2334</v>
      </c>
      <c r="B857" s="35" t="s">
        <v>2335</v>
      </c>
      <c r="C857" s="35" t="s">
        <v>1286</v>
      </c>
      <c r="D857" s="35" t="s">
        <v>260</v>
      </c>
      <c r="E857" s="35" t="s">
        <v>530</v>
      </c>
      <c r="F857" s="35" t="s">
        <v>795</v>
      </c>
      <c r="G857" s="35" t="s">
        <v>1161</v>
      </c>
      <c r="H857" s="76">
        <v>28750.0</v>
      </c>
      <c r="I857" s="35"/>
      <c r="M857" s="20">
        <f>IF($B857="","",COUNTIFS('Blocker log'!$A:$A,$B857,'Blocker log'!$G:$G,"&lt;&gt;"))</f>
        <v>0</v>
      </c>
      <c r="N857" s="20">
        <f>IF($B857="","",COUNTIFS('Blocker log'!$A:$A,$B857,'Blocker log'!$G:$G,"Hard blocker"))</f>
        <v>0</v>
      </c>
      <c r="O857" s="20">
        <f>IF($B857="","",COUNTIFS('Blocker log'!$A:$A,$B857,'Blocker log'!$G:$G,"Hard blocker",'Blocker log'!$L:$L,9))</f>
        <v>0</v>
      </c>
      <c r="P857" s="20">
        <f>IF($B857="","",MAXIFS('Blocker log'!$L:$L,'Blocker log'!$A:$A,$B857,'Blocker log'!$G:$G,"Hard blocker"))</f>
        <v>0</v>
      </c>
      <c r="Q857" s="20" t="str">
        <f>IF($B857="","",IF($K857&lt;&gt;"Complete","Assessment pending",IF($N857=0,"Ready now",VLOOKUP($P857,Lists!$D$2:$E$5,2,FALSE))))</f>
        <v>Assessment pending</v>
      </c>
    </row>
    <row r="858" ht="15.75" customHeight="1">
      <c r="A858" s="35" t="s">
        <v>2336</v>
      </c>
      <c r="B858" s="35" t="s">
        <v>2337</v>
      </c>
      <c r="C858" s="35" t="s">
        <v>1286</v>
      </c>
      <c r="D858" s="35" t="s">
        <v>260</v>
      </c>
      <c r="E858" s="35" t="s">
        <v>530</v>
      </c>
      <c r="F858" s="35" t="s">
        <v>1766</v>
      </c>
      <c r="G858" s="35" t="s">
        <v>1161</v>
      </c>
      <c r="H858" s="76">
        <v>28728.0</v>
      </c>
      <c r="I858" s="35" t="s">
        <v>441</v>
      </c>
      <c r="M858" s="20">
        <f>IF($B858="","",COUNTIFS('Blocker log'!$A:$A,$B858,'Blocker log'!$G:$G,"&lt;&gt;"))</f>
        <v>0</v>
      </c>
      <c r="N858" s="20">
        <f>IF($B858="","",COUNTIFS('Blocker log'!$A:$A,$B858,'Blocker log'!$G:$G,"Hard blocker"))</f>
        <v>0</v>
      </c>
      <c r="O858" s="20">
        <f>IF($B858="","",COUNTIFS('Blocker log'!$A:$A,$B858,'Blocker log'!$G:$G,"Hard blocker",'Blocker log'!$L:$L,9))</f>
        <v>0</v>
      </c>
      <c r="P858" s="20">
        <f>IF($B858="","",MAXIFS('Blocker log'!$L:$L,'Blocker log'!$A:$A,$B858,'Blocker log'!$G:$G,"Hard blocker"))</f>
        <v>0</v>
      </c>
      <c r="Q858" s="20" t="str">
        <f>IF($B858="","",IF($K858&lt;&gt;"Complete","Assessment pending",IF($N858=0,"Ready now",VLOOKUP($P858,Lists!$D$2:$E$5,2,FALSE))))</f>
        <v>Assessment pending</v>
      </c>
    </row>
    <row r="859" ht="15.75" customHeight="1">
      <c r="A859" s="35" t="s">
        <v>2338</v>
      </c>
      <c r="B859" s="35" t="s">
        <v>2339</v>
      </c>
      <c r="C859" s="35" t="s">
        <v>1286</v>
      </c>
      <c r="D859" s="35" t="s">
        <v>301</v>
      </c>
      <c r="E859" s="35" t="s">
        <v>490</v>
      </c>
      <c r="F859" s="35" t="s">
        <v>490</v>
      </c>
      <c r="G859" s="35" t="s">
        <v>1042</v>
      </c>
      <c r="H859" s="76">
        <v>28606.0</v>
      </c>
      <c r="I859" s="35"/>
      <c r="M859" s="20">
        <f>IF($B859="","",COUNTIFS('Blocker log'!$A:$A,$B859,'Blocker log'!$G:$G,"&lt;&gt;"))</f>
        <v>0</v>
      </c>
      <c r="N859" s="20">
        <f>IF($B859="","",COUNTIFS('Blocker log'!$A:$A,$B859,'Blocker log'!$G:$G,"Hard blocker"))</f>
        <v>0</v>
      </c>
      <c r="O859" s="20">
        <f>IF($B859="","",COUNTIFS('Blocker log'!$A:$A,$B859,'Blocker log'!$G:$G,"Hard blocker",'Blocker log'!$L:$L,9))</f>
        <v>0</v>
      </c>
      <c r="P859" s="20">
        <f>IF($B859="","",MAXIFS('Blocker log'!$L:$L,'Blocker log'!$A:$A,$B859,'Blocker log'!$G:$G,"Hard blocker"))</f>
        <v>0</v>
      </c>
      <c r="Q859" s="20" t="str">
        <f>IF($B859="","",IF($K859&lt;&gt;"Complete","Assessment pending",IF($N859=0,"Ready now",VLOOKUP($P859,Lists!$D$2:$E$5,2,FALSE))))</f>
        <v>Assessment pending</v>
      </c>
    </row>
    <row r="860" ht="15.75" customHeight="1">
      <c r="A860" s="35" t="s">
        <v>2340</v>
      </c>
      <c r="B860" s="35" t="s">
        <v>2341</v>
      </c>
      <c r="C860" s="35" t="s">
        <v>1286</v>
      </c>
      <c r="D860" s="35" t="s">
        <v>260</v>
      </c>
      <c r="E860" s="35" t="s">
        <v>576</v>
      </c>
      <c r="F860" s="35" t="s">
        <v>577</v>
      </c>
      <c r="G860" s="35" t="s">
        <v>1161</v>
      </c>
      <c r="H860" s="76">
        <v>28600.0</v>
      </c>
      <c r="I860" s="35" t="s">
        <v>403</v>
      </c>
      <c r="M860" s="20">
        <f>IF($B860="","",COUNTIFS('Blocker log'!$A:$A,$B860,'Blocker log'!$G:$G,"&lt;&gt;"))</f>
        <v>0</v>
      </c>
      <c r="N860" s="20">
        <f>IF($B860="","",COUNTIFS('Blocker log'!$A:$A,$B860,'Blocker log'!$G:$G,"Hard blocker"))</f>
        <v>0</v>
      </c>
      <c r="O860" s="20">
        <f>IF($B860="","",COUNTIFS('Blocker log'!$A:$A,$B860,'Blocker log'!$G:$G,"Hard blocker",'Blocker log'!$L:$L,9))</f>
        <v>0</v>
      </c>
      <c r="P860" s="20">
        <f>IF($B860="","",MAXIFS('Blocker log'!$L:$L,'Blocker log'!$A:$A,$B860,'Blocker log'!$G:$G,"Hard blocker"))</f>
        <v>0</v>
      </c>
      <c r="Q860" s="20" t="str">
        <f>IF($B860="","",IF($K860&lt;&gt;"Complete","Assessment pending",IF($N860=0,"Ready now",VLOOKUP($P860,Lists!$D$2:$E$5,2,FALSE))))</f>
        <v>Assessment pending</v>
      </c>
    </row>
    <row r="861" ht="15.75" customHeight="1">
      <c r="A861" s="35" t="s">
        <v>2342</v>
      </c>
      <c r="B861" s="35" t="s">
        <v>2343</v>
      </c>
      <c r="C861" s="35" t="s">
        <v>1286</v>
      </c>
      <c r="D861" s="35" t="s">
        <v>260</v>
      </c>
      <c r="E861" s="35" t="s">
        <v>1096</v>
      </c>
      <c r="F861" s="35" t="s">
        <v>1366</v>
      </c>
      <c r="G861" s="35" t="s">
        <v>1161</v>
      </c>
      <c r="H861" s="76">
        <v>28560.0</v>
      </c>
      <c r="I861" s="35" t="s">
        <v>429</v>
      </c>
      <c r="M861" s="20">
        <f>IF($B861="","",COUNTIFS('Blocker log'!$A:$A,$B861,'Blocker log'!$G:$G,"&lt;&gt;"))</f>
        <v>0</v>
      </c>
      <c r="N861" s="20">
        <f>IF($B861="","",COUNTIFS('Blocker log'!$A:$A,$B861,'Blocker log'!$G:$G,"Hard blocker"))</f>
        <v>0</v>
      </c>
      <c r="O861" s="20">
        <f>IF($B861="","",COUNTIFS('Blocker log'!$A:$A,$B861,'Blocker log'!$G:$G,"Hard blocker",'Blocker log'!$L:$L,9))</f>
        <v>0</v>
      </c>
      <c r="P861" s="20">
        <f>IF($B861="","",MAXIFS('Blocker log'!$L:$L,'Blocker log'!$A:$A,$B861,'Blocker log'!$G:$G,"Hard blocker"))</f>
        <v>0</v>
      </c>
      <c r="Q861" s="20" t="str">
        <f>IF($B861="","",IF($K861&lt;&gt;"Complete","Assessment pending",IF($N861=0,"Ready now",VLOOKUP($P861,Lists!$D$2:$E$5,2,FALSE))))</f>
        <v>Assessment pending</v>
      </c>
    </row>
    <row r="862" ht="15.75" customHeight="1">
      <c r="A862" s="35" t="s">
        <v>2344</v>
      </c>
      <c r="B862" s="35" t="s">
        <v>2345</v>
      </c>
      <c r="C862" s="35" t="s">
        <v>1286</v>
      </c>
      <c r="D862" s="35" t="s">
        <v>260</v>
      </c>
      <c r="E862" s="35" t="s">
        <v>1096</v>
      </c>
      <c r="F862" s="35" t="s">
        <v>1097</v>
      </c>
      <c r="G862" s="35" t="s">
        <v>1161</v>
      </c>
      <c r="H862" s="76">
        <v>28487.0</v>
      </c>
      <c r="I862" s="35" t="s">
        <v>416</v>
      </c>
      <c r="M862" s="20">
        <f>IF($B862="","",COUNTIFS('Blocker log'!$A:$A,$B862,'Blocker log'!$G:$G,"&lt;&gt;"))</f>
        <v>0</v>
      </c>
      <c r="N862" s="20">
        <f>IF($B862="","",COUNTIFS('Blocker log'!$A:$A,$B862,'Blocker log'!$G:$G,"Hard blocker"))</f>
        <v>0</v>
      </c>
      <c r="O862" s="20">
        <f>IF($B862="","",COUNTIFS('Blocker log'!$A:$A,$B862,'Blocker log'!$G:$G,"Hard blocker",'Blocker log'!$L:$L,9))</f>
        <v>0</v>
      </c>
      <c r="P862" s="20">
        <f>IF($B862="","",MAXIFS('Blocker log'!$L:$L,'Blocker log'!$A:$A,$B862,'Blocker log'!$G:$G,"Hard blocker"))</f>
        <v>0</v>
      </c>
      <c r="Q862" s="20" t="str">
        <f>IF($B862="","",IF($K862&lt;&gt;"Complete","Assessment pending",IF($N862=0,"Ready now",VLOOKUP($P862,Lists!$D$2:$E$5,2,FALSE))))</f>
        <v>Assessment pending</v>
      </c>
    </row>
    <row r="863" ht="15.75" customHeight="1">
      <c r="A863" s="35" t="s">
        <v>2346</v>
      </c>
      <c r="B863" s="35" t="s">
        <v>2347</v>
      </c>
      <c r="C863" s="35" t="s">
        <v>1286</v>
      </c>
      <c r="D863" s="35" t="s">
        <v>171</v>
      </c>
      <c r="E863" s="35" t="s">
        <v>542</v>
      </c>
      <c r="F863" s="35" t="s">
        <v>543</v>
      </c>
      <c r="G863" s="35" t="s">
        <v>1161</v>
      </c>
      <c r="H863" s="76">
        <v>28476.0</v>
      </c>
      <c r="I863" s="35"/>
      <c r="M863" s="20">
        <f>IF($B863="","",COUNTIFS('Blocker log'!$A:$A,$B863,'Blocker log'!$G:$G,"&lt;&gt;"))</f>
        <v>0</v>
      </c>
      <c r="N863" s="20">
        <f>IF($B863="","",COUNTIFS('Blocker log'!$A:$A,$B863,'Blocker log'!$G:$G,"Hard blocker"))</f>
        <v>0</v>
      </c>
      <c r="O863" s="20">
        <f>IF($B863="","",COUNTIFS('Blocker log'!$A:$A,$B863,'Blocker log'!$G:$G,"Hard blocker",'Blocker log'!$L:$L,9))</f>
        <v>0</v>
      </c>
      <c r="P863" s="20">
        <f>IF($B863="","",MAXIFS('Blocker log'!$L:$L,'Blocker log'!$A:$A,$B863,'Blocker log'!$G:$G,"Hard blocker"))</f>
        <v>0</v>
      </c>
      <c r="Q863" s="20" t="str">
        <f>IF($B863="","",IF($K863&lt;&gt;"Complete","Assessment pending",IF($N863=0,"Ready now",VLOOKUP($P863,Lists!$D$2:$E$5,2,FALSE))))</f>
        <v>Assessment pending</v>
      </c>
    </row>
    <row r="864" ht="15.75" customHeight="1">
      <c r="A864" s="35" t="s">
        <v>2348</v>
      </c>
      <c r="B864" s="35" t="s">
        <v>2349</v>
      </c>
      <c r="C864" s="35" t="s">
        <v>1286</v>
      </c>
      <c r="D864" s="35" t="s">
        <v>171</v>
      </c>
      <c r="E864" s="35" t="s">
        <v>542</v>
      </c>
      <c r="F864" s="35" t="s">
        <v>543</v>
      </c>
      <c r="G864" s="35" t="s">
        <v>1161</v>
      </c>
      <c r="H864" s="76">
        <v>28413.0</v>
      </c>
      <c r="I864" s="35"/>
      <c r="M864" s="20">
        <f>IF($B864="","",COUNTIFS('Blocker log'!$A:$A,$B864,'Blocker log'!$G:$G,"&lt;&gt;"))</f>
        <v>0</v>
      </c>
      <c r="N864" s="20">
        <f>IF($B864="","",COUNTIFS('Blocker log'!$A:$A,$B864,'Blocker log'!$G:$G,"Hard blocker"))</f>
        <v>0</v>
      </c>
      <c r="O864" s="20">
        <f>IF($B864="","",COUNTIFS('Blocker log'!$A:$A,$B864,'Blocker log'!$G:$G,"Hard blocker",'Blocker log'!$L:$L,9))</f>
        <v>0</v>
      </c>
      <c r="P864" s="20">
        <f>IF($B864="","",MAXIFS('Blocker log'!$L:$L,'Blocker log'!$A:$A,$B864,'Blocker log'!$G:$G,"Hard blocker"))</f>
        <v>0</v>
      </c>
      <c r="Q864" s="20" t="str">
        <f>IF($B864="","",IF($K864&lt;&gt;"Complete","Assessment pending",IF($N864=0,"Ready now",VLOOKUP($P864,Lists!$D$2:$E$5,2,FALSE))))</f>
        <v>Assessment pending</v>
      </c>
    </row>
    <row r="865" ht="15.75" customHeight="1">
      <c r="A865" s="35" t="s">
        <v>2350</v>
      </c>
      <c r="B865" s="35" t="s">
        <v>2351</v>
      </c>
      <c r="C865" s="35" t="s">
        <v>1286</v>
      </c>
      <c r="D865" s="35" t="s">
        <v>260</v>
      </c>
      <c r="E865" s="35" t="s">
        <v>576</v>
      </c>
      <c r="F865" s="35" t="s">
        <v>1228</v>
      </c>
      <c r="G865" s="35" t="s">
        <v>1161</v>
      </c>
      <c r="H865" s="76">
        <v>28407.0</v>
      </c>
      <c r="I865" s="35" t="s">
        <v>403</v>
      </c>
      <c r="M865" s="20">
        <f>IF($B865="","",COUNTIFS('Blocker log'!$A:$A,$B865,'Blocker log'!$G:$G,"&lt;&gt;"))</f>
        <v>0</v>
      </c>
      <c r="N865" s="20">
        <f>IF($B865="","",COUNTIFS('Blocker log'!$A:$A,$B865,'Blocker log'!$G:$G,"Hard blocker"))</f>
        <v>0</v>
      </c>
      <c r="O865" s="20">
        <f>IF($B865="","",COUNTIFS('Blocker log'!$A:$A,$B865,'Blocker log'!$G:$G,"Hard blocker",'Blocker log'!$L:$L,9))</f>
        <v>0</v>
      </c>
      <c r="P865" s="20">
        <f>IF($B865="","",MAXIFS('Blocker log'!$L:$L,'Blocker log'!$A:$A,$B865,'Blocker log'!$G:$G,"Hard blocker"))</f>
        <v>0</v>
      </c>
      <c r="Q865" s="20" t="str">
        <f>IF($B865="","",IF($K865&lt;&gt;"Complete","Assessment pending",IF($N865=0,"Ready now",VLOOKUP($P865,Lists!$D$2:$E$5,2,FALSE))))</f>
        <v>Assessment pending</v>
      </c>
    </row>
    <row r="866" ht="15.75" customHeight="1">
      <c r="A866" s="35" t="s">
        <v>2352</v>
      </c>
      <c r="B866" s="35" t="s">
        <v>2353</v>
      </c>
      <c r="C866" s="35" t="s">
        <v>1286</v>
      </c>
      <c r="D866" s="35" t="s">
        <v>58</v>
      </c>
      <c r="E866" s="35" t="s">
        <v>59</v>
      </c>
      <c r="F866" s="35" t="s">
        <v>278</v>
      </c>
      <c r="G866" s="35" t="s">
        <v>1042</v>
      </c>
      <c r="H866" s="76">
        <v>28220.0</v>
      </c>
      <c r="I866" s="35" t="s">
        <v>418</v>
      </c>
      <c r="M866" s="20">
        <f>IF($B866="","",COUNTIFS('Blocker log'!$A:$A,$B866,'Blocker log'!$G:$G,"&lt;&gt;"))</f>
        <v>0</v>
      </c>
      <c r="N866" s="20">
        <f>IF($B866="","",COUNTIFS('Blocker log'!$A:$A,$B866,'Blocker log'!$G:$G,"Hard blocker"))</f>
        <v>0</v>
      </c>
      <c r="O866" s="20">
        <f>IF($B866="","",COUNTIFS('Blocker log'!$A:$A,$B866,'Blocker log'!$G:$G,"Hard blocker",'Blocker log'!$L:$L,9))</f>
        <v>0</v>
      </c>
      <c r="P866" s="20">
        <f>IF($B866="","",MAXIFS('Blocker log'!$L:$L,'Blocker log'!$A:$A,$B866,'Blocker log'!$G:$G,"Hard blocker"))</f>
        <v>0</v>
      </c>
      <c r="Q866" s="20" t="str">
        <f>IF($B866="","",IF($K866&lt;&gt;"Complete","Assessment pending",IF($N866=0,"Ready now",VLOOKUP($P866,Lists!$D$2:$E$5,2,FALSE))))</f>
        <v>Assessment pending</v>
      </c>
    </row>
    <row r="867" ht="15.75" customHeight="1">
      <c r="A867" s="35" t="s">
        <v>2354</v>
      </c>
      <c r="B867" s="35" t="s">
        <v>2355</v>
      </c>
      <c r="C867" s="35" t="s">
        <v>1286</v>
      </c>
      <c r="D867" s="35" t="s">
        <v>171</v>
      </c>
      <c r="E867" s="35" t="s">
        <v>1465</v>
      </c>
      <c r="F867" s="35" t="s">
        <v>2356</v>
      </c>
      <c r="G867" s="35" t="s">
        <v>1161</v>
      </c>
      <c r="H867" s="76">
        <v>28200.0</v>
      </c>
      <c r="I867" s="35"/>
      <c r="M867" s="20">
        <f>IF($B867="","",COUNTIFS('Blocker log'!$A:$A,$B867,'Blocker log'!$G:$G,"&lt;&gt;"))</f>
        <v>0</v>
      </c>
      <c r="N867" s="20">
        <f>IF($B867="","",COUNTIFS('Blocker log'!$A:$A,$B867,'Blocker log'!$G:$G,"Hard blocker"))</f>
        <v>0</v>
      </c>
      <c r="O867" s="20">
        <f>IF($B867="","",COUNTIFS('Blocker log'!$A:$A,$B867,'Blocker log'!$G:$G,"Hard blocker",'Blocker log'!$L:$L,9))</f>
        <v>0</v>
      </c>
      <c r="P867" s="20">
        <f>IF($B867="","",MAXIFS('Blocker log'!$L:$L,'Blocker log'!$A:$A,$B867,'Blocker log'!$G:$G,"Hard blocker"))</f>
        <v>0</v>
      </c>
      <c r="Q867" s="20" t="str">
        <f>IF($B867="","",IF($K867&lt;&gt;"Complete","Assessment pending",IF($N867=0,"Ready now",VLOOKUP($P867,Lists!$D$2:$E$5,2,FALSE))))</f>
        <v>Assessment pending</v>
      </c>
    </row>
    <row r="868" ht="15.75" customHeight="1">
      <c r="A868" s="35" t="s">
        <v>2357</v>
      </c>
      <c r="B868" s="35" t="s">
        <v>2358</v>
      </c>
      <c r="C868" s="35" t="s">
        <v>1286</v>
      </c>
      <c r="D868" s="35" t="s">
        <v>301</v>
      </c>
      <c r="E868" s="35" t="s">
        <v>593</v>
      </c>
      <c r="F868" s="35" t="s">
        <v>593</v>
      </c>
      <c r="G868" s="35" t="s">
        <v>1042</v>
      </c>
      <c r="H868" s="76">
        <v>28163.0</v>
      </c>
      <c r="I868" s="35"/>
      <c r="M868" s="20">
        <f>IF($B868="","",COUNTIFS('Blocker log'!$A:$A,$B868,'Blocker log'!$G:$G,"&lt;&gt;"))</f>
        <v>0</v>
      </c>
      <c r="N868" s="20">
        <f>IF($B868="","",COUNTIFS('Blocker log'!$A:$A,$B868,'Blocker log'!$G:$G,"Hard blocker"))</f>
        <v>0</v>
      </c>
      <c r="O868" s="20">
        <f>IF($B868="","",COUNTIFS('Blocker log'!$A:$A,$B868,'Blocker log'!$G:$G,"Hard blocker",'Blocker log'!$L:$L,9))</f>
        <v>0</v>
      </c>
      <c r="P868" s="20">
        <f>IF($B868="","",MAXIFS('Blocker log'!$L:$L,'Blocker log'!$A:$A,$B868,'Blocker log'!$G:$G,"Hard blocker"))</f>
        <v>0</v>
      </c>
      <c r="Q868" s="20" t="str">
        <f>IF($B868="","",IF($K868&lt;&gt;"Complete","Assessment pending",IF($N868=0,"Ready now",VLOOKUP($P868,Lists!$D$2:$E$5,2,FALSE))))</f>
        <v>Assessment pending</v>
      </c>
    </row>
    <row r="869" ht="15.75" customHeight="1">
      <c r="A869" s="35" t="s">
        <v>2359</v>
      </c>
      <c r="B869" s="35" t="s">
        <v>2360</v>
      </c>
      <c r="C869" s="35" t="s">
        <v>1286</v>
      </c>
      <c r="D869" s="35" t="s">
        <v>58</v>
      </c>
      <c r="E869" s="35" t="s">
        <v>140</v>
      </c>
      <c r="F869" s="35" t="s">
        <v>246</v>
      </c>
      <c r="G869" s="35" t="s">
        <v>1042</v>
      </c>
      <c r="H869" s="76">
        <v>28100.0</v>
      </c>
      <c r="I869" s="35" t="s">
        <v>411</v>
      </c>
      <c r="M869" s="20">
        <f>IF($B869="","",COUNTIFS('Blocker log'!$A:$A,$B869,'Blocker log'!$G:$G,"&lt;&gt;"))</f>
        <v>0</v>
      </c>
      <c r="N869" s="20">
        <f>IF($B869="","",COUNTIFS('Blocker log'!$A:$A,$B869,'Blocker log'!$G:$G,"Hard blocker"))</f>
        <v>0</v>
      </c>
      <c r="O869" s="20">
        <f>IF($B869="","",COUNTIFS('Blocker log'!$A:$A,$B869,'Blocker log'!$G:$G,"Hard blocker",'Blocker log'!$L:$L,9))</f>
        <v>0</v>
      </c>
      <c r="P869" s="20">
        <f>IF($B869="","",MAXIFS('Blocker log'!$L:$L,'Blocker log'!$A:$A,$B869,'Blocker log'!$G:$G,"Hard blocker"))</f>
        <v>0</v>
      </c>
      <c r="Q869" s="20" t="str">
        <f>IF($B869="","",IF($K869&lt;&gt;"Complete","Assessment pending",IF($N869=0,"Ready now",VLOOKUP($P869,Lists!$D$2:$E$5,2,FALSE))))</f>
        <v>Assessment pending</v>
      </c>
    </row>
    <row r="870" ht="15.75" customHeight="1">
      <c r="A870" s="35" t="s">
        <v>2361</v>
      </c>
      <c r="B870" s="35" t="s">
        <v>2362</v>
      </c>
      <c r="C870" s="35" t="s">
        <v>1286</v>
      </c>
      <c r="D870" s="35" t="s">
        <v>171</v>
      </c>
      <c r="E870" s="35" t="s">
        <v>542</v>
      </c>
      <c r="F870" s="35" t="s">
        <v>549</v>
      </c>
      <c r="G870" s="35" t="s">
        <v>1161</v>
      </c>
      <c r="H870" s="76">
        <v>28065.0</v>
      </c>
      <c r="I870" s="35"/>
      <c r="M870" s="20">
        <f>IF($B870="","",COUNTIFS('Blocker log'!$A:$A,$B870,'Blocker log'!$G:$G,"&lt;&gt;"))</f>
        <v>0</v>
      </c>
      <c r="N870" s="20">
        <f>IF($B870="","",COUNTIFS('Blocker log'!$A:$A,$B870,'Blocker log'!$G:$G,"Hard blocker"))</f>
        <v>0</v>
      </c>
      <c r="O870" s="20">
        <f>IF($B870="","",COUNTIFS('Blocker log'!$A:$A,$B870,'Blocker log'!$G:$G,"Hard blocker",'Blocker log'!$L:$L,9))</f>
        <v>0</v>
      </c>
      <c r="P870" s="20">
        <f>IF($B870="","",MAXIFS('Blocker log'!$L:$L,'Blocker log'!$A:$A,$B870,'Blocker log'!$G:$G,"Hard blocker"))</f>
        <v>0</v>
      </c>
      <c r="Q870" s="20" t="str">
        <f>IF($B870="","",IF($K870&lt;&gt;"Complete","Assessment pending",IF($N870=0,"Ready now",VLOOKUP($P870,Lists!$D$2:$E$5,2,FALSE))))</f>
        <v>Assessment pending</v>
      </c>
    </row>
    <row r="871" ht="15.75" customHeight="1">
      <c r="A871" s="35" t="s">
        <v>2363</v>
      </c>
      <c r="B871" s="35" t="s">
        <v>2364</v>
      </c>
      <c r="C871" s="35" t="s">
        <v>1286</v>
      </c>
      <c r="D871" s="35" t="s">
        <v>58</v>
      </c>
      <c r="E871" s="35" t="s">
        <v>101</v>
      </c>
      <c r="F871" s="35" t="s">
        <v>1386</v>
      </c>
      <c r="G871" s="35" t="s">
        <v>1042</v>
      </c>
      <c r="H871" s="76">
        <v>28000.0</v>
      </c>
      <c r="I871" s="35" t="s">
        <v>448</v>
      </c>
      <c r="M871" s="20">
        <f>IF($B871="","",COUNTIFS('Blocker log'!$A:$A,$B871,'Blocker log'!$G:$G,"&lt;&gt;"))</f>
        <v>0</v>
      </c>
      <c r="N871" s="20">
        <f>IF($B871="","",COUNTIFS('Blocker log'!$A:$A,$B871,'Blocker log'!$G:$G,"Hard blocker"))</f>
        <v>0</v>
      </c>
      <c r="O871" s="20">
        <f>IF($B871="","",COUNTIFS('Blocker log'!$A:$A,$B871,'Blocker log'!$G:$G,"Hard blocker",'Blocker log'!$L:$L,9))</f>
        <v>0</v>
      </c>
      <c r="P871" s="20">
        <f>IF($B871="","",MAXIFS('Blocker log'!$L:$L,'Blocker log'!$A:$A,$B871,'Blocker log'!$G:$G,"Hard blocker"))</f>
        <v>0</v>
      </c>
      <c r="Q871" s="20" t="str">
        <f>IF($B871="","",IF($K871&lt;&gt;"Complete","Assessment pending",IF($N871=0,"Ready now",VLOOKUP($P871,Lists!$D$2:$E$5,2,FALSE))))</f>
        <v>Assessment pending</v>
      </c>
    </row>
    <row r="872" ht="15.75" customHeight="1">
      <c r="A872" s="35" t="s">
        <v>2365</v>
      </c>
      <c r="B872" s="35" t="s">
        <v>2366</v>
      </c>
      <c r="C872" s="35" t="s">
        <v>1286</v>
      </c>
      <c r="D872" s="35" t="s">
        <v>260</v>
      </c>
      <c r="E872" s="35" t="s">
        <v>351</v>
      </c>
      <c r="F872" s="35" t="s">
        <v>352</v>
      </c>
      <c r="G872" s="35" t="s">
        <v>1161</v>
      </c>
      <c r="H872" s="76">
        <v>28000.0</v>
      </c>
      <c r="I872" s="35" t="s">
        <v>430</v>
      </c>
      <c r="M872" s="20">
        <f>IF($B872="","",COUNTIFS('Blocker log'!$A:$A,$B872,'Blocker log'!$G:$G,"&lt;&gt;"))</f>
        <v>0</v>
      </c>
      <c r="N872" s="20">
        <f>IF($B872="","",COUNTIFS('Blocker log'!$A:$A,$B872,'Blocker log'!$G:$G,"Hard blocker"))</f>
        <v>0</v>
      </c>
      <c r="O872" s="20">
        <f>IF($B872="","",COUNTIFS('Blocker log'!$A:$A,$B872,'Blocker log'!$G:$G,"Hard blocker",'Blocker log'!$L:$L,9))</f>
        <v>0</v>
      </c>
      <c r="P872" s="20">
        <f>IF($B872="","",MAXIFS('Blocker log'!$L:$L,'Blocker log'!$A:$A,$B872,'Blocker log'!$G:$G,"Hard blocker"))</f>
        <v>0</v>
      </c>
      <c r="Q872" s="20" t="str">
        <f>IF($B872="","",IF($K872&lt;&gt;"Complete","Assessment pending",IF($N872=0,"Ready now",VLOOKUP($P872,Lists!$D$2:$E$5,2,FALSE))))</f>
        <v>Assessment pending</v>
      </c>
    </row>
    <row r="873" ht="15.75" customHeight="1">
      <c r="A873" s="35" t="s">
        <v>2367</v>
      </c>
      <c r="B873" s="35" t="s">
        <v>2368</v>
      </c>
      <c r="C873" s="35" t="s">
        <v>1286</v>
      </c>
      <c r="D873" s="35" t="s">
        <v>171</v>
      </c>
      <c r="E873" s="35" t="s">
        <v>668</v>
      </c>
      <c r="F873" s="35" t="s">
        <v>1634</v>
      </c>
      <c r="G873" s="35" t="s">
        <v>1161</v>
      </c>
      <c r="H873" s="76">
        <v>27718.0</v>
      </c>
      <c r="I873" s="35"/>
      <c r="M873" s="20">
        <f>IF($B873="","",COUNTIFS('Blocker log'!$A:$A,$B873,'Blocker log'!$G:$G,"&lt;&gt;"))</f>
        <v>0</v>
      </c>
      <c r="N873" s="20">
        <f>IF($B873="","",COUNTIFS('Blocker log'!$A:$A,$B873,'Blocker log'!$G:$G,"Hard blocker"))</f>
        <v>0</v>
      </c>
      <c r="O873" s="20">
        <f>IF($B873="","",COUNTIFS('Blocker log'!$A:$A,$B873,'Blocker log'!$G:$G,"Hard blocker",'Blocker log'!$L:$L,9))</f>
        <v>0</v>
      </c>
      <c r="P873" s="20">
        <f>IF($B873="","",MAXIFS('Blocker log'!$L:$L,'Blocker log'!$A:$A,$B873,'Blocker log'!$G:$G,"Hard blocker"))</f>
        <v>0</v>
      </c>
      <c r="Q873" s="20" t="str">
        <f>IF($B873="","",IF($K873&lt;&gt;"Complete","Assessment pending",IF($N873=0,"Ready now",VLOOKUP($P873,Lists!$D$2:$E$5,2,FALSE))))</f>
        <v>Assessment pending</v>
      </c>
    </row>
    <row r="874" ht="15.75" customHeight="1">
      <c r="A874" s="35" t="s">
        <v>2369</v>
      </c>
      <c r="B874" s="35" t="s">
        <v>2370</v>
      </c>
      <c r="C874" s="35" t="s">
        <v>1286</v>
      </c>
      <c r="D874" s="35" t="s">
        <v>260</v>
      </c>
      <c r="E874" s="35" t="s">
        <v>506</v>
      </c>
      <c r="F874" s="35" t="s">
        <v>798</v>
      </c>
      <c r="G874" s="35" t="s">
        <v>1161</v>
      </c>
      <c r="H874" s="76">
        <v>27600.0</v>
      </c>
      <c r="I874" s="35" t="s">
        <v>417</v>
      </c>
      <c r="M874" s="20">
        <f>IF($B874="","",COUNTIFS('Blocker log'!$A:$A,$B874,'Blocker log'!$G:$G,"&lt;&gt;"))</f>
        <v>0</v>
      </c>
      <c r="N874" s="20">
        <f>IF($B874="","",COUNTIFS('Blocker log'!$A:$A,$B874,'Blocker log'!$G:$G,"Hard blocker"))</f>
        <v>0</v>
      </c>
      <c r="O874" s="20">
        <f>IF($B874="","",COUNTIFS('Blocker log'!$A:$A,$B874,'Blocker log'!$G:$G,"Hard blocker",'Blocker log'!$L:$L,9))</f>
        <v>0</v>
      </c>
      <c r="P874" s="20">
        <f>IF($B874="","",MAXIFS('Blocker log'!$L:$L,'Blocker log'!$A:$A,$B874,'Blocker log'!$G:$G,"Hard blocker"))</f>
        <v>0</v>
      </c>
      <c r="Q874" s="20" t="str">
        <f>IF($B874="","",IF($K874&lt;&gt;"Complete","Assessment pending",IF($N874=0,"Ready now",VLOOKUP($P874,Lists!$D$2:$E$5,2,FALSE))))</f>
        <v>Assessment pending</v>
      </c>
    </row>
    <row r="875" ht="15.75" customHeight="1">
      <c r="A875" s="35" t="s">
        <v>2371</v>
      </c>
      <c r="B875" s="35" t="s">
        <v>2372</v>
      </c>
      <c r="C875" s="35" t="s">
        <v>1286</v>
      </c>
      <c r="D875" s="35" t="s">
        <v>171</v>
      </c>
      <c r="E875" s="35" t="s">
        <v>205</v>
      </c>
      <c r="F875" s="35" t="s">
        <v>916</v>
      </c>
      <c r="G875" s="35" t="s">
        <v>1161</v>
      </c>
      <c r="H875" s="76">
        <v>27168.0</v>
      </c>
      <c r="I875" s="35" t="s">
        <v>424</v>
      </c>
      <c r="M875" s="20">
        <f>IF($B875="","",COUNTIFS('Blocker log'!$A:$A,$B875,'Blocker log'!$G:$G,"&lt;&gt;"))</f>
        <v>0</v>
      </c>
      <c r="N875" s="20">
        <f>IF($B875="","",COUNTIFS('Blocker log'!$A:$A,$B875,'Blocker log'!$G:$G,"Hard blocker"))</f>
        <v>0</v>
      </c>
      <c r="O875" s="20">
        <f>IF($B875="","",COUNTIFS('Blocker log'!$A:$A,$B875,'Blocker log'!$G:$G,"Hard blocker",'Blocker log'!$L:$L,9))</f>
        <v>0</v>
      </c>
      <c r="P875" s="20">
        <f>IF($B875="","",MAXIFS('Blocker log'!$L:$L,'Blocker log'!$A:$A,$B875,'Blocker log'!$G:$G,"Hard blocker"))</f>
        <v>0</v>
      </c>
      <c r="Q875" s="20" t="str">
        <f>IF($B875="","",IF($K875&lt;&gt;"Complete","Assessment pending",IF($N875=0,"Ready now",VLOOKUP($P875,Lists!$D$2:$E$5,2,FALSE))))</f>
        <v>Assessment pending</v>
      </c>
    </row>
    <row r="876" ht="15.75" customHeight="1">
      <c r="A876" s="35" t="s">
        <v>2373</v>
      </c>
      <c r="B876" s="35" t="s">
        <v>2374</v>
      </c>
      <c r="C876" s="35" t="s">
        <v>1286</v>
      </c>
      <c r="D876" s="35" t="s">
        <v>58</v>
      </c>
      <c r="E876" s="35" t="s">
        <v>101</v>
      </c>
      <c r="F876" s="35" t="s">
        <v>102</v>
      </c>
      <c r="G876" s="35" t="s">
        <v>1161</v>
      </c>
      <c r="H876" s="76">
        <v>27161.0</v>
      </c>
      <c r="I876" s="35"/>
      <c r="M876" s="20">
        <f>IF($B876="","",COUNTIFS('Blocker log'!$A:$A,$B876,'Blocker log'!$G:$G,"&lt;&gt;"))</f>
        <v>0</v>
      </c>
      <c r="N876" s="20">
        <f>IF($B876="","",COUNTIFS('Blocker log'!$A:$A,$B876,'Blocker log'!$G:$G,"Hard blocker"))</f>
        <v>0</v>
      </c>
      <c r="O876" s="20">
        <f>IF($B876="","",COUNTIFS('Blocker log'!$A:$A,$B876,'Blocker log'!$G:$G,"Hard blocker",'Blocker log'!$L:$L,9))</f>
        <v>0</v>
      </c>
      <c r="P876" s="20">
        <f>IF($B876="","",MAXIFS('Blocker log'!$L:$L,'Blocker log'!$A:$A,$B876,'Blocker log'!$G:$G,"Hard blocker"))</f>
        <v>0</v>
      </c>
      <c r="Q876" s="20" t="str">
        <f>IF($B876="","",IF($K876&lt;&gt;"Complete","Assessment pending",IF($N876=0,"Ready now",VLOOKUP($P876,Lists!$D$2:$E$5,2,FALSE))))</f>
        <v>Assessment pending</v>
      </c>
    </row>
    <row r="877" ht="15.75" customHeight="1">
      <c r="A877" s="35" t="s">
        <v>2375</v>
      </c>
      <c r="B877" s="35" t="s">
        <v>2376</v>
      </c>
      <c r="C877" s="35" t="s">
        <v>1286</v>
      </c>
      <c r="D877" s="35" t="s">
        <v>260</v>
      </c>
      <c r="E877" s="35" t="s">
        <v>1096</v>
      </c>
      <c r="F877" s="35" t="s">
        <v>1650</v>
      </c>
      <c r="G877" s="35" t="s">
        <v>1161</v>
      </c>
      <c r="H877" s="76">
        <v>27110.0</v>
      </c>
      <c r="I877" s="35" t="s">
        <v>416</v>
      </c>
      <c r="M877" s="20">
        <f>IF($B877="","",COUNTIFS('Blocker log'!$A:$A,$B877,'Blocker log'!$G:$G,"&lt;&gt;"))</f>
        <v>0</v>
      </c>
      <c r="N877" s="20">
        <f>IF($B877="","",COUNTIFS('Blocker log'!$A:$A,$B877,'Blocker log'!$G:$G,"Hard blocker"))</f>
        <v>0</v>
      </c>
      <c r="O877" s="20">
        <f>IF($B877="","",COUNTIFS('Blocker log'!$A:$A,$B877,'Blocker log'!$G:$G,"Hard blocker",'Blocker log'!$L:$L,9))</f>
        <v>0</v>
      </c>
      <c r="P877" s="20">
        <f>IF($B877="","",MAXIFS('Blocker log'!$L:$L,'Blocker log'!$A:$A,$B877,'Blocker log'!$G:$G,"Hard blocker"))</f>
        <v>0</v>
      </c>
      <c r="Q877" s="20" t="str">
        <f>IF($B877="","",IF($K877&lt;&gt;"Complete","Assessment pending",IF($N877=0,"Ready now",VLOOKUP($P877,Lists!$D$2:$E$5,2,FALSE))))</f>
        <v>Assessment pending</v>
      </c>
    </row>
    <row r="878" ht="15.75" customHeight="1">
      <c r="A878" s="35" t="s">
        <v>2377</v>
      </c>
      <c r="B878" s="35" t="s">
        <v>2378</v>
      </c>
      <c r="C878" s="35" t="s">
        <v>1286</v>
      </c>
      <c r="D878" s="35" t="s">
        <v>171</v>
      </c>
      <c r="E878" s="35" t="s">
        <v>773</v>
      </c>
      <c r="F878" s="35" t="s">
        <v>774</v>
      </c>
      <c r="G878" s="35" t="s">
        <v>1161</v>
      </c>
      <c r="H878" s="76">
        <v>27040.0</v>
      </c>
      <c r="I878" s="35"/>
      <c r="M878" s="20">
        <f>IF($B878="","",COUNTIFS('Blocker log'!$A:$A,$B878,'Blocker log'!$G:$G,"&lt;&gt;"))</f>
        <v>0</v>
      </c>
      <c r="N878" s="20">
        <f>IF($B878="","",COUNTIFS('Blocker log'!$A:$A,$B878,'Blocker log'!$G:$G,"Hard blocker"))</f>
        <v>0</v>
      </c>
      <c r="O878" s="20">
        <f>IF($B878="","",COUNTIFS('Blocker log'!$A:$A,$B878,'Blocker log'!$G:$G,"Hard blocker",'Blocker log'!$L:$L,9))</f>
        <v>0</v>
      </c>
      <c r="P878" s="20">
        <f>IF($B878="","",MAXIFS('Blocker log'!$L:$L,'Blocker log'!$A:$A,$B878,'Blocker log'!$G:$G,"Hard blocker"))</f>
        <v>0</v>
      </c>
      <c r="Q878" s="20" t="str">
        <f>IF($B878="","",IF($K878&lt;&gt;"Complete","Assessment pending",IF($N878=0,"Ready now",VLOOKUP($P878,Lists!$D$2:$E$5,2,FALSE))))</f>
        <v>Assessment pending</v>
      </c>
    </row>
    <row r="879" ht="15.75" customHeight="1">
      <c r="A879" s="35" t="s">
        <v>2379</v>
      </c>
      <c r="B879" s="35" t="s">
        <v>2380</v>
      </c>
      <c r="C879" s="35" t="s">
        <v>1286</v>
      </c>
      <c r="D879" s="35" t="s">
        <v>260</v>
      </c>
      <c r="E879" s="35" t="s">
        <v>1096</v>
      </c>
      <c r="F879" s="35" t="s">
        <v>1097</v>
      </c>
      <c r="G879" s="35" t="s">
        <v>1161</v>
      </c>
      <c r="H879" s="76">
        <v>26933.0</v>
      </c>
      <c r="I879" s="35" t="s">
        <v>416</v>
      </c>
      <c r="M879" s="20">
        <f>IF($B879="","",COUNTIFS('Blocker log'!$A:$A,$B879,'Blocker log'!$G:$G,"&lt;&gt;"))</f>
        <v>0</v>
      </c>
      <c r="N879" s="20">
        <f>IF($B879="","",COUNTIFS('Blocker log'!$A:$A,$B879,'Blocker log'!$G:$G,"Hard blocker"))</f>
        <v>0</v>
      </c>
      <c r="O879" s="20">
        <f>IF($B879="","",COUNTIFS('Blocker log'!$A:$A,$B879,'Blocker log'!$G:$G,"Hard blocker",'Blocker log'!$L:$L,9))</f>
        <v>0</v>
      </c>
      <c r="P879" s="20">
        <f>IF($B879="","",MAXIFS('Blocker log'!$L:$L,'Blocker log'!$A:$A,$B879,'Blocker log'!$G:$G,"Hard blocker"))</f>
        <v>0</v>
      </c>
      <c r="Q879" s="20" t="str">
        <f>IF($B879="","",IF($K879&lt;&gt;"Complete","Assessment pending",IF($N879=0,"Ready now",VLOOKUP($P879,Lists!$D$2:$E$5,2,FALSE))))</f>
        <v>Assessment pending</v>
      </c>
    </row>
    <row r="880" ht="15.75" customHeight="1">
      <c r="A880" s="35" t="s">
        <v>2381</v>
      </c>
      <c r="B880" s="35" t="s">
        <v>2382</v>
      </c>
      <c r="C880" s="35" t="s">
        <v>1286</v>
      </c>
      <c r="D880" s="35" t="s">
        <v>260</v>
      </c>
      <c r="E880" s="35" t="s">
        <v>576</v>
      </c>
      <c r="F880" s="35" t="s">
        <v>1965</v>
      </c>
      <c r="G880" s="35" t="s">
        <v>1161</v>
      </c>
      <c r="H880" s="76">
        <v>26710.0</v>
      </c>
      <c r="I880" s="35" t="s">
        <v>403</v>
      </c>
      <c r="M880" s="20">
        <f>IF($B880="","",COUNTIFS('Blocker log'!$A:$A,$B880,'Blocker log'!$G:$G,"&lt;&gt;"))</f>
        <v>0</v>
      </c>
      <c r="N880" s="20">
        <f>IF($B880="","",COUNTIFS('Blocker log'!$A:$A,$B880,'Blocker log'!$G:$G,"Hard blocker"))</f>
        <v>0</v>
      </c>
      <c r="O880" s="20">
        <f>IF($B880="","",COUNTIFS('Blocker log'!$A:$A,$B880,'Blocker log'!$G:$G,"Hard blocker",'Blocker log'!$L:$L,9))</f>
        <v>0</v>
      </c>
      <c r="P880" s="20">
        <f>IF($B880="","",MAXIFS('Blocker log'!$L:$L,'Blocker log'!$A:$A,$B880,'Blocker log'!$G:$G,"Hard blocker"))</f>
        <v>0</v>
      </c>
      <c r="Q880" s="20" t="str">
        <f>IF($B880="","",IF($K880&lt;&gt;"Complete","Assessment pending",IF($N880=0,"Ready now",VLOOKUP($P880,Lists!$D$2:$E$5,2,FALSE))))</f>
        <v>Assessment pending</v>
      </c>
    </row>
    <row r="881" ht="15.75" customHeight="1">
      <c r="A881" s="35" t="s">
        <v>2383</v>
      </c>
      <c r="B881" s="35" t="s">
        <v>2384</v>
      </c>
      <c r="C881" s="35" t="s">
        <v>1286</v>
      </c>
      <c r="D881" s="35" t="s">
        <v>301</v>
      </c>
      <c r="E881" s="35" t="s">
        <v>593</v>
      </c>
      <c r="F881" s="35" t="s">
        <v>593</v>
      </c>
      <c r="G881" s="35" t="s">
        <v>1161</v>
      </c>
      <c r="H881" s="76">
        <v>26689.0</v>
      </c>
      <c r="I881" s="35"/>
      <c r="M881" s="20">
        <f>IF($B881="","",COUNTIFS('Blocker log'!$A:$A,$B881,'Blocker log'!$G:$G,"&lt;&gt;"))</f>
        <v>0</v>
      </c>
      <c r="N881" s="20">
        <f>IF($B881="","",COUNTIFS('Blocker log'!$A:$A,$B881,'Blocker log'!$G:$G,"Hard blocker"))</f>
        <v>0</v>
      </c>
      <c r="O881" s="20">
        <f>IF($B881="","",COUNTIFS('Blocker log'!$A:$A,$B881,'Blocker log'!$G:$G,"Hard blocker",'Blocker log'!$L:$L,9))</f>
        <v>0</v>
      </c>
      <c r="P881" s="20">
        <f>IF($B881="","",MAXIFS('Blocker log'!$L:$L,'Blocker log'!$A:$A,$B881,'Blocker log'!$G:$G,"Hard blocker"))</f>
        <v>0</v>
      </c>
      <c r="Q881" s="20" t="str">
        <f>IF($B881="","",IF($K881&lt;&gt;"Complete","Assessment pending",IF($N881=0,"Ready now",VLOOKUP($P881,Lists!$D$2:$E$5,2,FALSE))))</f>
        <v>Assessment pending</v>
      </c>
    </row>
    <row r="882" ht="15.75" customHeight="1">
      <c r="A882" s="35" t="s">
        <v>2385</v>
      </c>
      <c r="B882" s="35" t="s">
        <v>2386</v>
      </c>
      <c r="C882" s="35" t="s">
        <v>1286</v>
      </c>
      <c r="D882" s="35" t="s">
        <v>301</v>
      </c>
      <c r="E882" s="35" t="s">
        <v>1281</v>
      </c>
      <c r="F882" s="35" t="s">
        <v>1281</v>
      </c>
      <c r="G882" s="35" t="s">
        <v>1161</v>
      </c>
      <c r="H882" s="76">
        <v>26677.0</v>
      </c>
      <c r="I882" s="35"/>
      <c r="M882" s="20">
        <f>IF($B882="","",COUNTIFS('Blocker log'!$A:$A,$B882,'Blocker log'!$G:$G,"&lt;&gt;"))</f>
        <v>0</v>
      </c>
      <c r="N882" s="20">
        <f>IF($B882="","",COUNTIFS('Blocker log'!$A:$A,$B882,'Blocker log'!$G:$G,"Hard blocker"))</f>
        <v>0</v>
      </c>
      <c r="O882" s="20">
        <f>IF($B882="","",COUNTIFS('Blocker log'!$A:$A,$B882,'Blocker log'!$G:$G,"Hard blocker",'Blocker log'!$L:$L,9))</f>
        <v>0</v>
      </c>
      <c r="P882" s="20">
        <f>IF($B882="","",MAXIFS('Blocker log'!$L:$L,'Blocker log'!$A:$A,$B882,'Blocker log'!$G:$G,"Hard blocker"))</f>
        <v>0</v>
      </c>
      <c r="Q882" s="20" t="str">
        <f>IF($B882="","",IF($K882&lt;&gt;"Complete","Assessment pending",IF($N882=0,"Ready now",VLOOKUP($P882,Lists!$D$2:$E$5,2,FALSE))))</f>
        <v>Assessment pending</v>
      </c>
    </row>
    <row r="883" ht="15.75" customHeight="1">
      <c r="A883" s="35" t="s">
        <v>2387</v>
      </c>
      <c r="B883" s="78" t="s">
        <v>2388</v>
      </c>
      <c r="C883" s="35" t="s">
        <v>1286</v>
      </c>
      <c r="D883" s="35" t="s">
        <v>58</v>
      </c>
      <c r="E883" s="35" t="s">
        <v>101</v>
      </c>
      <c r="F883" s="35" t="s">
        <v>554</v>
      </c>
      <c r="G883" s="35" t="s">
        <v>1161</v>
      </c>
      <c r="H883" s="76">
        <v>26556.0</v>
      </c>
      <c r="I883" s="35"/>
      <c r="M883" s="20">
        <f>IF($B883="","",COUNTIFS('Blocker log'!$A:$A,$B883,'Blocker log'!$G:$G,"&lt;&gt;"))</f>
        <v>0</v>
      </c>
      <c r="N883" s="20">
        <f>IF($B883="","",COUNTIFS('Blocker log'!$A:$A,$B883,'Blocker log'!$G:$G,"Hard blocker"))</f>
        <v>0</v>
      </c>
      <c r="O883" s="20">
        <f>IF($B883="","",COUNTIFS('Blocker log'!$A:$A,$B883,'Blocker log'!$G:$G,"Hard blocker",'Blocker log'!$L:$L,9))</f>
        <v>0</v>
      </c>
      <c r="P883" s="20">
        <f>IF($B883="","",MAXIFS('Blocker log'!$L:$L,'Blocker log'!$A:$A,$B883,'Blocker log'!$G:$G,"Hard blocker"))</f>
        <v>0</v>
      </c>
      <c r="Q883" s="20" t="str">
        <f>IF($B883="","",IF($K883&lt;&gt;"Complete","Assessment pending",IF($N883=0,"Ready now",VLOOKUP($P883,Lists!$D$2:$E$5,2,FALSE))))</f>
        <v>Assessment pending</v>
      </c>
    </row>
    <row r="884" ht="15.75" customHeight="1">
      <c r="A884" s="35" t="s">
        <v>2389</v>
      </c>
      <c r="B884" s="35" t="s">
        <v>2390</v>
      </c>
      <c r="C884" s="35" t="s">
        <v>1286</v>
      </c>
      <c r="D884" s="35" t="s">
        <v>301</v>
      </c>
      <c r="E884" s="35" t="s">
        <v>484</v>
      </c>
      <c r="F884" s="35" t="s">
        <v>484</v>
      </c>
      <c r="G884" s="35" t="s">
        <v>1161</v>
      </c>
      <c r="H884" s="76">
        <v>26540.0</v>
      </c>
      <c r="I884" s="35"/>
      <c r="M884" s="20">
        <f>IF($B884="","",COUNTIFS('Blocker log'!$A:$A,$B884,'Blocker log'!$G:$G,"&lt;&gt;"))</f>
        <v>0</v>
      </c>
      <c r="N884" s="20">
        <f>IF($B884="","",COUNTIFS('Blocker log'!$A:$A,$B884,'Blocker log'!$G:$G,"Hard blocker"))</f>
        <v>0</v>
      </c>
      <c r="O884" s="20">
        <f>IF($B884="","",COUNTIFS('Blocker log'!$A:$A,$B884,'Blocker log'!$G:$G,"Hard blocker",'Blocker log'!$L:$L,9))</f>
        <v>0</v>
      </c>
      <c r="P884" s="20">
        <f>IF($B884="","",MAXIFS('Blocker log'!$L:$L,'Blocker log'!$A:$A,$B884,'Blocker log'!$G:$G,"Hard blocker"))</f>
        <v>0</v>
      </c>
      <c r="Q884" s="20" t="str">
        <f>IF($B884="","",IF($K884&lt;&gt;"Complete","Assessment pending",IF($N884=0,"Ready now",VLOOKUP($P884,Lists!$D$2:$E$5,2,FALSE))))</f>
        <v>Assessment pending</v>
      </c>
    </row>
    <row r="885" ht="15.75" customHeight="1">
      <c r="A885" s="35" t="s">
        <v>2391</v>
      </c>
      <c r="B885" s="35" t="s">
        <v>2392</v>
      </c>
      <c r="C885" s="35" t="s">
        <v>1286</v>
      </c>
      <c r="D885" s="35" t="s">
        <v>171</v>
      </c>
      <c r="E885" s="35" t="s">
        <v>542</v>
      </c>
      <c r="F885" s="35" t="s">
        <v>1713</v>
      </c>
      <c r="G885" s="35" t="s">
        <v>1161</v>
      </c>
      <c r="H885" s="76">
        <v>26399.0</v>
      </c>
      <c r="I885" s="35"/>
      <c r="M885" s="20">
        <f>IF($B885="","",COUNTIFS('Blocker log'!$A:$A,$B885,'Blocker log'!$G:$G,"&lt;&gt;"))</f>
        <v>0</v>
      </c>
      <c r="N885" s="20">
        <f>IF($B885="","",COUNTIFS('Blocker log'!$A:$A,$B885,'Blocker log'!$G:$G,"Hard blocker"))</f>
        <v>0</v>
      </c>
      <c r="O885" s="20">
        <f>IF($B885="","",COUNTIFS('Blocker log'!$A:$A,$B885,'Blocker log'!$G:$G,"Hard blocker",'Blocker log'!$L:$L,9))</f>
        <v>0</v>
      </c>
      <c r="P885" s="20">
        <f>IF($B885="","",MAXIFS('Blocker log'!$L:$L,'Blocker log'!$A:$A,$B885,'Blocker log'!$G:$G,"Hard blocker"))</f>
        <v>0</v>
      </c>
      <c r="Q885" s="20" t="str">
        <f>IF($B885="","",IF($K885&lt;&gt;"Complete","Assessment pending",IF($N885=0,"Ready now",VLOOKUP($P885,Lists!$D$2:$E$5,2,FALSE))))</f>
        <v>Assessment pending</v>
      </c>
    </row>
    <row r="886" ht="15.75" customHeight="1">
      <c r="A886" s="35" t="s">
        <v>2393</v>
      </c>
      <c r="B886" s="35" t="s">
        <v>2394</v>
      </c>
      <c r="C886" s="35"/>
      <c r="D886" s="35" t="s">
        <v>260</v>
      </c>
      <c r="E886" s="35" t="s">
        <v>1096</v>
      </c>
      <c r="F886" s="35" t="s">
        <v>1366</v>
      </c>
      <c r="G886" s="35" t="s">
        <v>1161</v>
      </c>
      <c r="H886" s="76">
        <v>26352.0</v>
      </c>
      <c r="I886" s="35"/>
      <c r="M886" s="20">
        <f>IF($B886="","",COUNTIFS('Blocker log'!$A:$A,$B886,'Blocker log'!$G:$G,"&lt;&gt;"))</f>
        <v>0</v>
      </c>
      <c r="N886" s="20">
        <f>IF($B886="","",COUNTIFS('Blocker log'!$A:$A,$B886,'Blocker log'!$G:$G,"Hard blocker"))</f>
        <v>0</v>
      </c>
      <c r="O886" s="20">
        <f>IF($B886="","",COUNTIFS('Blocker log'!$A:$A,$B886,'Blocker log'!$G:$G,"Hard blocker",'Blocker log'!$L:$L,9))</f>
        <v>0</v>
      </c>
      <c r="P886" s="20">
        <f>IF($B886="","",MAXIFS('Blocker log'!$L:$L,'Blocker log'!$A:$A,$B886,'Blocker log'!$G:$G,"Hard blocker"))</f>
        <v>0</v>
      </c>
      <c r="Q886" s="20" t="str">
        <f>IF($B886="","",IF($K886&lt;&gt;"Complete","Assessment pending",IF($N886=0,"Ready now",VLOOKUP($P886,Lists!$D$2:$E$5,2,FALSE))))</f>
        <v>Assessment pending</v>
      </c>
    </row>
    <row r="887" ht="15.75" customHeight="1">
      <c r="A887" s="35" t="s">
        <v>2395</v>
      </c>
      <c r="B887" s="35" t="s">
        <v>2396</v>
      </c>
      <c r="C887" s="35" t="s">
        <v>1286</v>
      </c>
      <c r="D887" s="35" t="s">
        <v>301</v>
      </c>
      <c r="E887" s="35" t="s">
        <v>593</v>
      </c>
      <c r="F887" s="35" t="s">
        <v>593</v>
      </c>
      <c r="G887" s="35" t="s">
        <v>1042</v>
      </c>
      <c r="H887" s="76">
        <v>26248.0</v>
      </c>
      <c r="I887" s="35"/>
      <c r="M887" s="20">
        <f>IF($B887="","",COUNTIFS('Blocker log'!$A:$A,$B887,'Blocker log'!$G:$G,"&lt;&gt;"))</f>
        <v>0</v>
      </c>
      <c r="N887" s="20">
        <f>IF($B887="","",COUNTIFS('Blocker log'!$A:$A,$B887,'Blocker log'!$G:$G,"Hard blocker"))</f>
        <v>0</v>
      </c>
      <c r="O887" s="20">
        <f>IF($B887="","",COUNTIFS('Blocker log'!$A:$A,$B887,'Blocker log'!$G:$G,"Hard blocker",'Blocker log'!$L:$L,9))</f>
        <v>0</v>
      </c>
      <c r="P887" s="20">
        <f>IF($B887="","",MAXIFS('Blocker log'!$L:$L,'Blocker log'!$A:$A,$B887,'Blocker log'!$G:$G,"Hard blocker"))</f>
        <v>0</v>
      </c>
      <c r="Q887" s="20" t="str">
        <f>IF($B887="","",IF($K887&lt;&gt;"Complete","Assessment pending",IF($N887=0,"Ready now",VLOOKUP($P887,Lists!$D$2:$E$5,2,FALSE))))</f>
        <v>Assessment pending</v>
      </c>
    </row>
    <row r="888" ht="15.75" customHeight="1">
      <c r="A888" s="35" t="s">
        <v>2397</v>
      </c>
      <c r="B888" s="35" t="s">
        <v>2398</v>
      </c>
      <c r="C888" s="35" t="s">
        <v>1286</v>
      </c>
      <c r="D888" s="35" t="s">
        <v>171</v>
      </c>
      <c r="E888" s="35" t="s">
        <v>512</v>
      </c>
      <c r="F888" s="35" t="s">
        <v>513</v>
      </c>
      <c r="G888" s="35" t="s">
        <v>1161</v>
      </c>
      <c r="H888" s="76">
        <v>26180.0</v>
      </c>
      <c r="I888" s="35" t="s">
        <v>407</v>
      </c>
      <c r="M888" s="20">
        <f>IF($B888="","",COUNTIFS('Blocker log'!$A:$A,$B888,'Blocker log'!$G:$G,"&lt;&gt;"))</f>
        <v>0</v>
      </c>
      <c r="N888" s="20">
        <f>IF($B888="","",COUNTIFS('Blocker log'!$A:$A,$B888,'Blocker log'!$G:$G,"Hard blocker"))</f>
        <v>0</v>
      </c>
      <c r="O888" s="20">
        <f>IF($B888="","",COUNTIFS('Blocker log'!$A:$A,$B888,'Blocker log'!$G:$G,"Hard blocker",'Blocker log'!$L:$L,9))</f>
        <v>0</v>
      </c>
      <c r="P888" s="20">
        <f>IF($B888="","",MAXIFS('Blocker log'!$L:$L,'Blocker log'!$A:$A,$B888,'Blocker log'!$G:$G,"Hard blocker"))</f>
        <v>0</v>
      </c>
      <c r="Q888" s="20" t="str">
        <f>IF($B888="","",IF($K888&lt;&gt;"Complete","Assessment pending",IF($N888=0,"Ready now",VLOOKUP($P888,Lists!$D$2:$E$5,2,FALSE))))</f>
        <v>Assessment pending</v>
      </c>
    </row>
    <row r="889" ht="15.75" customHeight="1">
      <c r="A889" s="35" t="s">
        <v>2399</v>
      </c>
      <c r="B889" s="35" t="s">
        <v>2400</v>
      </c>
      <c r="C889" s="35" t="s">
        <v>1286</v>
      </c>
      <c r="D889" s="35" t="s">
        <v>58</v>
      </c>
      <c r="E889" s="35" t="s">
        <v>101</v>
      </c>
      <c r="F889" s="35" t="s">
        <v>1386</v>
      </c>
      <c r="G889" s="35" t="s">
        <v>1161</v>
      </c>
      <c r="H889" s="76">
        <v>26129.0</v>
      </c>
      <c r="I889" s="35"/>
      <c r="M889" s="20">
        <f>IF($B889="","",COUNTIFS('Blocker log'!$A:$A,$B889,'Blocker log'!$G:$G,"&lt;&gt;"))</f>
        <v>0</v>
      </c>
      <c r="N889" s="20">
        <f>IF($B889="","",COUNTIFS('Blocker log'!$A:$A,$B889,'Blocker log'!$G:$G,"Hard blocker"))</f>
        <v>0</v>
      </c>
      <c r="O889" s="20">
        <f>IF($B889="","",COUNTIFS('Blocker log'!$A:$A,$B889,'Blocker log'!$G:$G,"Hard blocker",'Blocker log'!$L:$L,9))</f>
        <v>0</v>
      </c>
      <c r="P889" s="20">
        <f>IF($B889="","",MAXIFS('Blocker log'!$L:$L,'Blocker log'!$A:$A,$B889,'Blocker log'!$G:$G,"Hard blocker"))</f>
        <v>0</v>
      </c>
      <c r="Q889" s="20" t="str">
        <f>IF($B889="","",IF($K889&lt;&gt;"Complete","Assessment pending",IF($N889=0,"Ready now",VLOOKUP($P889,Lists!$D$2:$E$5,2,FALSE))))</f>
        <v>Assessment pending</v>
      </c>
    </row>
    <row r="890" ht="15.75" customHeight="1">
      <c r="A890" s="35" t="s">
        <v>2401</v>
      </c>
      <c r="B890" s="35" t="s">
        <v>2402</v>
      </c>
      <c r="C890" s="35"/>
      <c r="D890" s="35" t="s">
        <v>171</v>
      </c>
      <c r="E890" s="35" t="s">
        <v>512</v>
      </c>
      <c r="F890" s="35" t="s">
        <v>513</v>
      </c>
      <c r="G890" s="35" t="s">
        <v>1161</v>
      </c>
      <c r="H890" s="76">
        <v>26000.0</v>
      </c>
      <c r="I890" s="35"/>
      <c r="M890" s="20">
        <f>IF($B890="","",COUNTIFS('Blocker log'!$A:$A,$B890,'Blocker log'!$G:$G,"&lt;&gt;"))</f>
        <v>0</v>
      </c>
      <c r="N890" s="20">
        <f>IF($B890="","",COUNTIFS('Blocker log'!$A:$A,$B890,'Blocker log'!$G:$G,"Hard blocker"))</f>
        <v>0</v>
      </c>
      <c r="O890" s="20">
        <f>IF($B890="","",COUNTIFS('Blocker log'!$A:$A,$B890,'Blocker log'!$G:$G,"Hard blocker",'Blocker log'!$L:$L,9))</f>
        <v>0</v>
      </c>
      <c r="P890" s="20">
        <f>IF($B890="","",MAXIFS('Blocker log'!$L:$L,'Blocker log'!$A:$A,$B890,'Blocker log'!$G:$G,"Hard blocker"))</f>
        <v>0</v>
      </c>
      <c r="Q890" s="20" t="str">
        <f>IF($B890="","",IF($K890&lt;&gt;"Complete","Assessment pending",IF($N890=0,"Ready now",VLOOKUP($P890,Lists!$D$2:$E$5,2,FALSE))))</f>
        <v>Assessment pending</v>
      </c>
    </row>
    <row r="891" ht="15.75" customHeight="1">
      <c r="A891" s="35" t="s">
        <v>2403</v>
      </c>
      <c r="B891" s="35" t="s">
        <v>2404</v>
      </c>
      <c r="C891" s="35" t="s">
        <v>1286</v>
      </c>
      <c r="D891" s="35" t="s">
        <v>171</v>
      </c>
      <c r="E891" s="35" t="s">
        <v>542</v>
      </c>
      <c r="F891" s="35" t="s">
        <v>543</v>
      </c>
      <c r="G891" s="35" t="s">
        <v>1161</v>
      </c>
      <c r="H891" s="76">
        <v>25933.0</v>
      </c>
      <c r="I891" s="35"/>
      <c r="M891" s="20">
        <f>IF($B891="","",COUNTIFS('Blocker log'!$A:$A,$B891,'Blocker log'!$G:$G,"&lt;&gt;"))</f>
        <v>0</v>
      </c>
      <c r="N891" s="20">
        <f>IF($B891="","",COUNTIFS('Blocker log'!$A:$A,$B891,'Blocker log'!$G:$G,"Hard blocker"))</f>
        <v>0</v>
      </c>
      <c r="O891" s="20">
        <f>IF($B891="","",COUNTIFS('Blocker log'!$A:$A,$B891,'Blocker log'!$G:$G,"Hard blocker",'Blocker log'!$L:$L,9))</f>
        <v>0</v>
      </c>
      <c r="P891" s="20">
        <f>IF($B891="","",MAXIFS('Blocker log'!$L:$L,'Blocker log'!$A:$A,$B891,'Blocker log'!$G:$G,"Hard blocker"))</f>
        <v>0</v>
      </c>
      <c r="Q891" s="20" t="str">
        <f>IF($B891="","",IF($K891&lt;&gt;"Complete","Assessment pending",IF($N891=0,"Ready now",VLOOKUP($P891,Lists!$D$2:$E$5,2,FALSE))))</f>
        <v>Assessment pending</v>
      </c>
    </row>
    <row r="892" ht="15.75" customHeight="1">
      <c r="A892" s="35" t="s">
        <v>2405</v>
      </c>
      <c r="B892" s="35" t="s">
        <v>2406</v>
      </c>
      <c r="C892" s="35" t="s">
        <v>1286</v>
      </c>
      <c r="D892" s="35" t="s">
        <v>171</v>
      </c>
      <c r="E892" s="35" t="s">
        <v>542</v>
      </c>
      <c r="F892" s="35" t="s">
        <v>549</v>
      </c>
      <c r="G892" s="35" t="s">
        <v>1161</v>
      </c>
      <c r="H892" s="76">
        <v>25920.0</v>
      </c>
      <c r="I892" s="35"/>
      <c r="M892" s="20">
        <f>IF($B892="","",COUNTIFS('Blocker log'!$A:$A,$B892,'Blocker log'!$G:$G,"&lt;&gt;"))</f>
        <v>0</v>
      </c>
      <c r="N892" s="20">
        <f>IF($B892="","",COUNTIFS('Blocker log'!$A:$A,$B892,'Blocker log'!$G:$G,"Hard blocker"))</f>
        <v>0</v>
      </c>
      <c r="O892" s="20">
        <f>IF($B892="","",COUNTIFS('Blocker log'!$A:$A,$B892,'Blocker log'!$G:$G,"Hard blocker",'Blocker log'!$L:$L,9))</f>
        <v>0</v>
      </c>
      <c r="P892" s="20">
        <f>IF($B892="","",MAXIFS('Blocker log'!$L:$L,'Blocker log'!$A:$A,$B892,'Blocker log'!$G:$G,"Hard blocker"))</f>
        <v>0</v>
      </c>
      <c r="Q892" s="20" t="str">
        <f>IF($B892="","",IF($K892&lt;&gt;"Complete","Assessment pending",IF($N892=0,"Ready now",VLOOKUP($P892,Lists!$D$2:$E$5,2,FALSE))))</f>
        <v>Assessment pending</v>
      </c>
    </row>
    <row r="893" ht="15.75" customHeight="1">
      <c r="A893" s="35" t="s">
        <v>2407</v>
      </c>
      <c r="B893" s="35" t="s">
        <v>2408</v>
      </c>
      <c r="C893" s="35" t="s">
        <v>1286</v>
      </c>
      <c r="D893" s="35" t="s">
        <v>58</v>
      </c>
      <c r="E893" s="35" t="s">
        <v>101</v>
      </c>
      <c r="F893" s="35" t="s">
        <v>116</v>
      </c>
      <c r="G893" s="35" t="s">
        <v>1042</v>
      </c>
      <c r="H893" s="76">
        <v>25792.0</v>
      </c>
      <c r="I893" s="35" t="s">
        <v>443</v>
      </c>
      <c r="M893" s="20">
        <f>IF($B893="","",COUNTIFS('Blocker log'!$A:$A,$B893,'Blocker log'!$G:$G,"&lt;&gt;"))</f>
        <v>0</v>
      </c>
      <c r="N893" s="20">
        <f>IF($B893="","",COUNTIFS('Blocker log'!$A:$A,$B893,'Blocker log'!$G:$G,"Hard blocker"))</f>
        <v>0</v>
      </c>
      <c r="O893" s="20">
        <f>IF($B893="","",COUNTIFS('Blocker log'!$A:$A,$B893,'Blocker log'!$G:$G,"Hard blocker",'Blocker log'!$L:$L,9))</f>
        <v>0</v>
      </c>
      <c r="P893" s="20">
        <f>IF($B893="","",MAXIFS('Blocker log'!$L:$L,'Blocker log'!$A:$A,$B893,'Blocker log'!$G:$G,"Hard blocker"))</f>
        <v>0</v>
      </c>
      <c r="Q893" s="20" t="str">
        <f>IF($B893="","",IF($K893&lt;&gt;"Complete","Assessment pending",IF($N893=0,"Ready now",VLOOKUP($P893,Lists!$D$2:$E$5,2,FALSE))))</f>
        <v>Assessment pending</v>
      </c>
    </row>
    <row r="894" ht="15.75" customHeight="1">
      <c r="A894" s="35" t="s">
        <v>2409</v>
      </c>
      <c r="B894" s="35" t="s">
        <v>2410</v>
      </c>
      <c r="C894" s="35" t="s">
        <v>1286</v>
      </c>
      <c r="D894" s="35" t="s">
        <v>171</v>
      </c>
      <c r="E894" s="35" t="s">
        <v>542</v>
      </c>
      <c r="F894" s="35" t="s">
        <v>543</v>
      </c>
      <c r="G894" s="35" t="s">
        <v>1161</v>
      </c>
      <c r="H894" s="76">
        <v>25686.0</v>
      </c>
      <c r="I894" s="35" t="s">
        <v>455</v>
      </c>
      <c r="M894" s="20">
        <f>IF($B894="","",COUNTIFS('Blocker log'!$A:$A,$B894,'Blocker log'!$G:$G,"&lt;&gt;"))</f>
        <v>0</v>
      </c>
      <c r="N894" s="20">
        <f>IF($B894="","",COUNTIFS('Blocker log'!$A:$A,$B894,'Blocker log'!$G:$G,"Hard blocker"))</f>
        <v>0</v>
      </c>
      <c r="O894" s="20">
        <f>IF($B894="","",COUNTIFS('Blocker log'!$A:$A,$B894,'Blocker log'!$G:$G,"Hard blocker",'Blocker log'!$L:$L,9))</f>
        <v>0</v>
      </c>
      <c r="P894" s="20">
        <f>IF($B894="","",MAXIFS('Blocker log'!$L:$L,'Blocker log'!$A:$A,$B894,'Blocker log'!$G:$G,"Hard blocker"))</f>
        <v>0</v>
      </c>
      <c r="Q894" s="20" t="str">
        <f>IF($B894="","",IF($K894&lt;&gt;"Complete","Assessment pending",IF($N894=0,"Ready now",VLOOKUP($P894,Lists!$D$2:$E$5,2,FALSE))))</f>
        <v>Assessment pending</v>
      </c>
    </row>
    <row r="895" ht="15.75" customHeight="1">
      <c r="A895" s="35" t="s">
        <v>2411</v>
      </c>
      <c r="B895" s="35" t="s">
        <v>2412</v>
      </c>
      <c r="C895" s="35" t="s">
        <v>1286</v>
      </c>
      <c r="D895" s="35" t="s">
        <v>58</v>
      </c>
      <c r="E895" s="35" t="s">
        <v>494</v>
      </c>
      <c r="F895" s="35" t="s">
        <v>495</v>
      </c>
      <c r="G895" s="35" t="s">
        <v>1161</v>
      </c>
      <c r="H895" s="76">
        <v>25675.0</v>
      </c>
      <c r="I895" s="35"/>
      <c r="M895" s="20">
        <f>IF($B895="","",COUNTIFS('Blocker log'!$A:$A,$B895,'Blocker log'!$G:$G,"&lt;&gt;"))</f>
        <v>0</v>
      </c>
      <c r="N895" s="20">
        <f>IF($B895="","",COUNTIFS('Blocker log'!$A:$A,$B895,'Blocker log'!$G:$G,"Hard blocker"))</f>
        <v>0</v>
      </c>
      <c r="O895" s="20">
        <f>IF($B895="","",COUNTIFS('Blocker log'!$A:$A,$B895,'Blocker log'!$G:$G,"Hard blocker",'Blocker log'!$L:$L,9))</f>
        <v>0</v>
      </c>
      <c r="P895" s="20">
        <f>IF($B895="","",MAXIFS('Blocker log'!$L:$L,'Blocker log'!$A:$A,$B895,'Blocker log'!$G:$G,"Hard blocker"))</f>
        <v>0</v>
      </c>
      <c r="Q895" s="20" t="str">
        <f>IF($B895="","",IF($K895&lt;&gt;"Complete","Assessment pending",IF($N895=0,"Ready now",VLOOKUP($P895,Lists!$D$2:$E$5,2,FALSE))))</f>
        <v>Assessment pending</v>
      </c>
    </row>
    <row r="896" ht="15.75" customHeight="1">
      <c r="A896" s="35" t="s">
        <v>2413</v>
      </c>
      <c r="B896" s="35" t="s">
        <v>2414</v>
      </c>
      <c r="C896" s="35" t="s">
        <v>1286</v>
      </c>
      <c r="D896" s="35" t="s">
        <v>171</v>
      </c>
      <c r="E896" s="35" t="s">
        <v>668</v>
      </c>
      <c r="F896" s="35" t="s">
        <v>669</v>
      </c>
      <c r="G896" s="35" t="s">
        <v>1161</v>
      </c>
      <c r="H896" s="76">
        <v>25608.0</v>
      </c>
      <c r="I896" s="35" t="s">
        <v>424</v>
      </c>
      <c r="M896" s="20">
        <f>IF($B896="","",COUNTIFS('Blocker log'!$A:$A,$B896,'Blocker log'!$G:$G,"&lt;&gt;"))</f>
        <v>0</v>
      </c>
      <c r="N896" s="20">
        <f>IF($B896="","",COUNTIFS('Blocker log'!$A:$A,$B896,'Blocker log'!$G:$G,"Hard blocker"))</f>
        <v>0</v>
      </c>
      <c r="O896" s="20">
        <f>IF($B896="","",COUNTIFS('Blocker log'!$A:$A,$B896,'Blocker log'!$G:$G,"Hard blocker",'Blocker log'!$L:$L,9))</f>
        <v>0</v>
      </c>
      <c r="P896" s="20">
        <f>IF($B896="","",MAXIFS('Blocker log'!$L:$L,'Blocker log'!$A:$A,$B896,'Blocker log'!$G:$G,"Hard blocker"))</f>
        <v>0</v>
      </c>
      <c r="Q896" s="20" t="str">
        <f>IF($B896="","",IF($K896&lt;&gt;"Complete","Assessment pending",IF($N896=0,"Ready now",VLOOKUP($P896,Lists!$D$2:$E$5,2,FALSE))))</f>
        <v>Assessment pending</v>
      </c>
    </row>
    <row r="897" ht="15.75" customHeight="1">
      <c r="A897" s="35" t="s">
        <v>2415</v>
      </c>
      <c r="B897" s="35" t="s">
        <v>2416</v>
      </c>
      <c r="C897" s="35" t="s">
        <v>1286</v>
      </c>
      <c r="D897" s="35" t="s">
        <v>260</v>
      </c>
      <c r="E897" s="35" t="s">
        <v>530</v>
      </c>
      <c r="F897" s="35" t="s">
        <v>1849</v>
      </c>
      <c r="G897" s="35" t="s">
        <v>1161</v>
      </c>
      <c r="H897" s="76">
        <v>25600.0</v>
      </c>
      <c r="I897" s="35" t="s">
        <v>441</v>
      </c>
      <c r="M897" s="20">
        <f>IF($B897="","",COUNTIFS('Blocker log'!$A:$A,$B897,'Blocker log'!$G:$G,"&lt;&gt;"))</f>
        <v>0</v>
      </c>
      <c r="N897" s="20">
        <f>IF($B897="","",COUNTIFS('Blocker log'!$A:$A,$B897,'Blocker log'!$G:$G,"Hard blocker"))</f>
        <v>0</v>
      </c>
      <c r="O897" s="20">
        <f>IF($B897="","",COUNTIFS('Blocker log'!$A:$A,$B897,'Blocker log'!$G:$G,"Hard blocker",'Blocker log'!$L:$L,9))</f>
        <v>0</v>
      </c>
      <c r="P897" s="20">
        <f>IF($B897="","",MAXIFS('Blocker log'!$L:$L,'Blocker log'!$A:$A,$B897,'Blocker log'!$G:$G,"Hard blocker"))</f>
        <v>0</v>
      </c>
      <c r="Q897" s="20" t="str">
        <f>IF($B897="","",IF($K897&lt;&gt;"Complete","Assessment pending",IF($N897=0,"Ready now",VLOOKUP($P897,Lists!$D$2:$E$5,2,FALSE))))</f>
        <v>Assessment pending</v>
      </c>
    </row>
    <row r="898" ht="15.75" customHeight="1">
      <c r="A898" s="35" t="s">
        <v>2417</v>
      </c>
      <c r="B898" s="35" t="s">
        <v>2418</v>
      </c>
      <c r="C898" s="35" t="s">
        <v>1286</v>
      </c>
      <c r="D898" s="35" t="s">
        <v>171</v>
      </c>
      <c r="E898" s="35" t="s">
        <v>524</v>
      </c>
      <c r="F898" s="35" t="s">
        <v>1085</v>
      </c>
      <c r="G898" s="35" t="s">
        <v>1042</v>
      </c>
      <c r="H898" s="76">
        <v>25549.0</v>
      </c>
      <c r="I898" s="35"/>
      <c r="M898" s="20">
        <f>IF($B898="","",COUNTIFS('Blocker log'!$A:$A,$B898,'Blocker log'!$G:$G,"&lt;&gt;"))</f>
        <v>0</v>
      </c>
      <c r="N898" s="20">
        <f>IF($B898="","",COUNTIFS('Blocker log'!$A:$A,$B898,'Blocker log'!$G:$G,"Hard blocker"))</f>
        <v>0</v>
      </c>
      <c r="O898" s="20">
        <f>IF($B898="","",COUNTIFS('Blocker log'!$A:$A,$B898,'Blocker log'!$G:$G,"Hard blocker",'Blocker log'!$L:$L,9))</f>
        <v>0</v>
      </c>
      <c r="P898" s="20">
        <f>IF($B898="","",MAXIFS('Blocker log'!$L:$L,'Blocker log'!$A:$A,$B898,'Blocker log'!$G:$G,"Hard blocker"))</f>
        <v>0</v>
      </c>
      <c r="Q898" s="20" t="str">
        <f>IF($B898="","",IF($K898&lt;&gt;"Complete","Assessment pending",IF($N898=0,"Ready now",VLOOKUP($P898,Lists!$D$2:$E$5,2,FALSE))))</f>
        <v>Assessment pending</v>
      </c>
    </row>
    <row r="899" ht="15.75" customHeight="1">
      <c r="A899" s="35" t="s">
        <v>2419</v>
      </c>
      <c r="B899" s="35" t="s">
        <v>2420</v>
      </c>
      <c r="C899" s="35" t="s">
        <v>1286</v>
      </c>
      <c r="D899" s="35" t="s">
        <v>301</v>
      </c>
      <c r="E899" s="35" t="s">
        <v>1281</v>
      </c>
      <c r="F899" s="35" t="s">
        <v>1281</v>
      </c>
      <c r="G899" s="35" t="s">
        <v>1161</v>
      </c>
      <c r="H899" s="76">
        <v>25515.0</v>
      </c>
      <c r="I899" s="35"/>
      <c r="M899" s="20">
        <f>IF($B899="","",COUNTIFS('Blocker log'!$A:$A,$B899,'Blocker log'!$G:$G,"&lt;&gt;"))</f>
        <v>0</v>
      </c>
      <c r="N899" s="20">
        <f>IF($B899="","",COUNTIFS('Blocker log'!$A:$A,$B899,'Blocker log'!$G:$G,"Hard blocker"))</f>
        <v>0</v>
      </c>
      <c r="O899" s="20">
        <f>IF($B899="","",COUNTIFS('Blocker log'!$A:$A,$B899,'Blocker log'!$G:$G,"Hard blocker",'Blocker log'!$L:$L,9))</f>
        <v>0</v>
      </c>
      <c r="P899" s="20">
        <f>IF($B899="","",MAXIFS('Blocker log'!$L:$L,'Blocker log'!$A:$A,$B899,'Blocker log'!$G:$G,"Hard blocker"))</f>
        <v>0</v>
      </c>
      <c r="Q899" s="20" t="str">
        <f>IF($B899="","",IF($K899&lt;&gt;"Complete","Assessment pending",IF($N899=0,"Ready now",VLOOKUP($P899,Lists!$D$2:$E$5,2,FALSE))))</f>
        <v>Assessment pending</v>
      </c>
    </row>
    <row r="900" ht="15.75" customHeight="1">
      <c r="A900" s="35" t="s">
        <v>2421</v>
      </c>
      <c r="B900" s="35" t="s">
        <v>2422</v>
      </c>
      <c r="C900" s="35" t="s">
        <v>1286</v>
      </c>
      <c r="D900" s="35" t="s">
        <v>260</v>
      </c>
      <c r="E900" s="35" t="s">
        <v>576</v>
      </c>
      <c r="F900" s="35" t="s">
        <v>1228</v>
      </c>
      <c r="G900" s="35" t="s">
        <v>1161</v>
      </c>
      <c r="H900" s="76">
        <v>25404.0</v>
      </c>
      <c r="I900" s="35" t="s">
        <v>403</v>
      </c>
      <c r="M900" s="20">
        <f>IF($B900="","",COUNTIFS('Blocker log'!$A:$A,$B900,'Blocker log'!$G:$G,"&lt;&gt;"))</f>
        <v>0</v>
      </c>
      <c r="N900" s="20">
        <f>IF($B900="","",COUNTIFS('Blocker log'!$A:$A,$B900,'Blocker log'!$G:$G,"Hard blocker"))</f>
        <v>0</v>
      </c>
      <c r="O900" s="20">
        <f>IF($B900="","",COUNTIFS('Blocker log'!$A:$A,$B900,'Blocker log'!$G:$G,"Hard blocker",'Blocker log'!$L:$L,9))</f>
        <v>0</v>
      </c>
      <c r="P900" s="20">
        <f>IF($B900="","",MAXIFS('Blocker log'!$L:$L,'Blocker log'!$A:$A,$B900,'Blocker log'!$G:$G,"Hard blocker"))</f>
        <v>0</v>
      </c>
      <c r="Q900" s="20" t="str">
        <f>IF($B900="","",IF($K900&lt;&gt;"Complete","Assessment pending",IF($N900=0,"Ready now",VLOOKUP($P900,Lists!$D$2:$E$5,2,FALSE))))</f>
        <v>Assessment pending</v>
      </c>
    </row>
    <row r="901" ht="15.75" customHeight="1">
      <c r="A901" s="35" t="s">
        <v>2423</v>
      </c>
      <c r="B901" s="35" t="s">
        <v>2424</v>
      </c>
      <c r="C901" s="35" t="s">
        <v>1286</v>
      </c>
      <c r="D901" s="35" t="s">
        <v>58</v>
      </c>
      <c r="E901" s="35" t="s">
        <v>132</v>
      </c>
      <c r="F901" s="35" t="s">
        <v>949</v>
      </c>
      <c r="G901" s="35" t="s">
        <v>1161</v>
      </c>
      <c r="H901" s="76">
        <v>25338.0</v>
      </c>
      <c r="I901" s="35"/>
      <c r="M901" s="20">
        <f>IF($B901="","",COUNTIFS('Blocker log'!$A:$A,$B901,'Blocker log'!$G:$G,"&lt;&gt;"))</f>
        <v>0</v>
      </c>
      <c r="N901" s="20">
        <f>IF($B901="","",COUNTIFS('Blocker log'!$A:$A,$B901,'Blocker log'!$G:$G,"Hard blocker"))</f>
        <v>0</v>
      </c>
      <c r="O901" s="20">
        <f>IF($B901="","",COUNTIFS('Blocker log'!$A:$A,$B901,'Blocker log'!$G:$G,"Hard blocker",'Blocker log'!$L:$L,9))</f>
        <v>0</v>
      </c>
      <c r="P901" s="20">
        <f>IF($B901="","",MAXIFS('Blocker log'!$L:$L,'Blocker log'!$A:$A,$B901,'Blocker log'!$G:$G,"Hard blocker"))</f>
        <v>0</v>
      </c>
      <c r="Q901" s="20" t="str">
        <f>IF($B901="","",IF($K901&lt;&gt;"Complete","Assessment pending",IF($N901=0,"Ready now",VLOOKUP($P901,Lists!$D$2:$E$5,2,FALSE))))</f>
        <v>Assessment pending</v>
      </c>
    </row>
    <row r="902" ht="15.75" customHeight="1">
      <c r="A902" s="35" t="s">
        <v>2425</v>
      </c>
      <c r="B902" s="35" t="s">
        <v>2426</v>
      </c>
      <c r="C902" s="35" t="s">
        <v>1286</v>
      </c>
      <c r="D902" s="35" t="s">
        <v>260</v>
      </c>
      <c r="E902" s="35" t="s">
        <v>506</v>
      </c>
      <c r="F902" s="35" t="s">
        <v>685</v>
      </c>
      <c r="G902" s="35" t="s">
        <v>1161</v>
      </c>
      <c r="H902" s="76">
        <v>25318.0</v>
      </c>
      <c r="I902" s="35" t="s">
        <v>417</v>
      </c>
      <c r="M902" s="20">
        <f>IF($B902="","",COUNTIFS('Blocker log'!$A:$A,$B902,'Blocker log'!$G:$G,"&lt;&gt;"))</f>
        <v>0</v>
      </c>
      <c r="N902" s="20">
        <f>IF($B902="","",COUNTIFS('Blocker log'!$A:$A,$B902,'Blocker log'!$G:$G,"Hard blocker"))</f>
        <v>0</v>
      </c>
      <c r="O902" s="20">
        <f>IF($B902="","",COUNTIFS('Blocker log'!$A:$A,$B902,'Blocker log'!$G:$G,"Hard blocker",'Blocker log'!$L:$L,9))</f>
        <v>0</v>
      </c>
      <c r="P902" s="20">
        <f>IF($B902="","",MAXIFS('Blocker log'!$L:$L,'Blocker log'!$A:$A,$B902,'Blocker log'!$G:$G,"Hard blocker"))</f>
        <v>0</v>
      </c>
      <c r="Q902" s="20" t="str">
        <f>IF($B902="","",IF($K902&lt;&gt;"Complete","Assessment pending",IF($N902=0,"Ready now",VLOOKUP($P902,Lists!$D$2:$E$5,2,FALSE))))</f>
        <v>Assessment pending</v>
      </c>
    </row>
    <row r="903" ht="15.75" customHeight="1">
      <c r="A903" s="35" t="s">
        <v>2427</v>
      </c>
      <c r="B903" s="35" t="s">
        <v>2428</v>
      </c>
      <c r="C903" s="35" t="s">
        <v>1286</v>
      </c>
      <c r="D903" s="35" t="s">
        <v>58</v>
      </c>
      <c r="E903" s="35" t="s">
        <v>132</v>
      </c>
      <c r="F903" s="35" t="s">
        <v>559</v>
      </c>
      <c r="G903" s="35" t="s">
        <v>1161</v>
      </c>
      <c r="H903" s="76">
        <v>25221.0</v>
      </c>
      <c r="I903" s="35" t="s">
        <v>404</v>
      </c>
      <c r="M903" s="20">
        <f>IF($B903="","",COUNTIFS('Blocker log'!$A:$A,$B903,'Blocker log'!$G:$G,"&lt;&gt;"))</f>
        <v>0</v>
      </c>
      <c r="N903" s="20">
        <f>IF($B903="","",COUNTIFS('Blocker log'!$A:$A,$B903,'Blocker log'!$G:$G,"Hard blocker"))</f>
        <v>0</v>
      </c>
      <c r="O903" s="20">
        <f>IF($B903="","",COUNTIFS('Blocker log'!$A:$A,$B903,'Blocker log'!$G:$G,"Hard blocker",'Blocker log'!$L:$L,9))</f>
        <v>0</v>
      </c>
      <c r="P903" s="20">
        <f>IF($B903="","",MAXIFS('Blocker log'!$L:$L,'Blocker log'!$A:$A,$B903,'Blocker log'!$G:$G,"Hard blocker"))</f>
        <v>0</v>
      </c>
      <c r="Q903" s="20" t="str">
        <f>IF($B903="","",IF($K903&lt;&gt;"Complete","Assessment pending",IF($N903=0,"Ready now",VLOOKUP($P903,Lists!$D$2:$E$5,2,FALSE))))</f>
        <v>Assessment pending</v>
      </c>
    </row>
    <row r="904" ht="15.75" customHeight="1">
      <c r="A904" s="35" t="s">
        <v>2429</v>
      </c>
      <c r="B904" s="35" t="s">
        <v>2430</v>
      </c>
      <c r="C904" s="35" t="s">
        <v>76</v>
      </c>
      <c r="D904" s="35" t="s">
        <v>58</v>
      </c>
      <c r="E904" s="35" t="s">
        <v>181</v>
      </c>
      <c r="F904" s="35" t="s">
        <v>653</v>
      </c>
      <c r="G904" s="35" t="s">
        <v>980</v>
      </c>
      <c r="H904" s="76">
        <v>25216.0</v>
      </c>
      <c r="I904" s="35"/>
      <c r="M904" s="20">
        <f>IF($B904="","",COUNTIFS('Blocker log'!$A:$A,$B904,'Blocker log'!$G:$G,"&lt;&gt;"))</f>
        <v>0</v>
      </c>
      <c r="N904" s="20">
        <f>IF($B904="","",COUNTIFS('Blocker log'!$A:$A,$B904,'Blocker log'!$G:$G,"Hard blocker"))</f>
        <v>0</v>
      </c>
      <c r="O904" s="20">
        <f>IF($B904="","",COUNTIFS('Blocker log'!$A:$A,$B904,'Blocker log'!$G:$G,"Hard blocker",'Blocker log'!$L:$L,9))</f>
        <v>0</v>
      </c>
      <c r="P904" s="20">
        <f>IF($B904="","",MAXIFS('Blocker log'!$L:$L,'Blocker log'!$A:$A,$B904,'Blocker log'!$G:$G,"Hard blocker"))</f>
        <v>0</v>
      </c>
      <c r="Q904" s="20" t="str">
        <f>IF($B904="","",IF($K904&lt;&gt;"Complete","Assessment pending",IF($N904=0,"Ready now",VLOOKUP($P904,Lists!$D$2:$E$5,2,FALSE))))</f>
        <v>Assessment pending</v>
      </c>
    </row>
    <row r="905" ht="15.75" customHeight="1">
      <c r="A905" s="35" t="s">
        <v>2431</v>
      </c>
      <c r="B905" s="35" t="s">
        <v>2432</v>
      </c>
      <c r="C905" s="35" t="s">
        <v>1286</v>
      </c>
      <c r="D905" s="35" t="s">
        <v>260</v>
      </c>
      <c r="E905" s="35" t="s">
        <v>1096</v>
      </c>
      <c r="F905" s="35" t="s">
        <v>1650</v>
      </c>
      <c r="G905" s="35" t="s">
        <v>1161</v>
      </c>
      <c r="H905" s="76">
        <v>25200.0</v>
      </c>
      <c r="I905" s="35" t="s">
        <v>416</v>
      </c>
      <c r="M905" s="20">
        <f>IF($B905="","",COUNTIFS('Blocker log'!$A:$A,$B905,'Blocker log'!$G:$G,"&lt;&gt;"))</f>
        <v>0</v>
      </c>
      <c r="N905" s="20">
        <f>IF($B905="","",COUNTIFS('Blocker log'!$A:$A,$B905,'Blocker log'!$G:$G,"Hard blocker"))</f>
        <v>0</v>
      </c>
      <c r="O905" s="20">
        <f>IF($B905="","",COUNTIFS('Blocker log'!$A:$A,$B905,'Blocker log'!$G:$G,"Hard blocker",'Blocker log'!$L:$L,9))</f>
        <v>0</v>
      </c>
      <c r="P905" s="20">
        <f>IF($B905="","",MAXIFS('Blocker log'!$L:$L,'Blocker log'!$A:$A,$B905,'Blocker log'!$G:$G,"Hard blocker"))</f>
        <v>0</v>
      </c>
      <c r="Q905" s="20" t="str">
        <f>IF($B905="","",IF($K905&lt;&gt;"Complete","Assessment pending",IF($N905=0,"Ready now",VLOOKUP($P905,Lists!$D$2:$E$5,2,FALSE))))</f>
        <v>Assessment pending</v>
      </c>
    </row>
    <row r="906" ht="15.75" customHeight="1">
      <c r="A906" s="35" t="s">
        <v>2433</v>
      </c>
      <c r="B906" s="35" t="s">
        <v>2434</v>
      </c>
      <c r="C906" s="35" t="s">
        <v>1286</v>
      </c>
      <c r="D906" s="35" t="s">
        <v>301</v>
      </c>
      <c r="E906" s="35" t="s">
        <v>593</v>
      </c>
      <c r="F906" s="35" t="s">
        <v>593</v>
      </c>
      <c r="G906" s="35" t="s">
        <v>1161</v>
      </c>
      <c r="H906" s="76">
        <v>25029.0</v>
      </c>
      <c r="I906" s="35" t="s">
        <v>410</v>
      </c>
      <c r="M906" s="20">
        <f>IF($B906="","",COUNTIFS('Blocker log'!$A:$A,$B906,'Blocker log'!$G:$G,"&lt;&gt;"))</f>
        <v>0</v>
      </c>
      <c r="N906" s="20">
        <f>IF($B906="","",COUNTIFS('Blocker log'!$A:$A,$B906,'Blocker log'!$G:$G,"Hard blocker"))</f>
        <v>0</v>
      </c>
      <c r="O906" s="20">
        <f>IF($B906="","",COUNTIFS('Blocker log'!$A:$A,$B906,'Blocker log'!$G:$G,"Hard blocker",'Blocker log'!$L:$L,9))</f>
        <v>0</v>
      </c>
      <c r="P906" s="20">
        <f>IF($B906="","",MAXIFS('Blocker log'!$L:$L,'Blocker log'!$A:$A,$B906,'Blocker log'!$G:$G,"Hard blocker"))</f>
        <v>0</v>
      </c>
      <c r="Q906" s="20" t="str">
        <f>IF($B906="","",IF($K906&lt;&gt;"Complete","Assessment pending",IF($N906=0,"Ready now",VLOOKUP($P906,Lists!$D$2:$E$5,2,FALSE))))</f>
        <v>Assessment pending</v>
      </c>
    </row>
    <row r="907" ht="15.75" customHeight="1">
      <c r="A907" s="35" t="s">
        <v>2435</v>
      </c>
      <c r="B907" s="35" t="s">
        <v>2436</v>
      </c>
      <c r="C907" s="35" t="s">
        <v>1286</v>
      </c>
      <c r="D907" s="35" t="s">
        <v>58</v>
      </c>
      <c r="E907" s="35" t="s">
        <v>181</v>
      </c>
      <c r="F907" s="35" t="s">
        <v>653</v>
      </c>
      <c r="G907" s="35" t="s">
        <v>1042</v>
      </c>
      <c r="H907" s="76">
        <v>24969.0</v>
      </c>
      <c r="I907" s="35" t="s">
        <v>408</v>
      </c>
      <c r="M907" s="20">
        <f>IF($B907="","",COUNTIFS('Blocker log'!$A:$A,$B907,'Blocker log'!$G:$G,"&lt;&gt;"))</f>
        <v>0</v>
      </c>
      <c r="N907" s="20">
        <f>IF($B907="","",COUNTIFS('Blocker log'!$A:$A,$B907,'Blocker log'!$G:$G,"Hard blocker"))</f>
        <v>0</v>
      </c>
      <c r="O907" s="20">
        <f>IF($B907="","",COUNTIFS('Blocker log'!$A:$A,$B907,'Blocker log'!$G:$G,"Hard blocker",'Blocker log'!$L:$L,9))</f>
        <v>0</v>
      </c>
      <c r="P907" s="20">
        <f>IF($B907="","",MAXIFS('Blocker log'!$L:$L,'Blocker log'!$A:$A,$B907,'Blocker log'!$G:$G,"Hard blocker"))</f>
        <v>0</v>
      </c>
      <c r="Q907" s="20" t="str">
        <f>IF($B907="","",IF($K907&lt;&gt;"Complete","Assessment pending",IF($N907=0,"Ready now",VLOOKUP($P907,Lists!$D$2:$E$5,2,FALSE))))</f>
        <v>Assessment pending</v>
      </c>
    </row>
    <row r="908" ht="15.75" customHeight="1">
      <c r="A908" s="35" t="s">
        <v>2437</v>
      </c>
      <c r="B908" s="35" t="s">
        <v>2438</v>
      </c>
      <c r="C908" s="35" t="s">
        <v>1286</v>
      </c>
      <c r="D908" s="35" t="s">
        <v>58</v>
      </c>
      <c r="E908" s="35" t="s">
        <v>94</v>
      </c>
      <c r="F908" s="35" t="s">
        <v>94</v>
      </c>
      <c r="G908" s="35" t="s">
        <v>1161</v>
      </c>
      <c r="H908" s="76">
        <v>24892.0</v>
      </c>
      <c r="I908" s="35"/>
      <c r="M908" s="20">
        <f>IF($B908="","",COUNTIFS('Blocker log'!$A:$A,$B908,'Blocker log'!$G:$G,"&lt;&gt;"))</f>
        <v>0</v>
      </c>
      <c r="N908" s="20">
        <f>IF($B908="","",COUNTIFS('Blocker log'!$A:$A,$B908,'Blocker log'!$G:$G,"Hard blocker"))</f>
        <v>0</v>
      </c>
      <c r="O908" s="20">
        <f>IF($B908="","",COUNTIFS('Blocker log'!$A:$A,$B908,'Blocker log'!$G:$G,"Hard blocker",'Blocker log'!$L:$L,9))</f>
        <v>0</v>
      </c>
      <c r="P908" s="20">
        <f>IF($B908="","",MAXIFS('Blocker log'!$L:$L,'Blocker log'!$A:$A,$B908,'Blocker log'!$G:$G,"Hard blocker"))</f>
        <v>0</v>
      </c>
      <c r="Q908" s="20" t="str">
        <f>IF($B908="","",IF($K908&lt;&gt;"Complete","Assessment pending",IF($N908=0,"Ready now",VLOOKUP($P908,Lists!$D$2:$E$5,2,FALSE))))</f>
        <v>Assessment pending</v>
      </c>
    </row>
    <row r="909" ht="15.75" customHeight="1">
      <c r="A909" s="35" t="s">
        <v>2439</v>
      </c>
      <c r="B909" s="35" t="s">
        <v>2440</v>
      </c>
      <c r="C909" s="35" t="s">
        <v>1286</v>
      </c>
      <c r="D909" s="35" t="s">
        <v>260</v>
      </c>
      <c r="E909" s="35" t="s">
        <v>506</v>
      </c>
      <c r="F909" s="35" t="s">
        <v>685</v>
      </c>
      <c r="G909" s="35" t="s">
        <v>1161</v>
      </c>
      <c r="H909" s="76">
        <v>24675.0</v>
      </c>
      <c r="I909" s="35" t="s">
        <v>440</v>
      </c>
      <c r="M909" s="20">
        <f>IF($B909="","",COUNTIFS('Blocker log'!$A:$A,$B909,'Blocker log'!$G:$G,"&lt;&gt;"))</f>
        <v>0</v>
      </c>
      <c r="N909" s="20">
        <f>IF($B909="","",COUNTIFS('Blocker log'!$A:$A,$B909,'Blocker log'!$G:$G,"Hard blocker"))</f>
        <v>0</v>
      </c>
      <c r="O909" s="20">
        <f>IF($B909="","",COUNTIFS('Blocker log'!$A:$A,$B909,'Blocker log'!$G:$G,"Hard blocker",'Blocker log'!$L:$L,9))</f>
        <v>0</v>
      </c>
      <c r="P909" s="20">
        <f>IF($B909="","",MAXIFS('Blocker log'!$L:$L,'Blocker log'!$A:$A,$B909,'Blocker log'!$G:$G,"Hard blocker"))</f>
        <v>0</v>
      </c>
      <c r="Q909" s="20" t="str">
        <f>IF($B909="","",IF($K909&lt;&gt;"Complete","Assessment pending",IF($N909=0,"Ready now",VLOOKUP($P909,Lists!$D$2:$E$5,2,FALSE))))</f>
        <v>Assessment pending</v>
      </c>
    </row>
    <row r="910" ht="15.75" customHeight="1">
      <c r="A910" s="35" t="s">
        <v>2441</v>
      </c>
      <c r="B910" s="35" t="s">
        <v>2442</v>
      </c>
      <c r="C910" s="35" t="s">
        <v>1286</v>
      </c>
      <c r="D910" s="35" t="s">
        <v>171</v>
      </c>
      <c r="E910" s="35" t="s">
        <v>205</v>
      </c>
      <c r="F910" s="35" t="s">
        <v>1823</v>
      </c>
      <c r="G910" s="35" t="s">
        <v>1161</v>
      </c>
      <c r="H910" s="76">
        <v>24648.0</v>
      </c>
      <c r="I910" s="35"/>
      <c r="M910" s="20">
        <f>IF($B910="","",COUNTIFS('Blocker log'!$A:$A,$B910,'Blocker log'!$G:$G,"&lt;&gt;"))</f>
        <v>0</v>
      </c>
      <c r="N910" s="20">
        <f>IF($B910="","",COUNTIFS('Blocker log'!$A:$A,$B910,'Blocker log'!$G:$G,"Hard blocker"))</f>
        <v>0</v>
      </c>
      <c r="O910" s="20">
        <f>IF($B910="","",COUNTIFS('Blocker log'!$A:$A,$B910,'Blocker log'!$G:$G,"Hard blocker",'Blocker log'!$L:$L,9))</f>
        <v>0</v>
      </c>
      <c r="P910" s="20">
        <f>IF($B910="","",MAXIFS('Blocker log'!$L:$L,'Blocker log'!$A:$A,$B910,'Blocker log'!$G:$G,"Hard blocker"))</f>
        <v>0</v>
      </c>
      <c r="Q910" s="20" t="str">
        <f>IF($B910="","",IF($K910&lt;&gt;"Complete","Assessment pending",IF($N910=0,"Ready now",VLOOKUP($P910,Lists!$D$2:$E$5,2,FALSE))))</f>
        <v>Assessment pending</v>
      </c>
    </row>
    <row r="911" ht="15.75" customHeight="1">
      <c r="A911" s="35" t="s">
        <v>2443</v>
      </c>
      <c r="B911" s="35" t="s">
        <v>2444</v>
      </c>
      <c r="C911" s="35" t="s">
        <v>1286</v>
      </c>
      <c r="D911" s="35" t="s">
        <v>171</v>
      </c>
      <c r="E911" s="35" t="s">
        <v>512</v>
      </c>
      <c r="F911" s="35" t="s">
        <v>944</v>
      </c>
      <c r="G911" s="35" t="s">
        <v>1161</v>
      </c>
      <c r="H911" s="76">
        <v>24627.0</v>
      </c>
      <c r="I911" s="35" t="s">
        <v>406</v>
      </c>
      <c r="M911" s="20">
        <f>IF($B911="","",COUNTIFS('Blocker log'!$A:$A,$B911,'Blocker log'!$G:$G,"&lt;&gt;"))</f>
        <v>0</v>
      </c>
      <c r="N911" s="20">
        <f>IF($B911="","",COUNTIFS('Blocker log'!$A:$A,$B911,'Blocker log'!$G:$G,"Hard blocker"))</f>
        <v>0</v>
      </c>
      <c r="O911" s="20">
        <f>IF($B911="","",COUNTIFS('Blocker log'!$A:$A,$B911,'Blocker log'!$G:$G,"Hard blocker",'Blocker log'!$L:$L,9))</f>
        <v>0</v>
      </c>
      <c r="P911" s="20">
        <f>IF($B911="","",MAXIFS('Blocker log'!$L:$L,'Blocker log'!$A:$A,$B911,'Blocker log'!$G:$G,"Hard blocker"))</f>
        <v>0</v>
      </c>
      <c r="Q911" s="20" t="str">
        <f>IF($B911="","",IF($K911&lt;&gt;"Complete","Assessment pending",IF($N911=0,"Ready now",VLOOKUP($P911,Lists!$D$2:$E$5,2,FALSE))))</f>
        <v>Assessment pending</v>
      </c>
    </row>
    <row r="912" ht="15.75" customHeight="1">
      <c r="A912" s="35" t="s">
        <v>2445</v>
      </c>
      <c r="B912" s="35" t="s">
        <v>2446</v>
      </c>
      <c r="C912" s="35" t="s">
        <v>1286</v>
      </c>
      <c r="D912" s="35" t="s">
        <v>171</v>
      </c>
      <c r="E912" s="35" t="s">
        <v>205</v>
      </c>
      <c r="F912" s="35" t="s">
        <v>916</v>
      </c>
      <c r="G912" s="35" t="s">
        <v>1161</v>
      </c>
      <c r="H912" s="76">
        <v>24624.0</v>
      </c>
      <c r="I912" s="35"/>
      <c r="M912" s="20">
        <f>IF($B912="","",COUNTIFS('Blocker log'!$A:$A,$B912,'Blocker log'!$G:$G,"&lt;&gt;"))</f>
        <v>0</v>
      </c>
      <c r="N912" s="20">
        <f>IF($B912="","",COUNTIFS('Blocker log'!$A:$A,$B912,'Blocker log'!$G:$G,"Hard blocker"))</f>
        <v>0</v>
      </c>
      <c r="O912" s="20">
        <f>IF($B912="","",COUNTIFS('Blocker log'!$A:$A,$B912,'Blocker log'!$G:$G,"Hard blocker",'Blocker log'!$L:$L,9))</f>
        <v>0</v>
      </c>
      <c r="P912" s="20">
        <f>IF($B912="","",MAXIFS('Blocker log'!$L:$L,'Blocker log'!$A:$A,$B912,'Blocker log'!$G:$G,"Hard blocker"))</f>
        <v>0</v>
      </c>
      <c r="Q912" s="20" t="str">
        <f>IF($B912="","",IF($K912&lt;&gt;"Complete","Assessment pending",IF($N912=0,"Ready now",VLOOKUP($P912,Lists!$D$2:$E$5,2,FALSE))))</f>
        <v>Assessment pending</v>
      </c>
    </row>
    <row r="913" ht="15.75" customHeight="1">
      <c r="A913" s="35" t="s">
        <v>2447</v>
      </c>
      <c r="B913" s="35" t="s">
        <v>2448</v>
      </c>
      <c r="C913" s="35" t="s">
        <v>1286</v>
      </c>
      <c r="D913" s="35" t="s">
        <v>260</v>
      </c>
      <c r="E913" s="35" t="s">
        <v>530</v>
      </c>
      <c r="F913" s="35" t="s">
        <v>1674</v>
      </c>
      <c r="G913" s="35" t="s">
        <v>1161</v>
      </c>
      <c r="H913" s="76">
        <v>24518.0</v>
      </c>
      <c r="I913" s="35"/>
      <c r="M913" s="20">
        <f>IF($B913="","",COUNTIFS('Blocker log'!$A:$A,$B913,'Blocker log'!$G:$G,"&lt;&gt;"))</f>
        <v>0</v>
      </c>
      <c r="N913" s="20">
        <f>IF($B913="","",COUNTIFS('Blocker log'!$A:$A,$B913,'Blocker log'!$G:$G,"Hard blocker"))</f>
        <v>0</v>
      </c>
      <c r="O913" s="20">
        <f>IF($B913="","",COUNTIFS('Blocker log'!$A:$A,$B913,'Blocker log'!$G:$G,"Hard blocker",'Blocker log'!$L:$L,9))</f>
        <v>0</v>
      </c>
      <c r="P913" s="20">
        <f>IF($B913="","",MAXIFS('Blocker log'!$L:$L,'Blocker log'!$A:$A,$B913,'Blocker log'!$G:$G,"Hard blocker"))</f>
        <v>0</v>
      </c>
      <c r="Q913" s="20" t="str">
        <f>IF($B913="","",IF($K913&lt;&gt;"Complete","Assessment pending",IF($N913=0,"Ready now",VLOOKUP($P913,Lists!$D$2:$E$5,2,FALSE))))</f>
        <v>Assessment pending</v>
      </c>
    </row>
    <row r="914" ht="15.75" customHeight="1">
      <c r="A914" s="35" t="s">
        <v>2449</v>
      </c>
      <c r="B914" s="35" t="s">
        <v>2450</v>
      </c>
      <c r="C914" s="35" t="s">
        <v>76</v>
      </c>
      <c r="D914" s="35" t="s">
        <v>58</v>
      </c>
      <c r="E914" s="35" t="s">
        <v>494</v>
      </c>
      <c r="F914" s="35" t="s">
        <v>629</v>
      </c>
      <c r="G914" s="35" t="s">
        <v>999</v>
      </c>
      <c r="H914" s="76">
        <v>24426.0</v>
      </c>
      <c r="I914" s="35"/>
      <c r="M914" s="20">
        <f>IF($B914="","",COUNTIFS('Blocker log'!$A:$A,$B914,'Blocker log'!$G:$G,"&lt;&gt;"))</f>
        <v>0</v>
      </c>
      <c r="N914" s="20">
        <f>IF($B914="","",COUNTIFS('Blocker log'!$A:$A,$B914,'Blocker log'!$G:$G,"Hard blocker"))</f>
        <v>0</v>
      </c>
      <c r="O914" s="20">
        <f>IF($B914="","",COUNTIFS('Blocker log'!$A:$A,$B914,'Blocker log'!$G:$G,"Hard blocker",'Blocker log'!$L:$L,9))</f>
        <v>0</v>
      </c>
      <c r="P914" s="20">
        <f>IF($B914="","",MAXIFS('Blocker log'!$L:$L,'Blocker log'!$A:$A,$B914,'Blocker log'!$G:$G,"Hard blocker"))</f>
        <v>0</v>
      </c>
      <c r="Q914" s="20" t="str">
        <f>IF($B914="","",IF($K914&lt;&gt;"Complete","Assessment pending",IF($N914=0,"Ready now",VLOOKUP($P914,Lists!$D$2:$E$5,2,FALSE))))</f>
        <v>Assessment pending</v>
      </c>
    </row>
    <row r="915" ht="15.75" customHeight="1">
      <c r="A915" s="35" t="s">
        <v>2451</v>
      </c>
      <c r="B915" s="35" t="s">
        <v>2452</v>
      </c>
      <c r="C915" s="35" t="s">
        <v>1286</v>
      </c>
      <c r="D915" s="35" t="s">
        <v>171</v>
      </c>
      <c r="E915" s="35" t="s">
        <v>1584</v>
      </c>
      <c r="F915" s="35" t="s">
        <v>1585</v>
      </c>
      <c r="G915" s="35" t="s">
        <v>1161</v>
      </c>
      <c r="H915" s="76">
        <v>24401.0</v>
      </c>
      <c r="I915" s="35"/>
      <c r="M915" s="20">
        <f>IF($B915="","",COUNTIFS('Blocker log'!$A:$A,$B915,'Blocker log'!$G:$G,"&lt;&gt;"))</f>
        <v>0</v>
      </c>
      <c r="N915" s="20">
        <f>IF($B915="","",COUNTIFS('Blocker log'!$A:$A,$B915,'Blocker log'!$G:$G,"Hard blocker"))</f>
        <v>0</v>
      </c>
      <c r="O915" s="20">
        <f>IF($B915="","",COUNTIFS('Blocker log'!$A:$A,$B915,'Blocker log'!$G:$G,"Hard blocker",'Blocker log'!$L:$L,9))</f>
        <v>0</v>
      </c>
      <c r="P915" s="20">
        <f>IF($B915="","",MAXIFS('Blocker log'!$L:$L,'Blocker log'!$A:$A,$B915,'Blocker log'!$G:$G,"Hard blocker"))</f>
        <v>0</v>
      </c>
      <c r="Q915" s="20" t="str">
        <f>IF($B915="","",IF($K915&lt;&gt;"Complete","Assessment pending",IF($N915=0,"Ready now",VLOOKUP($P915,Lists!$D$2:$E$5,2,FALSE))))</f>
        <v>Assessment pending</v>
      </c>
    </row>
    <row r="916" ht="15.75" customHeight="1">
      <c r="A916" s="35" t="s">
        <v>2453</v>
      </c>
      <c r="B916" s="35" t="s">
        <v>2454</v>
      </c>
      <c r="C916" s="35" t="s">
        <v>1286</v>
      </c>
      <c r="D916" s="35" t="s">
        <v>301</v>
      </c>
      <c r="E916" s="35" t="s">
        <v>593</v>
      </c>
      <c r="F916" s="35" t="s">
        <v>593</v>
      </c>
      <c r="G916" s="35" t="s">
        <v>1161</v>
      </c>
      <c r="H916" s="76">
        <v>24400.0</v>
      </c>
      <c r="I916" s="35" t="s">
        <v>410</v>
      </c>
      <c r="M916" s="20">
        <f>IF($B916="","",COUNTIFS('Blocker log'!$A:$A,$B916,'Blocker log'!$G:$G,"&lt;&gt;"))</f>
        <v>0</v>
      </c>
      <c r="N916" s="20">
        <f>IF($B916="","",COUNTIFS('Blocker log'!$A:$A,$B916,'Blocker log'!$G:$G,"Hard blocker"))</f>
        <v>0</v>
      </c>
      <c r="O916" s="20">
        <f>IF($B916="","",COUNTIFS('Blocker log'!$A:$A,$B916,'Blocker log'!$G:$G,"Hard blocker",'Blocker log'!$L:$L,9))</f>
        <v>0</v>
      </c>
      <c r="P916" s="20">
        <f>IF($B916="","",MAXIFS('Blocker log'!$L:$L,'Blocker log'!$A:$A,$B916,'Blocker log'!$G:$G,"Hard blocker"))</f>
        <v>0</v>
      </c>
      <c r="Q916" s="20" t="str">
        <f>IF($B916="","",IF($K916&lt;&gt;"Complete","Assessment pending",IF($N916=0,"Ready now",VLOOKUP($P916,Lists!$D$2:$E$5,2,FALSE))))</f>
        <v>Assessment pending</v>
      </c>
    </row>
    <row r="917" ht="15.75" customHeight="1">
      <c r="A917" s="35" t="s">
        <v>2455</v>
      </c>
      <c r="B917" s="35" t="s">
        <v>2456</v>
      </c>
      <c r="C917" s="35" t="s">
        <v>1286</v>
      </c>
      <c r="D917" s="35" t="s">
        <v>58</v>
      </c>
      <c r="E917" s="35" t="s">
        <v>132</v>
      </c>
      <c r="F917" s="35" t="s">
        <v>693</v>
      </c>
      <c r="G917" s="35" t="s">
        <v>1042</v>
      </c>
      <c r="H917" s="76">
        <v>24400.0</v>
      </c>
      <c r="I917" s="35" t="s">
        <v>404</v>
      </c>
      <c r="M917" s="20">
        <f>IF($B917="","",COUNTIFS('Blocker log'!$A:$A,$B917,'Blocker log'!$G:$G,"&lt;&gt;"))</f>
        <v>0</v>
      </c>
      <c r="N917" s="20">
        <f>IF($B917="","",COUNTIFS('Blocker log'!$A:$A,$B917,'Blocker log'!$G:$G,"Hard blocker"))</f>
        <v>0</v>
      </c>
      <c r="O917" s="20">
        <f>IF($B917="","",COUNTIFS('Blocker log'!$A:$A,$B917,'Blocker log'!$G:$G,"Hard blocker",'Blocker log'!$L:$L,9))</f>
        <v>0</v>
      </c>
      <c r="P917" s="20">
        <f>IF($B917="","",MAXIFS('Blocker log'!$L:$L,'Blocker log'!$A:$A,$B917,'Blocker log'!$G:$G,"Hard blocker"))</f>
        <v>0</v>
      </c>
      <c r="Q917" s="20" t="str">
        <f>IF($B917="","",IF($K917&lt;&gt;"Complete","Assessment pending",IF($N917=0,"Ready now",VLOOKUP($P917,Lists!$D$2:$E$5,2,FALSE))))</f>
        <v>Assessment pending</v>
      </c>
    </row>
    <row r="918" ht="15.75" customHeight="1">
      <c r="A918" s="35" t="s">
        <v>2457</v>
      </c>
      <c r="B918" s="35" t="s">
        <v>2458</v>
      </c>
      <c r="C918" s="35" t="s">
        <v>1286</v>
      </c>
      <c r="D918" s="35" t="s">
        <v>171</v>
      </c>
      <c r="E918" s="35" t="s">
        <v>205</v>
      </c>
      <c r="F918" s="35" t="s">
        <v>206</v>
      </c>
      <c r="G918" s="35" t="s">
        <v>1161</v>
      </c>
      <c r="H918" s="76">
        <v>24297.0</v>
      </c>
      <c r="I918" s="35"/>
      <c r="M918" s="20">
        <f>IF($B918="","",COUNTIFS('Blocker log'!$A:$A,$B918,'Blocker log'!$G:$G,"&lt;&gt;"))</f>
        <v>0</v>
      </c>
      <c r="N918" s="20">
        <f>IF($B918="","",COUNTIFS('Blocker log'!$A:$A,$B918,'Blocker log'!$G:$G,"Hard blocker"))</f>
        <v>0</v>
      </c>
      <c r="O918" s="20">
        <f>IF($B918="","",COUNTIFS('Blocker log'!$A:$A,$B918,'Blocker log'!$G:$G,"Hard blocker",'Blocker log'!$L:$L,9))</f>
        <v>0</v>
      </c>
      <c r="P918" s="20">
        <f>IF($B918="","",MAXIFS('Blocker log'!$L:$L,'Blocker log'!$A:$A,$B918,'Blocker log'!$G:$G,"Hard blocker"))</f>
        <v>0</v>
      </c>
      <c r="Q918" s="20" t="str">
        <f>IF($B918="","",IF($K918&lt;&gt;"Complete","Assessment pending",IF($N918=0,"Ready now",VLOOKUP($P918,Lists!$D$2:$E$5,2,FALSE))))</f>
        <v>Assessment pending</v>
      </c>
    </row>
    <row r="919" ht="15.75" customHeight="1">
      <c r="A919" s="35" t="s">
        <v>2459</v>
      </c>
      <c r="B919" s="35" t="s">
        <v>2460</v>
      </c>
      <c r="C919" s="35" t="s">
        <v>76</v>
      </c>
      <c r="D919" s="35" t="s">
        <v>58</v>
      </c>
      <c r="E919" s="35" t="s">
        <v>140</v>
      </c>
      <c r="F919" s="35" t="s">
        <v>156</v>
      </c>
      <c r="G919" s="35" t="s">
        <v>1042</v>
      </c>
      <c r="H919" s="76">
        <v>24134.0</v>
      </c>
      <c r="I919" s="35" t="s">
        <v>125</v>
      </c>
      <c r="M919" s="20">
        <f>IF($B919="","",COUNTIFS('Blocker log'!$A:$A,$B919,'Blocker log'!$G:$G,"&lt;&gt;"))</f>
        <v>0</v>
      </c>
      <c r="N919" s="20">
        <f>IF($B919="","",COUNTIFS('Blocker log'!$A:$A,$B919,'Blocker log'!$G:$G,"Hard blocker"))</f>
        <v>0</v>
      </c>
      <c r="O919" s="20">
        <f>IF($B919="","",COUNTIFS('Blocker log'!$A:$A,$B919,'Blocker log'!$G:$G,"Hard blocker",'Blocker log'!$L:$L,9))</f>
        <v>0</v>
      </c>
      <c r="P919" s="20">
        <f>IF($B919="","",MAXIFS('Blocker log'!$L:$L,'Blocker log'!$A:$A,$B919,'Blocker log'!$G:$G,"Hard blocker"))</f>
        <v>0</v>
      </c>
      <c r="Q919" s="20" t="str">
        <f>IF($B919="","",IF($K919&lt;&gt;"Complete","Assessment pending",IF($N919=0,"Ready now",VLOOKUP($P919,Lists!$D$2:$E$5,2,FALSE))))</f>
        <v>Assessment pending</v>
      </c>
    </row>
    <row r="920" ht="15.75" customHeight="1">
      <c r="A920" s="35" t="s">
        <v>2461</v>
      </c>
      <c r="B920" s="35" t="s">
        <v>2462</v>
      </c>
      <c r="C920" s="35" t="s">
        <v>1286</v>
      </c>
      <c r="D920" s="35" t="s">
        <v>260</v>
      </c>
      <c r="E920" s="35" t="s">
        <v>576</v>
      </c>
      <c r="F920" s="35" t="s">
        <v>1653</v>
      </c>
      <c r="G920" s="35" t="s">
        <v>1161</v>
      </c>
      <c r="H920" s="76">
        <v>24124.0</v>
      </c>
      <c r="I920" s="35" t="s">
        <v>403</v>
      </c>
      <c r="M920" s="20">
        <f>IF($B920="","",COUNTIFS('Blocker log'!$A:$A,$B920,'Blocker log'!$G:$G,"&lt;&gt;"))</f>
        <v>0</v>
      </c>
      <c r="N920" s="20">
        <f>IF($B920="","",COUNTIFS('Blocker log'!$A:$A,$B920,'Blocker log'!$G:$G,"Hard blocker"))</f>
        <v>0</v>
      </c>
      <c r="O920" s="20">
        <f>IF($B920="","",COUNTIFS('Blocker log'!$A:$A,$B920,'Blocker log'!$G:$G,"Hard blocker",'Blocker log'!$L:$L,9))</f>
        <v>0</v>
      </c>
      <c r="P920" s="20">
        <f>IF($B920="","",MAXIFS('Blocker log'!$L:$L,'Blocker log'!$A:$A,$B920,'Blocker log'!$G:$G,"Hard blocker"))</f>
        <v>0</v>
      </c>
      <c r="Q920" s="20" t="str">
        <f>IF($B920="","",IF($K920&lt;&gt;"Complete","Assessment pending",IF($N920=0,"Ready now",VLOOKUP($P920,Lists!$D$2:$E$5,2,FALSE))))</f>
        <v>Assessment pending</v>
      </c>
    </row>
    <row r="921" ht="15.75" customHeight="1">
      <c r="A921" s="35" t="s">
        <v>2463</v>
      </c>
      <c r="B921" s="35" t="s">
        <v>2464</v>
      </c>
      <c r="C921" s="35" t="s">
        <v>1286</v>
      </c>
      <c r="D921" s="35" t="s">
        <v>260</v>
      </c>
      <c r="E921" s="35" t="s">
        <v>506</v>
      </c>
      <c r="F921" s="35" t="s">
        <v>798</v>
      </c>
      <c r="G921" s="35" t="s">
        <v>1161</v>
      </c>
      <c r="H921" s="76">
        <v>24090.0</v>
      </c>
      <c r="I921" s="35" t="s">
        <v>440</v>
      </c>
      <c r="M921" s="20">
        <f>IF($B921="","",COUNTIFS('Blocker log'!$A:$A,$B921,'Blocker log'!$G:$G,"&lt;&gt;"))</f>
        <v>0</v>
      </c>
      <c r="N921" s="20">
        <f>IF($B921="","",COUNTIFS('Blocker log'!$A:$A,$B921,'Blocker log'!$G:$G,"Hard blocker"))</f>
        <v>0</v>
      </c>
      <c r="O921" s="20">
        <f>IF($B921="","",COUNTIFS('Blocker log'!$A:$A,$B921,'Blocker log'!$G:$G,"Hard blocker",'Blocker log'!$L:$L,9))</f>
        <v>0</v>
      </c>
      <c r="P921" s="20">
        <f>IF($B921="","",MAXIFS('Blocker log'!$L:$L,'Blocker log'!$A:$A,$B921,'Blocker log'!$G:$G,"Hard blocker"))</f>
        <v>0</v>
      </c>
      <c r="Q921" s="20" t="str">
        <f>IF($B921="","",IF($K921&lt;&gt;"Complete","Assessment pending",IF($N921=0,"Ready now",VLOOKUP($P921,Lists!$D$2:$E$5,2,FALSE))))</f>
        <v>Assessment pending</v>
      </c>
    </row>
    <row r="922" ht="15.75" customHeight="1">
      <c r="A922" s="35" t="s">
        <v>2465</v>
      </c>
      <c r="B922" s="35" t="s">
        <v>2466</v>
      </c>
      <c r="C922" s="35" t="s">
        <v>1286</v>
      </c>
      <c r="D922" s="35" t="s">
        <v>171</v>
      </c>
      <c r="E922" s="35" t="s">
        <v>512</v>
      </c>
      <c r="F922" s="35" t="s">
        <v>537</v>
      </c>
      <c r="G922" s="35" t="s">
        <v>1161</v>
      </c>
      <c r="H922" s="76">
        <v>23940.0</v>
      </c>
      <c r="I922" s="35"/>
      <c r="M922" s="20">
        <f>IF($B922="","",COUNTIFS('Blocker log'!$A:$A,$B922,'Blocker log'!$G:$G,"&lt;&gt;"))</f>
        <v>0</v>
      </c>
      <c r="N922" s="20">
        <f>IF($B922="","",COUNTIFS('Blocker log'!$A:$A,$B922,'Blocker log'!$G:$G,"Hard blocker"))</f>
        <v>0</v>
      </c>
      <c r="O922" s="20">
        <f>IF($B922="","",COUNTIFS('Blocker log'!$A:$A,$B922,'Blocker log'!$G:$G,"Hard blocker",'Blocker log'!$L:$L,9))</f>
        <v>0</v>
      </c>
      <c r="P922" s="20">
        <f>IF($B922="","",MAXIFS('Blocker log'!$L:$L,'Blocker log'!$A:$A,$B922,'Blocker log'!$G:$G,"Hard blocker"))</f>
        <v>0</v>
      </c>
      <c r="Q922" s="20" t="str">
        <f>IF($B922="","",IF($K922&lt;&gt;"Complete","Assessment pending",IF($N922=0,"Ready now",VLOOKUP($P922,Lists!$D$2:$E$5,2,FALSE))))</f>
        <v>Assessment pending</v>
      </c>
    </row>
    <row r="923" ht="15.75" customHeight="1">
      <c r="A923" s="35" t="s">
        <v>2467</v>
      </c>
      <c r="B923" s="35" t="s">
        <v>2468</v>
      </c>
      <c r="C923" s="35" t="s">
        <v>1286</v>
      </c>
      <c r="D923" s="35" t="s">
        <v>171</v>
      </c>
      <c r="E923" s="35" t="s">
        <v>713</v>
      </c>
      <c r="F923" s="35" t="s">
        <v>2469</v>
      </c>
      <c r="G923" s="35" t="s">
        <v>1161</v>
      </c>
      <c r="H923" s="76">
        <v>23879.0</v>
      </c>
      <c r="I923" s="35" t="s">
        <v>406</v>
      </c>
      <c r="M923" s="20">
        <f>IF($B923="","",COUNTIFS('Blocker log'!$A:$A,$B923,'Blocker log'!$G:$G,"&lt;&gt;"))</f>
        <v>0</v>
      </c>
      <c r="N923" s="20">
        <f>IF($B923="","",COUNTIFS('Blocker log'!$A:$A,$B923,'Blocker log'!$G:$G,"Hard blocker"))</f>
        <v>0</v>
      </c>
      <c r="O923" s="20">
        <f>IF($B923="","",COUNTIFS('Blocker log'!$A:$A,$B923,'Blocker log'!$G:$G,"Hard blocker",'Blocker log'!$L:$L,9))</f>
        <v>0</v>
      </c>
      <c r="P923" s="20">
        <f>IF($B923="","",MAXIFS('Blocker log'!$L:$L,'Blocker log'!$A:$A,$B923,'Blocker log'!$G:$G,"Hard blocker"))</f>
        <v>0</v>
      </c>
      <c r="Q923" s="20" t="str">
        <f>IF($B923="","",IF($K923&lt;&gt;"Complete","Assessment pending",IF($N923=0,"Ready now",VLOOKUP($P923,Lists!$D$2:$E$5,2,FALSE))))</f>
        <v>Assessment pending</v>
      </c>
    </row>
    <row r="924" ht="15.75" customHeight="1">
      <c r="A924" s="35" t="s">
        <v>2470</v>
      </c>
      <c r="B924" s="35" t="s">
        <v>2471</v>
      </c>
      <c r="C924" s="35" t="s">
        <v>1286</v>
      </c>
      <c r="D924" s="35" t="s">
        <v>301</v>
      </c>
      <c r="E924" s="35" t="s">
        <v>484</v>
      </c>
      <c r="F924" s="35" t="s">
        <v>484</v>
      </c>
      <c r="G924" s="35" t="s">
        <v>1042</v>
      </c>
      <c r="H924" s="76">
        <v>23797.0</v>
      </c>
      <c r="I924" s="35"/>
      <c r="M924" s="20">
        <f>IF($B924="","",COUNTIFS('Blocker log'!$A:$A,$B924,'Blocker log'!$G:$G,"&lt;&gt;"))</f>
        <v>0</v>
      </c>
      <c r="N924" s="20">
        <f>IF($B924="","",COUNTIFS('Blocker log'!$A:$A,$B924,'Blocker log'!$G:$G,"Hard blocker"))</f>
        <v>0</v>
      </c>
      <c r="O924" s="20">
        <f>IF($B924="","",COUNTIFS('Blocker log'!$A:$A,$B924,'Blocker log'!$G:$G,"Hard blocker",'Blocker log'!$L:$L,9))</f>
        <v>0</v>
      </c>
      <c r="P924" s="20">
        <f>IF($B924="","",MAXIFS('Blocker log'!$L:$L,'Blocker log'!$A:$A,$B924,'Blocker log'!$G:$G,"Hard blocker"))</f>
        <v>0</v>
      </c>
      <c r="Q924" s="20" t="str">
        <f>IF($B924="","",IF($K924&lt;&gt;"Complete","Assessment pending",IF($N924=0,"Ready now",VLOOKUP($P924,Lists!$D$2:$E$5,2,FALSE))))</f>
        <v>Assessment pending</v>
      </c>
    </row>
    <row r="925" ht="15.75" customHeight="1">
      <c r="A925" s="35" t="s">
        <v>2472</v>
      </c>
      <c r="B925" s="35" t="s">
        <v>2473</v>
      </c>
      <c r="C925" s="35" t="s">
        <v>1286</v>
      </c>
      <c r="D925" s="35" t="s">
        <v>171</v>
      </c>
      <c r="E925" s="35" t="s">
        <v>1465</v>
      </c>
      <c r="F925" s="35" t="s">
        <v>1832</v>
      </c>
      <c r="G925" s="35" t="s">
        <v>1161</v>
      </c>
      <c r="H925" s="76">
        <v>23718.0</v>
      </c>
      <c r="I925" s="35"/>
      <c r="M925" s="20">
        <f>IF($B925="","",COUNTIFS('Blocker log'!$A:$A,$B925,'Blocker log'!$G:$G,"&lt;&gt;"))</f>
        <v>0</v>
      </c>
      <c r="N925" s="20">
        <f>IF($B925="","",COUNTIFS('Blocker log'!$A:$A,$B925,'Blocker log'!$G:$G,"Hard blocker"))</f>
        <v>0</v>
      </c>
      <c r="O925" s="20">
        <f>IF($B925="","",COUNTIFS('Blocker log'!$A:$A,$B925,'Blocker log'!$G:$G,"Hard blocker",'Blocker log'!$L:$L,9))</f>
        <v>0</v>
      </c>
      <c r="P925" s="20">
        <f>IF($B925="","",MAXIFS('Blocker log'!$L:$L,'Blocker log'!$A:$A,$B925,'Blocker log'!$G:$G,"Hard blocker"))</f>
        <v>0</v>
      </c>
      <c r="Q925" s="20" t="str">
        <f>IF($B925="","",IF($K925&lt;&gt;"Complete","Assessment pending",IF($N925=0,"Ready now",VLOOKUP($P925,Lists!$D$2:$E$5,2,FALSE))))</f>
        <v>Assessment pending</v>
      </c>
    </row>
    <row r="926" ht="15.75" customHeight="1">
      <c r="A926" s="35" t="s">
        <v>2474</v>
      </c>
      <c r="B926" s="35" t="s">
        <v>2475</v>
      </c>
      <c r="C926" s="35" t="s">
        <v>1286</v>
      </c>
      <c r="D926" s="35" t="s">
        <v>171</v>
      </c>
      <c r="E926" s="35" t="s">
        <v>713</v>
      </c>
      <c r="F926" s="35" t="s">
        <v>714</v>
      </c>
      <c r="G926" s="35" t="s">
        <v>1161</v>
      </c>
      <c r="H926" s="76">
        <v>23631.0</v>
      </c>
      <c r="I926" s="35"/>
      <c r="M926" s="20">
        <f>IF($B926="","",COUNTIFS('Blocker log'!$A:$A,$B926,'Blocker log'!$G:$G,"&lt;&gt;"))</f>
        <v>0</v>
      </c>
      <c r="N926" s="20">
        <f>IF($B926="","",COUNTIFS('Blocker log'!$A:$A,$B926,'Blocker log'!$G:$G,"Hard blocker"))</f>
        <v>0</v>
      </c>
      <c r="O926" s="20">
        <f>IF($B926="","",COUNTIFS('Blocker log'!$A:$A,$B926,'Blocker log'!$G:$G,"Hard blocker",'Blocker log'!$L:$L,9))</f>
        <v>0</v>
      </c>
      <c r="P926" s="20">
        <f>IF($B926="","",MAXIFS('Blocker log'!$L:$L,'Blocker log'!$A:$A,$B926,'Blocker log'!$G:$G,"Hard blocker"))</f>
        <v>0</v>
      </c>
      <c r="Q926" s="20" t="str">
        <f>IF($B926="","",IF($K926&lt;&gt;"Complete","Assessment pending",IF($N926=0,"Ready now",VLOOKUP($P926,Lists!$D$2:$E$5,2,FALSE))))</f>
        <v>Assessment pending</v>
      </c>
    </row>
    <row r="927" ht="15.75" customHeight="1">
      <c r="A927" s="35" t="s">
        <v>2476</v>
      </c>
      <c r="B927" s="35" t="s">
        <v>2477</v>
      </c>
      <c r="C927" s="35" t="s">
        <v>1286</v>
      </c>
      <c r="D927" s="35" t="s">
        <v>58</v>
      </c>
      <c r="E927" s="35" t="s">
        <v>59</v>
      </c>
      <c r="F927" s="35" t="s">
        <v>225</v>
      </c>
      <c r="G927" s="35" t="s">
        <v>1042</v>
      </c>
      <c r="H927" s="76">
        <v>23619.0</v>
      </c>
      <c r="I927" s="35" t="s">
        <v>411</v>
      </c>
      <c r="M927" s="20">
        <f>IF($B927="","",COUNTIFS('Blocker log'!$A:$A,$B927,'Blocker log'!$G:$G,"&lt;&gt;"))</f>
        <v>0</v>
      </c>
      <c r="N927" s="20">
        <f>IF($B927="","",COUNTIFS('Blocker log'!$A:$A,$B927,'Blocker log'!$G:$G,"Hard blocker"))</f>
        <v>0</v>
      </c>
      <c r="O927" s="20">
        <f>IF($B927="","",COUNTIFS('Blocker log'!$A:$A,$B927,'Blocker log'!$G:$G,"Hard blocker",'Blocker log'!$L:$L,9))</f>
        <v>0</v>
      </c>
      <c r="P927" s="20">
        <f>IF($B927="","",MAXIFS('Blocker log'!$L:$L,'Blocker log'!$A:$A,$B927,'Blocker log'!$G:$G,"Hard blocker"))</f>
        <v>0</v>
      </c>
      <c r="Q927" s="20" t="str">
        <f>IF($B927="","",IF($K927&lt;&gt;"Complete","Assessment pending",IF($N927=0,"Ready now",VLOOKUP($P927,Lists!$D$2:$E$5,2,FALSE))))</f>
        <v>Assessment pending</v>
      </c>
    </row>
    <row r="928" ht="15.75" customHeight="1">
      <c r="A928" s="35" t="s">
        <v>2478</v>
      </c>
      <c r="B928" s="35" t="s">
        <v>2479</v>
      </c>
      <c r="C928" s="35" t="s">
        <v>1286</v>
      </c>
      <c r="D928" s="35" t="s">
        <v>260</v>
      </c>
      <c r="E928" s="35" t="s">
        <v>530</v>
      </c>
      <c r="F928" s="35" t="s">
        <v>531</v>
      </c>
      <c r="G928" s="35" t="s">
        <v>1161</v>
      </c>
      <c r="H928" s="76">
        <v>23609.0</v>
      </c>
      <c r="I928" s="35"/>
      <c r="M928" s="20">
        <f>IF($B928="","",COUNTIFS('Blocker log'!$A:$A,$B928,'Blocker log'!$G:$G,"&lt;&gt;"))</f>
        <v>0</v>
      </c>
      <c r="N928" s="20">
        <f>IF($B928="","",COUNTIFS('Blocker log'!$A:$A,$B928,'Blocker log'!$G:$G,"Hard blocker"))</f>
        <v>0</v>
      </c>
      <c r="O928" s="20">
        <f>IF($B928="","",COUNTIFS('Blocker log'!$A:$A,$B928,'Blocker log'!$G:$G,"Hard blocker",'Blocker log'!$L:$L,9))</f>
        <v>0</v>
      </c>
      <c r="P928" s="20">
        <f>IF($B928="","",MAXIFS('Blocker log'!$L:$L,'Blocker log'!$A:$A,$B928,'Blocker log'!$G:$G,"Hard blocker"))</f>
        <v>0</v>
      </c>
      <c r="Q928" s="20" t="str">
        <f>IF($B928="","",IF($K928&lt;&gt;"Complete","Assessment pending",IF($N928=0,"Ready now",VLOOKUP($P928,Lists!$D$2:$E$5,2,FALSE))))</f>
        <v>Assessment pending</v>
      </c>
    </row>
    <row r="929" ht="15.75" customHeight="1">
      <c r="A929" s="35" t="s">
        <v>2480</v>
      </c>
      <c r="B929" s="35" t="s">
        <v>2481</v>
      </c>
      <c r="C929" s="35" t="s">
        <v>1286</v>
      </c>
      <c r="D929" s="35" t="s">
        <v>171</v>
      </c>
      <c r="E929" s="35" t="s">
        <v>172</v>
      </c>
      <c r="F929" s="35" t="s">
        <v>1110</v>
      </c>
      <c r="G929" s="35" t="s">
        <v>1042</v>
      </c>
      <c r="H929" s="76">
        <v>23275.0</v>
      </c>
      <c r="I929" s="35" t="s">
        <v>406</v>
      </c>
      <c r="M929" s="20">
        <f>IF($B929="","",COUNTIFS('Blocker log'!$A:$A,$B929,'Blocker log'!$G:$G,"&lt;&gt;"))</f>
        <v>0</v>
      </c>
      <c r="N929" s="20">
        <f>IF($B929="","",COUNTIFS('Blocker log'!$A:$A,$B929,'Blocker log'!$G:$G,"Hard blocker"))</f>
        <v>0</v>
      </c>
      <c r="O929" s="20">
        <f>IF($B929="","",COUNTIFS('Blocker log'!$A:$A,$B929,'Blocker log'!$G:$G,"Hard blocker",'Blocker log'!$L:$L,9))</f>
        <v>0</v>
      </c>
      <c r="P929" s="20">
        <f>IF($B929="","",MAXIFS('Blocker log'!$L:$L,'Blocker log'!$A:$A,$B929,'Blocker log'!$G:$G,"Hard blocker"))</f>
        <v>0</v>
      </c>
      <c r="Q929" s="20" t="str">
        <f>IF($B929="","",IF($K929&lt;&gt;"Complete","Assessment pending",IF($N929=0,"Ready now",VLOOKUP($P929,Lists!$D$2:$E$5,2,FALSE))))</f>
        <v>Assessment pending</v>
      </c>
    </row>
    <row r="930" ht="15.75" customHeight="1">
      <c r="A930" s="35" t="s">
        <v>2482</v>
      </c>
      <c r="B930" s="35" t="s">
        <v>2483</v>
      </c>
      <c r="C930" s="35" t="s">
        <v>1286</v>
      </c>
      <c r="D930" s="35" t="s">
        <v>260</v>
      </c>
      <c r="E930" s="35" t="s">
        <v>1096</v>
      </c>
      <c r="F930" s="35" t="s">
        <v>1097</v>
      </c>
      <c r="G930" s="35" t="s">
        <v>1161</v>
      </c>
      <c r="H930" s="76">
        <v>23130.0</v>
      </c>
      <c r="I930" s="35" t="s">
        <v>416</v>
      </c>
      <c r="M930" s="20">
        <f>IF($B930="","",COUNTIFS('Blocker log'!$A:$A,$B930,'Blocker log'!$G:$G,"&lt;&gt;"))</f>
        <v>0</v>
      </c>
      <c r="N930" s="20">
        <f>IF($B930="","",COUNTIFS('Blocker log'!$A:$A,$B930,'Blocker log'!$G:$G,"Hard blocker"))</f>
        <v>0</v>
      </c>
      <c r="O930" s="20">
        <f>IF($B930="","",COUNTIFS('Blocker log'!$A:$A,$B930,'Blocker log'!$G:$G,"Hard blocker",'Blocker log'!$L:$L,9))</f>
        <v>0</v>
      </c>
      <c r="P930" s="20">
        <f>IF($B930="","",MAXIFS('Blocker log'!$L:$L,'Blocker log'!$A:$A,$B930,'Blocker log'!$G:$G,"Hard blocker"))</f>
        <v>0</v>
      </c>
      <c r="Q930" s="20" t="str">
        <f>IF($B930="","",IF($K930&lt;&gt;"Complete","Assessment pending",IF($N930=0,"Ready now",VLOOKUP($P930,Lists!$D$2:$E$5,2,FALSE))))</f>
        <v>Assessment pending</v>
      </c>
    </row>
    <row r="931" ht="15.75" customHeight="1">
      <c r="A931" s="35" t="s">
        <v>2484</v>
      </c>
      <c r="B931" s="35" t="s">
        <v>2485</v>
      </c>
      <c r="C931" s="35" t="s">
        <v>1286</v>
      </c>
      <c r="D931" s="35" t="s">
        <v>260</v>
      </c>
      <c r="E931" s="35" t="s">
        <v>1096</v>
      </c>
      <c r="F931" s="35" t="s">
        <v>1366</v>
      </c>
      <c r="G931" s="35" t="s">
        <v>1161</v>
      </c>
      <c r="H931" s="76">
        <v>23059.0</v>
      </c>
      <c r="I931" s="35"/>
      <c r="M931" s="20">
        <f>IF($B931="","",COUNTIFS('Blocker log'!$A:$A,$B931,'Blocker log'!$G:$G,"&lt;&gt;"))</f>
        <v>0</v>
      </c>
      <c r="N931" s="20">
        <f>IF($B931="","",COUNTIFS('Blocker log'!$A:$A,$B931,'Blocker log'!$G:$G,"Hard blocker"))</f>
        <v>0</v>
      </c>
      <c r="O931" s="20">
        <f>IF($B931="","",COUNTIFS('Blocker log'!$A:$A,$B931,'Blocker log'!$G:$G,"Hard blocker",'Blocker log'!$L:$L,9))</f>
        <v>0</v>
      </c>
      <c r="P931" s="20">
        <f>IF($B931="","",MAXIFS('Blocker log'!$L:$L,'Blocker log'!$A:$A,$B931,'Blocker log'!$G:$G,"Hard blocker"))</f>
        <v>0</v>
      </c>
      <c r="Q931" s="20" t="str">
        <f>IF($B931="","",IF($K931&lt;&gt;"Complete","Assessment pending",IF($N931=0,"Ready now",VLOOKUP($P931,Lists!$D$2:$E$5,2,FALSE))))</f>
        <v>Assessment pending</v>
      </c>
    </row>
    <row r="932" ht="15.75" customHeight="1">
      <c r="A932" s="35" t="s">
        <v>2486</v>
      </c>
      <c r="B932" s="35" t="s">
        <v>2487</v>
      </c>
      <c r="C932" s="35" t="s">
        <v>1286</v>
      </c>
      <c r="D932" s="35" t="s">
        <v>58</v>
      </c>
      <c r="E932" s="35" t="s">
        <v>181</v>
      </c>
      <c r="F932" s="35" t="s">
        <v>653</v>
      </c>
      <c r="G932" s="35" t="s">
        <v>1042</v>
      </c>
      <c r="H932" s="76">
        <v>23038.0</v>
      </c>
      <c r="I932" s="35" t="s">
        <v>452</v>
      </c>
      <c r="M932" s="20">
        <f>IF($B932="","",COUNTIFS('Blocker log'!$A:$A,$B932,'Blocker log'!$G:$G,"&lt;&gt;"))</f>
        <v>0</v>
      </c>
      <c r="N932" s="20">
        <f>IF($B932="","",COUNTIFS('Blocker log'!$A:$A,$B932,'Blocker log'!$G:$G,"Hard blocker"))</f>
        <v>0</v>
      </c>
      <c r="O932" s="20">
        <f>IF($B932="","",COUNTIFS('Blocker log'!$A:$A,$B932,'Blocker log'!$G:$G,"Hard blocker",'Blocker log'!$L:$L,9))</f>
        <v>0</v>
      </c>
      <c r="P932" s="20">
        <f>IF($B932="","",MAXIFS('Blocker log'!$L:$L,'Blocker log'!$A:$A,$B932,'Blocker log'!$G:$G,"Hard blocker"))</f>
        <v>0</v>
      </c>
      <c r="Q932" s="20" t="str">
        <f>IF($B932="","",IF($K932&lt;&gt;"Complete","Assessment pending",IF($N932=0,"Ready now",VLOOKUP($P932,Lists!$D$2:$E$5,2,FALSE))))</f>
        <v>Assessment pending</v>
      </c>
    </row>
    <row r="933" ht="15.75" customHeight="1">
      <c r="A933" s="35" t="s">
        <v>2488</v>
      </c>
      <c r="B933" s="35" t="s">
        <v>2489</v>
      </c>
      <c r="C933" s="35" t="s">
        <v>1286</v>
      </c>
      <c r="D933" s="35" t="s">
        <v>58</v>
      </c>
      <c r="E933" s="35" t="s">
        <v>181</v>
      </c>
      <c r="F933" s="35" t="s">
        <v>190</v>
      </c>
      <c r="G933" s="35" t="s">
        <v>1161</v>
      </c>
      <c r="H933" s="76">
        <v>22914.0</v>
      </c>
      <c r="I933" s="35"/>
      <c r="M933" s="20">
        <f>IF($B933="","",COUNTIFS('Blocker log'!$A:$A,$B933,'Blocker log'!$G:$G,"&lt;&gt;"))</f>
        <v>0</v>
      </c>
      <c r="N933" s="20">
        <f>IF($B933="","",COUNTIFS('Blocker log'!$A:$A,$B933,'Blocker log'!$G:$G,"Hard blocker"))</f>
        <v>0</v>
      </c>
      <c r="O933" s="20">
        <f>IF($B933="","",COUNTIFS('Blocker log'!$A:$A,$B933,'Blocker log'!$G:$G,"Hard blocker",'Blocker log'!$L:$L,9))</f>
        <v>0</v>
      </c>
      <c r="P933" s="20">
        <f>IF($B933="","",MAXIFS('Blocker log'!$L:$L,'Blocker log'!$A:$A,$B933,'Blocker log'!$G:$G,"Hard blocker"))</f>
        <v>0</v>
      </c>
      <c r="Q933" s="20" t="str">
        <f>IF($B933="","",IF($K933&lt;&gt;"Complete","Assessment pending",IF($N933=0,"Ready now",VLOOKUP($P933,Lists!$D$2:$E$5,2,FALSE))))</f>
        <v>Assessment pending</v>
      </c>
    </row>
    <row r="934" ht="15.75" customHeight="1">
      <c r="A934" s="35" t="s">
        <v>2490</v>
      </c>
      <c r="B934" s="35" t="s">
        <v>1673</v>
      </c>
      <c r="C934" s="35" t="s">
        <v>1286</v>
      </c>
      <c r="D934" s="35" t="s">
        <v>260</v>
      </c>
      <c r="E934" s="35" t="s">
        <v>530</v>
      </c>
      <c r="F934" s="35" t="s">
        <v>1674</v>
      </c>
      <c r="G934" s="35" t="s">
        <v>1161</v>
      </c>
      <c r="H934" s="76">
        <v>22709.0</v>
      </c>
      <c r="I934" s="35"/>
      <c r="M934" s="20">
        <f>IF($B934="","",COUNTIFS('Blocker log'!$A:$A,$B934,'Blocker log'!$G:$G,"&lt;&gt;"))</f>
        <v>0</v>
      </c>
      <c r="N934" s="20">
        <f>IF($B934="","",COUNTIFS('Blocker log'!$A:$A,$B934,'Blocker log'!$G:$G,"Hard blocker"))</f>
        <v>0</v>
      </c>
      <c r="O934" s="20">
        <f>IF($B934="","",COUNTIFS('Blocker log'!$A:$A,$B934,'Blocker log'!$G:$G,"Hard blocker",'Blocker log'!$L:$L,9))</f>
        <v>0</v>
      </c>
      <c r="P934" s="20">
        <f>IF($B934="","",MAXIFS('Blocker log'!$L:$L,'Blocker log'!$A:$A,$B934,'Blocker log'!$G:$G,"Hard blocker"))</f>
        <v>0</v>
      </c>
      <c r="Q934" s="20" t="str">
        <f>IF($B934="","",IF($K934&lt;&gt;"Complete","Assessment pending",IF($N934=0,"Ready now",VLOOKUP($P934,Lists!$D$2:$E$5,2,FALSE))))</f>
        <v>Assessment pending</v>
      </c>
    </row>
    <row r="935" ht="15.75" customHeight="1">
      <c r="A935" s="35" t="s">
        <v>2491</v>
      </c>
      <c r="B935" s="35" t="s">
        <v>2492</v>
      </c>
      <c r="C935" s="35" t="s">
        <v>76</v>
      </c>
      <c r="D935" s="35" t="s">
        <v>58</v>
      </c>
      <c r="E935" s="35" t="s">
        <v>181</v>
      </c>
      <c r="F935" s="35" t="s">
        <v>190</v>
      </c>
      <c r="G935" s="35" t="s">
        <v>1042</v>
      </c>
      <c r="H935" s="76">
        <v>22528.0</v>
      </c>
      <c r="I935" s="35" t="s">
        <v>384</v>
      </c>
      <c r="M935" s="20">
        <f>IF($B935="","",COUNTIFS('Blocker log'!$A:$A,$B935,'Blocker log'!$G:$G,"&lt;&gt;"))</f>
        <v>0</v>
      </c>
      <c r="N935" s="20">
        <f>IF($B935="","",COUNTIFS('Blocker log'!$A:$A,$B935,'Blocker log'!$G:$G,"Hard blocker"))</f>
        <v>0</v>
      </c>
      <c r="O935" s="20">
        <f>IF($B935="","",COUNTIFS('Blocker log'!$A:$A,$B935,'Blocker log'!$G:$G,"Hard blocker",'Blocker log'!$L:$L,9))</f>
        <v>0</v>
      </c>
      <c r="P935" s="20">
        <f>IF($B935="","",MAXIFS('Blocker log'!$L:$L,'Blocker log'!$A:$A,$B935,'Blocker log'!$G:$G,"Hard blocker"))</f>
        <v>0</v>
      </c>
      <c r="Q935" s="20" t="str">
        <f>IF($B935="","",IF($K935&lt;&gt;"Complete","Assessment pending",IF($N935=0,"Ready now",VLOOKUP($P935,Lists!$D$2:$E$5,2,FALSE))))</f>
        <v>Assessment pending</v>
      </c>
    </row>
    <row r="936" ht="15.75" customHeight="1">
      <c r="A936" s="35" t="s">
        <v>2493</v>
      </c>
      <c r="B936" s="35" t="s">
        <v>2494</v>
      </c>
      <c r="C936" s="35" t="s">
        <v>1286</v>
      </c>
      <c r="D936" s="35" t="s">
        <v>171</v>
      </c>
      <c r="E936" s="35" t="s">
        <v>587</v>
      </c>
      <c r="F936" s="35" t="s">
        <v>1369</v>
      </c>
      <c r="G936" s="35" t="s">
        <v>1161</v>
      </c>
      <c r="H936" s="76">
        <v>22491.0</v>
      </c>
      <c r="I936" s="35"/>
      <c r="M936" s="20">
        <f>IF($B936="","",COUNTIFS('Blocker log'!$A:$A,$B936,'Blocker log'!$G:$G,"&lt;&gt;"))</f>
        <v>0</v>
      </c>
      <c r="N936" s="20">
        <f>IF($B936="","",COUNTIFS('Blocker log'!$A:$A,$B936,'Blocker log'!$G:$G,"Hard blocker"))</f>
        <v>0</v>
      </c>
      <c r="O936" s="20">
        <f>IF($B936="","",COUNTIFS('Blocker log'!$A:$A,$B936,'Blocker log'!$G:$G,"Hard blocker",'Blocker log'!$L:$L,9))</f>
        <v>0</v>
      </c>
      <c r="P936" s="20">
        <f>IF($B936="","",MAXIFS('Blocker log'!$L:$L,'Blocker log'!$A:$A,$B936,'Blocker log'!$G:$G,"Hard blocker"))</f>
        <v>0</v>
      </c>
      <c r="Q936" s="20" t="str">
        <f>IF($B936="","",IF($K936&lt;&gt;"Complete","Assessment pending",IF($N936=0,"Ready now",VLOOKUP($P936,Lists!$D$2:$E$5,2,FALSE))))</f>
        <v>Assessment pending</v>
      </c>
    </row>
    <row r="937" ht="15.75" customHeight="1">
      <c r="A937" s="35" t="s">
        <v>2495</v>
      </c>
      <c r="B937" s="35" t="s">
        <v>2496</v>
      </c>
      <c r="C937" s="35" t="s">
        <v>1286</v>
      </c>
      <c r="D937" s="35" t="s">
        <v>260</v>
      </c>
      <c r="E937" s="35" t="s">
        <v>351</v>
      </c>
      <c r="F937" s="35" t="s">
        <v>352</v>
      </c>
      <c r="G937" s="35" t="s">
        <v>1161</v>
      </c>
      <c r="H937" s="76">
        <v>22486.0</v>
      </c>
      <c r="I937" s="35" t="s">
        <v>430</v>
      </c>
      <c r="M937" s="20">
        <f>IF($B937="","",COUNTIFS('Blocker log'!$A:$A,$B937,'Blocker log'!$G:$G,"&lt;&gt;"))</f>
        <v>0</v>
      </c>
      <c r="N937" s="20">
        <f>IF($B937="","",COUNTIFS('Blocker log'!$A:$A,$B937,'Blocker log'!$G:$G,"Hard blocker"))</f>
        <v>0</v>
      </c>
      <c r="O937" s="20">
        <f>IF($B937="","",COUNTIFS('Blocker log'!$A:$A,$B937,'Blocker log'!$G:$G,"Hard blocker",'Blocker log'!$L:$L,9))</f>
        <v>0</v>
      </c>
      <c r="P937" s="20">
        <f>IF($B937="","",MAXIFS('Blocker log'!$L:$L,'Blocker log'!$A:$A,$B937,'Blocker log'!$G:$G,"Hard blocker"))</f>
        <v>0</v>
      </c>
      <c r="Q937" s="20" t="str">
        <f>IF($B937="","",IF($K937&lt;&gt;"Complete","Assessment pending",IF($N937=0,"Ready now",VLOOKUP($P937,Lists!$D$2:$E$5,2,FALSE))))</f>
        <v>Assessment pending</v>
      </c>
    </row>
    <row r="938" ht="15.75" customHeight="1">
      <c r="A938" s="35" t="s">
        <v>2497</v>
      </c>
      <c r="B938" s="35" t="s">
        <v>2498</v>
      </c>
      <c r="C938" s="35" t="s">
        <v>1286</v>
      </c>
      <c r="D938" s="35" t="s">
        <v>301</v>
      </c>
      <c r="E938" s="35" t="s">
        <v>593</v>
      </c>
      <c r="F938" s="35" t="s">
        <v>593</v>
      </c>
      <c r="G938" s="35" t="s">
        <v>1042</v>
      </c>
      <c r="H938" s="76">
        <v>22472.0</v>
      </c>
      <c r="I938" s="35"/>
      <c r="M938" s="20">
        <f>IF($B938="","",COUNTIFS('Blocker log'!$A:$A,$B938,'Blocker log'!$G:$G,"&lt;&gt;"))</f>
        <v>0</v>
      </c>
      <c r="N938" s="20">
        <f>IF($B938="","",COUNTIFS('Blocker log'!$A:$A,$B938,'Blocker log'!$G:$G,"Hard blocker"))</f>
        <v>0</v>
      </c>
      <c r="O938" s="20">
        <f>IF($B938="","",COUNTIFS('Blocker log'!$A:$A,$B938,'Blocker log'!$G:$G,"Hard blocker",'Blocker log'!$L:$L,9))</f>
        <v>0</v>
      </c>
      <c r="P938" s="20">
        <f>IF($B938="","",MAXIFS('Blocker log'!$L:$L,'Blocker log'!$A:$A,$B938,'Blocker log'!$G:$G,"Hard blocker"))</f>
        <v>0</v>
      </c>
      <c r="Q938" s="20" t="str">
        <f>IF($B938="","",IF($K938&lt;&gt;"Complete","Assessment pending",IF($N938=0,"Ready now",VLOOKUP($P938,Lists!$D$2:$E$5,2,FALSE))))</f>
        <v>Assessment pending</v>
      </c>
    </row>
    <row r="939" ht="15.75" customHeight="1">
      <c r="A939" s="35" t="s">
        <v>2499</v>
      </c>
      <c r="B939" s="35" t="s">
        <v>2500</v>
      </c>
      <c r="C939" s="35" t="s">
        <v>1286</v>
      </c>
      <c r="D939" s="35" t="s">
        <v>260</v>
      </c>
      <c r="E939" s="35" t="s">
        <v>1096</v>
      </c>
      <c r="F939" s="35" t="s">
        <v>1366</v>
      </c>
      <c r="G939" s="35" t="s">
        <v>1161</v>
      </c>
      <c r="H939" s="76">
        <v>22349.0</v>
      </c>
      <c r="I939" s="35"/>
      <c r="M939" s="20">
        <f>IF($B939="","",COUNTIFS('Blocker log'!$A:$A,$B939,'Blocker log'!$G:$G,"&lt;&gt;"))</f>
        <v>0</v>
      </c>
      <c r="N939" s="20">
        <f>IF($B939="","",COUNTIFS('Blocker log'!$A:$A,$B939,'Blocker log'!$G:$G,"Hard blocker"))</f>
        <v>0</v>
      </c>
      <c r="O939" s="20">
        <f>IF($B939="","",COUNTIFS('Blocker log'!$A:$A,$B939,'Blocker log'!$G:$G,"Hard blocker",'Blocker log'!$L:$L,9))</f>
        <v>0</v>
      </c>
      <c r="P939" s="20">
        <f>IF($B939="","",MAXIFS('Blocker log'!$L:$L,'Blocker log'!$A:$A,$B939,'Blocker log'!$G:$G,"Hard blocker"))</f>
        <v>0</v>
      </c>
      <c r="Q939" s="20" t="str">
        <f>IF($B939="","",IF($K939&lt;&gt;"Complete","Assessment pending",IF($N939=0,"Ready now",VLOOKUP($P939,Lists!$D$2:$E$5,2,FALSE))))</f>
        <v>Assessment pending</v>
      </c>
    </row>
    <row r="940" ht="15.75" customHeight="1">
      <c r="A940" s="35" t="s">
        <v>2501</v>
      </c>
      <c r="B940" s="35" t="s">
        <v>2502</v>
      </c>
      <c r="C940" s="35" t="s">
        <v>1286</v>
      </c>
      <c r="D940" s="35" t="s">
        <v>58</v>
      </c>
      <c r="E940" s="35" t="s">
        <v>101</v>
      </c>
      <c r="F940" s="35" t="s">
        <v>554</v>
      </c>
      <c r="G940" s="35" t="s">
        <v>1161</v>
      </c>
      <c r="H940" s="76">
        <v>22200.0</v>
      </c>
      <c r="I940" s="35" t="s">
        <v>443</v>
      </c>
      <c r="M940" s="20">
        <f>IF($B940="","",COUNTIFS('Blocker log'!$A:$A,$B940,'Blocker log'!$G:$G,"&lt;&gt;"))</f>
        <v>0</v>
      </c>
      <c r="N940" s="20">
        <f>IF($B940="","",COUNTIFS('Blocker log'!$A:$A,$B940,'Blocker log'!$G:$G,"Hard blocker"))</f>
        <v>0</v>
      </c>
      <c r="O940" s="20">
        <f>IF($B940="","",COUNTIFS('Blocker log'!$A:$A,$B940,'Blocker log'!$G:$G,"Hard blocker",'Blocker log'!$L:$L,9))</f>
        <v>0</v>
      </c>
      <c r="P940" s="20">
        <f>IF($B940="","",MAXIFS('Blocker log'!$L:$L,'Blocker log'!$A:$A,$B940,'Blocker log'!$G:$G,"Hard blocker"))</f>
        <v>0</v>
      </c>
      <c r="Q940" s="20" t="str">
        <f>IF($B940="","",IF($K940&lt;&gt;"Complete","Assessment pending",IF($N940=0,"Ready now",VLOOKUP($P940,Lists!$D$2:$E$5,2,FALSE))))</f>
        <v>Assessment pending</v>
      </c>
    </row>
    <row r="941" ht="15.75" customHeight="1">
      <c r="A941" s="35" t="s">
        <v>2503</v>
      </c>
      <c r="B941" s="35" t="s">
        <v>2504</v>
      </c>
      <c r="C941" s="35" t="s">
        <v>1286</v>
      </c>
      <c r="D941" s="35" t="s">
        <v>260</v>
      </c>
      <c r="E941" s="35" t="s">
        <v>261</v>
      </c>
      <c r="F941" s="35" t="s">
        <v>261</v>
      </c>
      <c r="G941" s="35" t="s">
        <v>1161</v>
      </c>
      <c r="H941" s="76">
        <v>22149.0</v>
      </c>
      <c r="I941" s="35" t="s">
        <v>416</v>
      </c>
      <c r="M941" s="20">
        <f>IF($B941="","",COUNTIFS('Blocker log'!$A:$A,$B941,'Blocker log'!$G:$G,"&lt;&gt;"))</f>
        <v>0</v>
      </c>
      <c r="N941" s="20">
        <f>IF($B941="","",COUNTIFS('Blocker log'!$A:$A,$B941,'Blocker log'!$G:$G,"Hard blocker"))</f>
        <v>0</v>
      </c>
      <c r="O941" s="20">
        <f>IF($B941="","",COUNTIFS('Blocker log'!$A:$A,$B941,'Blocker log'!$G:$G,"Hard blocker",'Blocker log'!$L:$L,9))</f>
        <v>0</v>
      </c>
      <c r="P941" s="20">
        <f>IF($B941="","",MAXIFS('Blocker log'!$L:$L,'Blocker log'!$A:$A,$B941,'Blocker log'!$G:$G,"Hard blocker"))</f>
        <v>0</v>
      </c>
      <c r="Q941" s="20" t="str">
        <f>IF($B941="","",IF($K941&lt;&gt;"Complete","Assessment pending",IF($N941=0,"Ready now",VLOOKUP($P941,Lists!$D$2:$E$5,2,FALSE))))</f>
        <v>Assessment pending</v>
      </c>
    </row>
    <row r="942" ht="15.75" customHeight="1">
      <c r="A942" s="35" t="s">
        <v>2505</v>
      </c>
      <c r="B942" s="35" t="s">
        <v>2506</v>
      </c>
      <c r="C942" s="35" t="s">
        <v>1286</v>
      </c>
      <c r="D942" s="35" t="s">
        <v>58</v>
      </c>
      <c r="E942" s="35" t="s">
        <v>140</v>
      </c>
      <c r="F942" s="35" t="s">
        <v>141</v>
      </c>
      <c r="G942" s="35" t="s">
        <v>1161</v>
      </c>
      <c r="H942" s="76">
        <v>22022.0</v>
      </c>
      <c r="I942" s="35"/>
      <c r="M942" s="20">
        <f>IF($B942="","",COUNTIFS('Blocker log'!$A:$A,$B942,'Blocker log'!$G:$G,"&lt;&gt;"))</f>
        <v>0</v>
      </c>
      <c r="N942" s="20">
        <f>IF($B942="","",COUNTIFS('Blocker log'!$A:$A,$B942,'Blocker log'!$G:$G,"Hard blocker"))</f>
        <v>0</v>
      </c>
      <c r="O942" s="20">
        <f>IF($B942="","",COUNTIFS('Blocker log'!$A:$A,$B942,'Blocker log'!$G:$G,"Hard blocker",'Blocker log'!$L:$L,9))</f>
        <v>0</v>
      </c>
      <c r="P942" s="20">
        <f>IF($B942="","",MAXIFS('Blocker log'!$L:$L,'Blocker log'!$A:$A,$B942,'Blocker log'!$G:$G,"Hard blocker"))</f>
        <v>0</v>
      </c>
      <c r="Q942" s="20" t="str">
        <f>IF($B942="","",IF($K942&lt;&gt;"Complete","Assessment pending",IF($N942=0,"Ready now",VLOOKUP($P942,Lists!$D$2:$E$5,2,FALSE))))</f>
        <v>Assessment pending</v>
      </c>
    </row>
    <row r="943" ht="15.75" customHeight="1">
      <c r="A943" s="35" t="s">
        <v>2507</v>
      </c>
      <c r="B943" s="35" t="s">
        <v>2508</v>
      </c>
      <c r="C943" s="35" t="s">
        <v>1286</v>
      </c>
      <c r="D943" s="35" t="s">
        <v>58</v>
      </c>
      <c r="E943" s="35" t="s">
        <v>59</v>
      </c>
      <c r="F943" s="35" t="s">
        <v>225</v>
      </c>
      <c r="G943" s="35" t="s">
        <v>1161</v>
      </c>
      <c r="H943" s="76">
        <v>21751.0</v>
      </c>
      <c r="I943" s="35" t="s">
        <v>420</v>
      </c>
      <c r="M943" s="20">
        <f>IF($B943="","",COUNTIFS('Blocker log'!$A:$A,$B943,'Blocker log'!$G:$G,"&lt;&gt;"))</f>
        <v>0</v>
      </c>
      <c r="N943" s="20">
        <f>IF($B943="","",COUNTIFS('Blocker log'!$A:$A,$B943,'Blocker log'!$G:$G,"Hard blocker"))</f>
        <v>0</v>
      </c>
      <c r="O943" s="20">
        <f>IF($B943="","",COUNTIFS('Blocker log'!$A:$A,$B943,'Blocker log'!$G:$G,"Hard blocker",'Blocker log'!$L:$L,9))</f>
        <v>0</v>
      </c>
      <c r="P943" s="20">
        <f>IF($B943="","",MAXIFS('Blocker log'!$L:$L,'Blocker log'!$A:$A,$B943,'Blocker log'!$G:$G,"Hard blocker"))</f>
        <v>0</v>
      </c>
      <c r="Q943" s="20" t="str">
        <f>IF($B943="","",IF($K943&lt;&gt;"Complete","Assessment pending",IF($N943=0,"Ready now",VLOOKUP($P943,Lists!$D$2:$E$5,2,FALSE))))</f>
        <v>Assessment pending</v>
      </c>
    </row>
    <row r="944" ht="15.75" customHeight="1">
      <c r="A944" s="35" t="s">
        <v>2509</v>
      </c>
      <c r="B944" s="35" t="s">
        <v>2510</v>
      </c>
      <c r="C944" s="35" t="s">
        <v>76</v>
      </c>
      <c r="D944" s="35" t="s">
        <v>58</v>
      </c>
      <c r="E944" s="35" t="s">
        <v>101</v>
      </c>
      <c r="F944" s="35" t="s">
        <v>1386</v>
      </c>
      <c r="G944" s="35" t="s">
        <v>1042</v>
      </c>
      <c r="H944" s="76">
        <v>21750.0</v>
      </c>
      <c r="I944" s="35"/>
      <c r="M944" s="20">
        <f>IF($B944="","",COUNTIFS('Blocker log'!$A:$A,$B944,'Blocker log'!$G:$G,"&lt;&gt;"))</f>
        <v>0</v>
      </c>
      <c r="N944" s="20">
        <f>IF($B944="","",COUNTIFS('Blocker log'!$A:$A,$B944,'Blocker log'!$G:$G,"Hard blocker"))</f>
        <v>0</v>
      </c>
      <c r="O944" s="20">
        <f>IF($B944="","",COUNTIFS('Blocker log'!$A:$A,$B944,'Blocker log'!$G:$G,"Hard blocker",'Blocker log'!$L:$L,9))</f>
        <v>0</v>
      </c>
      <c r="P944" s="20">
        <f>IF($B944="","",MAXIFS('Blocker log'!$L:$L,'Blocker log'!$A:$A,$B944,'Blocker log'!$G:$G,"Hard blocker"))</f>
        <v>0</v>
      </c>
      <c r="Q944" s="20" t="str">
        <f>IF($B944="","",IF($K944&lt;&gt;"Complete","Assessment pending",IF($N944=0,"Ready now",VLOOKUP($P944,Lists!$D$2:$E$5,2,FALSE))))</f>
        <v>Assessment pending</v>
      </c>
    </row>
    <row r="945" ht="15.75" customHeight="1">
      <c r="A945" s="35" t="s">
        <v>2511</v>
      </c>
      <c r="B945" s="35" t="s">
        <v>2512</v>
      </c>
      <c r="C945" s="35" t="s">
        <v>1286</v>
      </c>
      <c r="D945" s="35" t="s">
        <v>260</v>
      </c>
      <c r="E945" s="35" t="s">
        <v>530</v>
      </c>
      <c r="F945" s="35" t="s">
        <v>1493</v>
      </c>
      <c r="G945" s="35" t="s">
        <v>1161</v>
      </c>
      <c r="H945" s="76">
        <v>21644.0</v>
      </c>
      <c r="I945" s="35"/>
      <c r="M945" s="20">
        <f>IF($B945="","",COUNTIFS('Blocker log'!$A:$A,$B945,'Blocker log'!$G:$G,"&lt;&gt;"))</f>
        <v>0</v>
      </c>
      <c r="N945" s="20">
        <f>IF($B945="","",COUNTIFS('Blocker log'!$A:$A,$B945,'Blocker log'!$G:$G,"Hard blocker"))</f>
        <v>0</v>
      </c>
      <c r="O945" s="20">
        <f>IF($B945="","",COUNTIFS('Blocker log'!$A:$A,$B945,'Blocker log'!$G:$G,"Hard blocker",'Blocker log'!$L:$L,9))</f>
        <v>0</v>
      </c>
      <c r="P945" s="20">
        <f>IF($B945="","",MAXIFS('Blocker log'!$L:$L,'Blocker log'!$A:$A,$B945,'Blocker log'!$G:$G,"Hard blocker"))</f>
        <v>0</v>
      </c>
      <c r="Q945" s="20" t="str">
        <f>IF($B945="","",IF($K945&lt;&gt;"Complete","Assessment pending",IF($N945=0,"Ready now",VLOOKUP($P945,Lists!$D$2:$E$5,2,FALSE))))</f>
        <v>Assessment pending</v>
      </c>
    </row>
    <row r="946" ht="15.75" customHeight="1">
      <c r="A946" s="35" t="s">
        <v>2513</v>
      </c>
      <c r="B946" s="35" t="s">
        <v>2514</v>
      </c>
      <c r="C946" s="35" t="s">
        <v>1286</v>
      </c>
      <c r="D946" s="35" t="s">
        <v>58</v>
      </c>
      <c r="E946" s="35" t="s">
        <v>59</v>
      </c>
      <c r="F946" s="35" t="s">
        <v>77</v>
      </c>
      <c r="G946" s="35" t="s">
        <v>1161</v>
      </c>
      <c r="H946" s="76">
        <v>21625.0</v>
      </c>
      <c r="I946" s="35"/>
      <c r="M946" s="20">
        <f>IF($B946="","",COUNTIFS('Blocker log'!$A:$A,$B946,'Blocker log'!$G:$G,"&lt;&gt;"))</f>
        <v>0</v>
      </c>
      <c r="N946" s="20">
        <f>IF($B946="","",COUNTIFS('Blocker log'!$A:$A,$B946,'Blocker log'!$G:$G,"Hard blocker"))</f>
        <v>0</v>
      </c>
      <c r="O946" s="20">
        <f>IF($B946="","",COUNTIFS('Blocker log'!$A:$A,$B946,'Blocker log'!$G:$G,"Hard blocker",'Blocker log'!$L:$L,9))</f>
        <v>0</v>
      </c>
      <c r="P946" s="20">
        <f>IF($B946="","",MAXIFS('Blocker log'!$L:$L,'Blocker log'!$A:$A,$B946,'Blocker log'!$G:$G,"Hard blocker"))</f>
        <v>0</v>
      </c>
      <c r="Q946" s="20" t="str">
        <f>IF($B946="","",IF($K946&lt;&gt;"Complete","Assessment pending",IF($N946=0,"Ready now",VLOOKUP($P946,Lists!$D$2:$E$5,2,FALSE))))</f>
        <v>Assessment pending</v>
      </c>
    </row>
    <row r="947" ht="15.75" customHeight="1">
      <c r="A947" s="35" t="s">
        <v>2515</v>
      </c>
      <c r="B947" s="35" t="s">
        <v>2516</v>
      </c>
      <c r="C947" s="35" t="s">
        <v>76</v>
      </c>
      <c r="D947" s="35" t="s">
        <v>260</v>
      </c>
      <c r="E947" s="35" t="s">
        <v>506</v>
      </c>
      <c r="F947" s="35" t="s">
        <v>674</v>
      </c>
      <c r="G947" s="35" t="s">
        <v>999</v>
      </c>
      <c r="H947" s="76">
        <v>21600.0</v>
      </c>
      <c r="I947" s="35"/>
      <c r="M947" s="20">
        <f>IF($B947="","",COUNTIFS('Blocker log'!$A:$A,$B947,'Blocker log'!$G:$G,"&lt;&gt;"))</f>
        <v>0</v>
      </c>
      <c r="N947" s="20">
        <f>IF($B947="","",COUNTIFS('Blocker log'!$A:$A,$B947,'Blocker log'!$G:$G,"Hard blocker"))</f>
        <v>0</v>
      </c>
      <c r="O947" s="20">
        <f>IF($B947="","",COUNTIFS('Blocker log'!$A:$A,$B947,'Blocker log'!$G:$G,"Hard blocker",'Blocker log'!$L:$L,9))</f>
        <v>0</v>
      </c>
      <c r="P947" s="20">
        <f>IF($B947="","",MAXIFS('Blocker log'!$L:$L,'Blocker log'!$A:$A,$B947,'Blocker log'!$G:$G,"Hard blocker"))</f>
        <v>0</v>
      </c>
      <c r="Q947" s="20" t="str">
        <f>IF($B947="","",IF($K947&lt;&gt;"Complete","Assessment pending",IF($N947=0,"Ready now",VLOOKUP($P947,Lists!$D$2:$E$5,2,FALSE))))</f>
        <v>Assessment pending</v>
      </c>
    </row>
    <row r="948" ht="15.75" customHeight="1">
      <c r="A948" s="35" t="s">
        <v>2517</v>
      </c>
      <c r="B948" s="35" t="s">
        <v>2518</v>
      </c>
      <c r="C948" s="35" t="s">
        <v>1286</v>
      </c>
      <c r="D948" s="35" t="s">
        <v>58</v>
      </c>
      <c r="E948" s="35" t="s">
        <v>181</v>
      </c>
      <c r="F948" s="35" t="s">
        <v>182</v>
      </c>
      <c r="G948" s="35" t="s">
        <v>1161</v>
      </c>
      <c r="H948" s="76">
        <v>21600.0</v>
      </c>
      <c r="I948" s="35" t="s">
        <v>449</v>
      </c>
      <c r="M948" s="20">
        <f>IF($B948="","",COUNTIFS('Blocker log'!$A:$A,$B948,'Blocker log'!$G:$G,"&lt;&gt;"))</f>
        <v>0</v>
      </c>
      <c r="N948" s="20">
        <f>IF($B948="","",COUNTIFS('Blocker log'!$A:$A,$B948,'Blocker log'!$G:$G,"Hard blocker"))</f>
        <v>0</v>
      </c>
      <c r="O948" s="20">
        <f>IF($B948="","",COUNTIFS('Blocker log'!$A:$A,$B948,'Blocker log'!$G:$G,"Hard blocker",'Blocker log'!$L:$L,9))</f>
        <v>0</v>
      </c>
      <c r="P948" s="20">
        <f>IF($B948="","",MAXIFS('Blocker log'!$L:$L,'Blocker log'!$A:$A,$B948,'Blocker log'!$G:$G,"Hard blocker"))</f>
        <v>0</v>
      </c>
      <c r="Q948" s="20" t="str">
        <f>IF($B948="","",IF($K948&lt;&gt;"Complete","Assessment pending",IF($N948=0,"Ready now",VLOOKUP($P948,Lists!$D$2:$E$5,2,FALSE))))</f>
        <v>Assessment pending</v>
      </c>
    </row>
    <row r="949" ht="15.75" customHeight="1">
      <c r="A949" s="35" t="s">
        <v>2519</v>
      </c>
      <c r="B949" s="35" t="s">
        <v>2520</v>
      </c>
      <c r="C949" s="35" t="s">
        <v>1286</v>
      </c>
      <c r="D949" s="35" t="s">
        <v>260</v>
      </c>
      <c r="E949" s="35" t="s">
        <v>261</v>
      </c>
      <c r="F949" s="35" t="s">
        <v>261</v>
      </c>
      <c r="G949" s="35" t="s">
        <v>1161</v>
      </c>
      <c r="H949" s="76">
        <v>21580.0</v>
      </c>
      <c r="I949" s="35" t="s">
        <v>430</v>
      </c>
      <c r="M949" s="20">
        <f>IF($B949="","",COUNTIFS('Blocker log'!$A:$A,$B949,'Blocker log'!$G:$G,"&lt;&gt;"))</f>
        <v>0</v>
      </c>
      <c r="N949" s="20">
        <f>IF($B949="","",COUNTIFS('Blocker log'!$A:$A,$B949,'Blocker log'!$G:$G,"Hard blocker"))</f>
        <v>0</v>
      </c>
      <c r="O949" s="20">
        <f>IF($B949="","",COUNTIFS('Blocker log'!$A:$A,$B949,'Blocker log'!$G:$G,"Hard blocker",'Blocker log'!$L:$L,9))</f>
        <v>0</v>
      </c>
      <c r="P949" s="20">
        <f>IF($B949="","",MAXIFS('Blocker log'!$L:$L,'Blocker log'!$A:$A,$B949,'Blocker log'!$G:$G,"Hard blocker"))</f>
        <v>0</v>
      </c>
      <c r="Q949" s="20" t="str">
        <f>IF($B949="","",IF($K949&lt;&gt;"Complete","Assessment pending",IF($N949=0,"Ready now",VLOOKUP($P949,Lists!$D$2:$E$5,2,FALSE))))</f>
        <v>Assessment pending</v>
      </c>
    </row>
    <row r="950" ht="15.75" customHeight="1">
      <c r="A950" s="35" t="s">
        <v>2521</v>
      </c>
      <c r="B950" s="35" t="s">
        <v>2522</v>
      </c>
      <c r="C950" s="35" t="s">
        <v>1286</v>
      </c>
      <c r="D950" s="35" t="s">
        <v>260</v>
      </c>
      <c r="E950" s="35" t="s">
        <v>261</v>
      </c>
      <c r="F950" s="35" t="s">
        <v>261</v>
      </c>
      <c r="G950" s="35" t="s">
        <v>1161</v>
      </c>
      <c r="H950" s="76">
        <v>21503.0</v>
      </c>
      <c r="I950" s="35" t="s">
        <v>416</v>
      </c>
      <c r="M950" s="20">
        <f>IF($B950="","",COUNTIFS('Blocker log'!$A:$A,$B950,'Blocker log'!$G:$G,"&lt;&gt;"))</f>
        <v>0</v>
      </c>
      <c r="N950" s="20">
        <f>IF($B950="","",COUNTIFS('Blocker log'!$A:$A,$B950,'Blocker log'!$G:$G,"Hard blocker"))</f>
        <v>0</v>
      </c>
      <c r="O950" s="20">
        <f>IF($B950="","",COUNTIFS('Blocker log'!$A:$A,$B950,'Blocker log'!$G:$G,"Hard blocker",'Blocker log'!$L:$L,9))</f>
        <v>0</v>
      </c>
      <c r="P950" s="20">
        <f>IF($B950="","",MAXIFS('Blocker log'!$L:$L,'Blocker log'!$A:$A,$B950,'Blocker log'!$G:$G,"Hard blocker"))</f>
        <v>0</v>
      </c>
      <c r="Q950" s="20" t="str">
        <f>IF($B950="","",IF($K950&lt;&gt;"Complete","Assessment pending",IF($N950=0,"Ready now",VLOOKUP($P950,Lists!$D$2:$E$5,2,FALSE))))</f>
        <v>Assessment pending</v>
      </c>
    </row>
    <row r="951" ht="15.75" customHeight="1">
      <c r="A951" s="35" t="s">
        <v>2523</v>
      </c>
      <c r="B951" s="35" t="s">
        <v>2524</v>
      </c>
      <c r="C951" s="35" t="s">
        <v>1286</v>
      </c>
      <c r="D951" s="35" t="s">
        <v>171</v>
      </c>
      <c r="E951" s="35" t="s">
        <v>512</v>
      </c>
      <c r="F951" s="35" t="s">
        <v>821</v>
      </c>
      <c r="G951" s="35" t="s">
        <v>1042</v>
      </c>
      <c r="H951" s="76">
        <v>21411.0</v>
      </c>
      <c r="I951" s="35"/>
      <c r="M951" s="20">
        <f>IF($B951="","",COUNTIFS('Blocker log'!$A:$A,$B951,'Blocker log'!$G:$G,"&lt;&gt;"))</f>
        <v>0</v>
      </c>
      <c r="N951" s="20">
        <f>IF($B951="","",COUNTIFS('Blocker log'!$A:$A,$B951,'Blocker log'!$G:$G,"Hard blocker"))</f>
        <v>0</v>
      </c>
      <c r="O951" s="20">
        <f>IF($B951="","",COUNTIFS('Blocker log'!$A:$A,$B951,'Blocker log'!$G:$G,"Hard blocker",'Blocker log'!$L:$L,9))</f>
        <v>0</v>
      </c>
      <c r="P951" s="20">
        <f>IF($B951="","",MAXIFS('Blocker log'!$L:$L,'Blocker log'!$A:$A,$B951,'Blocker log'!$G:$G,"Hard blocker"))</f>
        <v>0</v>
      </c>
      <c r="Q951" s="20" t="str">
        <f>IF($B951="","",IF($K951&lt;&gt;"Complete","Assessment pending",IF($N951=0,"Ready now",VLOOKUP($P951,Lists!$D$2:$E$5,2,FALSE))))</f>
        <v>Assessment pending</v>
      </c>
    </row>
    <row r="952" ht="15.75" customHeight="1">
      <c r="A952" s="35" t="s">
        <v>2525</v>
      </c>
      <c r="B952" s="35" t="s">
        <v>2526</v>
      </c>
      <c r="C952" s="35" t="s">
        <v>1286</v>
      </c>
      <c r="D952" s="35" t="s">
        <v>260</v>
      </c>
      <c r="E952" s="35" t="s">
        <v>1096</v>
      </c>
      <c r="F952" s="35" t="s">
        <v>1097</v>
      </c>
      <c r="G952" s="35" t="s">
        <v>1161</v>
      </c>
      <c r="H952" s="76">
        <v>21234.0</v>
      </c>
      <c r="I952" s="35" t="s">
        <v>416</v>
      </c>
      <c r="M952" s="20">
        <f>IF($B952="","",COUNTIFS('Blocker log'!$A:$A,$B952,'Blocker log'!$G:$G,"&lt;&gt;"))</f>
        <v>0</v>
      </c>
      <c r="N952" s="20">
        <f>IF($B952="","",COUNTIFS('Blocker log'!$A:$A,$B952,'Blocker log'!$G:$G,"Hard blocker"))</f>
        <v>0</v>
      </c>
      <c r="O952" s="20">
        <f>IF($B952="","",COUNTIFS('Blocker log'!$A:$A,$B952,'Blocker log'!$G:$G,"Hard blocker",'Blocker log'!$L:$L,9))</f>
        <v>0</v>
      </c>
      <c r="P952" s="20">
        <f>IF($B952="","",MAXIFS('Blocker log'!$L:$L,'Blocker log'!$A:$A,$B952,'Blocker log'!$G:$G,"Hard blocker"))</f>
        <v>0</v>
      </c>
      <c r="Q952" s="20" t="str">
        <f>IF($B952="","",IF($K952&lt;&gt;"Complete","Assessment pending",IF($N952=0,"Ready now",VLOOKUP($P952,Lists!$D$2:$E$5,2,FALSE))))</f>
        <v>Assessment pending</v>
      </c>
    </row>
    <row r="953" ht="15.75" customHeight="1">
      <c r="A953" s="35" t="s">
        <v>2527</v>
      </c>
      <c r="B953" s="35" t="s">
        <v>2528</v>
      </c>
      <c r="C953" s="35" t="s">
        <v>1286</v>
      </c>
      <c r="D953" s="35" t="s">
        <v>58</v>
      </c>
      <c r="E953" s="35" t="s">
        <v>181</v>
      </c>
      <c r="F953" s="35" t="s">
        <v>653</v>
      </c>
      <c r="G953" s="35" t="s">
        <v>1161</v>
      </c>
      <c r="H953" s="76">
        <v>21205.0</v>
      </c>
      <c r="I953" s="35"/>
      <c r="M953" s="20">
        <f>IF($B953="","",COUNTIFS('Blocker log'!$A:$A,$B953,'Blocker log'!$G:$G,"&lt;&gt;"))</f>
        <v>0</v>
      </c>
      <c r="N953" s="20">
        <f>IF($B953="","",COUNTIFS('Blocker log'!$A:$A,$B953,'Blocker log'!$G:$G,"Hard blocker"))</f>
        <v>0</v>
      </c>
      <c r="O953" s="20">
        <f>IF($B953="","",COUNTIFS('Blocker log'!$A:$A,$B953,'Blocker log'!$G:$G,"Hard blocker",'Blocker log'!$L:$L,9))</f>
        <v>0</v>
      </c>
      <c r="P953" s="20">
        <f>IF($B953="","",MAXIFS('Blocker log'!$L:$L,'Blocker log'!$A:$A,$B953,'Blocker log'!$G:$G,"Hard blocker"))</f>
        <v>0</v>
      </c>
      <c r="Q953" s="20" t="str">
        <f>IF($B953="","",IF($K953&lt;&gt;"Complete","Assessment pending",IF($N953=0,"Ready now",VLOOKUP($P953,Lists!$D$2:$E$5,2,FALSE))))</f>
        <v>Assessment pending</v>
      </c>
    </row>
    <row r="954" ht="15.75" customHeight="1">
      <c r="A954" s="35" t="s">
        <v>2529</v>
      </c>
      <c r="B954" s="35" t="s">
        <v>2530</v>
      </c>
      <c r="C954" s="35" t="s">
        <v>1286</v>
      </c>
      <c r="D954" s="35" t="s">
        <v>171</v>
      </c>
      <c r="E954" s="35" t="s">
        <v>773</v>
      </c>
      <c r="F954" s="35" t="s">
        <v>774</v>
      </c>
      <c r="G954" s="35" t="s">
        <v>1042</v>
      </c>
      <c r="H954" s="76">
        <v>21042.0</v>
      </c>
      <c r="I954" s="35" t="s">
        <v>415</v>
      </c>
      <c r="M954" s="20">
        <f>IF($B954="","",COUNTIFS('Blocker log'!$A:$A,$B954,'Blocker log'!$G:$G,"&lt;&gt;"))</f>
        <v>0</v>
      </c>
      <c r="N954" s="20">
        <f>IF($B954="","",COUNTIFS('Blocker log'!$A:$A,$B954,'Blocker log'!$G:$G,"Hard blocker"))</f>
        <v>0</v>
      </c>
      <c r="O954" s="20">
        <f>IF($B954="","",COUNTIFS('Blocker log'!$A:$A,$B954,'Blocker log'!$G:$G,"Hard blocker",'Blocker log'!$L:$L,9))</f>
        <v>0</v>
      </c>
      <c r="P954" s="20">
        <f>IF($B954="","",MAXIFS('Blocker log'!$L:$L,'Blocker log'!$A:$A,$B954,'Blocker log'!$G:$G,"Hard blocker"))</f>
        <v>0</v>
      </c>
      <c r="Q954" s="20" t="str">
        <f>IF($B954="","",IF($K954&lt;&gt;"Complete","Assessment pending",IF($N954=0,"Ready now",VLOOKUP($P954,Lists!$D$2:$E$5,2,FALSE))))</f>
        <v>Assessment pending</v>
      </c>
    </row>
    <row r="955" ht="15.75" customHeight="1">
      <c r="A955" s="35" t="s">
        <v>2531</v>
      </c>
      <c r="B955" s="35" t="s">
        <v>2532</v>
      </c>
      <c r="C955" s="35" t="s">
        <v>1286</v>
      </c>
      <c r="D955" s="35" t="s">
        <v>171</v>
      </c>
      <c r="E955" s="35" t="s">
        <v>205</v>
      </c>
      <c r="F955" s="35" t="s">
        <v>916</v>
      </c>
      <c r="G955" s="35" t="s">
        <v>1161</v>
      </c>
      <c r="H955" s="76">
        <v>21000.0</v>
      </c>
      <c r="I955" s="35" t="s">
        <v>424</v>
      </c>
      <c r="M955" s="20">
        <f>IF($B955="","",COUNTIFS('Blocker log'!$A:$A,$B955,'Blocker log'!$G:$G,"&lt;&gt;"))</f>
        <v>0</v>
      </c>
      <c r="N955" s="20">
        <f>IF($B955="","",COUNTIFS('Blocker log'!$A:$A,$B955,'Blocker log'!$G:$G,"Hard blocker"))</f>
        <v>0</v>
      </c>
      <c r="O955" s="20">
        <f>IF($B955="","",COUNTIFS('Blocker log'!$A:$A,$B955,'Blocker log'!$G:$G,"Hard blocker",'Blocker log'!$L:$L,9))</f>
        <v>0</v>
      </c>
      <c r="P955" s="20">
        <f>IF($B955="","",MAXIFS('Blocker log'!$L:$L,'Blocker log'!$A:$A,$B955,'Blocker log'!$G:$G,"Hard blocker"))</f>
        <v>0</v>
      </c>
      <c r="Q955" s="20" t="str">
        <f>IF($B955="","",IF($K955&lt;&gt;"Complete","Assessment pending",IF($N955=0,"Ready now",VLOOKUP($P955,Lists!$D$2:$E$5,2,FALSE))))</f>
        <v>Assessment pending</v>
      </c>
    </row>
    <row r="956" ht="15.75" customHeight="1">
      <c r="A956" s="35" t="s">
        <v>2533</v>
      </c>
      <c r="B956" s="35" t="s">
        <v>2534</v>
      </c>
      <c r="C956" s="35" t="s">
        <v>57</v>
      </c>
      <c r="D956" s="35" t="s">
        <v>58</v>
      </c>
      <c r="E956" s="35" t="s">
        <v>59</v>
      </c>
      <c r="F956" s="35" t="s">
        <v>598</v>
      </c>
      <c r="G956" s="35" t="s">
        <v>980</v>
      </c>
      <c r="H956" s="76">
        <v>20995.0</v>
      </c>
      <c r="I956" s="35"/>
      <c r="M956" s="20">
        <f>IF($B956="","",COUNTIFS('Blocker log'!$A:$A,$B956,'Blocker log'!$G:$G,"&lt;&gt;"))</f>
        <v>0</v>
      </c>
      <c r="N956" s="20">
        <f>IF($B956="","",COUNTIFS('Blocker log'!$A:$A,$B956,'Blocker log'!$G:$G,"Hard blocker"))</f>
        <v>0</v>
      </c>
      <c r="O956" s="20">
        <f>IF($B956="","",COUNTIFS('Blocker log'!$A:$A,$B956,'Blocker log'!$G:$G,"Hard blocker",'Blocker log'!$L:$L,9))</f>
        <v>0</v>
      </c>
      <c r="P956" s="20">
        <f>IF($B956="","",MAXIFS('Blocker log'!$L:$L,'Blocker log'!$A:$A,$B956,'Blocker log'!$G:$G,"Hard blocker"))</f>
        <v>0</v>
      </c>
      <c r="Q956" s="20" t="str">
        <f>IF($B956="","",IF($K956&lt;&gt;"Complete","Assessment pending",IF($N956=0,"Ready now",VLOOKUP($P956,Lists!$D$2:$E$5,2,FALSE))))</f>
        <v>Assessment pending</v>
      </c>
    </row>
    <row r="957" ht="15.75" customHeight="1">
      <c r="A957" s="35" t="s">
        <v>2535</v>
      </c>
      <c r="B957" s="35" t="s">
        <v>2536</v>
      </c>
      <c r="C957" s="35" t="s">
        <v>1286</v>
      </c>
      <c r="D957" s="35" t="s">
        <v>301</v>
      </c>
      <c r="E957" s="35" t="s">
        <v>1281</v>
      </c>
      <c r="F957" s="35" t="s">
        <v>1281</v>
      </c>
      <c r="G957" s="35" t="s">
        <v>1042</v>
      </c>
      <c r="H957" s="76">
        <v>20800.0</v>
      </c>
      <c r="I957" s="35" t="s">
        <v>410</v>
      </c>
      <c r="M957" s="20">
        <f>IF($B957="","",COUNTIFS('Blocker log'!$A:$A,$B957,'Blocker log'!$G:$G,"&lt;&gt;"))</f>
        <v>0</v>
      </c>
      <c r="N957" s="20">
        <f>IF($B957="","",COUNTIFS('Blocker log'!$A:$A,$B957,'Blocker log'!$G:$G,"Hard blocker"))</f>
        <v>0</v>
      </c>
      <c r="O957" s="20">
        <f>IF($B957="","",COUNTIFS('Blocker log'!$A:$A,$B957,'Blocker log'!$G:$G,"Hard blocker",'Blocker log'!$L:$L,9))</f>
        <v>0</v>
      </c>
      <c r="P957" s="20">
        <f>IF($B957="","",MAXIFS('Blocker log'!$L:$L,'Blocker log'!$A:$A,$B957,'Blocker log'!$G:$G,"Hard blocker"))</f>
        <v>0</v>
      </c>
      <c r="Q957" s="20" t="str">
        <f>IF($B957="","",IF($K957&lt;&gt;"Complete","Assessment pending",IF($N957=0,"Ready now",VLOOKUP($P957,Lists!$D$2:$E$5,2,FALSE))))</f>
        <v>Assessment pending</v>
      </c>
    </row>
    <row r="958" ht="15.75" customHeight="1">
      <c r="A958" s="35" t="s">
        <v>2537</v>
      </c>
      <c r="B958" s="35" t="s">
        <v>2538</v>
      </c>
      <c r="C958" s="35" t="s">
        <v>1286</v>
      </c>
      <c r="D958" s="35" t="s">
        <v>301</v>
      </c>
      <c r="E958" s="35" t="s">
        <v>593</v>
      </c>
      <c r="F958" s="35" t="s">
        <v>593</v>
      </c>
      <c r="G958" s="35" t="s">
        <v>1042</v>
      </c>
      <c r="H958" s="76">
        <v>20702.0</v>
      </c>
      <c r="I958" s="35"/>
      <c r="M958" s="20">
        <f>IF($B958="","",COUNTIFS('Blocker log'!$A:$A,$B958,'Blocker log'!$G:$G,"&lt;&gt;"))</f>
        <v>0</v>
      </c>
      <c r="N958" s="20">
        <f>IF($B958="","",COUNTIFS('Blocker log'!$A:$A,$B958,'Blocker log'!$G:$G,"Hard blocker"))</f>
        <v>0</v>
      </c>
      <c r="O958" s="20">
        <f>IF($B958="","",COUNTIFS('Blocker log'!$A:$A,$B958,'Blocker log'!$G:$G,"Hard blocker",'Blocker log'!$L:$L,9))</f>
        <v>0</v>
      </c>
      <c r="P958" s="20">
        <f>IF($B958="","",MAXIFS('Blocker log'!$L:$L,'Blocker log'!$A:$A,$B958,'Blocker log'!$G:$G,"Hard blocker"))</f>
        <v>0</v>
      </c>
      <c r="Q958" s="20" t="str">
        <f>IF($B958="","",IF($K958&lt;&gt;"Complete","Assessment pending",IF($N958=0,"Ready now",VLOOKUP($P958,Lists!$D$2:$E$5,2,FALSE))))</f>
        <v>Assessment pending</v>
      </c>
    </row>
    <row r="959" ht="15.75" customHeight="1">
      <c r="A959" s="35" t="s">
        <v>2539</v>
      </c>
      <c r="B959" s="35" t="s">
        <v>2540</v>
      </c>
      <c r="C959" s="35" t="s">
        <v>1286</v>
      </c>
      <c r="D959" s="35" t="s">
        <v>171</v>
      </c>
      <c r="E959" s="35" t="s">
        <v>713</v>
      </c>
      <c r="F959" s="35" t="s">
        <v>714</v>
      </c>
      <c r="G959" s="35" t="s">
        <v>1161</v>
      </c>
      <c r="H959" s="76">
        <v>20547.0</v>
      </c>
      <c r="I959" s="35" t="s">
        <v>424</v>
      </c>
      <c r="M959" s="20">
        <f>IF($B959="","",COUNTIFS('Blocker log'!$A:$A,$B959,'Blocker log'!$G:$G,"&lt;&gt;"))</f>
        <v>0</v>
      </c>
      <c r="N959" s="20">
        <f>IF($B959="","",COUNTIFS('Blocker log'!$A:$A,$B959,'Blocker log'!$G:$G,"Hard blocker"))</f>
        <v>0</v>
      </c>
      <c r="O959" s="20">
        <f>IF($B959="","",COUNTIFS('Blocker log'!$A:$A,$B959,'Blocker log'!$G:$G,"Hard blocker",'Blocker log'!$L:$L,9))</f>
        <v>0</v>
      </c>
      <c r="P959" s="20">
        <f>IF($B959="","",MAXIFS('Blocker log'!$L:$L,'Blocker log'!$A:$A,$B959,'Blocker log'!$G:$G,"Hard blocker"))</f>
        <v>0</v>
      </c>
      <c r="Q959" s="20" t="str">
        <f>IF($B959="","",IF($K959&lt;&gt;"Complete","Assessment pending",IF($N959=0,"Ready now",VLOOKUP($P959,Lists!$D$2:$E$5,2,FALSE))))</f>
        <v>Assessment pending</v>
      </c>
    </row>
    <row r="960" ht="15.75" customHeight="1">
      <c r="A960" s="35" t="s">
        <v>2541</v>
      </c>
      <c r="B960" s="35" t="s">
        <v>2542</v>
      </c>
      <c r="C960" s="35" t="s">
        <v>1286</v>
      </c>
      <c r="D960" s="35" t="s">
        <v>260</v>
      </c>
      <c r="E960" s="35" t="s">
        <v>351</v>
      </c>
      <c r="F960" s="35" t="s">
        <v>886</v>
      </c>
      <c r="G960" s="35" t="s">
        <v>1042</v>
      </c>
      <c r="H960" s="76">
        <v>20512.0</v>
      </c>
      <c r="I960" s="35" t="s">
        <v>430</v>
      </c>
      <c r="M960" s="20">
        <f>IF($B960="","",COUNTIFS('Blocker log'!$A:$A,$B960,'Blocker log'!$G:$G,"&lt;&gt;"))</f>
        <v>0</v>
      </c>
      <c r="N960" s="20">
        <f>IF($B960="","",COUNTIFS('Blocker log'!$A:$A,$B960,'Blocker log'!$G:$G,"Hard blocker"))</f>
        <v>0</v>
      </c>
      <c r="O960" s="20">
        <f>IF($B960="","",COUNTIFS('Blocker log'!$A:$A,$B960,'Blocker log'!$G:$G,"Hard blocker",'Blocker log'!$L:$L,9))</f>
        <v>0</v>
      </c>
      <c r="P960" s="20">
        <f>IF($B960="","",MAXIFS('Blocker log'!$L:$L,'Blocker log'!$A:$A,$B960,'Blocker log'!$G:$G,"Hard blocker"))</f>
        <v>0</v>
      </c>
      <c r="Q960" s="20" t="str">
        <f>IF($B960="","",IF($K960&lt;&gt;"Complete","Assessment pending",IF($N960=0,"Ready now",VLOOKUP($P960,Lists!$D$2:$E$5,2,FALSE))))</f>
        <v>Assessment pending</v>
      </c>
    </row>
    <row r="961" ht="15.75" customHeight="1">
      <c r="A961" s="35" t="s">
        <v>2543</v>
      </c>
      <c r="B961" s="35" t="s">
        <v>2544</v>
      </c>
      <c r="C961" s="35" t="s">
        <v>1286</v>
      </c>
      <c r="D961" s="35" t="s">
        <v>171</v>
      </c>
      <c r="E961" s="35" t="s">
        <v>542</v>
      </c>
      <c r="F961" s="35" t="s">
        <v>543</v>
      </c>
      <c r="G961" s="35" t="s">
        <v>1161</v>
      </c>
      <c r="H961" s="76">
        <v>20501.0</v>
      </c>
      <c r="I961" s="35"/>
      <c r="M961" s="20">
        <f>IF($B961="","",COUNTIFS('Blocker log'!$A:$A,$B961,'Blocker log'!$G:$G,"&lt;&gt;"))</f>
        <v>0</v>
      </c>
      <c r="N961" s="20">
        <f>IF($B961="","",COUNTIFS('Blocker log'!$A:$A,$B961,'Blocker log'!$G:$G,"Hard blocker"))</f>
        <v>0</v>
      </c>
      <c r="O961" s="20">
        <f>IF($B961="","",COUNTIFS('Blocker log'!$A:$A,$B961,'Blocker log'!$G:$G,"Hard blocker",'Blocker log'!$L:$L,9))</f>
        <v>0</v>
      </c>
      <c r="P961" s="20">
        <f>IF($B961="","",MAXIFS('Blocker log'!$L:$L,'Blocker log'!$A:$A,$B961,'Blocker log'!$G:$G,"Hard blocker"))</f>
        <v>0</v>
      </c>
      <c r="Q961" s="20" t="str">
        <f>IF($B961="","",IF($K961&lt;&gt;"Complete","Assessment pending",IF($N961=0,"Ready now",VLOOKUP($P961,Lists!$D$2:$E$5,2,FALSE))))</f>
        <v>Assessment pending</v>
      </c>
    </row>
    <row r="962" ht="15.75" customHeight="1">
      <c r="A962" s="35" t="s">
        <v>2545</v>
      </c>
      <c r="B962" s="35" t="s">
        <v>2546</v>
      </c>
      <c r="C962" s="35"/>
      <c r="D962" s="35" t="s">
        <v>171</v>
      </c>
      <c r="E962" s="35" t="s">
        <v>512</v>
      </c>
      <c r="F962" s="35" t="s">
        <v>2127</v>
      </c>
      <c r="G962" s="35" t="s">
        <v>1161</v>
      </c>
      <c r="H962" s="76">
        <v>20453.0</v>
      </c>
      <c r="I962" s="35"/>
      <c r="M962" s="20">
        <f>IF($B962="","",COUNTIFS('Blocker log'!$A:$A,$B962,'Blocker log'!$G:$G,"&lt;&gt;"))</f>
        <v>0</v>
      </c>
      <c r="N962" s="20">
        <f>IF($B962="","",COUNTIFS('Blocker log'!$A:$A,$B962,'Blocker log'!$G:$G,"Hard blocker"))</f>
        <v>0</v>
      </c>
      <c r="O962" s="20">
        <f>IF($B962="","",COUNTIFS('Blocker log'!$A:$A,$B962,'Blocker log'!$G:$G,"Hard blocker",'Blocker log'!$L:$L,9))</f>
        <v>0</v>
      </c>
      <c r="P962" s="20">
        <f>IF($B962="","",MAXIFS('Blocker log'!$L:$L,'Blocker log'!$A:$A,$B962,'Blocker log'!$G:$G,"Hard blocker"))</f>
        <v>0</v>
      </c>
      <c r="Q962" s="20" t="str">
        <f>IF($B962="","",IF($K962&lt;&gt;"Complete","Assessment pending",IF($N962=0,"Ready now",VLOOKUP($P962,Lists!$D$2:$E$5,2,FALSE))))</f>
        <v>Assessment pending</v>
      </c>
    </row>
    <row r="963" ht="15.75" customHeight="1">
      <c r="A963" s="35" t="s">
        <v>2547</v>
      </c>
      <c r="B963" s="35" t="s">
        <v>2548</v>
      </c>
      <c r="C963" s="35" t="s">
        <v>1286</v>
      </c>
      <c r="D963" s="35" t="s">
        <v>260</v>
      </c>
      <c r="E963" s="35" t="s">
        <v>261</v>
      </c>
      <c r="F963" s="35" t="s">
        <v>261</v>
      </c>
      <c r="G963" s="35" t="s">
        <v>1161</v>
      </c>
      <c r="H963" s="76">
        <v>20386.0</v>
      </c>
      <c r="I963" s="35" t="s">
        <v>416</v>
      </c>
      <c r="M963" s="20">
        <f>IF($B963="","",COUNTIFS('Blocker log'!$A:$A,$B963,'Blocker log'!$G:$G,"&lt;&gt;"))</f>
        <v>0</v>
      </c>
      <c r="N963" s="20">
        <f>IF($B963="","",COUNTIFS('Blocker log'!$A:$A,$B963,'Blocker log'!$G:$G,"Hard blocker"))</f>
        <v>0</v>
      </c>
      <c r="O963" s="20">
        <f>IF($B963="","",COUNTIFS('Blocker log'!$A:$A,$B963,'Blocker log'!$G:$G,"Hard blocker",'Blocker log'!$L:$L,9))</f>
        <v>0</v>
      </c>
      <c r="P963" s="20">
        <f>IF($B963="","",MAXIFS('Blocker log'!$L:$L,'Blocker log'!$A:$A,$B963,'Blocker log'!$G:$G,"Hard blocker"))</f>
        <v>0</v>
      </c>
      <c r="Q963" s="20" t="str">
        <f>IF($B963="","",IF($K963&lt;&gt;"Complete","Assessment pending",IF($N963=0,"Ready now",VLOOKUP($P963,Lists!$D$2:$E$5,2,FALSE))))</f>
        <v>Assessment pending</v>
      </c>
    </row>
    <row r="964" ht="15.75" customHeight="1">
      <c r="A964" s="35" t="s">
        <v>2549</v>
      </c>
      <c r="B964" s="35" t="s">
        <v>2550</v>
      </c>
      <c r="C964" s="35" t="s">
        <v>76</v>
      </c>
      <c r="D964" s="35" t="s">
        <v>58</v>
      </c>
      <c r="E964" s="35" t="s">
        <v>59</v>
      </c>
      <c r="F964" s="35" t="s">
        <v>278</v>
      </c>
      <c r="G964" s="35" t="s">
        <v>980</v>
      </c>
      <c r="H964" s="76">
        <v>20378.0</v>
      </c>
      <c r="I964" s="35"/>
      <c r="M964" s="20">
        <f>IF($B964="","",COUNTIFS('Blocker log'!$A:$A,$B964,'Blocker log'!$G:$G,"&lt;&gt;"))</f>
        <v>0</v>
      </c>
      <c r="N964" s="20">
        <f>IF($B964="","",COUNTIFS('Blocker log'!$A:$A,$B964,'Blocker log'!$G:$G,"Hard blocker"))</f>
        <v>0</v>
      </c>
      <c r="O964" s="20">
        <f>IF($B964="","",COUNTIFS('Blocker log'!$A:$A,$B964,'Blocker log'!$G:$G,"Hard blocker",'Blocker log'!$L:$L,9))</f>
        <v>0</v>
      </c>
      <c r="P964" s="20">
        <f>IF($B964="","",MAXIFS('Blocker log'!$L:$L,'Blocker log'!$A:$A,$B964,'Blocker log'!$G:$G,"Hard blocker"))</f>
        <v>0</v>
      </c>
      <c r="Q964" s="20" t="str">
        <f>IF($B964="","",IF($K964&lt;&gt;"Complete","Assessment pending",IF($N964=0,"Ready now",VLOOKUP($P964,Lists!$D$2:$E$5,2,FALSE))))</f>
        <v>Assessment pending</v>
      </c>
    </row>
    <row r="965" ht="15.75" customHeight="1">
      <c r="A965" s="35" t="s">
        <v>2551</v>
      </c>
      <c r="B965" s="35" t="s">
        <v>2552</v>
      </c>
      <c r="C965" s="35" t="s">
        <v>1286</v>
      </c>
      <c r="D965" s="35" t="s">
        <v>260</v>
      </c>
      <c r="E965" s="35" t="s">
        <v>1096</v>
      </c>
      <c r="F965" s="35" t="s">
        <v>1650</v>
      </c>
      <c r="G965" s="35" t="s">
        <v>1161</v>
      </c>
      <c r="H965" s="76">
        <v>20345.0</v>
      </c>
      <c r="I965" s="35"/>
      <c r="M965" s="20">
        <f>IF($B965="","",COUNTIFS('Blocker log'!$A:$A,$B965,'Blocker log'!$G:$G,"&lt;&gt;"))</f>
        <v>0</v>
      </c>
      <c r="N965" s="20">
        <f>IF($B965="","",COUNTIFS('Blocker log'!$A:$A,$B965,'Blocker log'!$G:$G,"Hard blocker"))</f>
        <v>0</v>
      </c>
      <c r="O965" s="20">
        <f>IF($B965="","",COUNTIFS('Blocker log'!$A:$A,$B965,'Blocker log'!$G:$G,"Hard blocker",'Blocker log'!$L:$L,9))</f>
        <v>0</v>
      </c>
      <c r="P965" s="20">
        <f>IF($B965="","",MAXIFS('Blocker log'!$L:$L,'Blocker log'!$A:$A,$B965,'Blocker log'!$G:$G,"Hard blocker"))</f>
        <v>0</v>
      </c>
      <c r="Q965" s="20" t="str">
        <f>IF($B965="","",IF($K965&lt;&gt;"Complete","Assessment pending",IF($N965=0,"Ready now",VLOOKUP($P965,Lists!$D$2:$E$5,2,FALSE))))</f>
        <v>Assessment pending</v>
      </c>
    </row>
    <row r="966" ht="15.75" customHeight="1">
      <c r="A966" s="35" t="s">
        <v>2553</v>
      </c>
      <c r="B966" s="35" t="s">
        <v>2554</v>
      </c>
      <c r="C966" s="35" t="s">
        <v>1286</v>
      </c>
      <c r="D966" s="35" t="s">
        <v>260</v>
      </c>
      <c r="E966" s="35" t="s">
        <v>351</v>
      </c>
      <c r="F966" s="35" t="s">
        <v>1948</v>
      </c>
      <c r="G966" s="35" t="s">
        <v>1161</v>
      </c>
      <c r="H966" s="76">
        <v>20314.0</v>
      </c>
      <c r="I966" s="35" t="s">
        <v>430</v>
      </c>
      <c r="M966" s="20">
        <f>IF($B966="","",COUNTIFS('Blocker log'!$A:$A,$B966,'Blocker log'!$G:$G,"&lt;&gt;"))</f>
        <v>0</v>
      </c>
      <c r="N966" s="20">
        <f>IF($B966="","",COUNTIFS('Blocker log'!$A:$A,$B966,'Blocker log'!$G:$G,"Hard blocker"))</f>
        <v>0</v>
      </c>
      <c r="O966" s="20">
        <f>IF($B966="","",COUNTIFS('Blocker log'!$A:$A,$B966,'Blocker log'!$G:$G,"Hard blocker",'Blocker log'!$L:$L,9))</f>
        <v>0</v>
      </c>
      <c r="P966" s="20">
        <f>IF($B966="","",MAXIFS('Blocker log'!$L:$L,'Blocker log'!$A:$A,$B966,'Blocker log'!$G:$G,"Hard blocker"))</f>
        <v>0</v>
      </c>
      <c r="Q966" s="20" t="str">
        <f>IF($B966="","",IF($K966&lt;&gt;"Complete","Assessment pending",IF($N966=0,"Ready now",VLOOKUP($P966,Lists!$D$2:$E$5,2,FALSE))))</f>
        <v>Assessment pending</v>
      </c>
    </row>
    <row r="967" ht="15.75" customHeight="1">
      <c r="A967" s="35" t="s">
        <v>2555</v>
      </c>
      <c r="B967" s="35" t="s">
        <v>2556</v>
      </c>
      <c r="C967" s="35" t="s">
        <v>1286</v>
      </c>
      <c r="D967" s="35" t="s">
        <v>171</v>
      </c>
      <c r="E967" s="35" t="s">
        <v>713</v>
      </c>
      <c r="F967" s="35" t="s">
        <v>714</v>
      </c>
      <c r="G967" s="35" t="s">
        <v>1161</v>
      </c>
      <c r="H967" s="76">
        <v>20265.0</v>
      </c>
      <c r="I967" s="35" t="s">
        <v>424</v>
      </c>
      <c r="M967" s="20">
        <f>IF($B967="","",COUNTIFS('Blocker log'!$A:$A,$B967,'Blocker log'!$G:$G,"&lt;&gt;"))</f>
        <v>0</v>
      </c>
      <c r="N967" s="20">
        <f>IF($B967="","",COUNTIFS('Blocker log'!$A:$A,$B967,'Blocker log'!$G:$G,"Hard blocker"))</f>
        <v>0</v>
      </c>
      <c r="O967" s="20">
        <f>IF($B967="","",COUNTIFS('Blocker log'!$A:$A,$B967,'Blocker log'!$G:$G,"Hard blocker",'Blocker log'!$L:$L,9))</f>
        <v>0</v>
      </c>
      <c r="P967" s="20">
        <f>IF($B967="","",MAXIFS('Blocker log'!$L:$L,'Blocker log'!$A:$A,$B967,'Blocker log'!$G:$G,"Hard blocker"))</f>
        <v>0</v>
      </c>
      <c r="Q967" s="20" t="str">
        <f>IF($B967="","",IF($K967&lt;&gt;"Complete","Assessment pending",IF($N967=0,"Ready now",VLOOKUP($P967,Lists!$D$2:$E$5,2,FALSE))))</f>
        <v>Assessment pending</v>
      </c>
    </row>
    <row r="968" ht="15.75" customHeight="1">
      <c r="A968" s="35" t="s">
        <v>2557</v>
      </c>
      <c r="B968" s="35" t="s">
        <v>2558</v>
      </c>
      <c r="C968" s="35" t="s">
        <v>1286</v>
      </c>
      <c r="D968" s="35" t="s">
        <v>58</v>
      </c>
      <c r="E968" s="35" t="s">
        <v>101</v>
      </c>
      <c r="F968" s="35" t="s">
        <v>554</v>
      </c>
      <c r="G968" s="35" t="s">
        <v>1161</v>
      </c>
      <c r="H968" s="76">
        <v>20231.0</v>
      </c>
      <c r="I968" s="35"/>
      <c r="M968" s="20">
        <f>IF($B968="","",COUNTIFS('Blocker log'!$A:$A,$B968,'Blocker log'!$G:$G,"&lt;&gt;"))</f>
        <v>0</v>
      </c>
      <c r="N968" s="20">
        <f>IF($B968="","",COUNTIFS('Blocker log'!$A:$A,$B968,'Blocker log'!$G:$G,"Hard blocker"))</f>
        <v>0</v>
      </c>
      <c r="O968" s="20">
        <f>IF($B968="","",COUNTIFS('Blocker log'!$A:$A,$B968,'Blocker log'!$G:$G,"Hard blocker",'Blocker log'!$L:$L,9))</f>
        <v>0</v>
      </c>
      <c r="P968" s="20">
        <f>IF($B968="","",MAXIFS('Blocker log'!$L:$L,'Blocker log'!$A:$A,$B968,'Blocker log'!$G:$G,"Hard blocker"))</f>
        <v>0</v>
      </c>
      <c r="Q968" s="20" t="str">
        <f>IF($B968="","",IF($K968&lt;&gt;"Complete","Assessment pending",IF($N968=0,"Ready now",VLOOKUP($P968,Lists!$D$2:$E$5,2,FALSE))))</f>
        <v>Assessment pending</v>
      </c>
    </row>
    <row r="969" ht="15.75" customHeight="1">
      <c r="A969" s="35" t="s">
        <v>2559</v>
      </c>
      <c r="B969" s="35" t="s">
        <v>2560</v>
      </c>
      <c r="C969" s="35" t="s">
        <v>1286</v>
      </c>
      <c r="D969" s="35" t="s">
        <v>260</v>
      </c>
      <c r="E969" s="35" t="s">
        <v>576</v>
      </c>
      <c r="F969" s="35" t="s">
        <v>1228</v>
      </c>
      <c r="G969" s="35" t="s">
        <v>1161</v>
      </c>
      <c r="H969" s="76">
        <v>20199.0</v>
      </c>
      <c r="I969" s="35" t="s">
        <v>403</v>
      </c>
      <c r="M969" s="20">
        <f>IF($B969="","",COUNTIFS('Blocker log'!$A:$A,$B969,'Blocker log'!$G:$G,"&lt;&gt;"))</f>
        <v>0</v>
      </c>
      <c r="N969" s="20">
        <f>IF($B969="","",COUNTIFS('Blocker log'!$A:$A,$B969,'Blocker log'!$G:$G,"Hard blocker"))</f>
        <v>0</v>
      </c>
      <c r="O969" s="20">
        <f>IF($B969="","",COUNTIFS('Blocker log'!$A:$A,$B969,'Blocker log'!$G:$G,"Hard blocker",'Blocker log'!$L:$L,9))</f>
        <v>0</v>
      </c>
      <c r="P969" s="20">
        <f>IF($B969="","",MAXIFS('Blocker log'!$L:$L,'Blocker log'!$A:$A,$B969,'Blocker log'!$G:$G,"Hard blocker"))</f>
        <v>0</v>
      </c>
      <c r="Q969" s="20" t="str">
        <f>IF($B969="","",IF($K969&lt;&gt;"Complete","Assessment pending",IF($N969=0,"Ready now",VLOOKUP($P969,Lists!$D$2:$E$5,2,FALSE))))</f>
        <v>Assessment pending</v>
      </c>
    </row>
    <row r="970" ht="15.75" customHeight="1">
      <c r="A970" s="35" t="s">
        <v>2561</v>
      </c>
      <c r="B970" s="35" t="s">
        <v>2562</v>
      </c>
      <c r="C970" s="35" t="s">
        <v>76</v>
      </c>
      <c r="D970" s="35" t="s">
        <v>58</v>
      </c>
      <c r="E970" s="35" t="s">
        <v>181</v>
      </c>
      <c r="F970" s="35" t="s">
        <v>217</v>
      </c>
      <c r="G970" s="35" t="s">
        <v>999</v>
      </c>
      <c r="H970" s="76">
        <v>20160.0</v>
      </c>
      <c r="I970" s="35"/>
      <c r="M970" s="20">
        <f>IF($B970="","",COUNTIFS('Blocker log'!$A:$A,$B970,'Blocker log'!$G:$G,"&lt;&gt;"))</f>
        <v>0</v>
      </c>
      <c r="N970" s="20">
        <f>IF($B970="","",COUNTIFS('Blocker log'!$A:$A,$B970,'Blocker log'!$G:$G,"Hard blocker"))</f>
        <v>0</v>
      </c>
      <c r="O970" s="20">
        <f>IF($B970="","",COUNTIFS('Blocker log'!$A:$A,$B970,'Blocker log'!$G:$G,"Hard blocker",'Blocker log'!$L:$L,9))</f>
        <v>0</v>
      </c>
      <c r="P970" s="20">
        <f>IF($B970="","",MAXIFS('Blocker log'!$L:$L,'Blocker log'!$A:$A,$B970,'Blocker log'!$G:$G,"Hard blocker"))</f>
        <v>0</v>
      </c>
      <c r="Q970" s="20" t="str">
        <f>IF($B970="","",IF($K970&lt;&gt;"Complete","Assessment pending",IF($N970=0,"Ready now",VLOOKUP($P970,Lists!$D$2:$E$5,2,FALSE))))</f>
        <v>Assessment pending</v>
      </c>
    </row>
    <row r="971" ht="15.75" customHeight="1">
      <c r="A971" s="35" t="s">
        <v>2563</v>
      </c>
      <c r="B971" s="35" t="s">
        <v>2564</v>
      </c>
      <c r="C971" s="35" t="s">
        <v>1286</v>
      </c>
      <c r="D971" s="35" t="s">
        <v>260</v>
      </c>
      <c r="E971" s="35" t="s">
        <v>506</v>
      </c>
      <c r="F971" s="35" t="s">
        <v>798</v>
      </c>
      <c r="G971" s="35" t="s">
        <v>1161</v>
      </c>
      <c r="H971" s="76">
        <v>20126.0</v>
      </c>
      <c r="I971" s="35" t="s">
        <v>417</v>
      </c>
      <c r="M971" s="20">
        <f>IF($B971="","",COUNTIFS('Blocker log'!$A:$A,$B971,'Blocker log'!$G:$G,"&lt;&gt;"))</f>
        <v>0</v>
      </c>
      <c r="N971" s="20">
        <f>IF($B971="","",COUNTIFS('Blocker log'!$A:$A,$B971,'Blocker log'!$G:$G,"Hard blocker"))</f>
        <v>0</v>
      </c>
      <c r="O971" s="20">
        <f>IF($B971="","",COUNTIFS('Blocker log'!$A:$A,$B971,'Blocker log'!$G:$G,"Hard blocker",'Blocker log'!$L:$L,9))</f>
        <v>0</v>
      </c>
      <c r="P971" s="20">
        <f>IF($B971="","",MAXIFS('Blocker log'!$L:$L,'Blocker log'!$A:$A,$B971,'Blocker log'!$G:$G,"Hard blocker"))</f>
        <v>0</v>
      </c>
      <c r="Q971" s="20" t="str">
        <f>IF($B971="","",IF($K971&lt;&gt;"Complete","Assessment pending",IF($N971=0,"Ready now",VLOOKUP($P971,Lists!$D$2:$E$5,2,FALSE))))</f>
        <v>Assessment pending</v>
      </c>
    </row>
    <row r="972" ht="15.75" customHeight="1">
      <c r="A972" s="35" t="s">
        <v>2565</v>
      </c>
      <c r="B972" s="35" t="s">
        <v>2566</v>
      </c>
      <c r="C972" s="35" t="s">
        <v>1286</v>
      </c>
      <c r="D972" s="35" t="s">
        <v>171</v>
      </c>
      <c r="E972" s="35" t="s">
        <v>587</v>
      </c>
      <c r="F972" s="35" t="s">
        <v>1643</v>
      </c>
      <c r="G972" s="35" t="s">
        <v>1161</v>
      </c>
      <c r="H972" s="76">
        <v>20003.0</v>
      </c>
      <c r="I972" s="35"/>
      <c r="M972" s="20">
        <f>IF($B972="","",COUNTIFS('Blocker log'!$A:$A,$B972,'Blocker log'!$G:$G,"&lt;&gt;"))</f>
        <v>0</v>
      </c>
      <c r="N972" s="20">
        <f>IF($B972="","",COUNTIFS('Blocker log'!$A:$A,$B972,'Blocker log'!$G:$G,"Hard blocker"))</f>
        <v>0</v>
      </c>
      <c r="O972" s="20">
        <f>IF($B972="","",COUNTIFS('Blocker log'!$A:$A,$B972,'Blocker log'!$G:$G,"Hard blocker",'Blocker log'!$L:$L,9))</f>
        <v>0</v>
      </c>
      <c r="P972" s="20">
        <f>IF($B972="","",MAXIFS('Blocker log'!$L:$L,'Blocker log'!$A:$A,$B972,'Blocker log'!$G:$G,"Hard blocker"))</f>
        <v>0</v>
      </c>
      <c r="Q972" s="20" t="str">
        <f>IF($B972="","",IF($K972&lt;&gt;"Complete","Assessment pending",IF($N972=0,"Ready now",VLOOKUP($P972,Lists!$D$2:$E$5,2,FALSE))))</f>
        <v>Assessment pending</v>
      </c>
    </row>
    <row r="973" ht="15.75" customHeight="1">
      <c r="A973" s="35" t="s">
        <v>2567</v>
      </c>
      <c r="B973" s="35" t="s">
        <v>2568</v>
      </c>
      <c r="C973" s="35" t="s">
        <v>1286</v>
      </c>
      <c r="D973" s="35" t="s">
        <v>58</v>
      </c>
      <c r="E973" s="35" t="s">
        <v>181</v>
      </c>
      <c r="F973" s="35" t="s">
        <v>217</v>
      </c>
      <c r="G973" s="35" t="s">
        <v>1161</v>
      </c>
      <c r="H973" s="76">
        <v>20002.0</v>
      </c>
      <c r="I973" s="35"/>
      <c r="M973" s="20">
        <f>IF($B973="","",COUNTIFS('Blocker log'!$A:$A,$B973,'Blocker log'!$G:$G,"&lt;&gt;"))</f>
        <v>0</v>
      </c>
      <c r="N973" s="20">
        <f>IF($B973="","",COUNTIFS('Blocker log'!$A:$A,$B973,'Blocker log'!$G:$G,"Hard blocker"))</f>
        <v>0</v>
      </c>
      <c r="O973" s="20">
        <f>IF($B973="","",COUNTIFS('Blocker log'!$A:$A,$B973,'Blocker log'!$G:$G,"Hard blocker",'Blocker log'!$L:$L,9))</f>
        <v>0</v>
      </c>
      <c r="P973" s="20">
        <f>IF($B973="","",MAXIFS('Blocker log'!$L:$L,'Blocker log'!$A:$A,$B973,'Blocker log'!$G:$G,"Hard blocker"))</f>
        <v>0</v>
      </c>
      <c r="Q973" s="20" t="str">
        <f>IF($B973="","",IF($K973&lt;&gt;"Complete","Assessment pending",IF($N973=0,"Ready now",VLOOKUP($P973,Lists!$D$2:$E$5,2,FALSE))))</f>
        <v>Assessment pending</v>
      </c>
    </row>
    <row r="974" ht="15.75" customHeight="1">
      <c r="A974" s="35" t="s">
        <v>2569</v>
      </c>
      <c r="B974" s="35" t="s">
        <v>2570</v>
      </c>
      <c r="C974" s="35" t="s">
        <v>1286</v>
      </c>
      <c r="D974" s="35" t="s">
        <v>260</v>
      </c>
      <c r="E974" s="35" t="s">
        <v>576</v>
      </c>
      <c r="F974" s="35" t="s">
        <v>1228</v>
      </c>
      <c r="G974" s="35" t="s">
        <v>1161</v>
      </c>
      <c r="H974" s="76">
        <v>19872.0</v>
      </c>
      <c r="I974" s="35" t="s">
        <v>403</v>
      </c>
      <c r="M974" s="20">
        <f>IF($B974="","",COUNTIFS('Blocker log'!$A:$A,$B974,'Blocker log'!$G:$G,"&lt;&gt;"))</f>
        <v>0</v>
      </c>
      <c r="N974" s="20">
        <f>IF($B974="","",COUNTIFS('Blocker log'!$A:$A,$B974,'Blocker log'!$G:$G,"Hard blocker"))</f>
        <v>0</v>
      </c>
      <c r="O974" s="20">
        <f>IF($B974="","",COUNTIFS('Blocker log'!$A:$A,$B974,'Blocker log'!$G:$G,"Hard blocker",'Blocker log'!$L:$L,9))</f>
        <v>0</v>
      </c>
      <c r="P974" s="20">
        <f>IF($B974="","",MAXIFS('Blocker log'!$L:$L,'Blocker log'!$A:$A,$B974,'Blocker log'!$G:$G,"Hard blocker"))</f>
        <v>0</v>
      </c>
      <c r="Q974" s="20" t="str">
        <f>IF($B974="","",IF($K974&lt;&gt;"Complete","Assessment pending",IF($N974=0,"Ready now",VLOOKUP($P974,Lists!$D$2:$E$5,2,FALSE))))</f>
        <v>Assessment pending</v>
      </c>
    </row>
    <row r="975" ht="15.75" customHeight="1">
      <c r="A975" s="35" t="s">
        <v>2571</v>
      </c>
      <c r="B975" s="35" t="s">
        <v>2572</v>
      </c>
      <c r="C975" s="35" t="s">
        <v>1286</v>
      </c>
      <c r="D975" s="35" t="s">
        <v>301</v>
      </c>
      <c r="E975" s="35" t="s">
        <v>484</v>
      </c>
      <c r="F975" s="35" t="s">
        <v>484</v>
      </c>
      <c r="G975" s="35" t="s">
        <v>1161</v>
      </c>
      <c r="H975" s="76">
        <v>19800.0</v>
      </c>
      <c r="I975" s="35"/>
      <c r="M975" s="20">
        <f>IF($B975="","",COUNTIFS('Blocker log'!$A:$A,$B975,'Blocker log'!$G:$G,"&lt;&gt;"))</f>
        <v>0</v>
      </c>
      <c r="N975" s="20">
        <f>IF($B975="","",COUNTIFS('Blocker log'!$A:$A,$B975,'Blocker log'!$G:$G,"Hard blocker"))</f>
        <v>0</v>
      </c>
      <c r="O975" s="20">
        <f>IF($B975="","",COUNTIFS('Blocker log'!$A:$A,$B975,'Blocker log'!$G:$G,"Hard blocker",'Blocker log'!$L:$L,9))</f>
        <v>0</v>
      </c>
      <c r="P975" s="20">
        <f>IF($B975="","",MAXIFS('Blocker log'!$L:$L,'Blocker log'!$A:$A,$B975,'Blocker log'!$G:$G,"Hard blocker"))</f>
        <v>0</v>
      </c>
      <c r="Q975" s="20" t="str">
        <f>IF($B975="","",IF($K975&lt;&gt;"Complete","Assessment pending",IF($N975=0,"Ready now",VLOOKUP($P975,Lists!$D$2:$E$5,2,FALSE))))</f>
        <v>Assessment pending</v>
      </c>
    </row>
    <row r="976" ht="15.75" customHeight="1">
      <c r="A976" s="35" t="s">
        <v>2573</v>
      </c>
      <c r="B976" s="35" t="s">
        <v>2574</v>
      </c>
      <c r="C976" s="35" t="s">
        <v>1286</v>
      </c>
      <c r="D976" s="35" t="s">
        <v>58</v>
      </c>
      <c r="E976" s="35" t="s">
        <v>140</v>
      </c>
      <c r="F976" s="35" t="s">
        <v>246</v>
      </c>
      <c r="G976" s="35" t="s">
        <v>1161</v>
      </c>
      <c r="H976" s="76">
        <v>19723.0</v>
      </c>
      <c r="I976" s="35" t="s">
        <v>451</v>
      </c>
      <c r="M976" s="20">
        <f>IF($B976="","",COUNTIFS('Blocker log'!$A:$A,$B976,'Blocker log'!$G:$G,"&lt;&gt;"))</f>
        <v>0</v>
      </c>
      <c r="N976" s="20">
        <f>IF($B976="","",COUNTIFS('Blocker log'!$A:$A,$B976,'Blocker log'!$G:$G,"Hard blocker"))</f>
        <v>0</v>
      </c>
      <c r="O976" s="20">
        <f>IF($B976="","",COUNTIFS('Blocker log'!$A:$A,$B976,'Blocker log'!$G:$G,"Hard blocker",'Blocker log'!$L:$L,9))</f>
        <v>0</v>
      </c>
      <c r="P976" s="20">
        <f>IF($B976="","",MAXIFS('Blocker log'!$L:$L,'Blocker log'!$A:$A,$B976,'Blocker log'!$G:$G,"Hard blocker"))</f>
        <v>0</v>
      </c>
      <c r="Q976" s="20" t="str">
        <f>IF($B976="","",IF($K976&lt;&gt;"Complete","Assessment pending",IF($N976=0,"Ready now",VLOOKUP($P976,Lists!$D$2:$E$5,2,FALSE))))</f>
        <v>Assessment pending</v>
      </c>
    </row>
    <row r="977" ht="15.75" customHeight="1">
      <c r="A977" s="35" t="s">
        <v>2575</v>
      </c>
      <c r="B977" s="35" t="s">
        <v>2576</v>
      </c>
      <c r="C977" s="35" t="s">
        <v>1286</v>
      </c>
      <c r="D977" s="35" t="s">
        <v>260</v>
      </c>
      <c r="E977" s="35" t="s">
        <v>576</v>
      </c>
      <c r="F977" s="35" t="s">
        <v>1965</v>
      </c>
      <c r="G977" s="35" t="s">
        <v>1161</v>
      </c>
      <c r="H977" s="76">
        <v>19706.0</v>
      </c>
      <c r="I977" s="35"/>
      <c r="M977" s="20">
        <f>IF($B977="","",COUNTIFS('Blocker log'!$A:$A,$B977,'Blocker log'!$G:$G,"&lt;&gt;"))</f>
        <v>0</v>
      </c>
      <c r="N977" s="20">
        <f>IF($B977="","",COUNTIFS('Blocker log'!$A:$A,$B977,'Blocker log'!$G:$G,"Hard blocker"))</f>
        <v>0</v>
      </c>
      <c r="O977" s="20">
        <f>IF($B977="","",COUNTIFS('Blocker log'!$A:$A,$B977,'Blocker log'!$G:$G,"Hard blocker",'Blocker log'!$L:$L,9))</f>
        <v>0</v>
      </c>
      <c r="P977" s="20">
        <f>IF($B977="","",MAXIFS('Blocker log'!$L:$L,'Blocker log'!$A:$A,$B977,'Blocker log'!$G:$G,"Hard blocker"))</f>
        <v>0</v>
      </c>
      <c r="Q977" s="20" t="str">
        <f>IF($B977="","",IF($K977&lt;&gt;"Complete","Assessment pending",IF($N977=0,"Ready now",VLOOKUP($P977,Lists!$D$2:$E$5,2,FALSE))))</f>
        <v>Assessment pending</v>
      </c>
    </row>
    <row r="978" ht="15.75" customHeight="1">
      <c r="A978" s="35" t="s">
        <v>2577</v>
      </c>
      <c r="B978" s="35" t="s">
        <v>2578</v>
      </c>
      <c r="C978" s="35" t="s">
        <v>1286</v>
      </c>
      <c r="D978" s="35" t="s">
        <v>58</v>
      </c>
      <c r="E978" s="35" t="s">
        <v>140</v>
      </c>
      <c r="F978" s="35" t="s">
        <v>663</v>
      </c>
      <c r="G978" s="35" t="s">
        <v>1161</v>
      </c>
      <c r="H978" s="76">
        <v>19683.0</v>
      </c>
      <c r="I978" s="35"/>
      <c r="M978" s="20">
        <f>IF($B978="","",COUNTIFS('Blocker log'!$A:$A,$B978,'Blocker log'!$G:$G,"&lt;&gt;"))</f>
        <v>0</v>
      </c>
      <c r="N978" s="20">
        <f>IF($B978="","",COUNTIFS('Blocker log'!$A:$A,$B978,'Blocker log'!$G:$G,"Hard blocker"))</f>
        <v>0</v>
      </c>
      <c r="O978" s="20">
        <f>IF($B978="","",COUNTIFS('Blocker log'!$A:$A,$B978,'Blocker log'!$G:$G,"Hard blocker",'Blocker log'!$L:$L,9))</f>
        <v>0</v>
      </c>
      <c r="P978" s="20">
        <f>IF($B978="","",MAXIFS('Blocker log'!$L:$L,'Blocker log'!$A:$A,$B978,'Blocker log'!$G:$G,"Hard blocker"))</f>
        <v>0</v>
      </c>
      <c r="Q978" s="20" t="str">
        <f>IF($B978="","",IF($K978&lt;&gt;"Complete","Assessment pending",IF($N978=0,"Ready now",VLOOKUP($P978,Lists!$D$2:$E$5,2,FALSE))))</f>
        <v>Assessment pending</v>
      </c>
    </row>
    <row r="979" ht="15.75" customHeight="1">
      <c r="A979" s="35" t="s">
        <v>2579</v>
      </c>
      <c r="B979" s="35" t="s">
        <v>2580</v>
      </c>
      <c r="C979" s="35" t="s">
        <v>1286</v>
      </c>
      <c r="D979" s="35" t="s">
        <v>260</v>
      </c>
      <c r="E979" s="35" t="s">
        <v>1096</v>
      </c>
      <c r="F979" s="35" t="s">
        <v>1097</v>
      </c>
      <c r="G979" s="35" t="s">
        <v>1161</v>
      </c>
      <c r="H979" s="76">
        <v>19635.0</v>
      </c>
      <c r="I979" s="35" t="s">
        <v>416</v>
      </c>
      <c r="M979" s="20">
        <f>IF($B979="","",COUNTIFS('Blocker log'!$A:$A,$B979,'Blocker log'!$G:$G,"&lt;&gt;"))</f>
        <v>0</v>
      </c>
      <c r="N979" s="20">
        <f>IF($B979="","",COUNTIFS('Blocker log'!$A:$A,$B979,'Blocker log'!$G:$G,"Hard blocker"))</f>
        <v>0</v>
      </c>
      <c r="O979" s="20">
        <f>IF($B979="","",COUNTIFS('Blocker log'!$A:$A,$B979,'Blocker log'!$G:$G,"Hard blocker",'Blocker log'!$L:$L,9))</f>
        <v>0</v>
      </c>
      <c r="P979" s="20">
        <f>IF($B979="","",MAXIFS('Blocker log'!$L:$L,'Blocker log'!$A:$A,$B979,'Blocker log'!$G:$G,"Hard blocker"))</f>
        <v>0</v>
      </c>
      <c r="Q979" s="20" t="str">
        <f>IF($B979="","",IF($K979&lt;&gt;"Complete","Assessment pending",IF($N979=0,"Ready now",VLOOKUP($P979,Lists!$D$2:$E$5,2,FALSE))))</f>
        <v>Assessment pending</v>
      </c>
    </row>
    <row r="980" ht="15.75" customHeight="1">
      <c r="A980" s="35" t="s">
        <v>2581</v>
      </c>
      <c r="B980" s="35" t="s">
        <v>2582</v>
      </c>
      <c r="C980" s="35" t="s">
        <v>1286</v>
      </c>
      <c r="D980" s="35" t="s">
        <v>58</v>
      </c>
      <c r="E980" s="35" t="s">
        <v>140</v>
      </c>
      <c r="F980" s="35" t="s">
        <v>156</v>
      </c>
      <c r="G980" s="35" t="s">
        <v>1161</v>
      </c>
      <c r="H980" s="76">
        <v>19602.0</v>
      </c>
      <c r="I980" s="35"/>
      <c r="M980" s="20">
        <f>IF($B980="","",COUNTIFS('Blocker log'!$A:$A,$B980,'Blocker log'!$G:$G,"&lt;&gt;"))</f>
        <v>0</v>
      </c>
      <c r="N980" s="20">
        <f>IF($B980="","",COUNTIFS('Blocker log'!$A:$A,$B980,'Blocker log'!$G:$G,"Hard blocker"))</f>
        <v>0</v>
      </c>
      <c r="O980" s="20">
        <f>IF($B980="","",COUNTIFS('Blocker log'!$A:$A,$B980,'Blocker log'!$G:$G,"Hard blocker",'Blocker log'!$L:$L,9))</f>
        <v>0</v>
      </c>
      <c r="P980" s="20">
        <f>IF($B980="","",MAXIFS('Blocker log'!$L:$L,'Blocker log'!$A:$A,$B980,'Blocker log'!$G:$G,"Hard blocker"))</f>
        <v>0</v>
      </c>
      <c r="Q980" s="20" t="str">
        <f>IF($B980="","",IF($K980&lt;&gt;"Complete","Assessment pending",IF($N980=0,"Ready now",VLOOKUP($P980,Lists!$D$2:$E$5,2,FALSE))))</f>
        <v>Assessment pending</v>
      </c>
    </row>
    <row r="981" ht="15.75" customHeight="1">
      <c r="A981" s="35" t="s">
        <v>2583</v>
      </c>
      <c r="B981" s="35" t="s">
        <v>2584</v>
      </c>
      <c r="C981" s="35" t="s">
        <v>1286</v>
      </c>
      <c r="D981" s="35" t="s">
        <v>260</v>
      </c>
      <c r="E981" s="35" t="s">
        <v>1096</v>
      </c>
      <c r="F981" s="35" t="s">
        <v>1097</v>
      </c>
      <c r="G981" s="35" t="s">
        <v>1161</v>
      </c>
      <c r="H981" s="76">
        <v>19512.0</v>
      </c>
      <c r="I981" s="35" t="s">
        <v>416</v>
      </c>
      <c r="M981" s="20">
        <f>IF($B981="","",COUNTIFS('Blocker log'!$A:$A,$B981,'Blocker log'!$G:$G,"&lt;&gt;"))</f>
        <v>0</v>
      </c>
      <c r="N981" s="20">
        <f>IF($B981="","",COUNTIFS('Blocker log'!$A:$A,$B981,'Blocker log'!$G:$G,"Hard blocker"))</f>
        <v>0</v>
      </c>
      <c r="O981" s="20">
        <f>IF($B981="","",COUNTIFS('Blocker log'!$A:$A,$B981,'Blocker log'!$G:$G,"Hard blocker",'Blocker log'!$L:$L,9))</f>
        <v>0</v>
      </c>
      <c r="P981" s="20">
        <f>IF($B981="","",MAXIFS('Blocker log'!$L:$L,'Blocker log'!$A:$A,$B981,'Blocker log'!$G:$G,"Hard blocker"))</f>
        <v>0</v>
      </c>
      <c r="Q981" s="20" t="str">
        <f>IF($B981="","",IF($K981&lt;&gt;"Complete","Assessment pending",IF($N981=0,"Ready now",VLOOKUP($P981,Lists!$D$2:$E$5,2,FALSE))))</f>
        <v>Assessment pending</v>
      </c>
    </row>
    <row r="982" ht="15.75" customHeight="1">
      <c r="A982" s="35" t="s">
        <v>2585</v>
      </c>
      <c r="B982" s="35" t="s">
        <v>2586</v>
      </c>
      <c r="C982" s="35" t="s">
        <v>1286</v>
      </c>
      <c r="D982" s="35" t="s">
        <v>171</v>
      </c>
      <c r="E982" s="35" t="s">
        <v>773</v>
      </c>
      <c r="F982" s="35" t="s">
        <v>774</v>
      </c>
      <c r="G982" s="35" t="s">
        <v>1161</v>
      </c>
      <c r="H982" s="76">
        <v>19442.0</v>
      </c>
      <c r="I982" s="35" t="s">
        <v>431</v>
      </c>
      <c r="M982" s="20">
        <f>IF($B982="","",COUNTIFS('Blocker log'!$A:$A,$B982,'Blocker log'!$G:$G,"&lt;&gt;"))</f>
        <v>0</v>
      </c>
      <c r="N982" s="20">
        <f>IF($B982="","",COUNTIFS('Blocker log'!$A:$A,$B982,'Blocker log'!$G:$G,"Hard blocker"))</f>
        <v>0</v>
      </c>
      <c r="O982" s="20">
        <f>IF($B982="","",COUNTIFS('Blocker log'!$A:$A,$B982,'Blocker log'!$G:$G,"Hard blocker",'Blocker log'!$L:$L,9))</f>
        <v>0</v>
      </c>
      <c r="P982" s="20">
        <f>IF($B982="","",MAXIFS('Blocker log'!$L:$L,'Blocker log'!$A:$A,$B982,'Blocker log'!$G:$G,"Hard blocker"))</f>
        <v>0</v>
      </c>
      <c r="Q982" s="20" t="str">
        <f>IF($B982="","",IF($K982&lt;&gt;"Complete","Assessment pending",IF($N982=0,"Ready now",VLOOKUP($P982,Lists!$D$2:$E$5,2,FALSE))))</f>
        <v>Assessment pending</v>
      </c>
    </row>
    <row r="983" ht="15.75" customHeight="1">
      <c r="A983" s="35" t="s">
        <v>2587</v>
      </c>
      <c r="B983" s="35" t="s">
        <v>2588</v>
      </c>
      <c r="C983" s="35" t="s">
        <v>1286</v>
      </c>
      <c r="D983" s="35" t="s">
        <v>58</v>
      </c>
      <c r="E983" s="35" t="s">
        <v>181</v>
      </c>
      <c r="F983" s="35" t="s">
        <v>653</v>
      </c>
      <c r="G983" s="35" t="s">
        <v>1161</v>
      </c>
      <c r="H983" s="76">
        <v>19440.0</v>
      </c>
      <c r="I983" s="35" t="s">
        <v>448</v>
      </c>
      <c r="M983" s="20">
        <f>IF($B983="","",COUNTIFS('Blocker log'!$A:$A,$B983,'Blocker log'!$G:$G,"&lt;&gt;"))</f>
        <v>0</v>
      </c>
      <c r="N983" s="20">
        <f>IF($B983="","",COUNTIFS('Blocker log'!$A:$A,$B983,'Blocker log'!$G:$G,"Hard blocker"))</f>
        <v>0</v>
      </c>
      <c r="O983" s="20">
        <f>IF($B983="","",COUNTIFS('Blocker log'!$A:$A,$B983,'Blocker log'!$G:$G,"Hard blocker",'Blocker log'!$L:$L,9))</f>
        <v>0</v>
      </c>
      <c r="P983" s="20">
        <f>IF($B983="","",MAXIFS('Blocker log'!$L:$L,'Blocker log'!$A:$A,$B983,'Blocker log'!$G:$G,"Hard blocker"))</f>
        <v>0</v>
      </c>
      <c r="Q983" s="20" t="str">
        <f>IF($B983="","",IF($K983&lt;&gt;"Complete","Assessment pending",IF($N983=0,"Ready now",VLOOKUP($P983,Lists!$D$2:$E$5,2,FALSE))))</f>
        <v>Assessment pending</v>
      </c>
    </row>
    <row r="984" ht="15.75" customHeight="1">
      <c r="A984" s="35" t="s">
        <v>2589</v>
      </c>
      <c r="B984" s="35" t="s">
        <v>2590</v>
      </c>
      <c r="C984" s="35" t="s">
        <v>1286</v>
      </c>
      <c r="D984" s="35" t="s">
        <v>171</v>
      </c>
      <c r="E984" s="35" t="s">
        <v>542</v>
      </c>
      <c r="F984" s="35" t="s">
        <v>549</v>
      </c>
      <c r="G984" s="35" t="s">
        <v>1161</v>
      </c>
      <c r="H984" s="76">
        <v>19440.0</v>
      </c>
      <c r="I984" s="35"/>
      <c r="M984" s="20">
        <f>IF($B984="","",COUNTIFS('Blocker log'!$A:$A,$B984,'Blocker log'!$G:$G,"&lt;&gt;"))</f>
        <v>0</v>
      </c>
      <c r="N984" s="20">
        <f>IF($B984="","",COUNTIFS('Blocker log'!$A:$A,$B984,'Blocker log'!$G:$G,"Hard blocker"))</f>
        <v>0</v>
      </c>
      <c r="O984" s="20">
        <f>IF($B984="","",COUNTIFS('Blocker log'!$A:$A,$B984,'Blocker log'!$G:$G,"Hard blocker",'Blocker log'!$L:$L,9))</f>
        <v>0</v>
      </c>
      <c r="P984" s="20">
        <f>IF($B984="","",MAXIFS('Blocker log'!$L:$L,'Blocker log'!$A:$A,$B984,'Blocker log'!$G:$G,"Hard blocker"))</f>
        <v>0</v>
      </c>
      <c r="Q984" s="20" t="str">
        <f>IF($B984="","",IF($K984&lt;&gt;"Complete","Assessment pending",IF($N984=0,"Ready now",VLOOKUP($P984,Lists!$D$2:$E$5,2,FALSE))))</f>
        <v>Assessment pending</v>
      </c>
    </row>
    <row r="985" ht="15.75" customHeight="1">
      <c r="A985" s="35" t="s">
        <v>2591</v>
      </c>
      <c r="B985" s="35" t="s">
        <v>2592</v>
      </c>
      <c r="C985" s="35" t="s">
        <v>1286</v>
      </c>
      <c r="D985" s="35" t="s">
        <v>58</v>
      </c>
      <c r="E985" s="35" t="s">
        <v>101</v>
      </c>
      <c r="F985" s="35" t="s">
        <v>116</v>
      </c>
      <c r="G985" s="35" t="s">
        <v>1161</v>
      </c>
      <c r="H985" s="76">
        <v>19360.0</v>
      </c>
      <c r="I985" s="35" t="s">
        <v>447</v>
      </c>
      <c r="M985" s="20">
        <f>IF($B985="","",COUNTIFS('Blocker log'!$A:$A,$B985,'Blocker log'!$G:$G,"&lt;&gt;"))</f>
        <v>0</v>
      </c>
      <c r="N985" s="20">
        <f>IF($B985="","",COUNTIFS('Blocker log'!$A:$A,$B985,'Blocker log'!$G:$G,"Hard blocker"))</f>
        <v>0</v>
      </c>
      <c r="O985" s="20">
        <f>IF($B985="","",COUNTIFS('Blocker log'!$A:$A,$B985,'Blocker log'!$G:$G,"Hard blocker",'Blocker log'!$L:$L,9))</f>
        <v>0</v>
      </c>
      <c r="P985" s="20">
        <f>IF($B985="","",MAXIFS('Blocker log'!$L:$L,'Blocker log'!$A:$A,$B985,'Blocker log'!$G:$G,"Hard blocker"))</f>
        <v>0</v>
      </c>
      <c r="Q985" s="20" t="str">
        <f>IF($B985="","",IF($K985&lt;&gt;"Complete","Assessment pending",IF($N985=0,"Ready now",VLOOKUP($P985,Lists!$D$2:$E$5,2,FALSE))))</f>
        <v>Assessment pending</v>
      </c>
    </row>
    <row r="986" ht="15.75" customHeight="1">
      <c r="A986" s="35" t="s">
        <v>2593</v>
      </c>
      <c r="B986" s="35" t="s">
        <v>2594</v>
      </c>
      <c r="C986" s="35" t="s">
        <v>1286</v>
      </c>
      <c r="D986" s="35" t="s">
        <v>260</v>
      </c>
      <c r="E986" s="35" t="s">
        <v>530</v>
      </c>
      <c r="F986" s="35" t="s">
        <v>531</v>
      </c>
      <c r="G986" s="35" t="s">
        <v>1161</v>
      </c>
      <c r="H986" s="76">
        <v>19320.0</v>
      </c>
      <c r="I986" s="35"/>
      <c r="M986" s="20">
        <f>IF($B986="","",COUNTIFS('Blocker log'!$A:$A,$B986,'Blocker log'!$G:$G,"&lt;&gt;"))</f>
        <v>0</v>
      </c>
      <c r="N986" s="20">
        <f>IF($B986="","",COUNTIFS('Blocker log'!$A:$A,$B986,'Blocker log'!$G:$G,"Hard blocker"))</f>
        <v>0</v>
      </c>
      <c r="O986" s="20">
        <f>IF($B986="","",COUNTIFS('Blocker log'!$A:$A,$B986,'Blocker log'!$G:$G,"Hard blocker",'Blocker log'!$L:$L,9))</f>
        <v>0</v>
      </c>
      <c r="P986" s="20">
        <f>IF($B986="","",MAXIFS('Blocker log'!$L:$L,'Blocker log'!$A:$A,$B986,'Blocker log'!$G:$G,"Hard blocker"))</f>
        <v>0</v>
      </c>
      <c r="Q986" s="20" t="str">
        <f>IF($B986="","",IF($K986&lt;&gt;"Complete","Assessment pending",IF($N986=0,"Ready now",VLOOKUP($P986,Lists!$D$2:$E$5,2,FALSE))))</f>
        <v>Assessment pending</v>
      </c>
    </row>
    <row r="987" ht="15.75" customHeight="1">
      <c r="A987" s="35" t="s">
        <v>2595</v>
      </c>
      <c r="B987" s="35" t="s">
        <v>2596</v>
      </c>
      <c r="C987" s="35" t="s">
        <v>76</v>
      </c>
      <c r="D987" s="35" t="s">
        <v>58</v>
      </c>
      <c r="E987" s="35" t="s">
        <v>59</v>
      </c>
      <c r="F987" s="35" t="s">
        <v>278</v>
      </c>
      <c r="G987" s="35" t="s">
        <v>1006</v>
      </c>
      <c r="H987" s="76">
        <v>19260.0</v>
      </c>
      <c r="I987" s="35"/>
      <c r="M987" s="20">
        <f>IF($B987="","",COUNTIFS('Blocker log'!$A:$A,$B987,'Blocker log'!$G:$G,"&lt;&gt;"))</f>
        <v>0</v>
      </c>
      <c r="N987" s="20">
        <f>IF($B987="","",COUNTIFS('Blocker log'!$A:$A,$B987,'Blocker log'!$G:$G,"Hard blocker"))</f>
        <v>0</v>
      </c>
      <c r="O987" s="20">
        <f>IF($B987="","",COUNTIFS('Blocker log'!$A:$A,$B987,'Blocker log'!$G:$G,"Hard blocker",'Blocker log'!$L:$L,9))</f>
        <v>0</v>
      </c>
      <c r="P987" s="20">
        <f>IF($B987="","",MAXIFS('Blocker log'!$L:$L,'Blocker log'!$A:$A,$B987,'Blocker log'!$G:$G,"Hard blocker"))</f>
        <v>0</v>
      </c>
      <c r="Q987" s="20" t="str">
        <f>IF($B987="","",IF($K987&lt;&gt;"Complete","Assessment pending",IF($N987=0,"Ready now",VLOOKUP($P987,Lists!$D$2:$E$5,2,FALSE))))</f>
        <v>Assessment pending</v>
      </c>
    </row>
    <row r="988" ht="15.75" customHeight="1">
      <c r="A988" s="35" t="s">
        <v>2597</v>
      </c>
      <c r="B988" s="35" t="s">
        <v>2598</v>
      </c>
      <c r="C988" s="35" t="s">
        <v>76</v>
      </c>
      <c r="D988" s="35" t="s">
        <v>301</v>
      </c>
      <c r="E988" s="35" t="s">
        <v>490</v>
      </c>
      <c r="F988" s="35" t="s">
        <v>490</v>
      </c>
      <c r="G988" s="35" t="s">
        <v>980</v>
      </c>
      <c r="H988" s="76">
        <v>19200.0</v>
      </c>
      <c r="I988" s="35"/>
      <c r="M988" s="20">
        <f>IF($B988="","",COUNTIFS('Blocker log'!$A:$A,$B988,'Blocker log'!$G:$G,"&lt;&gt;"))</f>
        <v>0</v>
      </c>
      <c r="N988" s="20">
        <f>IF($B988="","",COUNTIFS('Blocker log'!$A:$A,$B988,'Blocker log'!$G:$G,"Hard blocker"))</f>
        <v>0</v>
      </c>
      <c r="O988" s="20">
        <f>IF($B988="","",COUNTIFS('Blocker log'!$A:$A,$B988,'Blocker log'!$G:$G,"Hard blocker",'Blocker log'!$L:$L,9))</f>
        <v>0</v>
      </c>
      <c r="P988" s="20">
        <f>IF($B988="","",MAXIFS('Blocker log'!$L:$L,'Blocker log'!$A:$A,$B988,'Blocker log'!$G:$G,"Hard blocker"))</f>
        <v>0</v>
      </c>
      <c r="Q988" s="20" t="str">
        <f>IF($B988="","",IF($K988&lt;&gt;"Complete","Assessment pending",IF($N988=0,"Ready now",VLOOKUP($P988,Lists!$D$2:$E$5,2,FALSE))))</f>
        <v>Assessment pending</v>
      </c>
    </row>
    <row r="989" ht="15.75" customHeight="1">
      <c r="A989" s="35" t="s">
        <v>2599</v>
      </c>
      <c r="B989" s="35" t="s">
        <v>2600</v>
      </c>
      <c r="C989" s="35" t="s">
        <v>1286</v>
      </c>
      <c r="D989" s="35" t="s">
        <v>58</v>
      </c>
      <c r="E989" s="35" t="s">
        <v>101</v>
      </c>
      <c r="F989" s="35" t="s">
        <v>554</v>
      </c>
      <c r="G989" s="35" t="s">
        <v>1161</v>
      </c>
      <c r="H989" s="76">
        <v>19192.0</v>
      </c>
      <c r="I989" s="35" t="s">
        <v>445</v>
      </c>
      <c r="M989" s="20">
        <f>IF($B989="","",COUNTIFS('Blocker log'!$A:$A,$B989,'Blocker log'!$G:$G,"&lt;&gt;"))</f>
        <v>0</v>
      </c>
      <c r="N989" s="20">
        <f>IF($B989="","",COUNTIFS('Blocker log'!$A:$A,$B989,'Blocker log'!$G:$G,"Hard blocker"))</f>
        <v>0</v>
      </c>
      <c r="O989" s="20">
        <f>IF($B989="","",COUNTIFS('Blocker log'!$A:$A,$B989,'Blocker log'!$G:$G,"Hard blocker",'Blocker log'!$L:$L,9))</f>
        <v>0</v>
      </c>
      <c r="P989" s="20">
        <f>IF($B989="","",MAXIFS('Blocker log'!$L:$L,'Blocker log'!$A:$A,$B989,'Blocker log'!$G:$G,"Hard blocker"))</f>
        <v>0</v>
      </c>
      <c r="Q989" s="20" t="str">
        <f>IF($B989="","",IF($K989&lt;&gt;"Complete","Assessment pending",IF($N989=0,"Ready now",VLOOKUP($P989,Lists!$D$2:$E$5,2,FALSE))))</f>
        <v>Assessment pending</v>
      </c>
    </row>
    <row r="990" ht="15.75" customHeight="1">
      <c r="A990" s="35" t="s">
        <v>2601</v>
      </c>
      <c r="B990" s="35" t="s">
        <v>2602</v>
      </c>
      <c r="C990" s="35" t="s">
        <v>1286</v>
      </c>
      <c r="D990" s="35" t="s">
        <v>260</v>
      </c>
      <c r="E990" s="35" t="s">
        <v>506</v>
      </c>
      <c r="F990" s="35" t="s">
        <v>685</v>
      </c>
      <c r="G990" s="35" t="s">
        <v>1161</v>
      </c>
      <c r="H990" s="76">
        <v>19170.0</v>
      </c>
      <c r="I990" s="35" t="s">
        <v>417</v>
      </c>
      <c r="M990" s="20">
        <f>IF($B990="","",COUNTIFS('Blocker log'!$A:$A,$B990,'Blocker log'!$G:$G,"&lt;&gt;"))</f>
        <v>0</v>
      </c>
      <c r="N990" s="20">
        <f>IF($B990="","",COUNTIFS('Blocker log'!$A:$A,$B990,'Blocker log'!$G:$G,"Hard blocker"))</f>
        <v>0</v>
      </c>
      <c r="O990" s="20">
        <f>IF($B990="","",COUNTIFS('Blocker log'!$A:$A,$B990,'Blocker log'!$G:$G,"Hard blocker",'Blocker log'!$L:$L,9))</f>
        <v>0</v>
      </c>
      <c r="P990" s="20">
        <f>IF($B990="","",MAXIFS('Blocker log'!$L:$L,'Blocker log'!$A:$A,$B990,'Blocker log'!$G:$G,"Hard blocker"))</f>
        <v>0</v>
      </c>
      <c r="Q990" s="20" t="str">
        <f>IF($B990="","",IF($K990&lt;&gt;"Complete","Assessment pending",IF($N990=0,"Ready now",VLOOKUP($P990,Lists!$D$2:$E$5,2,FALSE))))</f>
        <v>Assessment pending</v>
      </c>
    </row>
    <row r="991" ht="15.75" customHeight="1">
      <c r="A991" s="35" t="s">
        <v>2603</v>
      </c>
      <c r="B991" s="35" t="s">
        <v>2604</v>
      </c>
      <c r="C991" s="35" t="s">
        <v>76</v>
      </c>
      <c r="D991" s="35" t="s">
        <v>171</v>
      </c>
      <c r="E991" s="35" t="s">
        <v>1584</v>
      </c>
      <c r="F991" s="35" t="s">
        <v>1585</v>
      </c>
      <c r="G991" s="35" t="s">
        <v>1006</v>
      </c>
      <c r="H991" s="76">
        <v>19040.0</v>
      </c>
      <c r="I991" s="35"/>
      <c r="M991" s="20">
        <f>IF($B991="","",COUNTIFS('Blocker log'!$A:$A,$B991,'Blocker log'!$G:$G,"&lt;&gt;"))</f>
        <v>0</v>
      </c>
      <c r="N991" s="20">
        <f>IF($B991="","",COUNTIFS('Blocker log'!$A:$A,$B991,'Blocker log'!$G:$G,"Hard blocker"))</f>
        <v>0</v>
      </c>
      <c r="O991" s="20">
        <f>IF($B991="","",COUNTIFS('Blocker log'!$A:$A,$B991,'Blocker log'!$G:$G,"Hard blocker",'Blocker log'!$L:$L,9))</f>
        <v>0</v>
      </c>
      <c r="P991" s="20">
        <f>IF($B991="","",MAXIFS('Blocker log'!$L:$L,'Blocker log'!$A:$A,$B991,'Blocker log'!$G:$G,"Hard blocker"))</f>
        <v>0</v>
      </c>
      <c r="Q991" s="20" t="str">
        <f>IF($B991="","",IF($K991&lt;&gt;"Complete","Assessment pending",IF($N991=0,"Ready now",VLOOKUP($P991,Lists!$D$2:$E$5,2,FALSE))))</f>
        <v>Assessment pending</v>
      </c>
    </row>
    <row r="992" ht="15.75" customHeight="1">
      <c r="A992" s="35" t="s">
        <v>2605</v>
      </c>
      <c r="B992" s="35" t="s">
        <v>2606</v>
      </c>
      <c r="C992" s="35" t="s">
        <v>1286</v>
      </c>
      <c r="D992" s="35" t="s">
        <v>58</v>
      </c>
      <c r="E992" s="35" t="s">
        <v>132</v>
      </c>
      <c r="F992" s="35" t="s">
        <v>2082</v>
      </c>
      <c r="G992" s="35" t="s">
        <v>1161</v>
      </c>
      <c r="H992" s="76">
        <v>19008.0</v>
      </c>
      <c r="I992" s="35" t="s">
        <v>448</v>
      </c>
      <c r="M992" s="20">
        <f>IF($B992="","",COUNTIFS('Blocker log'!$A:$A,$B992,'Blocker log'!$G:$G,"&lt;&gt;"))</f>
        <v>0</v>
      </c>
      <c r="N992" s="20">
        <f>IF($B992="","",COUNTIFS('Blocker log'!$A:$A,$B992,'Blocker log'!$G:$G,"Hard blocker"))</f>
        <v>0</v>
      </c>
      <c r="O992" s="20">
        <f>IF($B992="","",COUNTIFS('Blocker log'!$A:$A,$B992,'Blocker log'!$G:$G,"Hard blocker",'Blocker log'!$L:$L,9))</f>
        <v>0</v>
      </c>
      <c r="P992" s="20">
        <f>IF($B992="","",MAXIFS('Blocker log'!$L:$L,'Blocker log'!$A:$A,$B992,'Blocker log'!$G:$G,"Hard blocker"))</f>
        <v>0</v>
      </c>
      <c r="Q992" s="20" t="str">
        <f>IF($B992="","",IF($K992&lt;&gt;"Complete","Assessment pending",IF($N992=0,"Ready now",VLOOKUP($P992,Lists!$D$2:$E$5,2,FALSE))))</f>
        <v>Assessment pending</v>
      </c>
    </row>
    <row r="993" ht="15.75" customHeight="1">
      <c r="A993" s="35" t="s">
        <v>2607</v>
      </c>
      <c r="B993" s="35" t="s">
        <v>2608</v>
      </c>
      <c r="C993" s="35" t="s">
        <v>1286</v>
      </c>
      <c r="D993" s="35" t="s">
        <v>260</v>
      </c>
      <c r="E993" s="35" t="s">
        <v>576</v>
      </c>
      <c r="F993" s="35" t="s">
        <v>804</v>
      </c>
      <c r="G993" s="35" t="s">
        <v>1161</v>
      </c>
      <c r="H993" s="76">
        <v>19007.0</v>
      </c>
      <c r="I993" s="35" t="s">
        <v>403</v>
      </c>
      <c r="M993" s="20">
        <f>IF($B993="","",COUNTIFS('Blocker log'!$A:$A,$B993,'Blocker log'!$G:$G,"&lt;&gt;"))</f>
        <v>0</v>
      </c>
      <c r="N993" s="20">
        <f>IF($B993="","",COUNTIFS('Blocker log'!$A:$A,$B993,'Blocker log'!$G:$G,"Hard blocker"))</f>
        <v>0</v>
      </c>
      <c r="O993" s="20">
        <f>IF($B993="","",COUNTIFS('Blocker log'!$A:$A,$B993,'Blocker log'!$G:$G,"Hard blocker",'Blocker log'!$L:$L,9))</f>
        <v>0</v>
      </c>
      <c r="P993" s="20">
        <f>IF($B993="","",MAXIFS('Blocker log'!$L:$L,'Blocker log'!$A:$A,$B993,'Blocker log'!$G:$G,"Hard blocker"))</f>
        <v>0</v>
      </c>
      <c r="Q993" s="20" t="str">
        <f>IF($B993="","",IF($K993&lt;&gt;"Complete","Assessment pending",IF($N993=0,"Ready now",VLOOKUP($P993,Lists!$D$2:$E$5,2,FALSE))))</f>
        <v>Assessment pending</v>
      </c>
    </row>
    <row r="994" ht="15.75" customHeight="1">
      <c r="A994" s="35" t="s">
        <v>2609</v>
      </c>
      <c r="B994" s="35" t="s">
        <v>2610</v>
      </c>
      <c r="C994" s="35" t="s">
        <v>1286</v>
      </c>
      <c r="D994" s="35" t="s">
        <v>260</v>
      </c>
      <c r="E994" s="35" t="s">
        <v>576</v>
      </c>
      <c r="F994" s="35" t="s">
        <v>1965</v>
      </c>
      <c r="G994" s="35" t="s">
        <v>1161</v>
      </c>
      <c r="H994" s="76">
        <v>18995.0</v>
      </c>
      <c r="I994" s="35" t="s">
        <v>403</v>
      </c>
      <c r="M994" s="20">
        <f>IF($B994="","",COUNTIFS('Blocker log'!$A:$A,$B994,'Blocker log'!$G:$G,"&lt;&gt;"))</f>
        <v>0</v>
      </c>
      <c r="N994" s="20">
        <f>IF($B994="","",COUNTIFS('Blocker log'!$A:$A,$B994,'Blocker log'!$G:$G,"Hard blocker"))</f>
        <v>0</v>
      </c>
      <c r="O994" s="20">
        <f>IF($B994="","",COUNTIFS('Blocker log'!$A:$A,$B994,'Blocker log'!$G:$G,"Hard blocker",'Blocker log'!$L:$L,9))</f>
        <v>0</v>
      </c>
      <c r="P994" s="20">
        <f>IF($B994="","",MAXIFS('Blocker log'!$L:$L,'Blocker log'!$A:$A,$B994,'Blocker log'!$G:$G,"Hard blocker"))</f>
        <v>0</v>
      </c>
      <c r="Q994" s="20" t="str">
        <f>IF($B994="","",IF($K994&lt;&gt;"Complete","Assessment pending",IF($N994=0,"Ready now",VLOOKUP($P994,Lists!$D$2:$E$5,2,FALSE))))</f>
        <v>Assessment pending</v>
      </c>
    </row>
    <row r="995" ht="15.75" customHeight="1">
      <c r="A995" s="35" t="s">
        <v>2611</v>
      </c>
      <c r="B995" s="35" t="s">
        <v>2612</v>
      </c>
      <c r="C995" s="35" t="s">
        <v>1286</v>
      </c>
      <c r="D995" s="35" t="s">
        <v>58</v>
      </c>
      <c r="E995" s="35" t="s">
        <v>132</v>
      </c>
      <c r="F995" s="35" t="s">
        <v>559</v>
      </c>
      <c r="G995" s="35" t="s">
        <v>1161</v>
      </c>
      <c r="H995" s="76">
        <v>18977.0</v>
      </c>
      <c r="I995" s="35"/>
      <c r="M995" s="20">
        <f>IF($B995="","",COUNTIFS('Blocker log'!$A:$A,$B995,'Blocker log'!$G:$G,"&lt;&gt;"))</f>
        <v>0</v>
      </c>
      <c r="N995" s="20">
        <f>IF($B995="","",COUNTIFS('Blocker log'!$A:$A,$B995,'Blocker log'!$G:$G,"Hard blocker"))</f>
        <v>0</v>
      </c>
      <c r="O995" s="20">
        <f>IF($B995="","",COUNTIFS('Blocker log'!$A:$A,$B995,'Blocker log'!$G:$G,"Hard blocker",'Blocker log'!$L:$L,9))</f>
        <v>0</v>
      </c>
      <c r="P995" s="20">
        <f>IF($B995="","",MAXIFS('Blocker log'!$L:$L,'Blocker log'!$A:$A,$B995,'Blocker log'!$G:$G,"Hard blocker"))</f>
        <v>0</v>
      </c>
      <c r="Q995" s="20" t="str">
        <f>IF($B995="","",IF($K995&lt;&gt;"Complete","Assessment pending",IF($N995=0,"Ready now",VLOOKUP($P995,Lists!$D$2:$E$5,2,FALSE))))</f>
        <v>Assessment pending</v>
      </c>
    </row>
    <row r="996" ht="15.75" customHeight="1">
      <c r="A996" s="35" t="s">
        <v>2613</v>
      </c>
      <c r="B996" s="35" t="s">
        <v>2614</v>
      </c>
      <c r="C996" s="35" t="s">
        <v>1286</v>
      </c>
      <c r="D996" s="35" t="s">
        <v>260</v>
      </c>
      <c r="E996" s="35" t="s">
        <v>261</v>
      </c>
      <c r="F996" s="35" t="s">
        <v>261</v>
      </c>
      <c r="G996" s="35" t="s">
        <v>1161</v>
      </c>
      <c r="H996" s="76">
        <v>18970.0</v>
      </c>
      <c r="I996" s="35" t="s">
        <v>416</v>
      </c>
      <c r="M996" s="20">
        <f>IF($B996="","",COUNTIFS('Blocker log'!$A:$A,$B996,'Blocker log'!$G:$G,"&lt;&gt;"))</f>
        <v>0</v>
      </c>
      <c r="N996" s="20">
        <f>IF($B996="","",COUNTIFS('Blocker log'!$A:$A,$B996,'Blocker log'!$G:$G,"Hard blocker"))</f>
        <v>0</v>
      </c>
      <c r="O996" s="20">
        <f>IF($B996="","",COUNTIFS('Blocker log'!$A:$A,$B996,'Blocker log'!$G:$G,"Hard blocker",'Blocker log'!$L:$L,9))</f>
        <v>0</v>
      </c>
      <c r="P996" s="20">
        <f>IF($B996="","",MAXIFS('Blocker log'!$L:$L,'Blocker log'!$A:$A,$B996,'Blocker log'!$G:$G,"Hard blocker"))</f>
        <v>0</v>
      </c>
      <c r="Q996" s="20" t="str">
        <f>IF($B996="","",IF($K996&lt;&gt;"Complete","Assessment pending",IF($N996=0,"Ready now",VLOOKUP($P996,Lists!$D$2:$E$5,2,FALSE))))</f>
        <v>Assessment pending</v>
      </c>
    </row>
    <row r="997" ht="15.75" customHeight="1">
      <c r="A997" s="35" t="s">
        <v>2615</v>
      </c>
      <c r="B997" s="35" t="s">
        <v>2616</v>
      </c>
      <c r="C997" s="35" t="s">
        <v>1286</v>
      </c>
      <c r="D997" s="35" t="s">
        <v>58</v>
      </c>
      <c r="E997" s="35" t="s">
        <v>101</v>
      </c>
      <c r="F997" s="35" t="s">
        <v>554</v>
      </c>
      <c r="G997" s="35" t="s">
        <v>1161</v>
      </c>
      <c r="H997" s="76">
        <v>18876.0</v>
      </c>
      <c r="I997" s="35"/>
      <c r="M997" s="20">
        <f>IF($B997="","",COUNTIFS('Blocker log'!$A:$A,$B997,'Blocker log'!$G:$G,"&lt;&gt;"))</f>
        <v>0</v>
      </c>
      <c r="N997" s="20">
        <f>IF($B997="","",COUNTIFS('Blocker log'!$A:$A,$B997,'Blocker log'!$G:$G,"Hard blocker"))</f>
        <v>0</v>
      </c>
      <c r="O997" s="20">
        <f>IF($B997="","",COUNTIFS('Blocker log'!$A:$A,$B997,'Blocker log'!$G:$G,"Hard blocker",'Blocker log'!$L:$L,9))</f>
        <v>0</v>
      </c>
      <c r="P997" s="20">
        <f>IF($B997="","",MAXIFS('Blocker log'!$L:$L,'Blocker log'!$A:$A,$B997,'Blocker log'!$G:$G,"Hard blocker"))</f>
        <v>0</v>
      </c>
      <c r="Q997" s="20" t="str">
        <f>IF($B997="","",IF($K997&lt;&gt;"Complete","Assessment pending",IF($N997=0,"Ready now",VLOOKUP($P997,Lists!$D$2:$E$5,2,FALSE))))</f>
        <v>Assessment pending</v>
      </c>
    </row>
    <row r="998" ht="15.75" customHeight="1">
      <c r="A998" s="35" t="s">
        <v>2617</v>
      </c>
      <c r="B998" s="35" t="s">
        <v>2618</v>
      </c>
      <c r="C998" s="35" t="s">
        <v>1286</v>
      </c>
      <c r="D998" s="35" t="s">
        <v>260</v>
      </c>
      <c r="E998" s="35" t="s">
        <v>506</v>
      </c>
      <c r="F998" s="35" t="s">
        <v>708</v>
      </c>
      <c r="G998" s="35" t="s">
        <v>1161</v>
      </c>
      <c r="H998" s="76">
        <v>18841.0</v>
      </c>
      <c r="I998" s="35" t="s">
        <v>417</v>
      </c>
      <c r="M998" s="20">
        <f>IF($B998="","",COUNTIFS('Blocker log'!$A:$A,$B998,'Blocker log'!$G:$G,"&lt;&gt;"))</f>
        <v>0</v>
      </c>
      <c r="N998" s="20">
        <f>IF($B998="","",COUNTIFS('Blocker log'!$A:$A,$B998,'Blocker log'!$G:$G,"Hard blocker"))</f>
        <v>0</v>
      </c>
      <c r="O998" s="20">
        <f>IF($B998="","",COUNTIFS('Blocker log'!$A:$A,$B998,'Blocker log'!$G:$G,"Hard blocker",'Blocker log'!$L:$L,9))</f>
        <v>0</v>
      </c>
      <c r="P998" s="20">
        <f>IF($B998="","",MAXIFS('Blocker log'!$L:$L,'Blocker log'!$A:$A,$B998,'Blocker log'!$G:$G,"Hard blocker"))</f>
        <v>0</v>
      </c>
      <c r="Q998" s="20" t="str">
        <f>IF($B998="","",IF($K998&lt;&gt;"Complete","Assessment pending",IF($N998=0,"Ready now",VLOOKUP($P998,Lists!$D$2:$E$5,2,FALSE))))</f>
        <v>Assessment pending</v>
      </c>
    </row>
    <row r="999" ht="15.75" customHeight="1">
      <c r="A999" s="35" t="s">
        <v>2619</v>
      </c>
      <c r="B999" s="35" t="s">
        <v>2620</v>
      </c>
      <c r="C999" s="35" t="s">
        <v>76</v>
      </c>
      <c r="D999" s="35" t="s">
        <v>58</v>
      </c>
      <c r="E999" s="35" t="s">
        <v>59</v>
      </c>
      <c r="F999" s="35" t="s">
        <v>598</v>
      </c>
      <c r="G999" s="35" t="s">
        <v>999</v>
      </c>
      <c r="H999" s="76">
        <v>18796.0</v>
      </c>
      <c r="I999" s="35"/>
      <c r="M999" s="20">
        <f>IF($B999="","",COUNTIFS('Blocker log'!$A:$A,$B999,'Blocker log'!$G:$G,"&lt;&gt;"))</f>
        <v>0</v>
      </c>
      <c r="N999" s="20">
        <f>IF($B999="","",COUNTIFS('Blocker log'!$A:$A,$B999,'Blocker log'!$G:$G,"Hard blocker"))</f>
        <v>0</v>
      </c>
      <c r="O999" s="20">
        <f>IF($B999="","",COUNTIFS('Blocker log'!$A:$A,$B999,'Blocker log'!$G:$G,"Hard blocker",'Blocker log'!$L:$L,9))</f>
        <v>0</v>
      </c>
      <c r="P999" s="20">
        <f>IF($B999="","",MAXIFS('Blocker log'!$L:$L,'Blocker log'!$A:$A,$B999,'Blocker log'!$G:$G,"Hard blocker"))</f>
        <v>0</v>
      </c>
      <c r="Q999" s="20" t="str">
        <f>IF($B999="","",IF($K999&lt;&gt;"Complete","Assessment pending",IF($N999=0,"Ready now",VLOOKUP($P999,Lists!$D$2:$E$5,2,FALSE))))</f>
        <v>Assessment pending</v>
      </c>
    </row>
    <row r="1000" ht="15.75" customHeight="1">
      <c r="A1000" s="35" t="s">
        <v>2621</v>
      </c>
      <c r="B1000" s="35" t="s">
        <v>2622</v>
      </c>
      <c r="C1000" s="35" t="s">
        <v>1160</v>
      </c>
      <c r="D1000" s="35" t="s">
        <v>260</v>
      </c>
      <c r="E1000" s="35" t="s">
        <v>506</v>
      </c>
      <c r="F1000" s="35" t="s">
        <v>685</v>
      </c>
      <c r="G1000" s="35" t="s">
        <v>1161</v>
      </c>
      <c r="H1000" s="76">
        <v>18792.0</v>
      </c>
      <c r="I1000" s="35"/>
      <c r="M1000" s="20">
        <f>IF($B1000="","",COUNTIFS('Blocker log'!$A:$A,$B1000,'Blocker log'!$G:$G,"&lt;&gt;"))</f>
        <v>0</v>
      </c>
      <c r="N1000" s="20">
        <f>IF($B1000="","",COUNTIFS('Blocker log'!$A:$A,$B1000,'Blocker log'!$G:$G,"Hard blocker"))</f>
        <v>0</v>
      </c>
      <c r="O1000" s="20">
        <f>IF($B1000="","",COUNTIFS('Blocker log'!$A:$A,$B1000,'Blocker log'!$G:$G,"Hard blocker",'Blocker log'!$L:$L,9))</f>
        <v>0</v>
      </c>
      <c r="P1000" s="20">
        <f>IF($B1000="","",MAXIFS('Blocker log'!$L:$L,'Blocker log'!$A:$A,$B1000,'Blocker log'!$G:$G,"Hard blocker"))</f>
        <v>0</v>
      </c>
      <c r="Q1000" s="20" t="str">
        <f>IF($B1000="","",IF($K1000&lt;&gt;"Complete","Assessment pending",IF($N1000=0,"Ready now",VLOOKUP($P1000,Lists!$D$2:$E$5,2,FALSE))))</f>
        <v>Assessment pending</v>
      </c>
    </row>
    <row r="1001" ht="15.75" customHeight="1">
      <c r="A1001" s="35" t="s">
        <v>2623</v>
      </c>
      <c r="B1001" s="35" t="s">
        <v>2624</v>
      </c>
      <c r="C1001" s="35" t="s">
        <v>1286</v>
      </c>
      <c r="D1001" s="35" t="s">
        <v>171</v>
      </c>
      <c r="E1001" s="35" t="s">
        <v>172</v>
      </c>
      <c r="F1001" s="35" t="s">
        <v>1437</v>
      </c>
      <c r="G1001" s="35" t="s">
        <v>1161</v>
      </c>
      <c r="H1001" s="76">
        <v>18787.0</v>
      </c>
      <c r="I1001" s="35" t="s">
        <v>406</v>
      </c>
      <c r="M1001" s="20">
        <f>IF($B1001="","",COUNTIFS('Blocker log'!$A:$A,$B1001,'Blocker log'!$G:$G,"&lt;&gt;"))</f>
        <v>0</v>
      </c>
      <c r="N1001" s="20">
        <f>IF($B1001="","",COUNTIFS('Blocker log'!$A:$A,$B1001,'Blocker log'!$G:$G,"Hard blocker"))</f>
        <v>0</v>
      </c>
      <c r="O1001" s="20">
        <f>IF($B1001="","",COUNTIFS('Blocker log'!$A:$A,$B1001,'Blocker log'!$G:$G,"Hard blocker",'Blocker log'!$L:$L,9))</f>
        <v>0</v>
      </c>
      <c r="P1001" s="20">
        <f>IF($B1001="","",MAXIFS('Blocker log'!$L:$L,'Blocker log'!$A:$A,$B1001,'Blocker log'!$G:$G,"Hard blocker"))</f>
        <v>0</v>
      </c>
      <c r="Q1001" s="20" t="str">
        <f>IF($B1001="","",IF($K1001&lt;&gt;"Complete","Assessment pending",IF($N1001=0,"Ready now",VLOOKUP($P1001,Lists!$D$2:$E$5,2,FALSE))))</f>
        <v>Assessment pending</v>
      </c>
    </row>
    <row r="1002" ht="15.75" customHeight="1">
      <c r="A1002" s="35" t="s">
        <v>2625</v>
      </c>
      <c r="B1002" s="35" t="s">
        <v>2626</v>
      </c>
      <c r="C1002" s="35" t="s">
        <v>76</v>
      </c>
      <c r="D1002" s="35" t="s">
        <v>58</v>
      </c>
      <c r="E1002" s="35" t="s">
        <v>140</v>
      </c>
      <c r="F1002" s="35" t="s">
        <v>200</v>
      </c>
      <c r="G1002" s="35" t="s">
        <v>999</v>
      </c>
      <c r="H1002" s="76">
        <v>18730.0</v>
      </c>
      <c r="I1002" s="35"/>
      <c r="M1002" s="20">
        <f>IF($B1002="","",COUNTIFS('Blocker log'!$A:$A,$B1002,'Blocker log'!$G:$G,"&lt;&gt;"))</f>
        <v>0</v>
      </c>
      <c r="N1002" s="20">
        <f>IF($B1002="","",COUNTIFS('Blocker log'!$A:$A,$B1002,'Blocker log'!$G:$G,"Hard blocker"))</f>
        <v>0</v>
      </c>
      <c r="O1002" s="20">
        <f>IF($B1002="","",COUNTIFS('Blocker log'!$A:$A,$B1002,'Blocker log'!$G:$G,"Hard blocker",'Blocker log'!$L:$L,9))</f>
        <v>0</v>
      </c>
      <c r="P1002" s="20">
        <f>IF($B1002="","",MAXIFS('Blocker log'!$L:$L,'Blocker log'!$A:$A,$B1002,'Blocker log'!$G:$G,"Hard blocker"))</f>
        <v>0</v>
      </c>
      <c r="Q1002" s="20" t="str">
        <f>IF($B1002="","",IF($K1002&lt;&gt;"Complete","Assessment pending",IF($N1002=0,"Ready now",VLOOKUP($P1002,Lists!$D$2:$E$5,2,FALSE))))</f>
        <v>Assessment pending</v>
      </c>
    </row>
    <row r="1003" ht="15.75" customHeight="1">
      <c r="A1003" s="35" t="s">
        <v>2627</v>
      </c>
      <c r="B1003" s="35" t="s">
        <v>2628</v>
      </c>
      <c r="C1003" s="35" t="s">
        <v>1286</v>
      </c>
      <c r="D1003" s="35" t="s">
        <v>301</v>
      </c>
      <c r="E1003" s="35" t="s">
        <v>593</v>
      </c>
      <c r="F1003" s="35" t="s">
        <v>593</v>
      </c>
      <c r="G1003" s="35" t="s">
        <v>1042</v>
      </c>
      <c r="H1003" s="76">
        <v>18720.0</v>
      </c>
      <c r="I1003" s="35"/>
      <c r="M1003" s="20">
        <f>IF($B1003="","",COUNTIFS('Blocker log'!$A:$A,$B1003,'Blocker log'!$G:$G,"&lt;&gt;"))</f>
        <v>0</v>
      </c>
      <c r="N1003" s="20">
        <f>IF($B1003="","",COUNTIFS('Blocker log'!$A:$A,$B1003,'Blocker log'!$G:$G,"Hard blocker"))</f>
        <v>0</v>
      </c>
      <c r="O1003" s="20">
        <f>IF($B1003="","",COUNTIFS('Blocker log'!$A:$A,$B1003,'Blocker log'!$G:$G,"Hard blocker",'Blocker log'!$L:$L,9))</f>
        <v>0</v>
      </c>
      <c r="P1003" s="20">
        <f>IF($B1003="","",MAXIFS('Blocker log'!$L:$L,'Blocker log'!$A:$A,$B1003,'Blocker log'!$G:$G,"Hard blocker"))</f>
        <v>0</v>
      </c>
      <c r="Q1003" s="20" t="str">
        <f>IF($B1003="","",IF($K1003&lt;&gt;"Complete","Assessment pending",IF($N1003=0,"Ready now",VLOOKUP($P1003,Lists!$D$2:$E$5,2,FALSE))))</f>
        <v>Assessment pending</v>
      </c>
    </row>
    <row r="1004" ht="15.75" customHeight="1">
      <c r="A1004" s="35" t="s">
        <v>2629</v>
      </c>
      <c r="B1004" s="35" t="s">
        <v>2630</v>
      </c>
      <c r="C1004" s="35" t="s">
        <v>1286</v>
      </c>
      <c r="D1004" s="35" t="s">
        <v>171</v>
      </c>
      <c r="E1004" s="35" t="s">
        <v>512</v>
      </c>
      <c r="F1004" s="35" t="s">
        <v>537</v>
      </c>
      <c r="G1004" s="35" t="s">
        <v>1161</v>
      </c>
      <c r="H1004" s="76">
        <v>18720.0</v>
      </c>
      <c r="I1004" s="35"/>
      <c r="M1004" s="20">
        <f>IF($B1004="","",COUNTIFS('Blocker log'!$A:$A,$B1004,'Blocker log'!$G:$G,"&lt;&gt;"))</f>
        <v>0</v>
      </c>
      <c r="N1004" s="20">
        <f>IF($B1004="","",COUNTIFS('Blocker log'!$A:$A,$B1004,'Blocker log'!$G:$G,"Hard blocker"))</f>
        <v>0</v>
      </c>
      <c r="O1004" s="20">
        <f>IF($B1004="","",COUNTIFS('Blocker log'!$A:$A,$B1004,'Blocker log'!$G:$G,"Hard blocker",'Blocker log'!$L:$L,9))</f>
        <v>0</v>
      </c>
      <c r="P1004" s="20">
        <f>IF($B1004="","",MAXIFS('Blocker log'!$L:$L,'Blocker log'!$A:$A,$B1004,'Blocker log'!$G:$G,"Hard blocker"))</f>
        <v>0</v>
      </c>
      <c r="Q1004" s="20" t="str">
        <f>IF($B1004="","",IF($K1004&lt;&gt;"Complete","Assessment pending",IF($N1004=0,"Ready now",VLOOKUP($P1004,Lists!$D$2:$E$5,2,FALSE))))</f>
        <v>Assessment pending</v>
      </c>
    </row>
    <row r="1005" ht="15.75" customHeight="1">
      <c r="A1005" s="35" t="s">
        <v>2631</v>
      </c>
      <c r="B1005" s="35" t="s">
        <v>2044</v>
      </c>
      <c r="C1005" s="35" t="s">
        <v>1286</v>
      </c>
      <c r="D1005" s="35" t="s">
        <v>58</v>
      </c>
      <c r="E1005" s="35" t="s">
        <v>1315</v>
      </c>
      <c r="F1005" s="35" t="s">
        <v>1315</v>
      </c>
      <c r="G1005" s="35" t="s">
        <v>1161</v>
      </c>
      <c r="H1005" s="76">
        <v>18706.0</v>
      </c>
      <c r="I1005" s="35"/>
      <c r="M1005" s="20">
        <f>IF($B1005="","",COUNTIFS('Blocker log'!$A:$A,$B1005,'Blocker log'!$G:$G,"&lt;&gt;"))</f>
        <v>0</v>
      </c>
      <c r="N1005" s="20">
        <f>IF($B1005="","",COUNTIFS('Blocker log'!$A:$A,$B1005,'Blocker log'!$G:$G,"Hard blocker"))</f>
        <v>0</v>
      </c>
      <c r="O1005" s="20">
        <f>IF($B1005="","",COUNTIFS('Blocker log'!$A:$A,$B1005,'Blocker log'!$G:$G,"Hard blocker",'Blocker log'!$L:$L,9))</f>
        <v>0</v>
      </c>
      <c r="P1005" s="20">
        <f>IF($B1005="","",MAXIFS('Blocker log'!$L:$L,'Blocker log'!$A:$A,$B1005,'Blocker log'!$G:$G,"Hard blocker"))</f>
        <v>0</v>
      </c>
      <c r="Q1005" s="20" t="str">
        <f>IF($B1005="","",IF($K1005&lt;&gt;"Complete","Assessment pending",IF($N1005=0,"Ready now",VLOOKUP($P1005,Lists!$D$2:$E$5,2,FALSE))))</f>
        <v>Assessment pending</v>
      </c>
    </row>
    <row r="1006" ht="15.75" customHeight="1">
      <c r="A1006" s="35" t="s">
        <v>2632</v>
      </c>
      <c r="B1006" s="35" t="s">
        <v>2633</v>
      </c>
      <c r="C1006" s="35" t="s">
        <v>76</v>
      </c>
      <c r="D1006" s="35" t="s">
        <v>260</v>
      </c>
      <c r="E1006" s="35" t="s">
        <v>576</v>
      </c>
      <c r="F1006" s="35" t="s">
        <v>577</v>
      </c>
      <c r="G1006" s="35" t="s">
        <v>999</v>
      </c>
      <c r="H1006" s="76">
        <v>18675.0</v>
      </c>
      <c r="I1006" s="35"/>
      <c r="M1006" s="20">
        <f>IF($B1006="","",COUNTIFS('Blocker log'!$A:$A,$B1006,'Blocker log'!$G:$G,"&lt;&gt;"))</f>
        <v>0</v>
      </c>
      <c r="N1006" s="20">
        <f>IF($B1006="","",COUNTIFS('Blocker log'!$A:$A,$B1006,'Blocker log'!$G:$G,"Hard blocker"))</f>
        <v>0</v>
      </c>
      <c r="O1006" s="20">
        <f>IF($B1006="","",COUNTIFS('Blocker log'!$A:$A,$B1006,'Blocker log'!$G:$G,"Hard blocker",'Blocker log'!$L:$L,9))</f>
        <v>0</v>
      </c>
      <c r="P1006" s="20">
        <f>IF($B1006="","",MAXIFS('Blocker log'!$L:$L,'Blocker log'!$A:$A,$B1006,'Blocker log'!$G:$G,"Hard blocker"))</f>
        <v>0</v>
      </c>
      <c r="Q1006" s="20" t="str">
        <f>IF($B1006="","",IF($K1006&lt;&gt;"Complete","Assessment pending",IF($N1006=0,"Ready now",VLOOKUP($P1006,Lists!$D$2:$E$5,2,FALSE))))</f>
        <v>Assessment pending</v>
      </c>
    </row>
    <row r="1007" ht="15.75" customHeight="1">
      <c r="A1007" s="35" t="s">
        <v>2634</v>
      </c>
      <c r="B1007" s="35" t="s">
        <v>2635</v>
      </c>
      <c r="C1007" s="35" t="s">
        <v>1286</v>
      </c>
      <c r="D1007" s="35" t="s">
        <v>171</v>
      </c>
      <c r="E1007" s="35" t="s">
        <v>773</v>
      </c>
      <c r="F1007" s="35" t="s">
        <v>774</v>
      </c>
      <c r="G1007" s="35" t="s">
        <v>1161</v>
      </c>
      <c r="H1007" s="76">
        <v>18560.0</v>
      </c>
      <c r="I1007" s="35"/>
      <c r="M1007" s="20">
        <f>IF($B1007="","",COUNTIFS('Blocker log'!$A:$A,$B1007,'Blocker log'!$G:$G,"&lt;&gt;"))</f>
        <v>0</v>
      </c>
      <c r="N1007" s="20">
        <f>IF($B1007="","",COUNTIFS('Blocker log'!$A:$A,$B1007,'Blocker log'!$G:$G,"Hard blocker"))</f>
        <v>0</v>
      </c>
      <c r="O1007" s="20">
        <f>IF($B1007="","",COUNTIFS('Blocker log'!$A:$A,$B1007,'Blocker log'!$G:$G,"Hard blocker",'Blocker log'!$L:$L,9))</f>
        <v>0</v>
      </c>
      <c r="P1007" s="20">
        <f>IF($B1007="","",MAXIFS('Blocker log'!$L:$L,'Blocker log'!$A:$A,$B1007,'Blocker log'!$G:$G,"Hard blocker"))</f>
        <v>0</v>
      </c>
      <c r="Q1007" s="20" t="str">
        <f>IF($B1007="","",IF($K1007&lt;&gt;"Complete","Assessment pending",IF($N1007=0,"Ready now",VLOOKUP($P1007,Lists!$D$2:$E$5,2,FALSE))))</f>
        <v>Assessment pending</v>
      </c>
    </row>
    <row r="1008" ht="15.75" customHeight="1">
      <c r="A1008" s="35" t="s">
        <v>2636</v>
      </c>
      <c r="B1008" s="35" t="s">
        <v>2637</v>
      </c>
      <c r="C1008" s="35" t="s">
        <v>1286</v>
      </c>
      <c r="D1008" s="35" t="s">
        <v>260</v>
      </c>
      <c r="E1008" s="35" t="s">
        <v>261</v>
      </c>
      <c r="F1008" s="35" t="s">
        <v>261</v>
      </c>
      <c r="G1008" s="35" t="s">
        <v>1161</v>
      </c>
      <c r="H1008" s="76">
        <v>18489.0</v>
      </c>
      <c r="I1008" s="35" t="s">
        <v>416</v>
      </c>
      <c r="M1008" s="20">
        <f>IF($B1008="","",COUNTIFS('Blocker log'!$A:$A,$B1008,'Blocker log'!$G:$G,"&lt;&gt;"))</f>
        <v>0</v>
      </c>
      <c r="N1008" s="20">
        <f>IF($B1008="","",COUNTIFS('Blocker log'!$A:$A,$B1008,'Blocker log'!$G:$G,"Hard blocker"))</f>
        <v>0</v>
      </c>
      <c r="O1008" s="20">
        <f>IF($B1008="","",COUNTIFS('Blocker log'!$A:$A,$B1008,'Blocker log'!$G:$G,"Hard blocker",'Blocker log'!$L:$L,9))</f>
        <v>0</v>
      </c>
      <c r="P1008" s="20">
        <f>IF($B1008="","",MAXIFS('Blocker log'!$L:$L,'Blocker log'!$A:$A,$B1008,'Blocker log'!$G:$G,"Hard blocker"))</f>
        <v>0</v>
      </c>
      <c r="Q1008" s="20" t="str">
        <f>IF($B1008="","",IF($K1008&lt;&gt;"Complete","Assessment pending",IF($N1008=0,"Ready now",VLOOKUP($P1008,Lists!$D$2:$E$5,2,FALSE))))</f>
        <v>Assessment pending</v>
      </c>
    </row>
    <row r="1009" ht="15.75" customHeight="1">
      <c r="A1009" s="35" t="s">
        <v>2638</v>
      </c>
      <c r="B1009" s="35" t="s">
        <v>2639</v>
      </c>
      <c r="C1009" s="35" t="s">
        <v>1286</v>
      </c>
      <c r="D1009" s="35" t="s">
        <v>260</v>
      </c>
      <c r="E1009" s="35" t="s">
        <v>576</v>
      </c>
      <c r="F1009" s="35" t="s">
        <v>1228</v>
      </c>
      <c r="G1009" s="35" t="s">
        <v>1042</v>
      </c>
      <c r="H1009" s="76">
        <v>18450.0</v>
      </c>
      <c r="I1009" s="35" t="s">
        <v>403</v>
      </c>
      <c r="M1009" s="20">
        <f>IF($B1009="","",COUNTIFS('Blocker log'!$A:$A,$B1009,'Blocker log'!$G:$G,"&lt;&gt;"))</f>
        <v>0</v>
      </c>
      <c r="N1009" s="20">
        <f>IF($B1009="","",COUNTIFS('Blocker log'!$A:$A,$B1009,'Blocker log'!$G:$G,"Hard blocker"))</f>
        <v>0</v>
      </c>
      <c r="O1009" s="20">
        <f>IF($B1009="","",COUNTIFS('Blocker log'!$A:$A,$B1009,'Blocker log'!$G:$G,"Hard blocker",'Blocker log'!$L:$L,9))</f>
        <v>0</v>
      </c>
      <c r="P1009" s="20">
        <f>IF($B1009="","",MAXIFS('Blocker log'!$L:$L,'Blocker log'!$A:$A,$B1009,'Blocker log'!$G:$G,"Hard blocker"))</f>
        <v>0</v>
      </c>
      <c r="Q1009" s="20" t="str">
        <f>IF($B1009="","",IF($K1009&lt;&gt;"Complete","Assessment pending",IF($N1009=0,"Ready now",VLOOKUP($P1009,Lists!$D$2:$E$5,2,FALSE))))</f>
        <v>Assessment pending</v>
      </c>
    </row>
    <row r="1010" ht="15.75" customHeight="1">
      <c r="A1010" s="35" t="s">
        <v>2640</v>
      </c>
      <c r="B1010" s="35" t="s">
        <v>2641</v>
      </c>
      <c r="C1010" s="35" t="s">
        <v>1286</v>
      </c>
      <c r="D1010" s="35" t="s">
        <v>58</v>
      </c>
      <c r="E1010" s="35" t="s">
        <v>101</v>
      </c>
      <c r="F1010" s="35" t="s">
        <v>554</v>
      </c>
      <c r="G1010" s="35" t="s">
        <v>1161</v>
      </c>
      <c r="H1010" s="76">
        <v>18376.0</v>
      </c>
      <c r="I1010" s="35"/>
      <c r="M1010" s="20">
        <f>IF($B1010="","",COUNTIFS('Blocker log'!$A:$A,$B1010,'Blocker log'!$G:$G,"&lt;&gt;"))</f>
        <v>0</v>
      </c>
      <c r="N1010" s="20">
        <f>IF($B1010="","",COUNTIFS('Blocker log'!$A:$A,$B1010,'Blocker log'!$G:$G,"Hard blocker"))</f>
        <v>0</v>
      </c>
      <c r="O1010" s="20">
        <f>IF($B1010="","",COUNTIFS('Blocker log'!$A:$A,$B1010,'Blocker log'!$G:$G,"Hard blocker",'Blocker log'!$L:$L,9))</f>
        <v>0</v>
      </c>
      <c r="P1010" s="20">
        <f>IF($B1010="","",MAXIFS('Blocker log'!$L:$L,'Blocker log'!$A:$A,$B1010,'Blocker log'!$G:$G,"Hard blocker"))</f>
        <v>0</v>
      </c>
      <c r="Q1010" s="20" t="str">
        <f>IF($B1010="","",IF($K1010&lt;&gt;"Complete","Assessment pending",IF($N1010=0,"Ready now",VLOOKUP($P1010,Lists!$D$2:$E$5,2,FALSE))))</f>
        <v>Assessment pending</v>
      </c>
    </row>
    <row r="1011" ht="15.75" customHeight="1">
      <c r="A1011" s="35" t="s">
        <v>2642</v>
      </c>
      <c r="B1011" s="35" t="s">
        <v>2643</v>
      </c>
      <c r="C1011" s="35" t="s">
        <v>1286</v>
      </c>
      <c r="D1011" s="35" t="s">
        <v>58</v>
      </c>
      <c r="E1011" s="35" t="s">
        <v>101</v>
      </c>
      <c r="F1011" s="35" t="s">
        <v>554</v>
      </c>
      <c r="G1011" s="35" t="s">
        <v>1161</v>
      </c>
      <c r="H1011" s="76">
        <v>18375.0</v>
      </c>
      <c r="I1011" s="35" t="s">
        <v>448</v>
      </c>
      <c r="M1011" s="20">
        <f>IF($B1011="","",COUNTIFS('Blocker log'!$A:$A,$B1011,'Blocker log'!$G:$G,"&lt;&gt;"))</f>
        <v>0</v>
      </c>
      <c r="N1011" s="20">
        <f>IF($B1011="","",COUNTIFS('Blocker log'!$A:$A,$B1011,'Blocker log'!$G:$G,"Hard blocker"))</f>
        <v>0</v>
      </c>
      <c r="O1011" s="20">
        <f>IF($B1011="","",COUNTIFS('Blocker log'!$A:$A,$B1011,'Blocker log'!$G:$G,"Hard blocker",'Blocker log'!$L:$L,9))</f>
        <v>0</v>
      </c>
      <c r="P1011" s="20">
        <f>IF($B1011="","",MAXIFS('Blocker log'!$L:$L,'Blocker log'!$A:$A,$B1011,'Blocker log'!$G:$G,"Hard blocker"))</f>
        <v>0</v>
      </c>
      <c r="Q1011" s="20" t="str">
        <f>IF($B1011="","",IF($K1011&lt;&gt;"Complete","Assessment pending",IF($N1011=0,"Ready now",VLOOKUP($P1011,Lists!$D$2:$E$5,2,FALSE))))</f>
        <v>Assessment pending</v>
      </c>
    </row>
    <row r="1012" ht="15.75" customHeight="1">
      <c r="A1012" s="35" t="s">
        <v>2644</v>
      </c>
      <c r="B1012" s="35" t="s">
        <v>2645</v>
      </c>
      <c r="C1012" s="35" t="s">
        <v>1286</v>
      </c>
      <c r="D1012" s="35" t="s">
        <v>260</v>
      </c>
      <c r="E1012" s="35" t="s">
        <v>506</v>
      </c>
      <c r="F1012" s="35" t="s">
        <v>798</v>
      </c>
      <c r="G1012" s="35" t="s">
        <v>1161</v>
      </c>
      <c r="H1012" s="76">
        <v>18145.0</v>
      </c>
      <c r="I1012" s="35" t="s">
        <v>440</v>
      </c>
      <c r="M1012" s="20">
        <f>IF($B1012="","",COUNTIFS('Blocker log'!$A:$A,$B1012,'Blocker log'!$G:$G,"&lt;&gt;"))</f>
        <v>0</v>
      </c>
      <c r="N1012" s="20">
        <f>IF($B1012="","",COUNTIFS('Blocker log'!$A:$A,$B1012,'Blocker log'!$G:$G,"Hard blocker"))</f>
        <v>0</v>
      </c>
      <c r="O1012" s="20">
        <f>IF($B1012="","",COUNTIFS('Blocker log'!$A:$A,$B1012,'Blocker log'!$G:$G,"Hard blocker",'Blocker log'!$L:$L,9))</f>
        <v>0</v>
      </c>
      <c r="P1012" s="20">
        <f>IF($B1012="","",MAXIFS('Blocker log'!$L:$L,'Blocker log'!$A:$A,$B1012,'Blocker log'!$G:$G,"Hard blocker"))</f>
        <v>0</v>
      </c>
      <c r="Q1012" s="20" t="str">
        <f>IF($B1012="","",IF($K1012&lt;&gt;"Complete","Assessment pending",IF($N1012=0,"Ready now",VLOOKUP($P1012,Lists!$D$2:$E$5,2,FALSE))))</f>
        <v>Assessment pending</v>
      </c>
    </row>
    <row r="1013" ht="15.75" customHeight="1">
      <c r="A1013" s="35" t="s">
        <v>2646</v>
      </c>
      <c r="B1013" s="35" t="s">
        <v>2647</v>
      </c>
      <c r="C1013" s="35" t="s">
        <v>1286</v>
      </c>
      <c r="D1013" s="35" t="s">
        <v>58</v>
      </c>
      <c r="E1013" s="35" t="s">
        <v>101</v>
      </c>
      <c r="F1013" s="35" t="s">
        <v>116</v>
      </c>
      <c r="G1013" s="35" t="s">
        <v>1161</v>
      </c>
      <c r="H1013" s="76">
        <v>18063.0</v>
      </c>
      <c r="I1013" s="35"/>
      <c r="M1013" s="20">
        <f>IF($B1013="","",COUNTIFS('Blocker log'!$A:$A,$B1013,'Blocker log'!$G:$G,"&lt;&gt;"))</f>
        <v>0</v>
      </c>
      <c r="N1013" s="20">
        <f>IF($B1013="","",COUNTIFS('Blocker log'!$A:$A,$B1013,'Blocker log'!$G:$G,"Hard blocker"))</f>
        <v>0</v>
      </c>
      <c r="O1013" s="20">
        <f>IF($B1013="","",COUNTIFS('Blocker log'!$A:$A,$B1013,'Blocker log'!$G:$G,"Hard blocker",'Blocker log'!$L:$L,9))</f>
        <v>0</v>
      </c>
      <c r="P1013" s="20">
        <f>IF($B1013="","",MAXIFS('Blocker log'!$L:$L,'Blocker log'!$A:$A,$B1013,'Blocker log'!$G:$G,"Hard blocker"))</f>
        <v>0</v>
      </c>
      <c r="Q1013" s="20" t="str">
        <f>IF($B1013="","",IF($K1013&lt;&gt;"Complete","Assessment pending",IF($N1013=0,"Ready now",VLOOKUP($P1013,Lists!$D$2:$E$5,2,FALSE))))</f>
        <v>Assessment pending</v>
      </c>
    </row>
    <row r="1014" ht="15.75" customHeight="1">
      <c r="A1014" s="35" t="s">
        <v>2648</v>
      </c>
      <c r="B1014" s="35" t="s">
        <v>2649</v>
      </c>
      <c r="C1014" s="35" t="s">
        <v>1286</v>
      </c>
      <c r="D1014" s="35" t="s">
        <v>260</v>
      </c>
      <c r="E1014" s="35" t="s">
        <v>1096</v>
      </c>
      <c r="F1014" s="35" t="s">
        <v>1097</v>
      </c>
      <c r="G1014" s="35" t="s">
        <v>1161</v>
      </c>
      <c r="H1014" s="76">
        <v>18036.0</v>
      </c>
      <c r="I1014" s="35" t="s">
        <v>416</v>
      </c>
      <c r="M1014" s="20">
        <f>IF($B1014="","",COUNTIFS('Blocker log'!$A:$A,$B1014,'Blocker log'!$G:$G,"&lt;&gt;"))</f>
        <v>0</v>
      </c>
      <c r="N1014" s="20">
        <f>IF($B1014="","",COUNTIFS('Blocker log'!$A:$A,$B1014,'Blocker log'!$G:$G,"Hard blocker"))</f>
        <v>0</v>
      </c>
      <c r="O1014" s="20">
        <f>IF($B1014="","",COUNTIFS('Blocker log'!$A:$A,$B1014,'Blocker log'!$G:$G,"Hard blocker",'Blocker log'!$L:$L,9))</f>
        <v>0</v>
      </c>
      <c r="P1014" s="20">
        <f>IF($B1014="","",MAXIFS('Blocker log'!$L:$L,'Blocker log'!$A:$A,$B1014,'Blocker log'!$G:$G,"Hard blocker"))</f>
        <v>0</v>
      </c>
      <c r="Q1014" s="20" t="str">
        <f>IF($B1014="","",IF($K1014&lt;&gt;"Complete","Assessment pending",IF($N1014=0,"Ready now",VLOOKUP($P1014,Lists!$D$2:$E$5,2,FALSE))))</f>
        <v>Assessment pending</v>
      </c>
    </row>
    <row r="1015" ht="15.75" customHeight="1">
      <c r="A1015" s="35" t="s">
        <v>2650</v>
      </c>
      <c r="B1015" s="35" t="s">
        <v>2651</v>
      </c>
      <c r="C1015" s="35" t="s">
        <v>1286</v>
      </c>
      <c r="D1015" s="35" t="s">
        <v>260</v>
      </c>
      <c r="E1015" s="35" t="s">
        <v>351</v>
      </c>
      <c r="F1015" s="35" t="s">
        <v>1948</v>
      </c>
      <c r="G1015" s="35" t="s">
        <v>1161</v>
      </c>
      <c r="H1015" s="76">
        <v>18003.0</v>
      </c>
      <c r="I1015" s="35" t="s">
        <v>430</v>
      </c>
      <c r="M1015" s="20">
        <f>IF($B1015="","",COUNTIFS('Blocker log'!$A:$A,$B1015,'Blocker log'!$G:$G,"&lt;&gt;"))</f>
        <v>0</v>
      </c>
      <c r="N1015" s="20">
        <f>IF($B1015="","",COUNTIFS('Blocker log'!$A:$A,$B1015,'Blocker log'!$G:$G,"Hard blocker"))</f>
        <v>0</v>
      </c>
      <c r="O1015" s="20">
        <f>IF($B1015="","",COUNTIFS('Blocker log'!$A:$A,$B1015,'Blocker log'!$G:$G,"Hard blocker",'Blocker log'!$L:$L,9))</f>
        <v>0</v>
      </c>
      <c r="P1015" s="20">
        <f>IF($B1015="","",MAXIFS('Blocker log'!$L:$L,'Blocker log'!$A:$A,$B1015,'Blocker log'!$G:$G,"Hard blocker"))</f>
        <v>0</v>
      </c>
      <c r="Q1015" s="20" t="str">
        <f>IF($B1015="","",IF($K1015&lt;&gt;"Complete","Assessment pending",IF($N1015=0,"Ready now",VLOOKUP($P1015,Lists!$D$2:$E$5,2,FALSE))))</f>
        <v>Assessment pending</v>
      </c>
    </row>
    <row r="1016" ht="15.75" customHeight="1">
      <c r="A1016" s="35" t="s">
        <v>2652</v>
      </c>
      <c r="B1016" s="35" t="s">
        <v>2653</v>
      </c>
      <c r="C1016" s="35" t="s">
        <v>1286</v>
      </c>
      <c r="D1016" s="35" t="s">
        <v>58</v>
      </c>
      <c r="E1016" s="35" t="s">
        <v>59</v>
      </c>
      <c r="F1016" s="35" t="s">
        <v>60</v>
      </c>
      <c r="G1016" s="35" t="s">
        <v>1161</v>
      </c>
      <c r="H1016" s="76">
        <v>18000.0</v>
      </c>
      <c r="I1016" s="35"/>
      <c r="M1016" s="20">
        <f>IF($B1016="","",COUNTIFS('Blocker log'!$A:$A,$B1016,'Blocker log'!$G:$G,"&lt;&gt;"))</f>
        <v>0</v>
      </c>
      <c r="N1016" s="20">
        <f>IF($B1016="","",COUNTIFS('Blocker log'!$A:$A,$B1016,'Blocker log'!$G:$G,"Hard blocker"))</f>
        <v>0</v>
      </c>
      <c r="O1016" s="20">
        <f>IF($B1016="","",COUNTIFS('Blocker log'!$A:$A,$B1016,'Blocker log'!$G:$G,"Hard blocker",'Blocker log'!$L:$L,9))</f>
        <v>0</v>
      </c>
      <c r="P1016" s="20">
        <f>IF($B1016="","",MAXIFS('Blocker log'!$L:$L,'Blocker log'!$A:$A,$B1016,'Blocker log'!$G:$G,"Hard blocker"))</f>
        <v>0</v>
      </c>
      <c r="Q1016" s="20" t="str">
        <f>IF($B1016="","",IF($K1016&lt;&gt;"Complete","Assessment pending",IF($N1016=0,"Ready now",VLOOKUP($P1016,Lists!$D$2:$E$5,2,FALSE))))</f>
        <v>Assessment pending</v>
      </c>
    </row>
    <row r="1017" ht="15.75" customHeight="1">
      <c r="A1017" s="35" t="s">
        <v>2654</v>
      </c>
      <c r="B1017" s="35" t="s">
        <v>2655</v>
      </c>
      <c r="C1017" s="35" t="s">
        <v>1286</v>
      </c>
      <c r="D1017" s="35" t="s">
        <v>171</v>
      </c>
      <c r="E1017" s="35" t="s">
        <v>713</v>
      </c>
      <c r="F1017" s="35" t="s">
        <v>714</v>
      </c>
      <c r="G1017" s="35" t="s">
        <v>1161</v>
      </c>
      <c r="H1017" s="76">
        <v>17712.0</v>
      </c>
      <c r="I1017" s="35"/>
      <c r="M1017" s="20">
        <f>IF($B1017="","",COUNTIFS('Blocker log'!$A:$A,$B1017,'Blocker log'!$G:$G,"&lt;&gt;"))</f>
        <v>0</v>
      </c>
      <c r="N1017" s="20">
        <f>IF($B1017="","",COUNTIFS('Blocker log'!$A:$A,$B1017,'Blocker log'!$G:$G,"Hard blocker"))</f>
        <v>0</v>
      </c>
      <c r="O1017" s="20">
        <f>IF($B1017="","",COUNTIFS('Blocker log'!$A:$A,$B1017,'Blocker log'!$G:$G,"Hard blocker",'Blocker log'!$L:$L,9))</f>
        <v>0</v>
      </c>
      <c r="P1017" s="20">
        <f>IF($B1017="","",MAXIFS('Blocker log'!$L:$L,'Blocker log'!$A:$A,$B1017,'Blocker log'!$G:$G,"Hard blocker"))</f>
        <v>0</v>
      </c>
      <c r="Q1017" s="20" t="str">
        <f>IF($B1017="","",IF($K1017&lt;&gt;"Complete","Assessment pending",IF($N1017=0,"Ready now",VLOOKUP($P1017,Lists!$D$2:$E$5,2,FALSE))))</f>
        <v>Assessment pending</v>
      </c>
    </row>
    <row r="1018" ht="15.75" customHeight="1">
      <c r="A1018" s="35" t="s">
        <v>2656</v>
      </c>
      <c r="B1018" s="35" t="s">
        <v>2657</v>
      </c>
      <c r="C1018" s="35" t="s">
        <v>76</v>
      </c>
      <c r="D1018" s="35" t="s">
        <v>260</v>
      </c>
      <c r="E1018" s="35" t="s">
        <v>530</v>
      </c>
      <c r="F1018" s="35" t="s">
        <v>531</v>
      </c>
      <c r="G1018" s="35" t="s">
        <v>1042</v>
      </c>
      <c r="H1018" s="76">
        <v>17706.0</v>
      </c>
      <c r="I1018" s="35"/>
      <c r="M1018" s="20">
        <f>IF($B1018="","",COUNTIFS('Blocker log'!$A:$A,$B1018,'Blocker log'!$G:$G,"&lt;&gt;"))</f>
        <v>0</v>
      </c>
      <c r="N1018" s="20">
        <f>IF($B1018="","",COUNTIFS('Blocker log'!$A:$A,$B1018,'Blocker log'!$G:$G,"Hard blocker"))</f>
        <v>0</v>
      </c>
      <c r="O1018" s="20">
        <f>IF($B1018="","",COUNTIFS('Blocker log'!$A:$A,$B1018,'Blocker log'!$G:$G,"Hard blocker",'Blocker log'!$L:$L,9))</f>
        <v>0</v>
      </c>
      <c r="P1018" s="20">
        <f>IF($B1018="","",MAXIFS('Blocker log'!$L:$L,'Blocker log'!$A:$A,$B1018,'Blocker log'!$G:$G,"Hard blocker"))</f>
        <v>0</v>
      </c>
      <c r="Q1018" s="20" t="str">
        <f>IF($B1018="","",IF($K1018&lt;&gt;"Complete","Assessment pending",IF($N1018=0,"Ready now",VLOOKUP($P1018,Lists!$D$2:$E$5,2,FALSE))))</f>
        <v>Assessment pending</v>
      </c>
    </row>
    <row r="1019" ht="15.75" customHeight="1">
      <c r="A1019" s="35" t="s">
        <v>2658</v>
      </c>
      <c r="B1019" s="35" t="s">
        <v>2659</v>
      </c>
      <c r="C1019" s="35" t="s">
        <v>76</v>
      </c>
      <c r="D1019" s="35" t="s">
        <v>58</v>
      </c>
      <c r="E1019" s="35" t="s">
        <v>101</v>
      </c>
      <c r="F1019" s="35" t="s">
        <v>116</v>
      </c>
      <c r="G1019" s="35" t="s">
        <v>999</v>
      </c>
      <c r="H1019" s="76">
        <v>17600.0</v>
      </c>
      <c r="I1019" s="35"/>
      <c r="M1019" s="20">
        <f>IF($B1019="","",COUNTIFS('Blocker log'!$A:$A,$B1019,'Blocker log'!$G:$G,"&lt;&gt;"))</f>
        <v>0</v>
      </c>
      <c r="N1019" s="20">
        <f>IF($B1019="","",COUNTIFS('Blocker log'!$A:$A,$B1019,'Blocker log'!$G:$G,"Hard blocker"))</f>
        <v>0</v>
      </c>
      <c r="O1019" s="20">
        <f>IF($B1019="","",COUNTIFS('Blocker log'!$A:$A,$B1019,'Blocker log'!$G:$G,"Hard blocker",'Blocker log'!$L:$L,9))</f>
        <v>0</v>
      </c>
      <c r="P1019" s="20">
        <f>IF($B1019="","",MAXIFS('Blocker log'!$L:$L,'Blocker log'!$A:$A,$B1019,'Blocker log'!$G:$G,"Hard blocker"))</f>
        <v>0</v>
      </c>
      <c r="Q1019" s="20" t="str">
        <f>IF($B1019="","",IF($K1019&lt;&gt;"Complete","Assessment pending",IF($N1019=0,"Ready now",VLOOKUP($P1019,Lists!$D$2:$E$5,2,FALSE))))</f>
        <v>Assessment pending</v>
      </c>
    </row>
    <row r="1020" ht="15.75" customHeight="1">
      <c r="A1020" s="35" t="s">
        <v>2660</v>
      </c>
      <c r="B1020" s="35" t="s">
        <v>2661</v>
      </c>
      <c r="C1020" s="35" t="s">
        <v>1286</v>
      </c>
      <c r="D1020" s="35" t="s">
        <v>171</v>
      </c>
      <c r="E1020" s="35" t="s">
        <v>760</v>
      </c>
      <c r="F1020" s="35" t="s">
        <v>1178</v>
      </c>
      <c r="G1020" s="35" t="s">
        <v>1161</v>
      </c>
      <c r="H1020" s="76">
        <v>17474.0</v>
      </c>
      <c r="I1020" s="35" t="s">
        <v>415</v>
      </c>
      <c r="M1020" s="20">
        <f>IF($B1020="","",COUNTIFS('Blocker log'!$A:$A,$B1020,'Blocker log'!$G:$G,"&lt;&gt;"))</f>
        <v>0</v>
      </c>
      <c r="N1020" s="20">
        <f>IF($B1020="","",COUNTIFS('Blocker log'!$A:$A,$B1020,'Blocker log'!$G:$G,"Hard blocker"))</f>
        <v>0</v>
      </c>
      <c r="O1020" s="20">
        <f>IF($B1020="","",COUNTIFS('Blocker log'!$A:$A,$B1020,'Blocker log'!$G:$G,"Hard blocker",'Blocker log'!$L:$L,9))</f>
        <v>0</v>
      </c>
      <c r="P1020" s="20">
        <f>IF($B1020="","",MAXIFS('Blocker log'!$L:$L,'Blocker log'!$A:$A,$B1020,'Blocker log'!$G:$G,"Hard blocker"))</f>
        <v>0</v>
      </c>
      <c r="Q1020" s="20" t="str">
        <f>IF($B1020="","",IF($K1020&lt;&gt;"Complete","Assessment pending",IF($N1020=0,"Ready now",VLOOKUP($P1020,Lists!$D$2:$E$5,2,FALSE))))</f>
        <v>Assessment pending</v>
      </c>
    </row>
    <row r="1021" ht="15.75" customHeight="1">
      <c r="A1021" s="35" t="s">
        <v>2662</v>
      </c>
      <c r="B1021" s="35" t="s">
        <v>2663</v>
      </c>
      <c r="C1021" s="35" t="s">
        <v>1286</v>
      </c>
      <c r="D1021" s="35" t="s">
        <v>260</v>
      </c>
      <c r="E1021" s="35" t="s">
        <v>576</v>
      </c>
      <c r="F1021" s="35" t="s">
        <v>804</v>
      </c>
      <c r="G1021" s="35" t="s">
        <v>1161</v>
      </c>
      <c r="H1021" s="76">
        <v>17467.0</v>
      </c>
      <c r="I1021" s="35" t="s">
        <v>403</v>
      </c>
      <c r="M1021" s="20">
        <f>IF($B1021="","",COUNTIFS('Blocker log'!$A:$A,$B1021,'Blocker log'!$G:$G,"&lt;&gt;"))</f>
        <v>0</v>
      </c>
      <c r="N1021" s="20">
        <f>IF($B1021="","",COUNTIFS('Blocker log'!$A:$A,$B1021,'Blocker log'!$G:$G,"Hard blocker"))</f>
        <v>0</v>
      </c>
      <c r="O1021" s="20">
        <f>IF($B1021="","",COUNTIFS('Blocker log'!$A:$A,$B1021,'Blocker log'!$G:$G,"Hard blocker",'Blocker log'!$L:$L,9))</f>
        <v>0</v>
      </c>
      <c r="P1021" s="20">
        <f>IF($B1021="","",MAXIFS('Blocker log'!$L:$L,'Blocker log'!$A:$A,$B1021,'Blocker log'!$G:$G,"Hard blocker"))</f>
        <v>0</v>
      </c>
      <c r="Q1021" s="20" t="str">
        <f>IF($B1021="","",IF($K1021&lt;&gt;"Complete","Assessment pending",IF($N1021=0,"Ready now",VLOOKUP($P1021,Lists!$D$2:$E$5,2,FALSE))))</f>
        <v>Assessment pending</v>
      </c>
    </row>
    <row r="1022" ht="15.75" customHeight="1">
      <c r="A1022" s="35" t="s">
        <v>2664</v>
      </c>
      <c r="B1022" s="35" t="s">
        <v>2665</v>
      </c>
      <c r="C1022" s="35" t="s">
        <v>1286</v>
      </c>
      <c r="D1022" s="35" t="s">
        <v>171</v>
      </c>
      <c r="E1022" s="35" t="s">
        <v>542</v>
      </c>
      <c r="F1022" s="35" t="s">
        <v>543</v>
      </c>
      <c r="G1022" s="35" t="s">
        <v>1161</v>
      </c>
      <c r="H1022" s="76">
        <v>17440.0</v>
      </c>
      <c r="I1022" s="35"/>
      <c r="M1022" s="20">
        <f>IF($B1022="","",COUNTIFS('Blocker log'!$A:$A,$B1022,'Blocker log'!$G:$G,"&lt;&gt;"))</f>
        <v>0</v>
      </c>
      <c r="N1022" s="20">
        <f>IF($B1022="","",COUNTIFS('Blocker log'!$A:$A,$B1022,'Blocker log'!$G:$G,"Hard blocker"))</f>
        <v>0</v>
      </c>
      <c r="O1022" s="20">
        <f>IF($B1022="","",COUNTIFS('Blocker log'!$A:$A,$B1022,'Blocker log'!$G:$G,"Hard blocker",'Blocker log'!$L:$L,9))</f>
        <v>0</v>
      </c>
      <c r="P1022" s="20">
        <f>IF($B1022="","",MAXIFS('Blocker log'!$L:$L,'Blocker log'!$A:$A,$B1022,'Blocker log'!$G:$G,"Hard blocker"))</f>
        <v>0</v>
      </c>
      <c r="Q1022" s="20" t="str">
        <f>IF($B1022="","",IF($K1022&lt;&gt;"Complete","Assessment pending",IF($N1022=0,"Ready now",VLOOKUP($P1022,Lists!$D$2:$E$5,2,FALSE))))</f>
        <v>Assessment pending</v>
      </c>
    </row>
    <row r="1023" ht="15.75" customHeight="1">
      <c r="A1023" s="35" t="s">
        <v>2666</v>
      </c>
      <c r="B1023" s="35" t="s">
        <v>2667</v>
      </c>
      <c r="C1023" s="35" t="s">
        <v>1286</v>
      </c>
      <c r="D1023" s="35" t="s">
        <v>58</v>
      </c>
      <c r="E1023" s="35" t="s">
        <v>101</v>
      </c>
      <c r="F1023" s="35" t="s">
        <v>554</v>
      </c>
      <c r="G1023" s="35" t="s">
        <v>1161</v>
      </c>
      <c r="H1023" s="76">
        <v>17392.0</v>
      </c>
      <c r="I1023" s="35" t="s">
        <v>448</v>
      </c>
      <c r="M1023" s="20">
        <f>IF($B1023="","",COUNTIFS('Blocker log'!$A:$A,$B1023,'Blocker log'!$G:$G,"&lt;&gt;"))</f>
        <v>0</v>
      </c>
      <c r="N1023" s="20">
        <f>IF($B1023="","",COUNTIFS('Blocker log'!$A:$A,$B1023,'Blocker log'!$G:$G,"Hard blocker"))</f>
        <v>0</v>
      </c>
      <c r="O1023" s="20">
        <f>IF($B1023="","",COUNTIFS('Blocker log'!$A:$A,$B1023,'Blocker log'!$G:$G,"Hard blocker",'Blocker log'!$L:$L,9))</f>
        <v>0</v>
      </c>
      <c r="P1023" s="20">
        <f>IF($B1023="","",MAXIFS('Blocker log'!$L:$L,'Blocker log'!$A:$A,$B1023,'Blocker log'!$G:$G,"Hard blocker"))</f>
        <v>0</v>
      </c>
      <c r="Q1023" s="20" t="str">
        <f>IF($B1023="","",IF($K1023&lt;&gt;"Complete","Assessment pending",IF($N1023=0,"Ready now",VLOOKUP($P1023,Lists!$D$2:$E$5,2,FALSE))))</f>
        <v>Assessment pending</v>
      </c>
    </row>
    <row r="1024" ht="15.75" customHeight="1">
      <c r="A1024" s="35" t="s">
        <v>2668</v>
      </c>
      <c r="B1024" s="35" t="s">
        <v>2669</v>
      </c>
      <c r="C1024" s="35" t="s">
        <v>1286</v>
      </c>
      <c r="D1024" s="35" t="s">
        <v>260</v>
      </c>
      <c r="E1024" s="35" t="s">
        <v>351</v>
      </c>
      <c r="F1024" s="35" t="s">
        <v>1948</v>
      </c>
      <c r="G1024" s="35" t="s">
        <v>1161</v>
      </c>
      <c r="H1024" s="76">
        <v>17332.0</v>
      </c>
      <c r="I1024" s="35" t="s">
        <v>430</v>
      </c>
      <c r="M1024" s="20">
        <f>IF($B1024="","",COUNTIFS('Blocker log'!$A:$A,$B1024,'Blocker log'!$G:$G,"&lt;&gt;"))</f>
        <v>0</v>
      </c>
      <c r="N1024" s="20">
        <f>IF($B1024="","",COUNTIFS('Blocker log'!$A:$A,$B1024,'Blocker log'!$G:$G,"Hard blocker"))</f>
        <v>0</v>
      </c>
      <c r="O1024" s="20">
        <f>IF($B1024="","",COUNTIFS('Blocker log'!$A:$A,$B1024,'Blocker log'!$G:$G,"Hard blocker",'Blocker log'!$L:$L,9))</f>
        <v>0</v>
      </c>
      <c r="P1024" s="20">
        <f>IF($B1024="","",MAXIFS('Blocker log'!$L:$L,'Blocker log'!$A:$A,$B1024,'Blocker log'!$G:$G,"Hard blocker"))</f>
        <v>0</v>
      </c>
      <c r="Q1024" s="20" t="str">
        <f>IF($B1024="","",IF($K1024&lt;&gt;"Complete","Assessment pending",IF($N1024=0,"Ready now",VLOOKUP($P1024,Lists!$D$2:$E$5,2,FALSE))))</f>
        <v>Assessment pending</v>
      </c>
    </row>
    <row r="1025" ht="15.75" customHeight="1">
      <c r="A1025" s="35" t="s">
        <v>2670</v>
      </c>
      <c r="B1025" s="35" t="s">
        <v>2671</v>
      </c>
      <c r="C1025" s="35" t="s">
        <v>1286</v>
      </c>
      <c r="D1025" s="35" t="s">
        <v>260</v>
      </c>
      <c r="E1025" s="35" t="s">
        <v>506</v>
      </c>
      <c r="F1025" s="35" t="s">
        <v>708</v>
      </c>
      <c r="G1025" s="35" t="s">
        <v>1161</v>
      </c>
      <c r="H1025" s="76">
        <v>17273.0</v>
      </c>
      <c r="I1025" s="35" t="s">
        <v>440</v>
      </c>
      <c r="M1025" s="20">
        <f>IF($B1025="","",COUNTIFS('Blocker log'!$A:$A,$B1025,'Blocker log'!$G:$G,"&lt;&gt;"))</f>
        <v>0</v>
      </c>
      <c r="N1025" s="20">
        <f>IF($B1025="","",COUNTIFS('Blocker log'!$A:$A,$B1025,'Blocker log'!$G:$G,"Hard blocker"))</f>
        <v>0</v>
      </c>
      <c r="O1025" s="20">
        <f>IF($B1025="","",COUNTIFS('Blocker log'!$A:$A,$B1025,'Blocker log'!$G:$G,"Hard blocker",'Blocker log'!$L:$L,9))</f>
        <v>0</v>
      </c>
      <c r="P1025" s="20">
        <f>IF($B1025="","",MAXIFS('Blocker log'!$L:$L,'Blocker log'!$A:$A,$B1025,'Blocker log'!$G:$G,"Hard blocker"))</f>
        <v>0</v>
      </c>
      <c r="Q1025" s="20" t="str">
        <f>IF($B1025="","",IF($K1025&lt;&gt;"Complete","Assessment pending",IF($N1025=0,"Ready now",VLOOKUP($P1025,Lists!$D$2:$E$5,2,FALSE))))</f>
        <v>Assessment pending</v>
      </c>
    </row>
    <row r="1026" ht="15.75" customHeight="1">
      <c r="A1026" s="35" t="s">
        <v>2672</v>
      </c>
      <c r="B1026" s="35" t="s">
        <v>2673</v>
      </c>
      <c r="C1026" s="35" t="s">
        <v>76</v>
      </c>
      <c r="D1026" s="35" t="s">
        <v>260</v>
      </c>
      <c r="E1026" s="35" t="s">
        <v>1096</v>
      </c>
      <c r="F1026" s="35" t="s">
        <v>1366</v>
      </c>
      <c r="G1026" s="35" t="s">
        <v>977</v>
      </c>
      <c r="H1026" s="76">
        <v>17273.0</v>
      </c>
      <c r="I1026" s="35"/>
      <c r="M1026" s="20">
        <f>IF($B1026="","",COUNTIFS('Blocker log'!$A:$A,$B1026,'Blocker log'!$G:$G,"&lt;&gt;"))</f>
        <v>0</v>
      </c>
      <c r="N1026" s="20">
        <f>IF($B1026="","",COUNTIFS('Blocker log'!$A:$A,$B1026,'Blocker log'!$G:$G,"Hard blocker"))</f>
        <v>0</v>
      </c>
      <c r="O1026" s="20">
        <f>IF($B1026="","",COUNTIFS('Blocker log'!$A:$A,$B1026,'Blocker log'!$G:$G,"Hard blocker",'Blocker log'!$L:$L,9))</f>
        <v>0</v>
      </c>
      <c r="P1026" s="20">
        <f>IF($B1026="","",MAXIFS('Blocker log'!$L:$L,'Blocker log'!$A:$A,$B1026,'Blocker log'!$G:$G,"Hard blocker"))</f>
        <v>0</v>
      </c>
      <c r="Q1026" s="20" t="str">
        <f>IF($B1026="","",IF($K1026&lt;&gt;"Complete","Assessment pending",IF($N1026=0,"Ready now",VLOOKUP($P1026,Lists!$D$2:$E$5,2,FALSE))))</f>
        <v>Assessment pending</v>
      </c>
    </row>
    <row r="1027" ht="15.75" customHeight="1">
      <c r="A1027" s="35" t="s">
        <v>2674</v>
      </c>
      <c r="B1027" s="35" t="s">
        <v>2675</v>
      </c>
      <c r="C1027" s="35" t="s">
        <v>1286</v>
      </c>
      <c r="D1027" s="35" t="s">
        <v>58</v>
      </c>
      <c r="E1027" s="35" t="s">
        <v>59</v>
      </c>
      <c r="F1027" s="35" t="s">
        <v>598</v>
      </c>
      <c r="G1027" s="35" t="s">
        <v>1161</v>
      </c>
      <c r="H1027" s="76">
        <v>17228.0</v>
      </c>
      <c r="I1027" s="35" t="s">
        <v>448</v>
      </c>
      <c r="M1027" s="20">
        <f>IF($B1027="","",COUNTIFS('Blocker log'!$A:$A,$B1027,'Blocker log'!$G:$G,"&lt;&gt;"))</f>
        <v>0</v>
      </c>
      <c r="N1027" s="20">
        <f>IF($B1027="","",COUNTIFS('Blocker log'!$A:$A,$B1027,'Blocker log'!$G:$G,"Hard blocker"))</f>
        <v>0</v>
      </c>
      <c r="O1027" s="20">
        <f>IF($B1027="","",COUNTIFS('Blocker log'!$A:$A,$B1027,'Blocker log'!$G:$G,"Hard blocker",'Blocker log'!$L:$L,9))</f>
        <v>0</v>
      </c>
      <c r="P1027" s="20">
        <f>IF($B1027="","",MAXIFS('Blocker log'!$L:$L,'Blocker log'!$A:$A,$B1027,'Blocker log'!$G:$G,"Hard blocker"))</f>
        <v>0</v>
      </c>
      <c r="Q1027" s="20" t="str">
        <f>IF($B1027="","",IF($K1027&lt;&gt;"Complete","Assessment pending",IF($N1027=0,"Ready now",VLOOKUP($P1027,Lists!$D$2:$E$5,2,FALSE))))</f>
        <v>Assessment pending</v>
      </c>
    </row>
    <row r="1028" ht="15.75" customHeight="1">
      <c r="A1028" s="35" t="s">
        <v>2676</v>
      </c>
      <c r="B1028" s="35" t="s">
        <v>2677</v>
      </c>
      <c r="C1028" s="35" t="s">
        <v>1286</v>
      </c>
      <c r="D1028" s="35" t="s">
        <v>171</v>
      </c>
      <c r="E1028" s="35" t="s">
        <v>205</v>
      </c>
      <c r="F1028" s="35" t="s">
        <v>916</v>
      </c>
      <c r="G1028" s="35" t="s">
        <v>1161</v>
      </c>
      <c r="H1028" s="76">
        <v>17225.0</v>
      </c>
      <c r="I1028" s="35"/>
      <c r="M1028" s="20">
        <f>IF($B1028="","",COUNTIFS('Blocker log'!$A:$A,$B1028,'Blocker log'!$G:$G,"&lt;&gt;"))</f>
        <v>0</v>
      </c>
      <c r="N1028" s="20">
        <f>IF($B1028="","",COUNTIFS('Blocker log'!$A:$A,$B1028,'Blocker log'!$G:$G,"Hard blocker"))</f>
        <v>0</v>
      </c>
      <c r="O1028" s="20">
        <f>IF($B1028="","",COUNTIFS('Blocker log'!$A:$A,$B1028,'Blocker log'!$G:$G,"Hard blocker",'Blocker log'!$L:$L,9))</f>
        <v>0</v>
      </c>
      <c r="P1028" s="20">
        <f>IF($B1028="","",MAXIFS('Blocker log'!$L:$L,'Blocker log'!$A:$A,$B1028,'Blocker log'!$G:$G,"Hard blocker"))</f>
        <v>0</v>
      </c>
      <c r="Q1028" s="20" t="str">
        <f>IF($B1028="","",IF($K1028&lt;&gt;"Complete","Assessment pending",IF($N1028=0,"Ready now",VLOOKUP($P1028,Lists!$D$2:$E$5,2,FALSE))))</f>
        <v>Assessment pending</v>
      </c>
    </row>
    <row r="1029" ht="15.75" customHeight="1">
      <c r="A1029" s="35" t="s">
        <v>2678</v>
      </c>
      <c r="B1029" s="35" t="s">
        <v>2679</v>
      </c>
      <c r="C1029" s="35" t="s">
        <v>1286</v>
      </c>
      <c r="D1029" s="35" t="s">
        <v>260</v>
      </c>
      <c r="E1029" s="35" t="s">
        <v>1096</v>
      </c>
      <c r="F1029" s="35" t="s">
        <v>1097</v>
      </c>
      <c r="G1029" s="35" t="s">
        <v>1161</v>
      </c>
      <c r="H1029" s="76">
        <v>17128.0</v>
      </c>
      <c r="I1029" s="35" t="s">
        <v>416</v>
      </c>
      <c r="M1029" s="20">
        <f>IF($B1029="","",COUNTIFS('Blocker log'!$A:$A,$B1029,'Blocker log'!$G:$G,"&lt;&gt;"))</f>
        <v>0</v>
      </c>
      <c r="N1029" s="20">
        <f>IF($B1029="","",COUNTIFS('Blocker log'!$A:$A,$B1029,'Blocker log'!$G:$G,"Hard blocker"))</f>
        <v>0</v>
      </c>
      <c r="O1029" s="20">
        <f>IF($B1029="","",COUNTIFS('Blocker log'!$A:$A,$B1029,'Blocker log'!$G:$G,"Hard blocker",'Blocker log'!$L:$L,9))</f>
        <v>0</v>
      </c>
      <c r="P1029" s="20">
        <f>IF($B1029="","",MAXIFS('Blocker log'!$L:$L,'Blocker log'!$A:$A,$B1029,'Blocker log'!$G:$G,"Hard blocker"))</f>
        <v>0</v>
      </c>
      <c r="Q1029" s="20" t="str">
        <f>IF($B1029="","",IF($K1029&lt;&gt;"Complete","Assessment pending",IF($N1029=0,"Ready now",VLOOKUP($P1029,Lists!$D$2:$E$5,2,FALSE))))</f>
        <v>Assessment pending</v>
      </c>
    </row>
    <row r="1030" ht="15.75" customHeight="1">
      <c r="A1030" s="35" t="s">
        <v>2680</v>
      </c>
      <c r="B1030" s="35" t="s">
        <v>2681</v>
      </c>
      <c r="C1030" s="35" t="s">
        <v>1286</v>
      </c>
      <c r="D1030" s="35" t="s">
        <v>58</v>
      </c>
      <c r="E1030" s="35" t="s">
        <v>101</v>
      </c>
      <c r="F1030" s="35" t="s">
        <v>1386</v>
      </c>
      <c r="G1030" s="35" t="s">
        <v>1042</v>
      </c>
      <c r="H1030" s="76">
        <v>17104.0</v>
      </c>
      <c r="I1030" s="35" t="s">
        <v>405</v>
      </c>
      <c r="M1030" s="20">
        <f>IF($B1030="","",COUNTIFS('Blocker log'!$A:$A,$B1030,'Blocker log'!$G:$G,"&lt;&gt;"))</f>
        <v>0</v>
      </c>
      <c r="N1030" s="20">
        <f>IF($B1030="","",COUNTIFS('Blocker log'!$A:$A,$B1030,'Blocker log'!$G:$G,"Hard blocker"))</f>
        <v>0</v>
      </c>
      <c r="O1030" s="20">
        <f>IF($B1030="","",COUNTIFS('Blocker log'!$A:$A,$B1030,'Blocker log'!$G:$G,"Hard blocker",'Blocker log'!$L:$L,9))</f>
        <v>0</v>
      </c>
      <c r="P1030" s="20">
        <f>IF($B1030="","",MAXIFS('Blocker log'!$L:$L,'Blocker log'!$A:$A,$B1030,'Blocker log'!$G:$G,"Hard blocker"))</f>
        <v>0</v>
      </c>
      <c r="Q1030" s="20" t="str">
        <f>IF($B1030="","",IF($K1030&lt;&gt;"Complete","Assessment pending",IF($N1030=0,"Ready now",VLOOKUP($P1030,Lists!$D$2:$E$5,2,FALSE))))</f>
        <v>Assessment pending</v>
      </c>
    </row>
    <row r="1031" ht="15.75" customHeight="1">
      <c r="A1031" s="35" t="s">
        <v>2682</v>
      </c>
      <c r="B1031" s="35" t="s">
        <v>2683</v>
      </c>
      <c r="C1031" s="35" t="s">
        <v>1286</v>
      </c>
      <c r="D1031" s="35" t="s">
        <v>171</v>
      </c>
      <c r="E1031" s="35" t="s">
        <v>512</v>
      </c>
      <c r="F1031" s="35" t="s">
        <v>1410</v>
      </c>
      <c r="G1031" s="35" t="s">
        <v>1161</v>
      </c>
      <c r="H1031" s="76">
        <v>17103.0</v>
      </c>
      <c r="I1031" s="35"/>
      <c r="M1031" s="20">
        <f>IF($B1031="","",COUNTIFS('Blocker log'!$A:$A,$B1031,'Blocker log'!$G:$G,"&lt;&gt;"))</f>
        <v>0</v>
      </c>
      <c r="N1031" s="20">
        <f>IF($B1031="","",COUNTIFS('Blocker log'!$A:$A,$B1031,'Blocker log'!$G:$G,"Hard blocker"))</f>
        <v>0</v>
      </c>
      <c r="O1031" s="20">
        <f>IF($B1031="","",COUNTIFS('Blocker log'!$A:$A,$B1031,'Blocker log'!$G:$G,"Hard blocker",'Blocker log'!$L:$L,9))</f>
        <v>0</v>
      </c>
      <c r="P1031" s="20">
        <f>IF($B1031="","",MAXIFS('Blocker log'!$L:$L,'Blocker log'!$A:$A,$B1031,'Blocker log'!$G:$G,"Hard blocker"))</f>
        <v>0</v>
      </c>
      <c r="Q1031" s="20" t="str">
        <f>IF($B1031="","",IF($K1031&lt;&gt;"Complete","Assessment pending",IF($N1031=0,"Ready now",VLOOKUP($P1031,Lists!$D$2:$E$5,2,FALSE))))</f>
        <v>Assessment pending</v>
      </c>
    </row>
    <row r="1032" ht="15.75" customHeight="1">
      <c r="A1032" s="35" t="s">
        <v>2684</v>
      </c>
      <c r="B1032" s="35" t="s">
        <v>2685</v>
      </c>
      <c r="C1032" s="35" t="s">
        <v>1286</v>
      </c>
      <c r="D1032" s="35" t="s">
        <v>260</v>
      </c>
      <c r="E1032" s="35" t="s">
        <v>506</v>
      </c>
      <c r="F1032" s="35" t="s">
        <v>708</v>
      </c>
      <c r="G1032" s="35" t="s">
        <v>1161</v>
      </c>
      <c r="H1032" s="76">
        <v>16813.0</v>
      </c>
      <c r="I1032" s="35" t="s">
        <v>440</v>
      </c>
      <c r="M1032" s="20">
        <f>IF($B1032="","",COUNTIFS('Blocker log'!$A:$A,$B1032,'Blocker log'!$G:$G,"&lt;&gt;"))</f>
        <v>0</v>
      </c>
      <c r="N1032" s="20">
        <f>IF($B1032="","",COUNTIFS('Blocker log'!$A:$A,$B1032,'Blocker log'!$G:$G,"Hard blocker"))</f>
        <v>0</v>
      </c>
      <c r="O1032" s="20">
        <f>IF($B1032="","",COUNTIFS('Blocker log'!$A:$A,$B1032,'Blocker log'!$G:$G,"Hard blocker",'Blocker log'!$L:$L,9))</f>
        <v>0</v>
      </c>
      <c r="P1032" s="20">
        <f>IF($B1032="","",MAXIFS('Blocker log'!$L:$L,'Blocker log'!$A:$A,$B1032,'Blocker log'!$G:$G,"Hard blocker"))</f>
        <v>0</v>
      </c>
      <c r="Q1032" s="20" t="str">
        <f>IF($B1032="","",IF($K1032&lt;&gt;"Complete","Assessment pending",IF($N1032=0,"Ready now",VLOOKUP($P1032,Lists!$D$2:$E$5,2,FALSE))))</f>
        <v>Assessment pending</v>
      </c>
    </row>
    <row r="1033" ht="15.75" customHeight="1">
      <c r="A1033" s="35" t="s">
        <v>2686</v>
      </c>
      <c r="B1033" s="35" t="s">
        <v>2687</v>
      </c>
      <c r="C1033" s="35" t="s">
        <v>1286</v>
      </c>
      <c r="D1033" s="35" t="s">
        <v>58</v>
      </c>
      <c r="E1033" s="35" t="s">
        <v>101</v>
      </c>
      <c r="F1033" s="35" t="s">
        <v>116</v>
      </c>
      <c r="G1033" s="35" t="s">
        <v>1042</v>
      </c>
      <c r="H1033" s="76">
        <v>16800.0</v>
      </c>
      <c r="I1033" s="35" t="s">
        <v>448</v>
      </c>
      <c r="M1033" s="20">
        <f>IF($B1033="","",COUNTIFS('Blocker log'!$A:$A,$B1033,'Blocker log'!$G:$G,"&lt;&gt;"))</f>
        <v>0</v>
      </c>
      <c r="N1033" s="20">
        <f>IF($B1033="","",COUNTIFS('Blocker log'!$A:$A,$B1033,'Blocker log'!$G:$G,"Hard blocker"))</f>
        <v>0</v>
      </c>
      <c r="O1033" s="20">
        <f>IF($B1033="","",COUNTIFS('Blocker log'!$A:$A,$B1033,'Blocker log'!$G:$G,"Hard blocker",'Blocker log'!$L:$L,9))</f>
        <v>0</v>
      </c>
      <c r="P1033" s="20">
        <f>IF($B1033="","",MAXIFS('Blocker log'!$L:$L,'Blocker log'!$A:$A,$B1033,'Blocker log'!$G:$G,"Hard blocker"))</f>
        <v>0</v>
      </c>
      <c r="Q1033" s="20" t="str">
        <f>IF($B1033="","",IF($K1033&lt;&gt;"Complete","Assessment pending",IF($N1033=0,"Ready now",VLOOKUP($P1033,Lists!$D$2:$E$5,2,FALSE))))</f>
        <v>Assessment pending</v>
      </c>
    </row>
    <row r="1034" ht="15.75" customHeight="1">
      <c r="A1034" s="35" t="s">
        <v>2688</v>
      </c>
      <c r="B1034" s="35" t="s">
        <v>2689</v>
      </c>
      <c r="C1034" s="35" t="s">
        <v>1286</v>
      </c>
      <c r="D1034" s="35" t="s">
        <v>260</v>
      </c>
      <c r="E1034" s="35" t="s">
        <v>1096</v>
      </c>
      <c r="F1034" s="35" t="s">
        <v>1650</v>
      </c>
      <c r="G1034" s="35" t="s">
        <v>1161</v>
      </c>
      <c r="H1034" s="76">
        <v>16769.0</v>
      </c>
      <c r="I1034" s="35" t="s">
        <v>416</v>
      </c>
      <c r="M1034" s="20">
        <f>IF($B1034="","",COUNTIFS('Blocker log'!$A:$A,$B1034,'Blocker log'!$G:$G,"&lt;&gt;"))</f>
        <v>0</v>
      </c>
      <c r="N1034" s="20">
        <f>IF($B1034="","",COUNTIFS('Blocker log'!$A:$A,$B1034,'Blocker log'!$G:$G,"Hard blocker"))</f>
        <v>0</v>
      </c>
      <c r="O1034" s="20">
        <f>IF($B1034="","",COUNTIFS('Blocker log'!$A:$A,$B1034,'Blocker log'!$G:$G,"Hard blocker",'Blocker log'!$L:$L,9))</f>
        <v>0</v>
      </c>
      <c r="P1034" s="20">
        <f>IF($B1034="","",MAXIFS('Blocker log'!$L:$L,'Blocker log'!$A:$A,$B1034,'Blocker log'!$G:$G,"Hard blocker"))</f>
        <v>0</v>
      </c>
      <c r="Q1034" s="20" t="str">
        <f>IF($B1034="","",IF($K1034&lt;&gt;"Complete","Assessment pending",IF($N1034=0,"Ready now",VLOOKUP($P1034,Lists!$D$2:$E$5,2,FALSE))))</f>
        <v>Assessment pending</v>
      </c>
    </row>
    <row r="1035" ht="15.75" customHeight="1">
      <c r="A1035" s="35" t="s">
        <v>2690</v>
      </c>
      <c r="B1035" s="35" t="s">
        <v>2691</v>
      </c>
      <c r="C1035" s="35" t="s">
        <v>1286</v>
      </c>
      <c r="D1035" s="35" t="s">
        <v>260</v>
      </c>
      <c r="E1035" s="35" t="s">
        <v>1096</v>
      </c>
      <c r="F1035" s="35" t="s">
        <v>1650</v>
      </c>
      <c r="G1035" s="35" t="s">
        <v>1161</v>
      </c>
      <c r="H1035" s="76">
        <v>16762.0</v>
      </c>
      <c r="I1035" s="35"/>
      <c r="M1035" s="20">
        <f>IF($B1035="","",COUNTIFS('Blocker log'!$A:$A,$B1035,'Blocker log'!$G:$G,"&lt;&gt;"))</f>
        <v>0</v>
      </c>
      <c r="N1035" s="20">
        <f>IF($B1035="","",COUNTIFS('Blocker log'!$A:$A,$B1035,'Blocker log'!$G:$G,"Hard blocker"))</f>
        <v>0</v>
      </c>
      <c r="O1035" s="20">
        <f>IF($B1035="","",COUNTIFS('Blocker log'!$A:$A,$B1035,'Blocker log'!$G:$G,"Hard blocker",'Blocker log'!$L:$L,9))</f>
        <v>0</v>
      </c>
      <c r="P1035" s="20">
        <f>IF($B1035="","",MAXIFS('Blocker log'!$L:$L,'Blocker log'!$A:$A,$B1035,'Blocker log'!$G:$G,"Hard blocker"))</f>
        <v>0</v>
      </c>
      <c r="Q1035" s="20" t="str">
        <f>IF($B1035="","",IF($K1035&lt;&gt;"Complete","Assessment pending",IF($N1035=0,"Ready now",VLOOKUP($P1035,Lists!$D$2:$E$5,2,FALSE))))</f>
        <v>Assessment pending</v>
      </c>
    </row>
    <row r="1036" ht="15.75" customHeight="1">
      <c r="A1036" s="35" t="s">
        <v>2692</v>
      </c>
      <c r="B1036" s="35" t="s">
        <v>2355</v>
      </c>
      <c r="C1036" s="35" t="s">
        <v>1286</v>
      </c>
      <c r="D1036" s="35" t="s">
        <v>171</v>
      </c>
      <c r="E1036" s="35" t="s">
        <v>1465</v>
      </c>
      <c r="F1036" s="35" t="s">
        <v>2356</v>
      </c>
      <c r="G1036" s="35" t="s">
        <v>1161</v>
      </c>
      <c r="H1036" s="76">
        <v>16608.0</v>
      </c>
      <c r="I1036" s="35" t="s">
        <v>415</v>
      </c>
      <c r="M1036" s="20">
        <f>IF($B1036="","",COUNTIFS('Blocker log'!$A:$A,$B1036,'Blocker log'!$G:$G,"&lt;&gt;"))</f>
        <v>0</v>
      </c>
      <c r="N1036" s="20">
        <f>IF($B1036="","",COUNTIFS('Blocker log'!$A:$A,$B1036,'Blocker log'!$G:$G,"Hard blocker"))</f>
        <v>0</v>
      </c>
      <c r="O1036" s="20">
        <f>IF($B1036="","",COUNTIFS('Blocker log'!$A:$A,$B1036,'Blocker log'!$G:$G,"Hard blocker",'Blocker log'!$L:$L,9))</f>
        <v>0</v>
      </c>
      <c r="P1036" s="20">
        <f>IF($B1036="","",MAXIFS('Blocker log'!$L:$L,'Blocker log'!$A:$A,$B1036,'Blocker log'!$G:$G,"Hard blocker"))</f>
        <v>0</v>
      </c>
      <c r="Q1036" s="20" t="str">
        <f>IF($B1036="","",IF($K1036&lt;&gt;"Complete","Assessment pending",IF($N1036=0,"Ready now",VLOOKUP($P1036,Lists!$D$2:$E$5,2,FALSE))))</f>
        <v>Assessment pending</v>
      </c>
    </row>
    <row r="1037" ht="15.75" customHeight="1">
      <c r="A1037" s="35" t="s">
        <v>2693</v>
      </c>
      <c r="B1037" s="35" t="s">
        <v>2694</v>
      </c>
      <c r="C1037" s="35" t="s">
        <v>1286</v>
      </c>
      <c r="D1037" s="35" t="s">
        <v>260</v>
      </c>
      <c r="E1037" s="35" t="s">
        <v>1096</v>
      </c>
      <c r="F1037" s="35" t="s">
        <v>1366</v>
      </c>
      <c r="G1037" s="35" t="s">
        <v>1161</v>
      </c>
      <c r="H1037" s="76">
        <v>16464.0</v>
      </c>
      <c r="I1037" s="35"/>
      <c r="M1037" s="20">
        <f>IF($B1037="","",COUNTIFS('Blocker log'!$A:$A,$B1037,'Blocker log'!$G:$G,"&lt;&gt;"))</f>
        <v>0</v>
      </c>
      <c r="N1037" s="20">
        <f>IF($B1037="","",COUNTIFS('Blocker log'!$A:$A,$B1037,'Blocker log'!$G:$G,"Hard blocker"))</f>
        <v>0</v>
      </c>
      <c r="O1037" s="20">
        <f>IF($B1037="","",COUNTIFS('Blocker log'!$A:$A,$B1037,'Blocker log'!$G:$G,"Hard blocker",'Blocker log'!$L:$L,9))</f>
        <v>0</v>
      </c>
      <c r="P1037" s="20">
        <f>IF($B1037="","",MAXIFS('Blocker log'!$L:$L,'Blocker log'!$A:$A,$B1037,'Blocker log'!$G:$G,"Hard blocker"))</f>
        <v>0</v>
      </c>
      <c r="Q1037" s="20" t="str">
        <f>IF($B1037="","",IF($K1037&lt;&gt;"Complete","Assessment pending",IF($N1037=0,"Ready now",VLOOKUP($P1037,Lists!$D$2:$E$5,2,FALSE))))</f>
        <v>Assessment pending</v>
      </c>
    </row>
    <row r="1038" ht="15.75" customHeight="1">
      <c r="A1038" s="35" t="s">
        <v>2695</v>
      </c>
      <c r="B1038" s="35" t="s">
        <v>2696</v>
      </c>
      <c r="C1038" s="35" t="s">
        <v>1286</v>
      </c>
      <c r="D1038" s="35" t="s">
        <v>58</v>
      </c>
      <c r="E1038" s="35" t="s">
        <v>59</v>
      </c>
      <c r="F1038" s="35" t="s">
        <v>598</v>
      </c>
      <c r="G1038" s="35" t="s">
        <v>1161</v>
      </c>
      <c r="H1038" s="76">
        <v>16432.0</v>
      </c>
      <c r="I1038" s="35"/>
      <c r="M1038" s="20">
        <f>IF($B1038="","",COUNTIFS('Blocker log'!$A:$A,$B1038,'Blocker log'!$G:$G,"&lt;&gt;"))</f>
        <v>0</v>
      </c>
      <c r="N1038" s="20">
        <f>IF($B1038="","",COUNTIFS('Blocker log'!$A:$A,$B1038,'Blocker log'!$G:$G,"Hard blocker"))</f>
        <v>0</v>
      </c>
      <c r="O1038" s="20">
        <f>IF($B1038="","",COUNTIFS('Blocker log'!$A:$A,$B1038,'Blocker log'!$G:$G,"Hard blocker",'Blocker log'!$L:$L,9))</f>
        <v>0</v>
      </c>
      <c r="P1038" s="20">
        <f>IF($B1038="","",MAXIFS('Blocker log'!$L:$L,'Blocker log'!$A:$A,$B1038,'Blocker log'!$G:$G,"Hard blocker"))</f>
        <v>0</v>
      </c>
      <c r="Q1038" s="20" t="str">
        <f>IF($B1038="","",IF($K1038&lt;&gt;"Complete","Assessment pending",IF($N1038=0,"Ready now",VLOOKUP($P1038,Lists!$D$2:$E$5,2,FALSE))))</f>
        <v>Assessment pending</v>
      </c>
    </row>
    <row r="1039" ht="15.75" customHeight="1">
      <c r="A1039" s="35" t="s">
        <v>2697</v>
      </c>
      <c r="B1039" s="35" t="s">
        <v>2698</v>
      </c>
      <c r="C1039" s="35" t="s">
        <v>1286</v>
      </c>
      <c r="D1039" s="35" t="s">
        <v>260</v>
      </c>
      <c r="E1039" s="35" t="s">
        <v>506</v>
      </c>
      <c r="F1039" s="35" t="s">
        <v>708</v>
      </c>
      <c r="G1039" s="35" t="s">
        <v>1161</v>
      </c>
      <c r="H1039" s="76">
        <v>16416.0</v>
      </c>
      <c r="I1039" s="35" t="s">
        <v>417</v>
      </c>
      <c r="M1039" s="20">
        <f>IF($B1039="","",COUNTIFS('Blocker log'!$A:$A,$B1039,'Blocker log'!$G:$G,"&lt;&gt;"))</f>
        <v>0</v>
      </c>
      <c r="N1039" s="20">
        <f>IF($B1039="","",COUNTIFS('Blocker log'!$A:$A,$B1039,'Blocker log'!$G:$G,"Hard blocker"))</f>
        <v>0</v>
      </c>
      <c r="O1039" s="20">
        <f>IF($B1039="","",COUNTIFS('Blocker log'!$A:$A,$B1039,'Blocker log'!$G:$G,"Hard blocker",'Blocker log'!$L:$L,9))</f>
        <v>0</v>
      </c>
      <c r="P1039" s="20">
        <f>IF($B1039="","",MAXIFS('Blocker log'!$L:$L,'Blocker log'!$A:$A,$B1039,'Blocker log'!$G:$G,"Hard blocker"))</f>
        <v>0</v>
      </c>
      <c r="Q1039" s="20" t="str">
        <f>IF($B1039="","",IF($K1039&lt;&gt;"Complete","Assessment pending",IF($N1039=0,"Ready now",VLOOKUP($P1039,Lists!$D$2:$E$5,2,FALSE))))</f>
        <v>Assessment pending</v>
      </c>
    </row>
    <row r="1040" ht="15.75" customHeight="1">
      <c r="A1040" s="35" t="s">
        <v>2699</v>
      </c>
      <c r="B1040" s="35" t="s">
        <v>2700</v>
      </c>
      <c r="C1040" s="35" t="s">
        <v>1286</v>
      </c>
      <c r="D1040" s="35" t="s">
        <v>58</v>
      </c>
      <c r="E1040" s="35" t="s">
        <v>1315</v>
      </c>
      <c r="F1040" s="35" t="s">
        <v>1315</v>
      </c>
      <c r="G1040" s="35" t="s">
        <v>1161</v>
      </c>
      <c r="H1040" s="76">
        <v>16400.0</v>
      </c>
      <c r="I1040" s="35" t="s">
        <v>443</v>
      </c>
      <c r="M1040" s="20">
        <f>IF($B1040="","",COUNTIFS('Blocker log'!$A:$A,$B1040,'Blocker log'!$G:$G,"&lt;&gt;"))</f>
        <v>0</v>
      </c>
      <c r="N1040" s="20">
        <f>IF($B1040="","",COUNTIFS('Blocker log'!$A:$A,$B1040,'Blocker log'!$G:$G,"Hard blocker"))</f>
        <v>0</v>
      </c>
      <c r="O1040" s="20">
        <f>IF($B1040="","",COUNTIFS('Blocker log'!$A:$A,$B1040,'Blocker log'!$G:$G,"Hard blocker",'Blocker log'!$L:$L,9))</f>
        <v>0</v>
      </c>
      <c r="P1040" s="20">
        <f>IF($B1040="","",MAXIFS('Blocker log'!$L:$L,'Blocker log'!$A:$A,$B1040,'Blocker log'!$G:$G,"Hard blocker"))</f>
        <v>0</v>
      </c>
      <c r="Q1040" s="20" t="str">
        <f>IF($B1040="","",IF($K1040&lt;&gt;"Complete","Assessment pending",IF($N1040=0,"Ready now",VLOOKUP($P1040,Lists!$D$2:$E$5,2,FALSE))))</f>
        <v>Assessment pending</v>
      </c>
    </row>
    <row r="1041" ht="15.75" customHeight="1">
      <c r="A1041" s="35" t="s">
        <v>2701</v>
      </c>
      <c r="B1041" s="35" t="s">
        <v>2702</v>
      </c>
      <c r="C1041" s="35" t="s">
        <v>1286</v>
      </c>
      <c r="D1041" s="35" t="s">
        <v>171</v>
      </c>
      <c r="E1041" s="35" t="s">
        <v>205</v>
      </c>
      <c r="F1041" s="35" t="s">
        <v>206</v>
      </c>
      <c r="G1041" s="35" t="s">
        <v>1161</v>
      </c>
      <c r="H1041" s="76">
        <v>16362.0</v>
      </c>
      <c r="I1041" s="35"/>
      <c r="M1041" s="20">
        <f>IF($B1041="","",COUNTIFS('Blocker log'!$A:$A,$B1041,'Blocker log'!$G:$G,"&lt;&gt;"))</f>
        <v>0</v>
      </c>
      <c r="N1041" s="20">
        <f>IF($B1041="","",COUNTIFS('Blocker log'!$A:$A,$B1041,'Blocker log'!$G:$G,"Hard blocker"))</f>
        <v>0</v>
      </c>
      <c r="O1041" s="20">
        <f>IF($B1041="","",COUNTIFS('Blocker log'!$A:$A,$B1041,'Blocker log'!$G:$G,"Hard blocker",'Blocker log'!$L:$L,9))</f>
        <v>0</v>
      </c>
      <c r="P1041" s="20">
        <f>IF($B1041="","",MAXIFS('Blocker log'!$L:$L,'Blocker log'!$A:$A,$B1041,'Blocker log'!$G:$G,"Hard blocker"))</f>
        <v>0</v>
      </c>
      <c r="Q1041" s="20" t="str">
        <f>IF($B1041="","",IF($K1041&lt;&gt;"Complete","Assessment pending",IF($N1041=0,"Ready now",VLOOKUP($P1041,Lists!$D$2:$E$5,2,FALSE))))</f>
        <v>Assessment pending</v>
      </c>
    </row>
    <row r="1042" ht="15.75" customHeight="1">
      <c r="A1042" s="35" t="s">
        <v>2703</v>
      </c>
      <c r="B1042" s="78" t="s">
        <v>2704</v>
      </c>
      <c r="C1042" s="35" t="s">
        <v>1286</v>
      </c>
      <c r="D1042" s="35" t="s">
        <v>58</v>
      </c>
      <c r="E1042" s="35" t="s">
        <v>101</v>
      </c>
      <c r="F1042" s="35" t="s">
        <v>554</v>
      </c>
      <c r="G1042" s="35" t="s">
        <v>1161</v>
      </c>
      <c r="H1042" s="76">
        <v>16360.0</v>
      </c>
      <c r="I1042" s="35"/>
      <c r="M1042" s="20">
        <f>IF($B1042="","",COUNTIFS('Blocker log'!$A:$A,$B1042,'Blocker log'!$G:$G,"&lt;&gt;"))</f>
        <v>0</v>
      </c>
      <c r="N1042" s="20">
        <f>IF($B1042="","",COUNTIFS('Blocker log'!$A:$A,$B1042,'Blocker log'!$G:$G,"Hard blocker"))</f>
        <v>0</v>
      </c>
      <c r="O1042" s="20">
        <f>IF($B1042="","",COUNTIFS('Blocker log'!$A:$A,$B1042,'Blocker log'!$G:$G,"Hard blocker",'Blocker log'!$L:$L,9))</f>
        <v>0</v>
      </c>
      <c r="P1042" s="20">
        <f>IF($B1042="","",MAXIFS('Blocker log'!$L:$L,'Blocker log'!$A:$A,$B1042,'Blocker log'!$G:$G,"Hard blocker"))</f>
        <v>0</v>
      </c>
      <c r="Q1042" s="20" t="str">
        <f>IF($B1042="","",IF($K1042&lt;&gt;"Complete","Assessment pending",IF($N1042=0,"Ready now",VLOOKUP($P1042,Lists!$D$2:$E$5,2,FALSE))))</f>
        <v>Assessment pending</v>
      </c>
    </row>
    <row r="1043" ht="15.75" customHeight="1">
      <c r="A1043" s="35" t="s">
        <v>2705</v>
      </c>
      <c r="B1043" s="35" t="s">
        <v>2706</v>
      </c>
      <c r="C1043" s="35" t="s">
        <v>1286</v>
      </c>
      <c r="D1043" s="35" t="s">
        <v>58</v>
      </c>
      <c r="E1043" s="35" t="s">
        <v>101</v>
      </c>
      <c r="F1043" s="35" t="s">
        <v>554</v>
      </c>
      <c r="G1043" s="35" t="s">
        <v>1161</v>
      </c>
      <c r="H1043" s="76">
        <v>16304.0</v>
      </c>
      <c r="I1043" s="35"/>
      <c r="M1043" s="20">
        <f>IF($B1043="","",COUNTIFS('Blocker log'!$A:$A,$B1043,'Blocker log'!$G:$G,"&lt;&gt;"))</f>
        <v>0</v>
      </c>
      <c r="N1043" s="20">
        <f>IF($B1043="","",COUNTIFS('Blocker log'!$A:$A,$B1043,'Blocker log'!$G:$G,"Hard blocker"))</f>
        <v>0</v>
      </c>
      <c r="O1043" s="20">
        <f>IF($B1043="","",COUNTIFS('Blocker log'!$A:$A,$B1043,'Blocker log'!$G:$G,"Hard blocker",'Blocker log'!$L:$L,9))</f>
        <v>0</v>
      </c>
      <c r="P1043" s="20">
        <f>IF($B1043="","",MAXIFS('Blocker log'!$L:$L,'Blocker log'!$A:$A,$B1043,'Blocker log'!$G:$G,"Hard blocker"))</f>
        <v>0</v>
      </c>
      <c r="Q1043" s="20" t="str">
        <f>IF($B1043="","",IF($K1043&lt;&gt;"Complete","Assessment pending",IF($N1043=0,"Ready now",VLOOKUP($P1043,Lists!$D$2:$E$5,2,FALSE))))</f>
        <v>Assessment pending</v>
      </c>
    </row>
    <row r="1044" ht="15.75" customHeight="1">
      <c r="A1044" s="35" t="s">
        <v>2707</v>
      </c>
      <c r="B1044" s="35" t="s">
        <v>2708</v>
      </c>
      <c r="C1044" s="35" t="s">
        <v>1286</v>
      </c>
      <c r="D1044" s="35" t="s">
        <v>301</v>
      </c>
      <c r="E1044" s="35" t="s">
        <v>593</v>
      </c>
      <c r="F1044" s="35" t="s">
        <v>593</v>
      </c>
      <c r="G1044" s="35" t="s">
        <v>1161</v>
      </c>
      <c r="H1044" s="76">
        <v>16294.0</v>
      </c>
      <c r="I1044" s="35"/>
      <c r="M1044" s="20">
        <f>IF($B1044="","",COUNTIFS('Blocker log'!$A:$A,$B1044,'Blocker log'!$G:$G,"&lt;&gt;"))</f>
        <v>0</v>
      </c>
      <c r="N1044" s="20">
        <f>IF($B1044="","",COUNTIFS('Blocker log'!$A:$A,$B1044,'Blocker log'!$G:$G,"Hard blocker"))</f>
        <v>0</v>
      </c>
      <c r="O1044" s="20">
        <f>IF($B1044="","",COUNTIFS('Blocker log'!$A:$A,$B1044,'Blocker log'!$G:$G,"Hard blocker",'Blocker log'!$L:$L,9))</f>
        <v>0</v>
      </c>
      <c r="P1044" s="20">
        <f>IF($B1044="","",MAXIFS('Blocker log'!$L:$L,'Blocker log'!$A:$A,$B1044,'Blocker log'!$G:$G,"Hard blocker"))</f>
        <v>0</v>
      </c>
      <c r="Q1044" s="20" t="str">
        <f>IF($B1044="","",IF($K1044&lt;&gt;"Complete","Assessment pending",IF($N1044=0,"Ready now",VLOOKUP($P1044,Lists!$D$2:$E$5,2,FALSE))))</f>
        <v>Assessment pending</v>
      </c>
    </row>
    <row r="1045" ht="15.75" customHeight="1">
      <c r="A1045" s="35" t="s">
        <v>2709</v>
      </c>
      <c r="B1045" s="35" t="s">
        <v>2710</v>
      </c>
      <c r="C1045" s="35" t="s">
        <v>1286</v>
      </c>
      <c r="D1045" s="35" t="s">
        <v>260</v>
      </c>
      <c r="E1045" s="35" t="s">
        <v>506</v>
      </c>
      <c r="F1045" s="35" t="s">
        <v>708</v>
      </c>
      <c r="G1045" s="35" t="s">
        <v>1161</v>
      </c>
      <c r="H1045" s="76">
        <v>16264.0</v>
      </c>
      <c r="I1045" s="35" t="s">
        <v>440</v>
      </c>
      <c r="M1045" s="20">
        <f>IF($B1045="","",COUNTIFS('Blocker log'!$A:$A,$B1045,'Blocker log'!$G:$G,"&lt;&gt;"))</f>
        <v>0</v>
      </c>
      <c r="N1045" s="20">
        <f>IF($B1045="","",COUNTIFS('Blocker log'!$A:$A,$B1045,'Blocker log'!$G:$G,"Hard blocker"))</f>
        <v>0</v>
      </c>
      <c r="O1045" s="20">
        <f>IF($B1045="","",COUNTIFS('Blocker log'!$A:$A,$B1045,'Blocker log'!$G:$G,"Hard blocker",'Blocker log'!$L:$L,9))</f>
        <v>0</v>
      </c>
      <c r="P1045" s="20">
        <f>IF($B1045="","",MAXIFS('Blocker log'!$L:$L,'Blocker log'!$A:$A,$B1045,'Blocker log'!$G:$G,"Hard blocker"))</f>
        <v>0</v>
      </c>
      <c r="Q1045" s="20" t="str">
        <f>IF($B1045="","",IF($K1045&lt;&gt;"Complete","Assessment pending",IF($N1045=0,"Ready now",VLOOKUP($P1045,Lists!$D$2:$E$5,2,FALSE))))</f>
        <v>Assessment pending</v>
      </c>
    </row>
    <row r="1046" ht="15.75" customHeight="1">
      <c r="A1046" s="35" t="s">
        <v>2711</v>
      </c>
      <c r="B1046" s="35" t="s">
        <v>2712</v>
      </c>
      <c r="C1046" s="35" t="s">
        <v>1286</v>
      </c>
      <c r="D1046" s="35" t="s">
        <v>260</v>
      </c>
      <c r="E1046" s="35" t="s">
        <v>530</v>
      </c>
      <c r="F1046" s="35" t="s">
        <v>1493</v>
      </c>
      <c r="G1046" s="35" t="s">
        <v>1161</v>
      </c>
      <c r="H1046" s="76">
        <v>16240.0</v>
      </c>
      <c r="I1046" s="35"/>
      <c r="M1046" s="20">
        <f>IF($B1046="","",COUNTIFS('Blocker log'!$A:$A,$B1046,'Blocker log'!$G:$G,"&lt;&gt;"))</f>
        <v>0</v>
      </c>
      <c r="N1046" s="20">
        <f>IF($B1046="","",COUNTIFS('Blocker log'!$A:$A,$B1046,'Blocker log'!$G:$G,"Hard blocker"))</f>
        <v>0</v>
      </c>
      <c r="O1046" s="20">
        <f>IF($B1046="","",COUNTIFS('Blocker log'!$A:$A,$B1046,'Blocker log'!$G:$G,"Hard blocker",'Blocker log'!$L:$L,9))</f>
        <v>0</v>
      </c>
      <c r="P1046" s="20">
        <f>IF($B1046="","",MAXIFS('Blocker log'!$L:$L,'Blocker log'!$A:$A,$B1046,'Blocker log'!$G:$G,"Hard blocker"))</f>
        <v>0</v>
      </c>
      <c r="Q1046" s="20" t="str">
        <f>IF($B1046="","",IF($K1046&lt;&gt;"Complete","Assessment pending",IF($N1046=0,"Ready now",VLOOKUP($P1046,Lists!$D$2:$E$5,2,FALSE))))</f>
        <v>Assessment pending</v>
      </c>
    </row>
    <row r="1047" ht="15.75" customHeight="1">
      <c r="A1047" s="35" t="s">
        <v>2713</v>
      </c>
      <c r="B1047" s="35" t="s">
        <v>2714</v>
      </c>
      <c r="C1047" s="35" t="s">
        <v>1286</v>
      </c>
      <c r="D1047" s="35" t="s">
        <v>171</v>
      </c>
      <c r="E1047" s="35" t="s">
        <v>760</v>
      </c>
      <c r="F1047" s="35" t="s">
        <v>2715</v>
      </c>
      <c r="G1047" s="35" t="s">
        <v>1161</v>
      </c>
      <c r="H1047" s="76">
        <v>16240.0</v>
      </c>
      <c r="I1047" s="35"/>
      <c r="M1047" s="20">
        <f>IF($B1047="","",COUNTIFS('Blocker log'!$A:$A,$B1047,'Blocker log'!$G:$G,"&lt;&gt;"))</f>
        <v>0</v>
      </c>
      <c r="N1047" s="20">
        <f>IF($B1047="","",COUNTIFS('Blocker log'!$A:$A,$B1047,'Blocker log'!$G:$G,"Hard blocker"))</f>
        <v>0</v>
      </c>
      <c r="O1047" s="20">
        <f>IF($B1047="","",COUNTIFS('Blocker log'!$A:$A,$B1047,'Blocker log'!$G:$G,"Hard blocker",'Blocker log'!$L:$L,9))</f>
        <v>0</v>
      </c>
      <c r="P1047" s="20">
        <f>IF($B1047="","",MAXIFS('Blocker log'!$L:$L,'Blocker log'!$A:$A,$B1047,'Blocker log'!$G:$G,"Hard blocker"))</f>
        <v>0</v>
      </c>
      <c r="Q1047" s="20" t="str">
        <f>IF($B1047="","",IF($K1047&lt;&gt;"Complete","Assessment pending",IF($N1047=0,"Ready now",VLOOKUP($P1047,Lists!$D$2:$E$5,2,FALSE))))</f>
        <v>Assessment pending</v>
      </c>
    </row>
    <row r="1048" ht="15.75" customHeight="1">
      <c r="A1048" s="35" t="s">
        <v>2716</v>
      </c>
      <c r="B1048" s="35" t="s">
        <v>2717</v>
      </c>
      <c r="C1048" s="35" t="s">
        <v>1286</v>
      </c>
      <c r="D1048" s="35" t="s">
        <v>260</v>
      </c>
      <c r="E1048" s="35" t="s">
        <v>1096</v>
      </c>
      <c r="F1048" s="35" t="s">
        <v>1366</v>
      </c>
      <c r="G1048" s="35" t="s">
        <v>1161</v>
      </c>
      <c r="H1048" s="76">
        <v>16229.0</v>
      </c>
      <c r="I1048" s="35" t="s">
        <v>429</v>
      </c>
      <c r="M1048" s="20">
        <f>IF($B1048="","",COUNTIFS('Blocker log'!$A:$A,$B1048,'Blocker log'!$G:$G,"&lt;&gt;"))</f>
        <v>0</v>
      </c>
      <c r="N1048" s="20">
        <f>IF($B1048="","",COUNTIFS('Blocker log'!$A:$A,$B1048,'Blocker log'!$G:$G,"Hard blocker"))</f>
        <v>0</v>
      </c>
      <c r="O1048" s="20">
        <f>IF($B1048="","",COUNTIFS('Blocker log'!$A:$A,$B1048,'Blocker log'!$G:$G,"Hard blocker",'Blocker log'!$L:$L,9))</f>
        <v>0</v>
      </c>
      <c r="P1048" s="20">
        <f>IF($B1048="","",MAXIFS('Blocker log'!$L:$L,'Blocker log'!$A:$A,$B1048,'Blocker log'!$G:$G,"Hard blocker"))</f>
        <v>0</v>
      </c>
      <c r="Q1048" s="20" t="str">
        <f>IF($B1048="","",IF($K1048&lt;&gt;"Complete","Assessment pending",IF($N1048=0,"Ready now",VLOOKUP($P1048,Lists!$D$2:$E$5,2,FALSE))))</f>
        <v>Assessment pending</v>
      </c>
    </row>
    <row r="1049" ht="15.75" customHeight="1">
      <c r="A1049" s="35" t="s">
        <v>2718</v>
      </c>
      <c r="B1049" s="35" t="s">
        <v>2719</v>
      </c>
      <c r="C1049" s="35" t="s">
        <v>1286</v>
      </c>
      <c r="D1049" s="35" t="s">
        <v>58</v>
      </c>
      <c r="E1049" s="35" t="s">
        <v>140</v>
      </c>
      <c r="F1049" s="35" t="s">
        <v>370</v>
      </c>
      <c r="G1049" s="35" t="s">
        <v>1161</v>
      </c>
      <c r="H1049" s="76">
        <v>16212.0</v>
      </c>
      <c r="I1049" s="35" t="s">
        <v>432</v>
      </c>
      <c r="M1049" s="20">
        <f>IF($B1049="","",COUNTIFS('Blocker log'!$A:$A,$B1049,'Blocker log'!$G:$G,"&lt;&gt;"))</f>
        <v>0</v>
      </c>
      <c r="N1049" s="20">
        <f>IF($B1049="","",COUNTIFS('Blocker log'!$A:$A,$B1049,'Blocker log'!$G:$G,"Hard blocker"))</f>
        <v>0</v>
      </c>
      <c r="O1049" s="20">
        <f>IF($B1049="","",COUNTIFS('Blocker log'!$A:$A,$B1049,'Blocker log'!$G:$G,"Hard blocker",'Blocker log'!$L:$L,9))</f>
        <v>0</v>
      </c>
      <c r="P1049" s="20">
        <f>IF($B1049="","",MAXIFS('Blocker log'!$L:$L,'Blocker log'!$A:$A,$B1049,'Blocker log'!$G:$G,"Hard blocker"))</f>
        <v>0</v>
      </c>
      <c r="Q1049" s="20" t="str">
        <f>IF($B1049="","",IF($K1049&lt;&gt;"Complete","Assessment pending",IF($N1049=0,"Ready now",VLOOKUP($P1049,Lists!$D$2:$E$5,2,FALSE))))</f>
        <v>Assessment pending</v>
      </c>
    </row>
    <row r="1050" ht="15.75" customHeight="1">
      <c r="A1050" s="35" t="s">
        <v>2720</v>
      </c>
      <c r="B1050" s="35" t="s">
        <v>2721</v>
      </c>
      <c r="C1050" s="35" t="s">
        <v>76</v>
      </c>
      <c r="D1050" s="35" t="s">
        <v>58</v>
      </c>
      <c r="E1050" s="35" t="s">
        <v>181</v>
      </c>
      <c r="F1050" s="35" t="s">
        <v>190</v>
      </c>
      <c r="G1050" s="35" t="s">
        <v>980</v>
      </c>
      <c r="H1050" s="76">
        <v>16200.0</v>
      </c>
      <c r="I1050" s="35"/>
      <c r="M1050" s="20">
        <f>IF($B1050="","",COUNTIFS('Blocker log'!$A:$A,$B1050,'Blocker log'!$G:$G,"&lt;&gt;"))</f>
        <v>0</v>
      </c>
      <c r="N1050" s="20">
        <f>IF($B1050="","",COUNTIFS('Blocker log'!$A:$A,$B1050,'Blocker log'!$G:$G,"Hard blocker"))</f>
        <v>0</v>
      </c>
      <c r="O1050" s="20">
        <f>IF($B1050="","",COUNTIFS('Blocker log'!$A:$A,$B1050,'Blocker log'!$G:$G,"Hard blocker",'Blocker log'!$L:$L,9))</f>
        <v>0</v>
      </c>
      <c r="P1050" s="20">
        <f>IF($B1050="","",MAXIFS('Blocker log'!$L:$L,'Blocker log'!$A:$A,$B1050,'Blocker log'!$G:$G,"Hard blocker"))</f>
        <v>0</v>
      </c>
      <c r="Q1050" s="20" t="str">
        <f>IF($B1050="","",IF($K1050&lt;&gt;"Complete","Assessment pending",IF($N1050=0,"Ready now",VLOOKUP($P1050,Lists!$D$2:$E$5,2,FALSE))))</f>
        <v>Assessment pending</v>
      </c>
    </row>
    <row r="1051" ht="15.75" customHeight="1">
      <c r="A1051" s="35" t="s">
        <v>2722</v>
      </c>
      <c r="B1051" s="35" t="s">
        <v>2723</v>
      </c>
      <c r="C1051" s="35" t="s">
        <v>1286</v>
      </c>
      <c r="D1051" s="35" t="s">
        <v>171</v>
      </c>
      <c r="E1051" s="35" t="s">
        <v>512</v>
      </c>
      <c r="F1051" s="35" t="s">
        <v>513</v>
      </c>
      <c r="G1051" s="35" t="s">
        <v>1161</v>
      </c>
      <c r="H1051" s="76">
        <v>16200.0</v>
      </c>
      <c r="I1051" s="35"/>
      <c r="M1051" s="20">
        <f>IF($B1051="","",COUNTIFS('Blocker log'!$A:$A,$B1051,'Blocker log'!$G:$G,"&lt;&gt;"))</f>
        <v>0</v>
      </c>
      <c r="N1051" s="20">
        <f>IF($B1051="","",COUNTIFS('Blocker log'!$A:$A,$B1051,'Blocker log'!$G:$G,"Hard blocker"))</f>
        <v>0</v>
      </c>
      <c r="O1051" s="20">
        <f>IF($B1051="","",COUNTIFS('Blocker log'!$A:$A,$B1051,'Blocker log'!$G:$G,"Hard blocker",'Blocker log'!$L:$L,9))</f>
        <v>0</v>
      </c>
      <c r="P1051" s="20">
        <f>IF($B1051="","",MAXIFS('Blocker log'!$L:$L,'Blocker log'!$A:$A,$B1051,'Blocker log'!$G:$G,"Hard blocker"))</f>
        <v>0</v>
      </c>
      <c r="Q1051" s="20" t="str">
        <f>IF($B1051="","",IF($K1051&lt;&gt;"Complete","Assessment pending",IF($N1051=0,"Ready now",VLOOKUP($P1051,Lists!$D$2:$E$5,2,FALSE))))</f>
        <v>Assessment pending</v>
      </c>
    </row>
    <row r="1052" ht="15.75" customHeight="1">
      <c r="A1052" s="35" t="s">
        <v>2724</v>
      </c>
      <c r="B1052" s="35" t="s">
        <v>2725</v>
      </c>
      <c r="C1052" s="35" t="s">
        <v>1286</v>
      </c>
      <c r="D1052" s="35" t="s">
        <v>58</v>
      </c>
      <c r="E1052" s="35" t="s">
        <v>101</v>
      </c>
      <c r="F1052" s="35" t="s">
        <v>554</v>
      </c>
      <c r="G1052" s="35" t="s">
        <v>1161</v>
      </c>
      <c r="H1052" s="76">
        <v>16183.0</v>
      </c>
      <c r="I1052" s="35"/>
      <c r="M1052" s="20">
        <f>IF($B1052="","",COUNTIFS('Blocker log'!$A:$A,$B1052,'Blocker log'!$G:$G,"&lt;&gt;"))</f>
        <v>0</v>
      </c>
      <c r="N1052" s="20">
        <f>IF($B1052="","",COUNTIFS('Blocker log'!$A:$A,$B1052,'Blocker log'!$G:$G,"Hard blocker"))</f>
        <v>0</v>
      </c>
      <c r="O1052" s="20">
        <f>IF($B1052="","",COUNTIFS('Blocker log'!$A:$A,$B1052,'Blocker log'!$G:$G,"Hard blocker",'Blocker log'!$L:$L,9))</f>
        <v>0</v>
      </c>
      <c r="P1052" s="20">
        <f>IF($B1052="","",MAXIFS('Blocker log'!$L:$L,'Blocker log'!$A:$A,$B1052,'Blocker log'!$G:$G,"Hard blocker"))</f>
        <v>0</v>
      </c>
      <c r="Q1052" s="20" t="str">
        <f>IF($B1052="","",IF($K1052&lt;&gt;"Complete","Assessment pending",IF($N1052=0,"Ready now",VLOOKUP($P1052,Lists!$D$2:$E$5,2,FALSE))))</f>
        <v>Assessment pending</v>
      </c>
    </row>
    <row r="1053" ht="15.75" customHeight="1">
      <c r="A1053" s="35" t="s">
        <v>2726</v>
      </c>
      <c r="B1053" s="35" t="s">
        <v>2727</v>
      </c>
      <c r="C1053" s="35" t="s">
        <v>1286</v>
      </c>
      <c r="D1053" s="35" t="s">
        <v>58</v>
      </c>
      <c r="E1053" s="35" t="s">
        <v>101</v>
      </c>
      <c r="F1053" s="35" t="s">
        <v>102</v>
      </c>
      <c r="G1053" s="35" t="s">
        <v>1042</v>
      </c>
      <c r="H1053" s="76">
        <v>16095.0</v>
      </c>
      <c r="I1053" s="35" t="s">
        <v>443</v>
      </c>
      <c r="M1053" s="20">
        <f>IF($B1053="","",COUNTIFS('Blocker log'!$A:$A,$B1053,'Blocker log'!$G:$G,"&lt;&gt;"))</f>
        <v>0</v>
      </c>
      <c r="N1053" s="20">
        <f>IF($B1053="","",COUNTIFS('Blocker log'!$A:$A,$B1053,'Blocker log'!$G:$G,"Hard blocker"))</f>
        <v>0</v>
      </c>
      <c r="O1053" s="20">
        <f>IF($B1053="","",COUNTIFS('Blocker log'!$A:$A,$B1053,'Blocker log'!$G:$G,"Hard blocker",'Blocker log'!$L:$L,9))</f>
        <v>0</v>
      </c>
      <c r="P1053" s="20">
        <f>IF($B1053="","",MAXIFS('Blocker log'!$L:$L,'Blocker log'!$A:$A,$B1053,'Blocker log'!$G:$G,"Hard blocker"))</f>
        <v>0</v>
      </c>
      <c r="Q1053" s="20" t="str">
        <f>IF($B1053="","",IF($K1053&lt;&gt;"Complete","Assessment pending",IF($N1053=0,"Ready now",VLOOKUP($P1053,Lists!$D$2:$E$5,2,FALSE))))</f>
        <v>Assessment pending</v>
      </c>
    </row>
    <row r="1054" ht="15.75" customHeight="1">
      <c r="A1054" s="35" t="s">
        <v>2728</v>
      </c>
      <c r="B1054" s="35" t="s">
        <v>2729</v>
      </c>
      <c r="C1054" s="35" t="s">
        <v>1286</v>
      </c>
      <c r="D1054" s="35" t="s">
        <v>58</v>
      </c>
      <c r="E1054" s="35" t="s">
        <v>101</v>
      </c>
      <c r="F1054" s="35" t="s">
        <v>116</v>
      </c>
      <c r="G1054" s="35" t="s">
        <v>1161</v>
      </c>
      <c r="H1054" s="76">
        <v>16080.0</v>
      </c>
      <c r="I1054" s="35" t="s">
        <v>404</v>
      </c>
      <c r="M1054" s="20">
        <f>IF($B1054="","",COUNTIFS('Blocker log'!$A:$A,$B1054,'Blocker log'!$G:$G,"&lt;&gt;"))</f>
        <v>0</v>
      </c>
      <c r="N1054" s="20">
        <f>IF($B1054="","",COUNTIFS('Blocker log'!$A:$A,$B1054,'Blocker log'!$G:$G,"Hard blocker"))</f>
        <v>0</v>
      </c>
      <c r="O1054" s="20">
        <f>IF($B1054="","",COUNTIFS('Blocker log'!$A:$A,$B1054,'Blocker log'!$G:$G,"Hard blocker",'Blocker log'!$L:$L,9))</f>
        <v>0</v>
      </c>
      <c r="P1054" s="20">
        <f>IF($B1054="","",MAXIFS('Blocker log'!$L:$L,'Blocker log'!$A:$A,$B1054,'Blocker log'!$G:$G,"Hard blocker"))</f>
        <v>0</v>
      </c>
      <c r="Q1054" s="20" t="str">
        <f>IF($B1054="","",IF($K1054&lt;&gt;"Complete","Assessment pending",IF($N1054=0,"Ready now",VLOOKUP($P1054,Lists!$D$2:$E$5,2,FALSE))))</f>
        <v>Assessment pending</v>
      </c>
    </row>
    <row r="1055" ht="15.75" customHeight="1">
      <c r="A1055" s="35" t="s">
        <v>2730</v>
      </c>
      <c r="B1055" s="35" t="s">
        <v>2731</v>
      </c>
      <c r="C1055" s="35" t="s">
        <v>76</v>
      </c>
      <c r="D1055" s="35" t="s">
        <v>58</v>
      </c>
      <c r="E1055" s="35" t="s">
        <v>1315</v>
      </c>
      <c r="F1055" s="35" t="s">
        <v>1315</v>
      </c>
      <c r="G1055" s="35" t="s">
        <v>980</v>
      </c>
      <c r="H1055" s="76">
        <v>16068.0</v>
      </c>
      <c r="I1055" s="35"/>
      <c r="M1055" s="20">
        <f>IF($B1055="","",COUNTIFS('Blocker log'!$A:$A,$B1055,'Blocker log'!$G:$G,"&lt;&gt;"))</f>
        <v>0</v>
      </c>
      <c r="N1055" s="20">
        <f>IF($B1055="","",COUNTIFS('Blocker log'!$A:$A,$B1055,'Blocker log'!$G:$G,"Hard blocker"))</f>
        <v>0</v>
      </c>
      <c r="O1055" s="20">
        <f>IF($B1055="","",COUNTIFS('Blocker log'!$A:$A,$B1055,'Blocker log'!$G:$G,"Hard blocker",'Blocker log'!$L:$L,9))</f>
        <v>0</v>
      </c>
      <c r="P1055" s="20">
        <f>IF($B1055="","",MAXIFS('Blocker log'!$L:$L,'Blocker log'!$A:$A,$B1055,'Blocker log'!$G:$G,"Hard blocker"))</f>
        <v>0</v>
      </c>
      <c r="Q1055" s="20" t="str">
        <f>IF($B1055="","",IF($K1055&lt;&gt;"Complete","Assessment pending",IF($N1055=0,"Ready now",VLOOKUP($P1055,Lists!$D$2:$E$5,2,FALSE))))</f>
        <v>Assessment pending</v>
      </c>
    </row>
    <row r="1056" ht="15.75" customHeight="1">
      <c r="A1056" s="35" t="s">
        <v>2732</v>
      </c>
      <c r="B1056" s="35" t="s">
        <v>2733</v>
      </c>
      <c r="C1056" s="35" t="s">
        <v>1286</v>
      </c>
      <c r="D1056" s="35" t="s">
        <v>260</v>
      </c>
      <c r="E1056" s="35" t="s">
        <v>1096</v>
      </c>
      <c r="F1056" s="35" t="s">
        <v>1097</v>
      </c>
      <c r="G1056" s="35" t="s">
        <v>1161</v>
      </c>
      <c r="H1056" s="76">
        <v>16020.0</v>
      </c>
      <c r="I1056" s="35" t="s">
        <v>416</v>
      </c>
      <c r="M1056" s="20">
        <f>IF($B1056="","",COUNTIFS('Blocker log'!$A:$A,$B1056,'Blocker log'!$G:$G,"&lt;&gt;"))</f>
        <v>0</v>
      </c>
      <c r="N1056" s="20">
        <f>IF($B1056="","",COUNTIFS('Blocker log'!$A:$A,$B1056,'Blocker log'!$G:$G,"Hard blocker"))</f>
        <v>0</v>
      </c>
      <c r="O1056" s="20">
        <f>IF($B1056="","",COUNTIFS('Blocker log'!$A:$A,$B1056,'Blocker log'!$G:$G,"Hard blocker",'Blocker log'!$L:$L,9))</f>
        <v>0</v>
      </c>
      <c r="P1056" s="20">
        <f>IF($B1056="","",MAXIFS('Blocker log'!$L:$L,'Blocker log'!$A:$A,$B1056,'Blocker log'!$G:$G,"Hard blocker"))</f>
        <v>0</v>
      </c>
      <c r="Q1056" s="20" t="str">
        <f>IF($B1056="","",IF($K1056&lt;&gt;"Complete","Assessment pending",IF($N1056=0,"Ready now",VLOOKUP($P1056,Lists!$D$2:$E$5,2,FALSE))))</f>
        <v>Assessment pending</v>
      </c>
    </row>
    <row r="1057" ht="15.75" customHeight="1">
      <c r="A1057" s="35" t="s">
        <v>2734</v>
      </c>
      <c r="B1057" s="35" t="s">
        <v>2735</v>
      </c>
      <c r="C1057" s="35" t="s">
        <v>1286</v>
      </c>
      <c r="D1057" s="35" t="s">
        <v>58</v>
      </c>
      <c r="E1057" s="35" t="s">
        <v>181</v>
      </c>
      <c r="F1057" s="35" t="s">
        <v>653</v>
      </c>
      <c r="G1057" s="35" t="s">
        <v>1161</v>
      </c>
      <c r="H1057" s="76">
        <v>16000.0</v>
      </c>
      <c r="I1057" s="35"/>
      <c r="M1057" s="20">
        <f>IF($B1057="","",COUNTIFS('Blocker log'!$A:$A,$B1057,'Blocker log'!$G:$G,"&lt;&gt;"))</f>
        <v>0</v>
      </c>
      <c r="N1057" s="20">
        <f>IF($B1057="","",COUNTIFS('Blocker log'!$A:$A,$B1057,'Blocker log'!$G:$G,"Hard blocker"))</f>
        <v>0</v>
      </c>
      <c r="O1057" s="20">
        <f>IF($B1057="","",COUNTIFS('Blocker log'!$A:$A,$B1057,'Blocker log'!$G:$G,"Hard blocker",'Blocker log'!$L:$L,9))</f>
        <v>0</v>
      </c>
      <c r="P1057" s="20">
        <f>IF($B1057="","",MAXIFS('Blocker log'!$L:$L,'Blocker log'!$A:$A,$B1057,'Blocker log'!$G:$G,"Hard blocker"))</f>
        <v>0</v>
      </c>
      <c r="Q1057" s="20" t="str">
        <f>IF($B1057="","",IF($K1057&lt;&gt;"Complete","Assessment pending",IF($N1057=0,"Ready now",VLOOKUP($P1057,Lists!$D$2:$E$5,2,FALSE))))</f>
        <v>Assessment pending</v>
      </c>
    </row>
    <row r="1058" ht="15.75" customHeight="1">
      <c r="A1058" s="35" t="s">
        <v>2736</v>
      </c>
      <c r="B1058" s="35" t="s">
        <v>2737</v>
      </c>
      <c r="C1058" s="35" t="s">
        <v>1286</v>
      </c>
      <c r="D1058" s="35" t="s">
        <v>171</v>
      </c>
      <c r="E1058" s="35" t="s">
        <v>668</v>
      </c>
      <c r="F1058" s="35" t="s">
        <v>1634</v>
      </c>
      <c r="G1058" s="35" t="s">
        <v>1161</v>
      </c>
      <c r="H1058" s="76">
        <v>16000.0</v>
      </c>
      <c r="I1058" s="35"/>
      <c r="M1058" s="20">
        <f>IF($B1058="","",COUNTIFS('Blocker log'!$A:$A,$B1058,'Blocker log'!$G:$G,"&lt;&gt;"))</f>
        <v>0</v>
      </c>
      <c r="N1058" s="20">
        <f>IF($B1058="","",COUNTIFS('Blocker log'!$A:$A,$B1058,'Blocker log'!$G:$G,"Hard blocker"))</f>
        <v>0</v>
      </c>
      <c r="O1058" s="20">
        <f>IF($B1058="","",COUNTIFS('Blocker log'!$A:$A,$B1058,'Blocker log'!$G:$G,"Hard blocker",'Blocker log'!$L:$L,9))</f>
        <v>0</v>
      </c>
      <c r="P1058" s="20">
        <f>IF($B1058="","",MAXIFS('Blocker log'!$L:$L,'Blocker log'!$A:$A,$B1058,'Blocker log'!$G:$G,"Hard blocker"))</f>
        <v>0</v>
      </c>
      <c r="Q1058" s="20" t="str">
        <f>IF($B1058="","",IF($K1058&lt;&gt;"Complete","Assessment pending",IF($N1058=0,"Ready now",VLOOKUP($P1058,Lists!$D$2:$E$5,2,FALSE))))</f>
        <v>Assessment pending</v>
      </c>
    </row>
    <row r="1059" ht="15.75" customHeight="1">
      <c r="A1059" s="35" t="s">
        <v>2738</v>
      </c>
      <c r="B1059" s="35" t="s">
        <v>2739</v>
      </c>
      <c r="C1059" s="35" t="s">
        <v>1286</v>
      </c>
      <c r="D1059" s="35" t="s">
        <v>58</v>
      </c>
      <c r="E1059" s="35" t="s">
        <v>494</v>
      </c>
      <c r="F1059" s="35" t="s">
        <v>629</v>
      </c>
      <c r="G1059" s="35" t="s">
        <v>1161</v>
      </c>
      <c r="H1059" s="76">
        <v>15984.0</v>
      </c>
      <c r="I1059" s="35" t="s">
        <v>401</v>
      </c>
      <c r="M1059" s="20">
        <f>IF($B1059="","",COUNTIFS('Blocker log'!$A:$A,$B1059,'Blocker log'!$G:$G,"&lt;&gt;"))</f>
        <v>0</v>
      </c>
      <c r="N1059" s="20">
        <f>IF($B1059="","",COUNTIFS('Blocker log'!$A:$A,$B1059,'Blocker log'!$G:$G,"Hard blocker"))</f>
        <v>0</v>
      </c>
      <c r="O1059" s="20">
        <f>IF($B1059="","",COUNTIFS('Blocker log'!$A:$A,$B1059,'Blocker log'!$G:$G,"Hard blocker",'Blocker log'!$L:$L,9))</f>
        <v>0</v>
      </c>
      <c r="P1059" s="20">
        <f>IF($B1059="","",MAXIFS('Blocker log'!$L:$L,'Blocker log'!$A:$A,$B1059,'Blocker log'!$G:$G,"Hard blocker"))</f>
        <v>0</v>
      </c>
      <c r="Q1059" s="20" t="str">
        <f>IF($B1059="","",IF($K1059&lt;&gt;"Complete","Assessment pending",IF($N1059=0,"Ready now",VLOOKUP($P1059,Lists!$D$2:$E$5,2,FALSE))))</f>
        <v>Assessment pending</v>
      </c>
    </row>
    <row r="1060" ht="15.75" customHeight="1">
      <c r="A1060" s="35" t="s">
        <v>2740</v>
      </c>
      <c r="B1060" s="35" t="s">
        <v>2741</v>
      </c>
      <c r="C1060" s="35" t="s">
        <v>1286</v>
      </c>
      <c r="D1060" s="35" t="s">
        <v>260</v>
      </c>
      <c r="E1060" s="35" t="s">
        <v>576</v>
      </c>
      <c r="F1060" s="35" t="s">
        <v>577</v>
      </c>
      <c r="G1060" s="35" t="s">
        <v>1161</v>
      </c>
      <c r="H1060" s="76">
        <v>15840.0</v>
      </c>
      <c r="I1060" s="35" t="s">
        <v>403</v>
      </c>
      <c r="M1060" s="20">
        <f>IF($B1060="","",COUNTIFS('Blocker log'!$A:$A,$B1060,'Blocker log'!$G:$G,"&lt;&gt;"))</f>
        <v>0</v>
      </c>
      <c r="N1060" s="20">
        <f>IF($B1060="","",COUNTIFS('Blocker log'!$A:$A,$B1060,'Blocker log'!$G:$G,"Hard blocker"))</f>
        <v>0</v>
      </c>
      <c r="O1060" s="20">
        <f>IF($B1060="","",COUNTIFS('Blocker log'!$A:$A,$B1060,'Blocker log'!$G:$G,"Hard blocker",'Blocker log'!$L:$L,9))</f>
        <v>0</v>
      </c>
      <c r="P1060" s="20">
        <f>IF($B1060="","",MAXIFS('Blocker log'!$L:$L,'Blocker log'!$A:$A,$B1060,'Blocker log'!$G:$G,"Hard blocker"))</f>
        <v>0</v>
      </c>
      <c r="Q1060" s="20" t="str">
        <f>IF($B1060="","",IF($K1060&lt;&gt;"Complete","Assessment pending",IF($N1060=0,"Ready now",VLOOKUP($P1060,Lists!$D$2:$E$5,2,FALSE))))</f>
        <v>Assessment pending</v>
      </c>
    </row>
    <row r="1061" ht="15.75" customHeight="1">
      <c r="A1061" s="35" t="s">
        <v>2742</v>
      </c>
      <c r="B1061" s="35" t="s">
        <v>2743</v>
      </c>
      <c r="C1061" s="35" t="s">
        <v>76</v>
      </c>
      <c r="D1061" s="35" t="s">
        <v>58</v>
      </c>
      <c r="E1061" s="35" t="s">
        <v>59</v>
      </c>
      <c r="F1061" s="35" t="s">
        <v>225</v>
      </c>
      <c r="G1061" s="35" t="s">
        <v>1042</v>
      </c>
      <c r="H1061" s="76">
        <v>15685.0</v>
      </c>
      <c r="I1061" s="35"/>
      <c r="M1061" s="20">
        <f>IF($B1061="","",COUNTIFS('Blocker log'!$A:$A,$B1061,'Blocker log'!$G:$G,"&lt;&gt;"))</f>
        <v>0</v>
      </c>
      <c r="N1061" s="20">
        <f>IF($B1061="","",COUNTIFS('Blocker log'!$A:$A,$B1061,'Blocker log'!$G:$G,"Hard blocker"))</f>
        <v>0</v>
      </c>
      <c r="O1061" s="20">
        <f>IF($B1061="","",COUNTIFS('Blocker log'!$A:$A,$B1061,'Blocker log'!$G:$G,"Hard blocker",'Blocker log'!$L:$L,9))</f>
        <v>0</v>
      </c>
      <c r="P1061" s="20">
        <f>IF($B1061="","",MAXIFS('Blocker log'!$L:$L,'Blocker log'!$A:$A,$B1061,'Blocker log'!$G:$G,"Hard blocker"))</f>
        <v>0</v>
      </c>
      <c r="Q1061" s="20" t="str">
        <f>IF($B1061="","",IF($K1061&lt;&gt;"Complete","Assessment pending",IF($N1061=0,"Ready now",VLOOKUP($P1061,Lists!$D$2:$E$5,2,FALSE))))</f>
        <v>Assessment pending</v>
      </c>
    </row>
    <row r="1062" ht="15.75" customHeight="1">
      <c r="A1062" s="35" t="s">
        <v>2744</v>
      </c>
      <c r="B1062" s="35" t="s">
        <v>2745</v>
      </c>
      <c r="C1062" s="35" t="s">
        <v>1286</v>
      </c>
      <c r="D1062" s="35" t="s">
        <v>58</v>
      </c>
      <c r="E1062" s="35" t="s">
        <v>101</v>
      </c>
      <c r="F1062" s="35" t="s">
        <v>1386</v>
      </c>
      <c r="G1062" s="35" t="s">
        <v>1161</v>
      </c>
      <c r="H1062" s="76">
        <v>15660.0</v>
      </c>
      <c r="I1062" s="35"/>
      <c r="M1062" s="20">
        <f>IF($B1062="","",COUNTIFS('Blocker log'!$A:$A,$B1062,'Blocker log'!$G:$G,"&lt;&gt;"))</f>
        <v>0</v>
      </c>
      <c r="N1062" s="20">
        <f>IF($B1062="","",COUNTIFS('Blocker log'!$A:$A,$B1062,'Blocker log'!$G:$G,"Hard blocker"))</f>
        <v>0</v>
      </c>
      <c r="O1062" s="20">
        <f>IF($B1062="","",COUNTIFS('Blocker log'!$A:$A,$B1062,'Blocker log'!$G:$G,"Hard blocker",'Blocker log'!$L:$L,9))</f>
        <v>0</v>
      </c>
      <c r="P1062" s="20">
        <f>IF($B1062="","",MAXIFS('Blocker log'!$L:$L,'Blocker log'!$A:$A,$B1062,'Blocker log'!$G:$G,"Hard blocker"))</f>
        <v>0</v>
      </c>
      <c r="Q1062" s="20" t="str">
        <f>IF($B1062="","",IF($K1062&lt;&gt;"Complete","Assessment pending",IF($N1062=0,"Ready now",VLOOKUP($P1062,Lists!$D$2:$E$5,2,FALSE))))</f>
        <v>Assessment pending</v>
      </c>
    </row>
    <row r="1063" ht="15.75" customHeight="1">
      <c r="A1063" s="35" t="s">
        <v>2746</v>
      </c>
      <c r="B1063" s="35" t="s">
        <v>2747</v>
      </c>
      <c r="C1063" s="35" t="s">
        <v>1286</v>
      </c>
      <c r="D1063" s="35" t="s">
        <v>301</v>
      </c>
      <c r="E1063" s="35" t="s">
        <v>593</v>
      </c>
      <c r="F1063" s="35" t="s">
        <v>593</v>
      </c>
      <c r="G1063" s="35" t="s">
        <v>1042</v>
      </c>
      <c r="H1063" s="76">
        <v>15606.0</v>
      </c>
      <c r="I1063" s="35"/>
      <c r="M1063" s="20">
        <f>IF($B1063="","",COUNTIFS('Blocker log'!$A:$A,$B1063,'Blocker log'!$G:$G,"&lt;&gt;"))</f>
        <v>0</v>
      </c>
      <c r="N1063" s="20">
        <f>IF($B1063="","",COUNTIFS('Blocker log'!$A:$A,$B1063,'Blocker log'!$G:$G,"Hard blocker"))</f>
        <v>0</v>
      </c>
      <c r="O1063" s="20">
        <f>IF($B1063="","",COUNTIFS('Blocker log'!$A:$A,$B1063,'Blocker log'!$G:$G,"Hard blocker",'Blocker log'!$L:$L,9))</f>
        <v>0</v>
      </c>
      <c r="P1063" s="20">
        <f>IF($B1063="","",MAXIFS('Blocker log'!$L:$L,'Blocker log'!$A:$A,$B1063,'Blocker log'!$G:$G,"Hard blocker"))</f>
        <v>0</v>
      </c>
      <c r="Q1063" s="20" t="str">
        <f>IF($B1063="","",IF($K1063&lt;&gt;"Complete","Assessment pending",IF($N1063=0,"Ready now",VLOOKUP($P1063,Lists!$D$2:$E$5,2,FALSE))))</f>
        <v>Assessment pending</v>
      </c>
    </row>
    <row r="1064" ht="15.75" customHeight="1">
      <c r="A1064" s="35" t="s">
        <v>2748</v>
      </c>
      <c r="B1064" s="35" t="s">
        <v>2749</v>
      </c>
      <c r="C1064" s="35" t="s">
        <v>1286</v>
      </c>
      <c r="D1064" s="35" t="s">
        <v>260</v>
      </c>
      <c r="E1064" s="35" t="s">
        <v>530</v>
      </c>
      <c r="F1064" s="35" t="s">
        <v>1493</v>
      </c>
      <c r="G1064" s="35" t="s">
        <v>1161</v>
      </c>
      <c r="H1064" s="76">
        <v>15600.0</v>
      </c>
      <c r="I1064" s="35"/>
      <c r="M1064" s="20">
        <f>IF($B1064="","",COUNTIFS('Blocker log'!$A:$A,$B1064,'Blocker log'!$G:$G,"&lt;&gt;"))</f>
        <v>0</v>
      </c>
      <c r="N1064" s="20">
        <f>IF($B1064="","",COUNTIFS('Blocker log'!$A:$A,$B1064,'Blocker log'!$G:$G,"Hard blocker"))</f>
        <v>0</v>
      </c>
      <c r="O1064" s="20">
        <f>IF($B1064="","",COUNTIFS('Blocker log'!$A:$A,$B1064,'Blocker log'!$G:$G,"Hard blocker",'Blocker log'!$L:$L,9))</f>
        <v>0</v>
      </c>
      <c r="P1064" s="20">
        <f>IF($B1064="","",MAXIFS('Blocker log'!$L:$L,'Blocker log'!$A:$A,$B1064,'Blocker log'!$G:$G,"Hard blocker"))</f>
        <v>0</v>
      </c>
      <c r="Q1064" s="20" t="str">
        <f>IF($B1064="","",IF($K1064&lt;&gt;"Complete","Assessment pending",IF($N1064=0,"Ready now",VLOOKUP($P1064,Lists!$D$2:$E$5,2,FALSE))))</f>
        <v>Assessment pending</v>
      </c>
    </row>
    <row r="1065" ht="15.75" customHeight="1">
      <c r="A1065" s="35" t="s">
        <v>2750</v>
      </c>
      <c r="B1065" s="35" t="s">
        <v>2751</v>
      </c>
      <c r="C1065" s="35" t="s">
        <v>1286</v>
      </c>
      <c r="D1065" s="35" t="s">
        <v>171</v>
      </c>
      <c r="E1065" s="35" t="s">
        <v>760</v>
      </c>
      <c r="F1065" s="35" t="s">
        <v>761</v>
      </c>
      <c r="G1065" s="35" t="s">
        <v>1161</v>
      </c>
      <c r="H1065" s="76">
        <v>15552.0</v>
      </c>
      <c r="I1065" s="35"/>
      <c r="M1065" s="20">
        <f>IF($B1065="","",COUNTIFS('Blocker log'!$A:$A,$B1065,'Blocker log'!$G:$G,"&lt;&gt;"))</f>
        <v>0</v>
      </c>
      <c r="N1065" s="20">
        <f>IF($B1065="","",COUNTIFS('Blocker log'!$A:$A,$B1065,'Blocker log'!$G:$G,"Hard blocker"))</f>
        <v>0</v>
      </c>
      <c r="O1065" s="20">
        <f>IF($B1065="","",COUNTIFS('Blocker log'!$A:$A,$B1065,'Blocker log'!$G:$G,"Hard blocker",'Blocker log'!$L:$L,9))</f>
        <v>0</v>
      </c>
      <c r="P1065" s="20">
        <f>IF($B1065="","",MAXIFS('Blocker log'!$L:$L,'Blocker log'!$A:$A,$B1065,'Blocker log'!$G:$G,"Hard blocker"))</f>
        <v>0</v>
      </c>
      <c r="Q1065" s="20" t="str">
        <f>IF($B1065="","",IF($K1065&lt;&gt;"Complete","Assessment pending",IF($N1065=0,"Ready now",VLOOKUP($P1065,Lists!$D$2:$E$5,2,FALSE))))</f>
        <v>Assessment pending</v>
      </c>
    </row>
    <row r="1066" ht="15.75" customHeight="1">
      <c r="A1066" s="35" t="s">
        <v>2752</v>
      </c>
      <c r="B1066" s="35" t="s">
        <v>2753</v>
      </c>
      <c r="C1066" s="35" t="s">
        <v>1286</v>
      </c>
      <c r="D1066" s="35" t="s">
        <v>171</v>
      </c>
      <c r="E1066" s="35" t="s">
        <v>205</v>
      </c>
      <c r="F1066" s="35" t="s">
        <v>1823</v>
      </c>
      <c r="G1066" s="35" t="s">
        <v>1161</v>
      </c>
      <c r="H1066" s="76">
        <v>15552.0</v>
      </c>
      <c r="I1066" s="35" t="s">
        <v>424</v>
      </c>
      <c r="M1066" s="20">
        <f>IF($B1066="","",COUNTIFS('Blocker log'!$A:$A,$B1066,'Blocker log'!$G:$G,"&lt;&gt;"))</f>
        <v>0</v>
      </c>
      <c r="N1066" s="20">
        <f>IF($B1066="","",COUNTIFS('Blocker log'!$A:$A,$B1066,'Blocker log'!$G:$G,"Hard blocker"))</f>
        <v>0</v>
      </c>
      <c r="O1066" s="20">
        <f>IF($B1066="","",COUNTIFS('Blocker log'!$A:$A,$B1066,'Blocker log'!$G:$G,"Hard blocker",'Blocker log'!$L:$L,9))</f>
        <v>0</v>
      </c>
      <c r="P1066" s="20">
        <f>IF($B1066="","",MAXIFS('Blocker log'!$L:$L,'Blocker log'!$A:$A,$B1066,'Blocker log'!$G:$G,"Hard blocker"))</f>
        <v>0</v>
      </c>
      <c r="Q1066" s="20" t="str">
        <f>IF($B1066="","",IF($K1066&lt;&gt;"Complete","Assessment pending",IF($N1066=0,"Ready now",VLOOKUP($P1066,Lists!$D$2:$E$5,2,FALSE))))</f>
        <v>Assessment pending</v>
      </c>
    </row>
    <row r="1067" ht="15.75" customHeight="1">
      <c r="A1067" s="35" t="s">
        <v>2754</v>
      </c>
      <c r="B1067" s="35" t="s">
        <v>2755</v>
      </c>
      <c r="C1067" s="35" t="s">
        <v>1286</v>
      </c>
      <c r="D1067" s="35" t="s">
        <v>58</v>
      </c>
      <c r="E1067" s="35" t="s">
        <v>101</v>
      </c>
      <c r="F1067" s="35" t="s">
        <v>116</v>
      </c>
      <c r="G1067" s="35" t="s">
        <v>1161</v>
      </c>
      <c r="H1067" s="76">
        <v>15499.0</v>
      </c>
      <c r="I1067" s="35"/>
      <c r="M1067" s="20">
        <f>IF($B1067="","",COUNTIFS('Blocker log'!$A:$A,$B1067,'Blocker log'!$G:$G,"&lt;&gt;"))</f>
        <v>0</v>
      </c>
      <c r="N1067" s="20">
        <f>IF($B1067="","",COUNTIFS('Blocker log'!$A:$A,$B1067,'Blocker log'!$G:$G,"Hard blocker"))</f>
        <v>0</v>
      </c>
      <c r="O1067" s="20">
        <f>IF($B1067="","",COUNTIFS('Blocker log'!$A:$A,$B1067,'Blocker log'!$G:$G,"Hard blocker",'Blocker log'!$L:$L,9))</f>
        <v>0</v>
      </c>
      <c r="P1067" s="20">
        <f>IF($B1067="","",MAXIFS('Blocker log'!$L:$L,'Blocker log'!$A:$A,$B1067,'Blocker log'!$G:$G,"Hard blocker"))</f>
        <v>0</v>
      </c>
      <c r="Q1067" s="20" t="str">
        <f>IF($B1067="","",IF($K1067&lt;&gt;"Complete","Assessment pending",IF($N1067=0,"Ready now",VLOOKUP($P1067,Lists!$D$2:$E$5,2,FALSE))))</f>
        <v>Assessment pending</v>
      </c>
    </row>
    <row r="1068" ht="15.75" customHeight="1">
      <c r="A1068" s="35" t="s">
        <v>2756</v>
      </c>
      <c r="B1068" s="35" t="s">
        <v>2757</v>
      </c>
      <c r="C1068" s="35" t="s">
        <v>1286</v>
      </c>
      <c r="D1068" s="35" t="s">
        <v>171</v>
      </c>
      <c r="E1068" s="35" t="s">
        <v>524</v>
      </c>
      <c r="F1068" s="35" t="s">
        <v>1217</v>
      </c>
      <c r="G1068" s="35" t="s">
        <v>1161</v>
      </c>
      <c r="H1068" s="76">
        <v>15474.0</v>
      </c>
      <c r="I1068" s="35"/>
      <c r="M1068" s="20">
        <f>IF($B1068="","",COUNTIFS('Blocker log'!$A:$A,$B1068,'Blocker log'!$G:$G,"&lt;&gt;"))</f>
        <v>0</v>
      </c>
      <c r="N1068" s="20">
        <f>IF($B1068="","",COUNTIFS('Blocker log'!$A:$A,$B1068,'Blocker log'!$G:$G,"Hard blocker"))</f>
        <v>0</v>
      </c>
      <c r="O1068" s="20">
        <f>IF($B1068="","",COUNTIFS('Blocker log'!$A:$A,$B1068,'Blocker log'!$G:$G,"Hard blocker",'Blocker log'!$L:$L,9))</f>
        <v>0</v>
      </c>
      <c r="P1068" s="20">
        <f>IF($B1068="","",MAXIFS('Blocker log'!$L:$L,'Blocker log'!$A:$A,$B1068,'Blocker log'!$G:$G,"Hard blocker"))</f>
        <v>0</v>
      </c>
      <c r="Q1068" s="20" t="str">
        <f>IF($B1068="","",IF($K1068&lt;&gt;"Complete","Assessment pending",IF($N1068=0,"Ready now",VLOOKUP($P1068,Lists!$D$2:$E$5,2,FALSE))))</f>
        <v>Assessment pending</v>
      </c>
    </row>
    <row r="1069" ht="15.75" customHeight="1">
      <c r="A1069" s="35" t="s">
        <v>2758</v>
      </c>
      <c r="B1069" s="35" t="s">
        <v>2759</v>
      </c>
      <c r="C1069" s="35" t="s">
        <v>1286</v>
      </c>
      <c r="D1069" s="35" t="s">
        <v>58</v>
      </c>
      <c r="E1069" s="35" t="s">
        <v>140</v>
      </c>
      <c r="F1069" s="35" t="s">
        <v>200</v>
      </c>
      <c r="G1069" s="35" t="s">
        <v>1161</v>
      </c>
      <c r="H1069" s="76">
        <v>15472.0</v>
      </c>
      <c r="I1069" s="35" t="s">
        <v>451</v>
      </c>
      <c r="M1069" s="20">
        <f>IF($B1069="","",COUNTIFS('Blocker log'!$A:$A,$B1069,'Blocker log'!$G:$G,"&lt;&gt;"))</f>
        <v>0</v>
      </c>
      <c r="N1069" s="20">
        <f>IF($B1069="","",COUNTIFS('Blocker log'!$A:$A,$B1069,'Blocker log'!$G:$G,"Hard blocker"))</f>
        <v>0</v>
      </c>
      <c r="O1069" s="20">
        <f>IF($B1069="","",COUNTIFS('Blocker log'!$A:$A,$B1069,'Blocker log'!$G:$G,"Hard blocker",'Blocker log'!$L:$L,9))</f>
        <v>0</v>
      </c>
      <c r="P1069" s="20">
        <f>IF($B1069="","",MAXIFS('Blocker log'!$L:$L,'Blocker log'!$A:$A,$B1069,'Blocker log'!$G:$G,"Hard blocker"))</f>
        <v>0</v>
      </c>
      <c r="Q1069" s="20" t="str">
        <f>IF($B1069="","",IF($K1069&lt;&gt;"Complete","Assessment pending",IF($N1069=0,"Ready now",VLOOKUP($P1069,Lists!$D$2:$E$5,2,FALSE))))</f>
        <v>Assessment pending</v>
      </c>
    </row>
    <row r="1070" ht="15.75" customHeight="1">
      <c r="A1070" s="35" t="s">
        <v>2760</v>
      </c>
      <c r="B1070" s="35" t="s">
        <v>2761</v>
      </c>
      <c r="C1070" s="35" t="s">
        <v>1286</v>
      </c>
      <c r="D1070" s="35" t="s">
        <v>58</v>
      </c>
      <c r="E1070" s="35" t="s">
        <v>494</v>
      </c>
      <c r="F1070" s="35" t="s">
        <v>495</v>
      </c>
      <c r="G1070" s="35" t="s">
        <v>1161</v>
      </c>
      <c r="H1070" s="76">
        <v>15453.0</v>
      </c>
      <c r="I1070" s="35"/>
      <c r="M1070" s="20">
        <f>IF($B1070="","",COUNTIFS('Blocker log'!$A:$A,$B1070,'Blocker log'!$G:$G,"&lt;&gt;"))</f>
        <v>0</v>
      </c>
      <c r="N1070" s="20">
        <f>IF($B1070="","",COUNTIFS('Blocker log'!$A:$A,$B1070,'Blocker log'!$G:$G,"Hard blocker"))</f>
        <v>0</v>
      </c>
      <c r="O1070" s="20">
        <f>IF($B1070="","",COUNTIFS('Blocker log'!$A:$A,$B1070,'Blocker log'!$G:$G,"Hard blocker",'Blocker log'!$L:$L,9))</f>
        <v>0</v>
      </c>
      <c r="P1070" s="20">
        <f>IF($B1070="","",MAXIFS('Blocker log'!$L:$L,'Blocker log'!$A:$A,$B1070,'Blocker log'!$G:$G,"Hard blocker"))</f>
        <v>0</v>
      </c>
      <c r="Q1070" s="20" t="str">
        <f>IF($B1070="","",IF($K1070&lt;&gt;"Complete","Assessment pending",IF($N1070=0,"Ready now",VLOOKUP($P1070,Lists!$D$2:$E$5,2,FALSE))))</f>
        <v>Assessment pending</v>
      </c>
    </row>
    <row r="1071" ht="15.75" customHeight="1">
      <c r="A1071" s="35" t="s">
        <v>2762</v>
      </c>
      <c r="B1071" s="35" t="s">
        <v>2763</v>
      </c>
      <c r="C1071" s="35" t="s">
        <v>1286</v>
      </c>
      <c r="D1071" s="35" t="s">
        <v>171</v>
      </c>
      <c r="E1071" s="35" t="s">
        <v>512</v>
      </c>
      <c r="F1071" s="35" t="s">
        <v>1410</v>
      </c>
      <c r="G1071" s="35" t="s">
        <v>1161</v>
      </c>
      <c r="H1071" s="76">
        <v>15428.0</v>
      </c>
      <c r="I1071" s="35" t="s">
        <v>406</v>
      </c>
      <c r="M1071" s="20">
        <f>IF($B1071="","",COUNTIFS('Blocker log'!$A:$A,$B1071,'Blocker log'!$G:$G,"&lt;&gt;"))</f>
        <v>0</v>
      </c>
      <c r="N1071" s="20">
        <f>IF($B1071="","",COUNTIFS('Blocker log'!$A:$A,$B1071,'Blocker log'!$G:$G,"Hard blocker"))</f>
        <v>0</v>
      </c>
      <c r="O1071" s="20">
        <f>IF($B1071="","",COUNTIFS('Blocker log'!$A:$A,$B1071,'Blocker log'!$G:$G,"Hard blocker",'Blocker log'!$L:$L,9))</f>
        <v>0</v>
      </c>
      <c r="P1071" s="20">
        <f>IF($B1071="","",MAXIFS('Blocker log'!$L:$L,'Blocker log'!$A:$A,$B1071,'Blocker log'!$G:$G,"Hard blocker"))</f>
        <v>0</v>
      </c>
      <c r="Q1071" s="20" t="str">
        <f>IF($B1071="","",IF($K1071&lt;&gt;"Complete","Assessment pending",IF($N1071=0,"Ready now",VLOOKUP($P1071,Lists!$D$2:$E$5,2,FALSE))))</f>
        <v>Assessment pending</v>
      </c>
    </row>
    <row r="1072" ht="15.75" customHeight="1">
      <c r="A1072" s="35" t="s">
        <v>2764</v>
      </c>
      <c r="B1072" s="35" t="s">
        <v>2765</v>
      </c>
      <c r="C1072" s="35" t="s">
        <v>1286</v>
      </c>
      <c r="D1072" s="35" t="s">
        <v>301</v>
      </c>
      <c r="E1072" s="35" t="s">
        <v>593</v>
      </c>
      <c r="F1072" s="35" t="s">
        <v>593</v>
      </c>
      <c r="G1072" s="35" t="s">
        <v>1161</v>
      </c>
      <c r="H1072" s="76">
        <v>15312.0</v>
      </c>
      <c r="I1072" s="35"/>
      <c r="M1072" s="20">
        <f>IF($B1072="","",COUNTIFS('Blocker log'!$A:$A,$B1072,'Blocker log'!$G:$G,"&lt;&gt;"))</f>
        <v>0</v>
      </c>
      <c r="N1072" s="20">
        <f>IF($B1072="","",COUNTIFS('Blocker log'!$A:$A,$B1072,'Blocker log'!$G:$G,"Hard blocker"))</f>
        <v>0</v>
      </c>
      <c r="O1072" s="20">
        <f>IF($B1072="","",COUNTIFS('Blocker log'!$A:$A,$B1072,'Blocker log'!$G:$G,"Hard blocker",'Blocker log'!$L:$L,9))</f>
        <v>0</v>
      </c>
      <c r="P1072" s="20">
        <f>IF($B1072="","",MAXIFS('Blocker log'!$L:$L,'Blocker log'!$A:$A,$B1072,'Blocker log'!$G:$G,"Hard blocker"))</f>
        <v>0</v>
      </c>
      <c r="Q1072" s="20" t="str">
        <f>IF($B1072="","",IF($K1072&lt;&gt;"Complete","Assessment pending",IF($N1072=0,"Ready now",VLOOKUP($P1072,Lists!$D$2:$E$5,2,FALSE))))</f>
        <v>Assessment pending</v>
      </c>
    </row>
    <row r="1073" ht="15.75" customHeight="1">
      <c r="A1073" s="35" t="s">
        <v>2766</v>
      </c>
      <c r="B1073" s="35" t="s">
        <v>2767</v>
      </c>
      <c r="C1073" s="35" t="s">
        <v>76</v>
      </c>
      <c r="D1073" s="35" t="s">
        <v>58</v>
      </c>
      <c r="E1073" s="35" t="s">
        <v>59</v>
      </c>
      <c r="F1073" s="35" t="s">
        <v>598</v>
      </c>
      <c r="G1073" s="35" t="s">
        <v>1006</v>
      </c>
      <c r="H1073" s="76">
        <v>15299.0</v>
      </c>
      <c r="I1073" s="35"/>
      <c r="M1073" s="20">
        <f>IF($B1073="","",COUNTIFS('Blocker log'!$A:$A,$B1073,'Blocker log'!$G:$G,"&lt;&gt;"))</f>
        <v>0</v>
      </c>
      <c r="N1073" s="20">
        <f>IF($B1073="","",COUNTIFS('Blocker log'!$A:$A,$B1073,'Blocker log'!$G:$G,"Hard blocker"))</f>
        <v>0</v>
      </c>
      <c r="O1073" s="20">
        <f>IF($B1073="","",COUNTIFS('Blocker log'!$A:$A,$B1073,'Blocker log'!$G:$G,"Hard blocker",'Blocker log'!$L:$L,9))</f>
        <v>0</v>
      </c>
      <c r="P1073" s="20">
        <f>IF($B1073="","",MAXIFS('Blocker log'!$L:$L,'Blocker log'!$A:$A,$B1073,'Blocker log'!$G:$G,"Hard blocker"))</f>
        <v>0</v>
      </c>
      <c r="Q1073" s="20" t="str">
        <f>IF($B1073="","",IF($K1073&lt;&gt;"Complete","Assessment pending",IF($N1073=0,"Ready now",VLOOKUP($P1073,Lists!$D$2:$E$5,2,FALSE))))</f>
        <v>Assessment pending</v>
      </c>
    </row>
    <row r="1074" ht="15.75" customHeight="1">
      <c r="A1074" s="35" t="s">
        <v>2768</v>
      </c>
      <c r="B1074" s="35" t="s">
        <v>2769</v>
      </c>
      <c r="C1074" s="35" t="s">
        <v>1286</v>
      </c>
      <c r="D1074" s="35" t="s">
        <v>260</v>
      </c>
      <c r="E1074" s="35" t="s">
        <v>1096</v>
      </c>
      <c r="F1074" s="35" t="s">
        <v>1097</v>
      </c>
      <c r="G1074" s="35" t="s">
        <v>1161</v>
      </c>
      <c r="H1074" s="76">
        <v>15177.0</v>
      </c>
      <c r="I1074" s="35" t="s">
        <v>416</v>
      </c>
      <c r="M1074" s="20">
        <f>IF($B1074="","",COUNTIFS('Blocker log'!$A:$A,$B1074,'Blocker log'!$G:$G,"&lt;&gt;"))</f>
        <v>0</v>
      </c>
      <c r="N1074" s="20">
        <f>IF($B1074="","",COUNTIFS('Blocker log'!$A:$A,$B1074,'Blocker log'!$G:$G,"Hard blocker"))</f>
        <v>0</v>
      </c>
      <c r="O1074" s="20">
        <f>IF($B1074="","",COUNTIFS('Blocker log'!$A:$A,$B1074,'Blocker log'!$G:$G,"Hard blocker",'Blocker log'!$L:$L,9))</f>
        <v>0</v>
      </c>
      <c r="P1074" s="20">
        <f>IF($B1074="","",MAXIFS('Blocker log'!$L:$L,'Blocker log'!$A:$A,$B1074,'Blocker log'!$G:$G,"Hard blocker"))</f>
        <v>0</v>
      </c>
      <c r="Q1074" s="20" t="str">
        <f>IF($B1074="","",IF($K1074&lt;&gt;"Complete","Assessment pending",IF($N1074=0,"Ready now",VLOOKUP($P1074,Lists!$D$2:$E$5,2,FALSE))))</f>
        <v>Assessment pending</v>
      </c>
    </row>
    <row r="1075" ht="15.75" customHeight="1">
      <c r="A1075" s="35" t="s">
        <v>2770</v>
      </c>
      <c r="B1075" s="35" t="s">
        <v>2771</v>
      </c>
      <c r="C1075" s="35" t="s">
        <v>1286</v>
      </c>
      <c r="D1075" s="35" t="s">
        <v>171</v>
      </c>
      <c r="E1075" s="35" t="s">
        <v>205</v>
      </c>
      <c r="F1075" s="35" t="s">
        <v>206</v>
      </c>
      <c r="G1075" s="35" t="s">
        <v>1161</v>
      </c>
      <c r="H1075" s="76">
        <v>15131.0</v>
      </c>
      <c r="I1075" s="35"/>
      <c r="M1075" s="20">
        <f>IF($B1075="","",COUNTIFS('Blocker log'!$A:$A,$B1075,'Blocker log'!$G:$G,"&lt;&gt;"))</f>
        <v>0</v>
      </c>
      <c r="N1075" s="20">
        <f>IF($B1075="","",COUNTIFS('Blocker log'!$A:$A,$B1075,'Blocker log'!$G:$G,"Hard blocker"))</f>
        <v>0</v>
      </c>
      <c r="O1075" s="20">
        <f>IF($B1075="","",COUNTIFS('Blocker log'!$A:$A,$B1075,'Blocker log'!$G:$G,"Hard blocker",'Blocker log'!$L:$L,9))</f>
        <v>0</v>
      </c>
      <c r="P1075" s="20">
        <f>IF($B1075="","",MAXIFS('Blocker log'!$L:$L,'Blocker log'!$A:$A,$B1075,'Blocker log'!$G:$G,"Hard blocker"))</f>
        <v>0</v>
      </c>
      <c r="Q1075" s="20" t="str">
        <f>IF($B1075="","",IF($K1075&lt;&gt;"Complete","Assessment pending",IF($N1075=0,"Ready now",VLOOKUP($P1075,Lists!$D$2:$E$5,2,FALSE))))</f>
        <v>Assessment pending</v>
      </c>
    </row>
    <row r="1076" ht="15.75" customHeight="1">
      <c r="A1076" s="35" t="s">
        <v>2772</v>
      </c>
      <c r="B1076" s="35" t="s">
        <v>2773</v>
      </c>
      <c r="C1076" s="35" t="s">
        <v>1286</v>
      </c>
      <c r="D1076" s="35" t="s">
        <v>260</v>
      </c>
      <c r="E1076" s="35" t="s">
        <v>506</v>
      </c>
      <c r="F1076" s="35" t="s">
        <v>685</v>
      </c>
      <c r="G1076" s="35" t="s">
        <v>1161</v>
      </c>
      <c r="H1076" s="76">
        <v>15121.0</v>
      </c>
      <c r="I1076" s="35" t="s">
        <v>417</v>
      </c>
      <c r="M1076" s="20">
        <f>IF($B1076="","",COUNTIFS('Blocker log'!$A:$A,$B1076,'Blocker log'!$G:$G,"&lt;&gt;"))</f>
        <v>0</v>
      </c>
      <c r="N1076" s="20">
        <f>IF($B1076="","",COUNTIFS('Blocker log'!$A:$A,$B1076,'Blocker log'!$G:$G,"Hard blocker"))</f>
        <v>0</v>
      </c>
      <c r="O1076" s="20">
        <f>IF($B1076="","",COUNTIFS('Blocker log'!$A:$A,$B1076,'Blocker log'!$G:$G,"Hard blocker",'Blocker log'!$L:$L,9))</f>
        <v>0</v>
      </c>
      <c r="P1076" s="20">
        <f>IF($B1076="","",MAXIFS('Blocker log'!$L:$L,'Blocker log'!$A:$A,$B1076,'Blocker log'!$G:$G,"Hard blocker"))</f>
        <v>0</v>
      </c>
      <c r="Q1076" s="20" t="str">
        <f>IF($B1076="","",IF($K1076&lt;&gt;"Complete","Assessment pending",IF($N1076=0,"Ready now",VLOOKUP($P1076,Lists!$D$2:$E$5,2,FALSE))))</f>
        <v>Assessment pending</v>
      </c>
    </row>
    <row r="1077" ht="15.75" customHeight="1">
      <c r="A1077" s="35" t="s">
        <v>2774</v>
      </c>
      <c r="B1077" s="35" t="s">
        <v>2775</v>
      </c>
      <c r="C1077" s="35" t="s">
        <v>1286</v>
      </c>
      <c r="D1077" s="35" t="s">
        <v>260</v>
      </c>
      <c r="E1077" s="35" t="s">
        <v>530</v>
      </c>
      <c r="F1077" s="35" t="s">
        <v>1493</v>
      </c>
      <c r="G1077" s="35" t="s">
        <v>1161</v>
      </c>
      <c r="H1077" s="76">
        <v>15120.0</v>
      </c>
      <c r="I1077" s="35"/>
      <c r="M1077" s="20">
        <f>IF($B1077="","",COUNTIFS('Blocker log'!$A:$A,$B1077,'Blocker log'!$G:$G,"&lt;&gt;"))</f>
        <v>0</v>
      </c>
      <c r="N1077" s="20">
        <f>IF($B1077="","",COUNTIFS('Blocker log'!$A:$A,$B1077,'Blocker log'!$G:$G,"Hard blocker"))</f>
        <v>0</v>
      </c>
      <c r="O1077" s="20">
        <f>IF($B1077="","",COUNTIFS('Blocker log'!$A:$A,$B1077,'Blocker log'!$G:$G,"Hard blocker",'Blocker log'!$L:$L,9))</f>
        <v>0</v>
      </c>
      <c r="P1077" s="20">
        <f>IF($B1077="","",MAXIFS('Blocker log'!$L:$L,'Blocker log'!$A:$A,$B1077,'Blocker log'!$G:$G,"Hard blocker"))</f>
        <v>0</v>
      </c>
      <c r="Q1077" s="20" t="str">
        <f>IF($B1077="","",IF($K1077&lt;&gt;"Complete","Assessment pending",IF($N1077=0,"Ready now",VLOOKUP($P1077,Lists!$D$2:$E$5,2,FALSE))))</f>
        <v>Assessment pending</v>
      </c>
    </row>
    <row r="1078" ht="15.75" customHeight="1">
      <c r="A1078" s="35" t="s">
        <v>2776</v>
      </c>
      <c r="B1078" s="35" t="s">
        <v>2777</v>
      </c>
      <c r="C1078" s="35" t="s">
        <v>1286</v>
      </c>
      <c r="D1078" s="35" t="s">
        <v>260</v>
      </c>
      <c r="E1078" s="35" t="s">
        <v>530</v>
      </c>
      <c r="F1078" s="35" t="s">
        <v>2216</v>
      </c>
      <c r="G1078" s="35" t="s">
        <v>1161</v>
      </c>
      <c r="H1078" s="76">
        <v>15120.0</v>
      </c>
      <c r="I1078" s="35" t="s">
        <v>438</v>
      </c>
      <c r="M1078" s="20">
        <f>IF($B1078="","",COUNTIFS('Blocker log'!$A:$A,$B1078,'Blocker log'!$G:$G,"&lt;&gt;"))</f>
        <v>0</v>
      </c>
      <c r="N1078" s="20">
        <f>IF($B1078="","",COUNTIFS('Blocker log'!$A:$A,$B1078,'Blocker log'!$G:$G,"Hard blocker"))</f>
        <v>0</v>
      </c>
      <c r="O1078" s="20">
        <f>IF($B1078="","",COUNTIFS('Blocker log'!$A:$A,$B1078,'Blocker log'!$G:$G,"Hard blocker",'Blocker log'!$L:$L,9))</f>
        <v>0</v>
      </c>
      <c r="P1078" s="20">
        <f>IF($B1078="","",MAXIFS('Blocker log'!$L:$L,'Blocker log'!$A:$A,$B1078,'Blocker log'!$G:$G,"Hard blocker"))</f>
        <v>0</v>
      </c>
      <c r="Q1078" s="20" t="str">
        <f>IF($B1078="","",IF($K1078&lt;&gt;"Complete","Assessment pending",IF($N1078=0,"Ready now",VLOOKUP($P1078,Lists!$D$2:$E$5,2,FALSE))))</f>
        <v>Assessment pending</v>
      </c>
    </row>
    <row r="1079" ht="15.75" customHeight="1">
      <c r="A1079" s="35" t="s">
        <v>2778</v>
      </c>
      <c r="B1079" s="35" t="s">
        <v>2779</v>
      </c>
      <c r="C1079" s="35" t="s">
        <v>1286</v>
      </c>
      <c r="D1079" s="35" t="s">
        <v>260</v>
      </c>
      <c r="E1079" s="35" t="s">
        <v>530</v>
      </c>
      <c r="F1079" s="35" t="s">
        <v>531</v>
      </c>
      <c r="G1079" s="35" t="s">
        <v>1161</v>
      </c>
      <c r="H1079" s="76">
        <v>15120.0</v>
      </c>
      <c r="I1079" s="35" t="s">
        <v>438</v>
      </c>
      <c r="M1079" s="20">
        <f>IF($B1079="","",COUNTIFS('Blocker log'!$A:$A,$B1079,'Blocker log'!$G:$G,"&lt;&gt;"))</f>
        <v>0</v>
      </c>
      <c r="N1079" s="20">
        <f>IF($B1079="","",COUNTIFS('Blocker log'!$A:$A,$B1079,'Blocker log'!$G:$G,"Hard blocker"))</f>
        <v>0</v>
      </c>
      <c r="O1079" s="20">
        <f>IF($B1079="","",COUNTIFS('Blocker log'!$A:$A,$B1079,'Blocker log'!$G:$G,"Hard blocker",'Blocker log'!$L:$L,9))</f>
        <v>0</v>
      </c>
      <c r="P1079" s="20">
        <f>IF($B1079="","",MAXIFS('Blocker log'!$L:$L,'Blocker log'!$A:$A,$B1079,'Blocker log'!$G:$G,"Hard blocker"))</f>
        <v>0</v>
      </c>
      <c r="Q1079" s="20" t="str">
        <f>IF($B1079="","",IF($K1079&lt;&gt;"Complete","Assessment pending",IF($N1079=0,"Ready now",VLOOKUP($P1079,Lists!$D$2:$E$5,2,FALSE))))</f>
        <v>Assessment pending</v>
      </c>
    </row>
    <row r="1080" ht="15.75" customHeight="1">
      <c r="A1080" s="35" t="s">
        <v>2780</v>
      </c>
      <c r="B1080" s="35" t="s">
        <v>2781</v>
      </c>
      <c r="C1080" s="35" t="s">
        <v>1286</v>
      </c>
      <c r="D1080" s="35" t="s">
        <v>260</v>
      </c>
      <c r="E1080" s="35" t="s">
        <v>530</v>
      </c>
      <c r="F1080" s="35" t="s">
        <v>1849</v>
      </c>
      <c r="G1080" s="35" t="s">
        <v>1161</v>
      </c>
      <c r="H1080" s="76">
        <v>15120.0</v>
      </c>
      <c r="I1080" s="35"/>
      <c r="M1080" s="20">
        <f>IF($B1080="","",COUNTIFS('Blocker log'!$A:$A,$B1080,'Blocker log'!$G:$G,"&lt;&gt;"))</f>
        <v>0</v>
      </c>
      <c r="N1080" s="20">
        <f>IF($B1080="","",COUNTIFS('Blocker log'!$A:$A,$B1080,'Blocker log'!$G:$G,"Hard blocker"))</f>
        <v>0</v>
      </c>
      <c r="O1080" s="20">
        <f>IF($B1080="","",COUNTIFS('Blocker log'!$A:$A,$B1080,'Blocker log'!$G:$G,"Hard blocker",'Blocker log'!$L:$L,9))</f>
        <v>0</v>
      </c>
      <c r="P1080" s="20">
        <f>IF($B1080="","",MAXIFS('Blocker log'!$L:$L,'Blocker log'!$A:$A,$B1080,'Blocker log'!$G:$G,"Hard blocker"))</f>
        <v>0</v>
      </c>
      <c r="Q1080" s="20" t="str">
        <f>IF($B1080="","",IF($K1080&lt;&gt;"Complete","Assessment pending",IF($N1080=0,"Ready now",VLOOKUP($P1080,Lists!$D$2:$E$5,2,FALSE))))</f>
        <v>Assessment pending</v>
      </c>
    </row>
    <row r="1081" ht="15.75" customHeight="1">
      <c r="A1081" s="35" t="s">
        <v>2782</v>
      </c>
      <c r="B1081" s="35" t="s">
        <v>1743</v>
      </c>
      <c r="C1081" s="35"/>
      <c r="D1081" s="35" t="s">
        <v>260</v>
      </c>
      <c r="E1081" s="35" t="s">
        <v>530</v>
      </c>
      <c r="F1081" s="35" t="s">
        <v>1674</v>
      </c>
      <c r="G1081" s="35" t="s">
        <v>1161</v>
      </c>
      <c r="H1081" s="76">
        <v>15120.0</v>
      </c>
      <c r="I1081" s="35"/>
      <c r="M1081" s="20">
        <f>IF($B1081="","",COUNTIFS('Blocker log'!$A:$A,$B1081,'Blocker log'!$G:$G,"&lt;&gt;"))</f>
        <v>0</v>
      </c>
      <c r="N1081" s="20">
        <f>IF($B1081="","",COUNTIFS('Blocker log'!$A:$A,$B1081,'Blocker log'!$G:$G,"Hard blocker"))</f>
        <v>0</v>
      </c>
      <c r="O1081" s="20">
        <f>IF($B1081="","",COUNTIFS('Blocker log'!$A:$A,$B1081,'Blocker log'!$G:$G,"Hard blocker",'Blocker log'!$L:$L,9))</f>
        <v>0</v>
      </c>
      <c r="P1081" s="20">
        <f>IF($B1081="","",MAXIFS('Blocker log'!$L:$L,'Blocker log'!$A:$A,$B1081,'Blocker log'!$G:$G,"Hard blocker"))</f>
        <v>0</v>
      </c>
      <c r="Q1081" s="20" t="str">
        <f>IF($B1081="","",IF($K1081&lt;&gt;"Complete","Assessment pending",IF($N1081=0,"Ready now",VLOOKUP($P1081,Lists!$D$2:$E$5,2,FALSE))))</f>
        <v>Assessment pending</v>
      </c>
    </row>
    <row r="1082" ht="15.75" customHeight="1">
      <c r="A1082" s="35" t="s">
        <v>2783</v>
      </c>
      <c r="B1082" s="35" t="s">
        <v>2784</v>
      </c>
      <c r="C1082" s="35" t="s">
        <v>1286</v>
      </c>
      <c r="D1082" s="35" t="s">
        <v>260</v>
      </c>
      <c r="E1082" s="35" t="s">
        <v>530</v>
      </c>
      <c r="F1082" s="35" t="s">
        <v>795</v>
      </c>
      <c r="G1082" s="35" t="s">
        <v>1161</v>
      </c>
      <c r="H1082" s="76">
        <v>15120.0</v>
      </c>
      <c r="I1082" s="35"/>
      <c r="M1082" s="20">
        <f>IF($B1082="","",COUNTIFS('Blocker log'!$A:$A,$B1082,'Blocker log'!$G:$G,"&lt;&gt;"))</f>
        <v>0</v>
      </c>
      <c r="N1082" s="20">
        <f>IF($B1082="","",COUNTIFS('Blocker log'!$A:$A,$B1082,'Blocker log'!$G:$G,"Hard blocker"))</f>
        <v>0</v>
      </c>
      <c r="O1082" s="20">
        <f>IF($B1082="","",COUNTIFS('Blocker log'!$A:$A,$B1082,'Blocker log'!$G:$G,"Hard blocker",'Blocker log'!$L:$L,9))</f>
        <v>0</v>
      </c>
      <c r="P1082" s="20">
        <f>IF($B1082="","",MAXIFS('Blocker log'!$L:$L,'Blocker log'!$A:$A,$B1082,'Blocker log'!$G:$G,"Hard blocker"))</f>
        <v>0</v>
      </c>
      <c r="Q1082" s="20" t="str">
        <f>IF($B1082="","",IF($K1082&lt;&gt;"Complete","Assessment pending",IF($N1082=0,"Ready now",VLOOKUP($P1082,Lists!$D$2:$E$5,2,FALSE))))</f>
        <v>Assessment pending</v>
      </c>
    </row>
    <row r="1083" ht="15.75" customHeight="1">
      <c r="A1083" s="35" t="s">
        <v>2785</v>
      </c>
      <c r="B1083" s="35" t="s">
        <v>2786</v>
      </c>
      <c r="C1083" s="35" t="s">
        <v>1286</v>
      </c>
      <c r="D1083" s="35" t="s">
        <v>58</v>
      </c>
      <c r="E1083" s="35" t="s">
        <v>59</v>
      </c>
      <c r="F1083" s="35" t="s">
        <v>225</v>
      </c>
      <c r="G1083" s="35" t="s">
        <v>1042</v>
      </c>
      <c r="H1083" s="76">
        <v>15071.0</v>
      </c>
      <c r="I1083" s="35" t="s">
        <v>451</v>
      </c>
      <c r="M1083" s="20">
        <f>IF($B1083="","",COUNTIFS('Blocker log'!$A:$A,$B1083,'Blocker log'!$G:$G,"&lt;&gt;"))</f>
        <v>0</v>
      </c>
      <c r="N1083" s="20">
        <f>IF($B1083="","",COUNTIFS('Blocker log'!$A:$A,$B1083,'Blocker log'!$G:$G,"Hard blocker"))</f>
        <v>0</v>
      </c>
      <c r="O1083" s="20">
        <f>IF($B1083="","",COUNTIFS('Blocker log'!$A:$A,$B1083,'Blocker log'!$G:$G,"Hard blocker",'Blocker log'!$L:$L,9))</f>
        <v>0</v>
      </c>
      <c r="P1083" s="20">
        <f>IF($B1083="","",MAXIFS('Blocker log'!$L:$L,'Blocker log'!$A:$A,$B1083,'Blocker log'!$G:$G,"Hard blocker"))</f>
        <v>0</v>
      </c>
      <c r="Q1083" s="20" t="str">
        <f>IF($B1083="","",IF($K1083&lt;&gt;"Complete","Assessment pending",IF($N1083=0,"Ready now",VLOOKUP($P1083,Lists!$D$2:$E$5,2,FALSE))))</f>
        <v>Assessment pending</v>
      </c>
    </row>
    <row r="1084" ht="15.75" customHeight="1">
      <c r="A1084" s="35" t="s">
        <v>2787</v>
      </c>
      <c r="B1084" s="35" t="s">
        <v>2788</v>
      </c>
      <c r="C1084" s="35" t="s">
        <v>1286</v>
      </c>
      <c r="D1084" s="35" t="s">
        <v>58</v>
      </c>
      <c r="E1084" s="35" t="s">
        <v>101</v>
      </c>
      <c r="F1084" s="35" t="s">
        <v>554</v>
      </c>
      <c r="G1084" s="35" t="s">
        <v>1161</v>
      </c>
      <c r="H1084" s="76">
        <v>15062.0</v>
      </c>
      <c r="I1084" s="35" t="s">
        <v>408</v>
      </c>
      <c r="M1084" s="20">
        <f>IF($B1084="","",COUNTIFS('Blocker log'!$A:$A,$B1084,'Blocker log'!$G:$G,"&lt;&gt;"))</f>
        <v>0</v>
      </c>
      <c r="N1084" s="20">
        <f>IF($B1084="","",COUNTIFS('Blocker log'!$A:$A,$B1084,'Blocker log'!$G:$G,"Hard blocker"))</f>
        <v>0</v>
      </c>
      <c r="O1084" s="20">
        <f>IF($B1084="","",COUNTIFS('Blocker log'!$A:$A,$B1084,'Blocker log'!$G:$G,"Hard blocker",'Blocker log'!$L:$L,9))</f>
        <v>0</v>
      </c>
      <c r="P1084" s="20">
        <f>IF($B1084="","",MAXIFS('Blocker log'!$L:$L,'Blocker log'!$A:$A,$B1084,'Blocker log'!$G:$G,"Hard blocker"))</f>
        <v>0</v>
      </c>
      <c r="Q1084" s="20" t="str">
        <f>IF($B1084="","",IF($K1084&lt;&gt;"Complete","Assessment pending",IF($N1084=0,"Ready now",VLOOKUP($P1084,Lists!$D$2:$E$5,2,FALSE))))</f>
        <v>Assessment pending</v>
      </c>
    </row>
    <row r="1085" ht="15.75" customHeight="1">
      <c r="A1085" s="35" t="s">
        <v>2789</v>
      </c>
      <c r="B1085" s="35" t="s">
        <v>2790</v>
      </c>
      <c r="C1085" s="35" t="s">
        <v>1286</v>
      </c>
      <c r="D1085" s="35" t="s">
        <v>171</v>
      </c>
      <c r="E1085" s="35" t="s">
        <v>713</v>
      </c>
      <c r="F1085" s="35" t="s">
        <v>714</v>
      </c>
      <c r="G1085" s="35" t="s">
        <v>1161</v>
      </c>
      <c r="H1085" s="76">
        <v>15059.0</v>
      </c>
      <c r="I1085" s="35" t="s">
        <v>415</v>
      </c>
      <c r="M1085" s="20">
        <f>IF($B1085="","",COUNTIFS('Blocker log'!$A:$A,$B1085,'Blocker log'!$G:$G,"&lt;&gt;"))</f>
        <v>0</v>
      </c>
      <c r="N1085" s="20">
        <f>IF($B1085="","",COUNTIFS('Blocker log'!$A:$A,$B1085,'Blocker log'!$G:$G,"Hard blocker"))</f>
        <v>0</v>
      </c>
      <c r="O1085" s="20">
        <f>IF($B1085="","",COUNTIFS('Blocker log'!$A:$A,$B1085,'Blocker log'!$G:$G,"Hard blocker",'Blocker log'!$L:$L,9))</f>
        <v>0</v>
      </c>
      <c r="P1085" s="20">
        <f>IF($B1085="","",MAXIFS('Blocker log'!$L:$L,'Blocker log'!$A:$A,$B1085,'Blocker log'!$G:$G,"Hard blocker"))</f>
        <v>0</v>
      </c>
      <c r="Q1085" s="20" t="str">
        <f>IF($B1085="","",IF($K1085&lt;&gt;"Complete","Assessment pending",IF($N1085=0,"Ready now",VLOOKUP($P1085,Lists!$D$2:$E$5,2,FALSE))))</f>
        <v>Assessment pending</v>
      </c>
    </row>
    <row r="1086" ht="15.75" customHeight="1">
      <c r="A1086" s="35" t="s">
        <v>2791</v>
      </c>
      <c r="B1086" s="35" t="s">
        <v>2792</v>
      </c>
      <c r="C1086" s="35" t="s">
        <v>1286</v>
      </c>
      <c r="D1086" s="35" t="s">
        <v>260</v>
      </c>
      <c r="E1086" s="35" t="s">
        <v>1096</v>
      </c>
      <c r="F1086" s="35" t="s">
        <v>1650</v>
      </c>
      <c r="G1086" s="35" t="s">
        <v>1161</v>
      </c>
      <c r="H1086" s="76">
        <v>15012.0</v>
      </c>
      <c r="I1086" s="35" t="s">
        <v>416</v>
      </c>
      <c r="M1086" s="20">
        <f>IF($B1086="","",COUNTIFS('Blocker log'!$A:$A,$B1086,'Blocker log'!$G:$G,"&lt;&gt;"))</f>
        <v>0</v>
      </c>
      <c r="N1086" s="20">
        <f>IF($B1086="","",COUNTIFS('Blocker log'!$A:$A,$B1086,'Blocker log'!$G:$G,"Hard blocker"))</f>
        <v>0</v>
      </c>
      <c r="O1086" s="20">
        <f>IF($B1086="","",COUNTIFS('Blocker log'!$A:$A,$B1086,'Blocker log'!$G:$G,"Hard blocker",'Blocker log'!$L:$L,9))</f>
        <v>0</v>
      </c>
      <c r="P1086" s="20">
        <f>IF($B1086="","",MAXIFS('Blocker log'!$L:$L,'Blocker log'!$A:$A,$B1086,'Blocker log'!$G:$G,"Hard blocker"))</f>
        <v>0</v>
      </c>
      <c r="Q1086" s="20" t="str">
        <f>IF($B1086="","",IF($K1086&lt;&gt;"Complete","Assessment pending",IF($N1086=0,"Ready now",VLOOKUP($P1086,Lists!$D$2:$E$5,2,FALSE))))</f>
        <v>Assessment pending</v>
      </c>
    </row>
    <row r="1087" ht="15.75" customHeight="1">
      <c r="A1087" s="35" t="s">
        <v>2793</v>
      </c>
      <c r="B1087" s="35" t="s">
        <v>2794</v>
      </c>
      <c r="C1087" s="35" t="s">
        <v>1286</v>
      </c>
      <c r="D1087" s="35" t="s">
        <v>260</v>
      </c>
      <c r="E1087" s="35" t="s">
        <v>530</v>
      </c>
      <c r="F1087" s="35" t="s">
        <v>531</v>
      </c>
      <c r="G1087" s="35" t="s">
        <v>1161</v>
      </c>
      <c r="H1087" s="76">
        <v>14999.0</v>
      </c>
      <c r="I1087" s="35" t="s">
        <v>441</v>
      </c>
      <c r="M1087" s="20">
        <f>IF($B1087="","",COUNTIFS('Blocker log'!$A:$A,$B1087,'Blocker log'!$G:$G,"&lt;&gt;"))</f>
        <v>0</v>
      </c>
      <c r="N1087" s="20">
        <f>IF($B1087="","",COUNTIFS('Blocker log'!$A:$A,$B1087,'Blocker log'!$G:$G,"Hard blocker"))</f>
        <v>0</v>
      </c>
      <c r="O1087" s="20">
        <f>IF($B1087="","",COUNTIFS('Blocker log'!$A:$A,$B1087,'Blocker log'!$G:$G,"Hard blocker",'Blocker log'!$L:$L,9))</f>
        <v>0</v>
      </c>
      <c r="P1087" s="20">
        <f>IF($B1087="","",MAXIFS('Blocker log'!$L:$L,'Blocker log'!$A:$A,$B1087,'Blocker log'!$G:$G,"Hard blocker"))</f>
        <v>0</v>
      </c>
      <c r="Q1087" s="20" t="str">
        <f>IF($B1087="","",IF($K1087&lt;&gt;"Complete","Assessment pending",IF($N1087=0,"Ready now",VLOOKUP($P1087,Lists!$D$2:$E$5,2,FALSE))))</f>
        <v>Assessment pending</v>
      </c>
    </row>
    <row r="1088" ht="15.75" customHeight="1">
      <c r="A1088" s="35" t="s">
        <v>2795</v>
      </c>
      <c r="B1088" s="35" t="s">
        <v>2796</v>
      </c>
      <c r="C1088" s="35" t="s">
        <v>1286</v>
      </c>
      <c r="D1088" s="35" t="s">
        <v>171</v>
      </c>
      <c r="E1088" s="35" t="s">
        <v>587</v>
      </c>
      <c r="F1088" s="35" t="s">
        <v>1369</v>
      </c>
      <c r="G1088" s="35" t="s">
        <v>1161</v>
      </c>
      <c r="H1088" s="76">
        <v>14975.0</v>
      </c>
      <c r="I1088" s="35"/>
      <c r="M1088" s="20">
        <f>IF($B1088="","",COUNTIFS('Blocker log'!$A:$A,$B1088,'Blocker log'!$G:$G,"&lt;&gt;"))</f>
        <v>0</v>
      </c>
      <c r="N1088" s="20">
        <f>IF($B1088="","",COUNTIFS('Blocker log'!$A:$A,$B1088,'Blocker log'!$G:$G,"Hard blocker"))</f>
        <v>0</v>
      </c>
      <c r="O1088" s="20">
        <f>IF($B1088="","",COUNTIFS('Blocker log'!$A:$A,$B1088,'Blocker log'!$G:$G,"Hard blocker",'Blocker log'!$L:$L,9))</f>
        <v>0</v>
      </c>
      <c r="P1088" s="20">
        <f>IF($B1088="","",MAXIFS('Blocker log'!$L:$L,'Blocker log'!$A:$A,$B1088,'Blocker log'!$G:$G,"Hard blocker"))</f>
        <v>0</v>
      </c>
      <c r="Q1088" s="20" t="str">
        <f>IF($B1088="","",IF($K1088&lt;&gt;"Complete","Assessment pending",IF($N1088=0,"Ready now",VLOOKUP($P1088,Lists!$D$2:$E$5,2,FALSE))))</f>
        <v>Assessment pending</v>
      </c>
    </row>
    <row r="1089" ht="15.75" customHeight="1">
      <c r="A1089" s="35" t="s">
        <v>2797</v>
      </c>
      <c r="B1089" s="35" t="s">
        <v>2798</v>
      </c>
      <c r="C1089" s="35" t="s">
        <v>1286</v>
      </c>
      <c r="D1089" s="35" t="s">
        <v>171</v>
      </c>
      <c r="E1089" s="35" t="s">
        <v>760</v>
      </c>
      <c r="F1089" s="35" t="s">
        <v>761</v>
      </c>
      <c r="G1089" s="35" t="s">
        <v>1161</v>
      </c>
      <c r="H1089" s="76">
        <v>14964.0</v>
      </c>
      <c r="I1089" s="35"/>
      <c r="M1089" s="20">
        <f>IF($B1089="","",COUNTIFS('Blocker log'!$A:$A,$B1089,'Blocker log'!$G:$G,"&lt;&gt;"))</f>
        <v>0</v>
      </c>
      <c r="N1089" s="20">
        <f>IF($B1089="","",COUNTIFS('Blocker log'!$A:$A,$B1089,'Blocker log'!$G:$G,"Hard blocker"))</f>
        <v>0</v>
      </c>
      <c r="O1089" s="20">
        <f>IF($B1089="","",COUNTIFS('Blocker log'!$A:$A,$B1089,'Blocker log'!$G:$G,"Hard blocker",'Blocker log'!$L:$L,9))</f>
        <v>0</v>
      </c>
      <c r="P1089" s="20">
        <f>IF($B1089="","",MAXIFS('Blocker log'!$L:$L,'Blocker log'!$A:$A,$B1089,'Blocker log'!$G:$G,"Hard blocker"))</f>
        <v>0</v>
      </c>
      <c r="Q1089" s="20" t="str">
        <f>IF($B1089="","",IF($K1089&lt;&gt;"Complete","Assessment pending",IF($N1089=0,"Ready now",VLOOKUP($P1089,Lists!$D$2:$E$5,2,FALSE))))</f>
        <v>Assessment pending</v>
      </c>
    </row>
    <row r="1090" ht="15.75" customHeight="1">
      <c r="A1090" s="35" t="s">
        <v>2799</v>
      </c>
      <c r="B1090" s="78" t="s">
        <v>2800</v>
      </c>
      <c r="C1090" s="35" t="s">
        <v>1286</v>
      </c>
      <c r="D1090" s="35" t="s">
        <v>58</v>
      </c>
      <c r="E1090" s="35" t="s">
        <v>101</v>
      </c>
      <c r="F1090" s="35" t="s">
        <v>554</v>
      </c>
      <c r="G1090" s="35" t="s">
        <v>1161</v>
      </c>
      <c r="H1090" s="76">
        <v>14962.0</v>
      </c>
      <c r="I1090" s="35" t="s">
        <v>453</v>
      </c>
      <c r="M1090" s="20">
        <f>IF($B1090="","",COUNTIFS('Blocker log'!$A:$A,$B1090,'Blocker log'!$G:$G,"&lt;&gt;"))</f>
        <v>0</v>
      </c>
      <c r="N1090" s="20">
        <f>IF($B1090="","",COUNTIFS('Blocker log'!$A:$A,$B1090,'Blocker log'!$G:$G,"Hard blocker"))</f>
        <v>0</v>
      </c>
      <c r="O1090" s="20">
        <f>IF($B1090="","",COUNTIFS('Blocker log'!$A:$A,$B1090,'Blocker log'!$G:$G,"Hard blocker",'Blocker log'!$L:$L,9))</f>
        <v>0</v>
      </c>
      <c r="P1090" s="20">
        <f>IF($B1090="","",MAXIFS('Blocker log'!$L:$L,'Blocker log'!$A:$A,$B1090,'Blocker log'!$G:$G,"Hard blocker"))</f>
        <v>0</v>
      </c>
      <c r="Q1090" s="20" t="str">
        <f>IF($B1090="","",IF($K1090&lt;&gt;"Complete","Assessment pending",IF($N1090=0,"Ready now",VLOOKUP($P1090,Lists!$D$2:$E$5,2,FALSE))))</f>
        <v>Assessment pending</v>
      </c>
    </row>
    <row r="1091" ht="15.75" customHeight="1">
      <c r="A1091" s="35" t="s">
        <v>2801</v>
      </c>
      <c r="B1091" s="35" t="s">
        <v>2802</v>
      </c>
      <c r="C1091" s="35" t="s">
        <v>1286</v>
      </c>
      <c r="D1091" s="35" t="s">
        <v>171</v>
      </c>
      <c r="E1091" s="35" t="s">
        <v>542</v>
      </c>
      <c r="F1091" s="35" t="s">
        <v>1713</v>
      </c>
      <c r="G1091" s="35" t="s">
        <v>1161</v>
      </c>
      <c r="H1091" s="76">
        <v>14904.0</v>
      </c>
      <c r="I1091" s="35"/>
      <c r="M1091" s="20">
        <f>IF($B1091="","",COUNTIFS('Blocker log'!$A:$A,$B1091,'Blocker log'!$G:$G,"&lt;&gt;"))</f>
        <v>0</v>
      </c>
      <c r="N1091" s="20">
        <f>IF($B1091="","",COUNTIFS('Blocker log'!$A:$A,$B1091,'Blocker log'!$G:$G,"Hard blocker"))</f>
        <v>0</v>
      </c>
      <c r="O1091" s="20">
        <f>IF($B1091="","",COUNTIFS('Blocker log'!$A:$A,$B1091,'Blocker log'!$G:$G,"Hard blocker",'Blocker log'!$L:$L,9))</f>
        <v>0</v>
      </c>
      <c r="P1091" s="20">
        <f>IF($B1091="","",MAXIFS('Blocker log'!$L:$L,'Blocker log'!$A:$A,$B1091,'Blocker log'!$G:$G,"Hard blocker"))</f>
        <v>0</v>
      </c>
      <c r="Q1091" s="20" t="str">
        <f>IF($B1091="","",IF($K1091&lt;&gt;"Complete","Assessment pending",IF($N1091=0,"Ready now",VLOOKUP($P1091,Lists!$D$2:$E$5,2,FALSE))))</f>
        <v>Assessment pending</v>
      </c>
    </row>
    <row r="1092" ht="15.75" customHeight="1">
      <c r="A1092" s="35" t="s">
        <v>2803</v>
      </c>
      <c r="B1092" s="35" t="s">
        <v>2804</v>
      </c>
      <c r="C1092" s="35" t="s">
        <v>1286</v>
      </c>
      <c r="D1092" s="35" t="s">
        <v>171</v>
      </c>
      <c r="E1092" s="35" t="s">
        <v>172</v>
      </c>
      <c r="F1092" s="35" t="s">
        <v>1437</v>
      </c>
      <c r="G1092" s="35" t="s">
        <v>1161</v>
      </c>
      <c r="H1092" s="76">
        <v>14786.0</v>
      </c>
      <c r="I1092" s="35"/>
      <c r="M1092" s="20">
        <f>IF($B1092="","",COUNTIFS('Blocker log'!$A:$A,$B1092,'Blocker log'!$G:$G,"&lt;&gt;"))</f>
        <v>0</v>
      </c>
      <c r="N1092" s="20">
        <f>IF($B1092="","",COUNTIFS('Blocker log'!$A:$A,$B1092,'Blocker log'!$G:$G,"Hard blocker"))</f>
        <v>0</v>
      </c>
      <c r="O1092" s="20">
        <f>IF($B1092="","",COUNTIFS('Blocker log'!$A:$A,$B1092,'Blocker log'!$G:$G,"Hard blocker",'Blocker log'!$L:$L,9))</f>
        <v>0</v>
      </c>
      <c r="P1092" s="20">
        <f>IF($B1092="","",MAXIFS('Blocker log'!$L:$L,'Blocker log'!$A:$A,$B1092,'Blocker log'!$G:$G,"Hard blocker"))</f>
        <v>0</v>
      </c>
      <c r="Q1092" s="20" t="str">
        <f>IF($B1092="","",IF($K1092&lt;&gt;"Complete","Assessment pending",IF($N1092=0,"Ready now",VLOOKUP($P1092,Lists!$D$2:$E$5,2,FALSE))))</f>
        <v>Assessment pending</v>
      </c>
    </row>
    <row r="1093" ht="15.75" customHeight="1">
      <c r="A1093" s="35" t="s">
        <v>2805</v>
      </c>
      <c r="B1093" s="35" t="s">
        <v>2806</v>
      </c>
      <c r="C1093" s="35" t="s">
        <v>1286</v>
      </c>
      <c r="D1093" s="35" t="s">
        <v>171</v>
      </c>
      <c r="E1093" s="35" t="s">
        <v>524</v>
      </c>
      <c r="F1093" s="35" t="s">
        <v>525</v>
      </c>
      <c r="G1093" s="35" t="s">
        <v>1161</v>
      </c>
      <c r="H1093" s="76">
        <v>14774.0</v>
      </c>
      <c r="I1093" s="35" t="s">
        <v>431</v>
      </c>
      <c r="M1093" s="20">
        <f>IF($B1093="","",COUNTIFS('Blocker log'!$A:$A,$B1093,'Blocker log'!$G:$G,"&lt;&gt;"))</f>
        <v>0</v>
      </c>
      <c r="N1093" s="20">
        <f>IF($B1093="","",COUNTIFS('Blocker log'!$A:$A,$B1093,'Blocker log'!$G:$G,"Hard blocker"))</f>
        <v>0</v>
      </c>
      <c r="O1093" s="20">
        <f>IF($B1093="","",COUNTIFS('Blocker log'!$A:$A,$B1093,'Blocker log'!$G:$G,"Hard blocker",'Blocker log'!$L:$L,9))</f>
        <v>0</v>
      </c>
      <c r="P1093" s="20">
        <f>IF($B1093="","",MAXIFS('Blocker log'!$L:$L,'Blocker log'!$A:$A,$B1093,'Blocker log'!$G:$G,"Hard blocker"))</f>
        <v>0</v>
      </c>
      <c r="Q1093" s="20" t="str">
        <f>IF($B1093="","",IF($K1093&lt;&gt;"Complete","Assessment pending",IF($N1093=0,"Ready now",VLOOKUP($P1093,Lists!$D$2:$E$5,2,FALSE))))</f>
        <v>Assessment pending</v>
      </c>
    </row>
    <row r="1094" ht="15.75" customHeight="1">
      <c r="A1094" s="35" t="s">
        <v>2807</v>
      </c>
      <c r="B1094" s="35" t="s">
        <v>2808</v>
      </c>
      <c r="C1094" s="35" t="s">
        <v>1286</v>
      </c>
      <c r="D1094" s="35" t="s">
        <v>171</v>
      </c>
      <c r="E1094" s="35" t="s">
        <v>512</v>
      </c>
      <c r="F1094" s="35" t="s">
        <v>2127</v>
      </c>
      <c r="G1094" s="35" t="s">
        <v>1161</v>
      </c>
      <c r="H1094" s="76">
        <v>14760.0</v>
      </c>
      <c r="I1094" s="35"/>
      <c r="M1094" s="20">
        <f>IF($B1094="","",COUNTIFS('Blocker log'!$A:$A,$B1094,'Blocker log'!$G:$G,"&lt;&gt;"))</f>
        <v>0</v>
      </c>
      <c r="N1094" s="20">
        <f>IF($B1094="","",COUNTIFS('Blocker log'!$A:$A,$B1094,'Blocker log'!$G:$G,"Hard blocker"))</f>
        <v>0</v>
      </c>
      <c r="O1094" s="20">
        <f>IF($B1094="","",COUNTIFS('Blocker log'!$A:$A,$B1094,'Blocker log'!$G:$G,"Hard blocker",'Blocker log'!$L:$L,9))</f>
        <v>0</v>
      </c>
      <c r="P1094" s="20">
        <f>IF($B1094="","",MAXIFS('Blocker log'!$L:$L,'Blocker log'!$A:$A,$B1094,'Blocker log'!$G:$G,"Hard blocker"))</f>
        <v>0</v>
      </c>
      <c r="Q1094" s="20" t="str">
        <f>IF($B1094="","",IF($K1094&lt;&gt;"Complete","Assessment pending",IF($N1094=0,"Ready now",VLOOKUP($P1094,Lists!$D$2:$E$5,2,FALSE))))</f>
        <v>Assessment pending</v>
      </c>
    </row>
    <row r="1095" ht="15.75" customHeight="1">
      <c r="A1095" s="35" t="s">
        <v>2809</v>
      </c>
      <c r="B1095" s="35" t="s">
        <v>2810</v>
      </c>
      <c r="C1095" s="35" t="s">
        <v>1286</v>
      </c>
      <c r="D1095" s="35" t="s">
        <v>260</v>
      </c>
      <c r="E1095" s="35" t="s">
        <v>506</v>
      </c>
      <c r="F1095" s="35" t="s">
        <v>708</v>
      </c>
      <c r="G1095" s="35" t="s">
        <v>1161</v>
      </c>
      <c r="H1095" s="76">
        <v>14742.0</v>
      </c>
      <c r="I1095" s="35" t="s">
        <v>440</v>
      </c>
      <c r="M1095" s="20">
        <f>IF($B1095="","",COUNTIFS('Blocker log'!$A:$A,$B1095,'Blocker log'!$G:$G,"&lt;&gt;"))</f>
        <v>0</v>
      </c>
      <c r="N1095" s="20">
        <f>IF($B1095="","",COUNTIFS('Blocker log'!$A:$A,$B1095,'Blocker log'!$G:$G,"Hard blocker"))</f>
        <v>0</v>
      </c>
      <c r="O1095" s="20">
        <f>IF($B1095="","",COUNTIFS('Blocker log'!$A:$A,$B1095,'Blocker log'!$G:$G,"Hard blocker",'Blocker log'!$L:$L,9))</f>
        <v>0</v>
      </c>
      <c r="P1095" s="20">
        <f>IF($B1095="","",MAXIFS('Blocker log'!$L:$L,'Blocker log'!$A:$A,$B1095,'Blocker log'!$G:$G,"Hard blocker"))</f>
        <v>0</v>
      </c>
      <c r="Q1095" s="20" t="str">
        <f>IF($B1095="","",IF($K1095&lt;&gt;"Complete","Assessment pending",IF($N1095=0,"Ready now",VLOOKUP($P1095,Lists!$D$2:$E$5,2,FALSE))))</f>
        <v>Assessment pending</v>
      </c>
    </row>
    <row r="1096" ht="15.75" customHeight="1">
      <c r="A1096" s="35" t="s">
        <v>2811</v>
      </c>
      <c r="B1096" s="35" t="s">
        <v>2812</v>
      </c>
      <c r="C1096" s="35" t="s">
        <v>76</v>
      </c>
      <c r="D1096" s="35" t="s">
        <v>171</v>
      </c>
      <c r="E1096" s="35" t="s">
        <v>542</v>
      </c>
      <c r="F1096" s="35" t="s">
        <v>1713</v>
      </c>
      <c r="G1096" s="35" t="s">
        <v>980</v>
      </c>
      <c r="H1096" s="76">
        <v>14700.0</v>
      </c>
      <c r="I1096" s="35"/>
      <c r="M1096" s="20">
        <f>IF($B1096="","",COUNTIFS('Blocker log'!$A:$A,$B1096,'Blocker log'!$G:$G,"&lt;&gt;"))</f>
        <v>0</v>
      </c>
      <c r="N1096" s="20">
        <f>IF($B1096="","",COUNTIFS('Blocker log'!$A:$A,$B1096,'Blocker log'!$G:$G,"Hard blocker"))</f>
        <v>0</v>
      </c>
      <c r="O1096" s="20">
        <f>IF($B1096="","",COUNTIFS('Blocker log'!$A:$A,$B1096,'Blocker log'!$G:$G,"Hard blocker",'Blocker log'!$L:$L,9))</f>
        <v>0</v>
      </c>
      <c r="P1096" s="20">
        <f>IF($B1096="","",MAXIFS('Blocker log'!$L:$L,'Blocker log'!$A:$A,$B1096,'Blocker log'!$G:$G,"Hard blocker"))</f>
        <v>0</v>
      </c>
      <c r="Q1096" s="20" t="str">
        <f>IF($B1096="","",IF($K1096&lt;&gt;"Complete","Assessment pending",IF($N1096=0,"Ready now",VLOOKUP($P1096,Lists!$D$2:$E$5,2,FALSE))))</f>
        <v>Assessment pending</v>
      </c>
    </row>
    <row r="1097" ht="15.75" customHeight="1">
      <c r="A1097" s="35" t="s">
        <v>2813</v>
      </c>
      <c r="B1097" s="35" t="s">
        <v>2814</v>
      </c>
      <c r="C1097" s="35" t="s">
        <v>1286</v>
      </c>
      <c r="D1097" s="35" t="s">
        <v>171</v>
      </c>
      <c r="E1097" s="35" t="s">
        <v>542</v>
      </c>
      <c r="F1097" s="35" t="s">
        <v>543</v>
      </c>
      <c r="G1097" s="35" t="s">
        <v>1161</v>
      </c>
      <c r="H1097" s="76">
        <v>14688.0</v>
      </c>
      <c r="I1097" s="35"/>
      <c r="M1097" s="20">
        <f>IF($B1097="","",COUNTIFS('Blocker log'!$A:$A,$B1097,'Blocker log'!$G:$G,"&lt;&gt;"))</f>
        <v>0</v>
      </c>
      <c r="N1097" s="20">
        <f>IF($B1097="","",COUNTIFS('Blocker log'!$A:$A,$B1097,'Blocker log'!$G:$G,"Hard blocker"))</f>
        <v>0</v>
      </c>
      <c r="O1097" s="20">
        <f>IF($B1097="","",COUNTIFS('Blocker log'!$A:$A,$B1097,'Blocker log'!$G:$G,"Hard blocker",'Blocker log'!$L:$L,9))</f>
        <v>0</v>
      </c>
      <c r="P1097" s="20">
        <f>IF($B1097="","",MAXIFS('Blocker log'!$L:$L,'Blocker log'!$A:$A,$B1097,'Blocker log'!$G:$G,"Hard blocker"))</f>
        <v>0</v>
      </c>
      <c r="Q1097" s="20" t="str">
        <f>IF($B1097="","",IF($K1097&lt;&gt;"Complete","Assessment pending",IF($N1097=0,"Ready now",VLOOKUP($P1097,Lists!$D$2:$E$5,2,FALSE))))</f>
        <v>Assessment pending</v>
      </c>
    </row>
    <row r="1098" ht="15.75" customHeight="1">
      <c r="A1098" s="35" t="s">
        <v>2815</v>
      </c>
      <c r="B1098" s="35" t="s">
        <v>2816</v>
      </c>
      <c r="C1098" s="35" t="s">
        <v>1286</v>
      </c>
      <c r="D1098" s="35" t="s">
        <v>260</v>
      </c>
      <c r="E1098" s="35" t="s">
        <v>576</v>
      </c>
      <c r="F1098" s="35" t="s">
        <v>1228</v>
      </c>
      <c r="G1098" s="35" t="s">
        <v>1161</v>
      </c>
      <c r="H1098" s="76">
        <v>14610.0</v>
      </c>
      <c r="I1098" s="35" t="s">
        <v>403</v>
      </c>
      <c r="M1098" s="20">
        <f>IF($B1098="","",COUNTIFS('Blocker log'!$A:$A,$B1098,'Blocker log'!$G:$G,"&lt;&gt;"))</f>
        <v>0</v>
      </c>
      <c r="N1098" s="20">
        <f>IF($B1098="","",COUNTIFS('Blocker log'!$A:$A,$B1098,'Blocker log'!$G:$G,"Hard blocker"))</f>
        <v>0</v>
      </c>
      <c r="O1098" s="20">
        <f>IF($B1098="","",COUNTIFS('Blocker log'!$A:$A,$B1098,'Blocker log'!$G:$G,"Hard blocker",'Blocker log'!$L:$L,9))</f>
        <v>0</v>
      </c>
      <c r="P1098" s="20">
        <f>IF($B1098="","",MAXIFS('Blocker log'!$L:$L,'Blocker log'!$A:$A,$B1098,'Blocker log'!$G:$G,"Hard blocker"))</f>
        <v>0</v>
      </c>
      <c r="Q1098" s="20" t="str">
        <f>IF($B1098="","",IF($K1098&lt;&gt;"Complete","Assessment pending",IF($N1098=0,"Ready now",VLOOKUP($P1098,Lists!$D$2:$E$5,2,FALSE))))</f>
        <v>Assessment pending</v>
      </c>
    </row>
    <row r="1099" ht="15.75" customHeight="1">
      <c r="A1099" s="35" t="s">
        <v>2817</v>
      </c>
      <c r="B1099" s="35" t="s">
        <v>2818</v>
      </c>
      <c r="C1099" s="35" t="s">
        <v>1286</v>
      </c>
      <c r="D1099" s="35" t="s">
        <v>260</v>
      </c>
      <c r="E1099" s="35" t="s">
        <v>1096</v>
      </c>
      <c r="F1099" s="35" t="s">
        <v>1366</v>
      </c>
      <c r="G1099" s="35" t="s">
        <v>1161</v>
      </c>
      <c r="H1099" s="76">
        <v>14522.0</v>
      </c>
      <c r="I1099" s="35"/>
      <c r="M1099" s="20">
        <f>IF($B1099="","",COUNTIFS('Blocker log'!$A:$A,$B1099,'Blocker log'!$G:$G,"&lt;&gt;"))</f>
        <v>0</v>
      </c>
      <c r="N1099" s="20">
        <f>IF($B1099="","",COUNTIFS('Blocker log'!$A:$A,$B1099,'Blocker log'!$G:$G,"Hard blocker"))</f>
        <v>0</v>
      </c>
      <c r="O1099" s="20">
        <f>IF($B1099="","",COUNTIFS('Blocker log'!$A:$A,$B1099,'Blocker log'!$G:$G,"Hard blocker",'Blocker log'!$L:$L,9))</f>
        <v>0</v>
      </c>
      <c r="P1099" s="20">
        <f>IF($B1099="","",MAXIFS('Blocker log'!$L:$L,'Blocker log'!$A:$A,$B1099,'Blocker log'!$G:$G,"Hard blocker"))</f>
        <v>0</v>
      </c>
      <c r="Q1099" s="20" t="str">
        <f>IF($B1099="","",IF($K1099&lt;&gt;"Complete","Assessment pending",IF($N1099=0,"Ready now",VLOOKUP($P1099,Lists!$D$2:$E$5,2,FALSE))))</f>
        <v>Assessment pending</v>
      </c>
    </row>
    <row r="1100" ht="15.75" customHeight="1">
      <c r="A1100" s="35" t="s">
        <v>2819</v>
      </c>
      <c r="B1100" s="35" t="s">
        <v>2820</v>
      </c>
      <c r="C1100" s="35" t="s">
        <v>1286</v>
      </c>
      <c r="D1100" s="35" t="s">
        <v>58</v>
      </c>
      <c r="E1100" s="35" t="s">
        <v>101</v>
      </c>
      <c r="F1100" s="35" t="s">
        <v>116</v>
      </c>
      <c r="G1100" s="35" t="s">
        <v>1161</v>
      </c>
      <c r="H1100" s="76">
        <v>14513.0</v>
      </c>
      <c r="I1100" s="35"/>
      <c r="M1100" s="20">
        <f>IF($B1100="","",COUNTIFS('Blocker log'!$A:$A,$B1100,'Blocker log'!$G:$G,"&lt;&gt;"))</f>
        <v>0</v>
      </c>
      <c r="N1100" s="20">
        <f>IF($B1100="","",COUNTIFS('Blocker log'!$A:$A,$B1100,'Blocker log'!$G:$G,"Hard blocker"))</f>
        <v>0</v>
      </c>
      <c r="O1100" s="20">
        <f>IF($B1100="","",COUNTIFS('Blocker log'!$A:$A,$B1100,'Blocker log'!$G:$G,"Hard blocker",'Blocker log'!$L:$L,9))</f>
        <v>0</v>
      </c>
      <c r="P1100" s="20">
        <f>IF($B1100="","",MAXIFS('Blocker log'!$L:$L,'Blocker log'!$A:$A,$B1100,'Blocker log'!$G:$G,"Hard blocker"))</f>
        <v>0</v>
      </c>
      <c r="Q1100" s="20" t="str">
        <f>IF($B1100="","",IF($K1100&lt;&gt;"Complete","Assessment pending",IF($N1100=0,"Ready now",VLOOKUP($P1100,Lists!$D$2:$E$5,2,FALSE))))</f>
        <v>Assessment pending</v>
      </c>
    </row>
    <row r="1101" ht="15.75" customHeight="1">
      <c r="A1101" s="35" t="s">
        <v>2821</v>
      </c>
      <c r="B1101" s="35" t="s">
        <v>2822</v>
      </c>
      <c r="C1101" s="35" t="s">
        <v>1286</v>
      </c>
      <c r="D1101" s="35" t="s">
        <v>171</v>
      </c>
      <c r="E1101" s="35" t="s">
        <v>205</v>
      </c>
      <c r="F1101" s="35" t="s">
        <v>1823</v>
      </c>
      <c r="G1101" s="35" t="s">
        <v>1161</v>
      </c>
      <c r="H1101" s="76">
        <v>14480.0</v>
      </c>
      <c r="I1101" s="35"/>
      <c r="M1101" s="20">
        <f>IF($B1101="","",COUNTIFS('Blocker log'!$A:$A,$B1101,'Blocker log'!$G:$G,"&lt;&gt;"))</f>
        <v>0</v>
      </c>
      <c r="N1101" s="20">
        <f>IF($B1101="","",COUNTIFS('Blocker log'!$A:$A,$B1101,'Blocker log'!$G:$G,"Hard blocker"))</f>
        <v>0</v>
      </c>
      <c r="O1101" s="20">
        <f>IF($B1101="","",COUNTIFS('Blocker log'!$A:$A,$B1101,'Blocker log'!$G:$G,"Hard blocker",'Blocker log'!$L:$L,9))</f>
        <v>0</v>
      </c>
      <c r="P1101" s="20">
        <f>IF($B1101="","",MAXIFS('Blocker log'!$L:$L,'Blocker log'!$A:$A,$B1101,'Blocker log'!$G:$G,"Hard blocker"))</f>
        <v>0</v>
      </c>
      <c r="Q1101" s="20" t="str">
        <f>IF($B1101="","",IF($K1101&lt;&gt;"Complete","Assessment pending",IF($N1101=0,"Ready now",VLOOKUP($P1101,Lists!$D$2:$E$5,2,FALSE))))</f>
        <v>Assessment pending</v>
      </c>
    </row>
    <row r="1102" ht="15.75" customHeight="1">
      <c r="A1102" s="35" t="s">
        <v>2823</v>
      </c>
      <c r="B1102" s="35" t="s">
        <v>2824</v>
      </c>
      <c r="C1102" s="35" t="s">
        <v>1286</v>
      </c>
      <c r="D1102" s="35" t="s">
        <v>260</v>
      </c>
      <c r="E1102" s="35" t="s">
        <v>351</v>
      </c>
      <c r="F1102" s="35" t="s">
        <v>1617</v>
      </c>
      <c r="G1102" s="35" t="s">
        <v>1161</v>
      </c>
      <c r="H1102" s="76">
        <v>14472.0</v>
      </c>
      <c r="I1102" s="35" t="s">
        <v>430</v>
      </c>
      <c r="M1102" s="20">
        <f>IF($B1102="","",COUNTIFS('Blocker log'!$A:$A,$B1102,'Blocker log'!$G:$G,"&lt;&gt;"))</f>
        <v>0</v>
      </c>
      <c r="N1102" s="20">
        <f>IF($B1102="","",COUNTIFS('Blocker log'!$A:$A,$B1102,'Blocker log'!$G:$G,"Hard blocker"))</f>
        <v>0</v>
      </c>
      <c r="O1102" s="20">
        <f>IF($B1102="","",COUNTIFS('Blocker log'!$A:$A,$B1102,'Blocker log'!$G:$G,"Hard blocker",'Blocker log'!$L:$L,9))</f>
        <v>0</v>
      </c>
      <c r="P1102" s="20">
        <f>IF($B1102="","",MAXIFS('Blocker log'!$L:$L,'Blocker log'!$A:$A,$B1102,'Blocker log'!$G:$G,"Hard blocker"))</f>
        <v>0</v>
      </c>
      <c r="Q1102" s="20" t="str">
        <f>IF($B1102="","",IF($K1102&lt;&gt;"Complete","Assessment pending",IF($N1102=0,"Ready now",VLOOKUP($P1102,Lists!$D$2:$E$5,2,FALSE))))</f>
        <v>Assessment pending</v>
      </c>
    </row>
    <row r="1103" ht="15.75" customHeight="1">
      <c r="A1103" s="35" t="s">
        <v>2825</v>
      </c>
      <c r="B1103" s="35" t="s">
        <v>2826</v>
      </c>
      <c r="C1103" s="35" t="s">
        <v>1286</v>
      </c>
      <c r="D1103" s="35" t="s">
        <v>301</v>
      </c>
      <c r="E1103" s="35" t="s">
        <v>484</v>
      </c>
      <c r="F1103" s="35" t="s">
        <v>484</v>
      </c>
      <c r="G1103" s="35" t="s">
        <v>1042</v>
      </c>
      <c r="H1103" s="76">
        <v>14457.0</v>
      </c>
      <c r="I1103" s="35"/>
      <c r="M1103" s="20">
        <f>IF($B1103="","",COUNTIFS('Blocker log'!$A:$A,$B1103,'Blocker log'!$G:$G,"&lt;&gt;"))</f>
        <v>0</v>
      </c>
      <c r="N1103" s="20">
        <f>IF($B1103="","",COUNTIFS('Blocker log'!$A:$A,$B1103,'Blocker log'!$G:$G,"Hard blocker"))</f>
        <v>0</v>
      </c>
      <c r="O1103" s="20">
        <f>IF($B1103="","",COUNTIFS('Blocker log'!$A:$A,$B1103,'Blocker log'!$G:$G,"Hard blocker",'Blocker log'!$L:$L,9))</f>
        <v>0</v>
      </c>
      <c r="P1103" s="20">
        <f>IF($B1103="","",MAXIFS('Blocker log'!$L:$L,'Blocker log'!$A:$A,$B1103,'Blocker log'!$G:$G,"Hard blocker"))</f>
        <v>0</v>
      </c>
      <c r="Q1103" s="20" t="str">
        <f>IF($B1103="","",IF($K1103&lt;&gt;"Complete","Assessment pending",IF($N1103=0,"Ready now",VLOOKUP($P1103,Lists!$D$2:$E$5,2,FALSE))))</f>
        <v>Assessment pending</v>
      </c>
    </row>
    <row r="1104" ht="15.75" customHeight="1">
      <c r="A1104" s="35" t="s">
        <v>2827</v>
      </c>
      <c r="B1104" s="35" t="s">
        <v>2828</v>
      </c>
      <c r="C1104" s="35" t="s">
        <v>76</v>
      </c>
      <c r="D1104" s="35" t="s">
        <v>171</v>
      </c>
      <c r="E1104" s="35" t="s">
        <v>542</v>
      </c>
      <c r="F1104" s="35" t="s">
        <v>1713</v>
      </c>
      <c r="G1104" s="35" t="s">
        <v>999</v>
      </c>
      <c r="H1104" s="76">
        <v>14438.0</v>
      </c>
      <c r="I1104" s="35"/>
      <c r="M1104" s="20">
        <f>IF($B1104="","",COUNTIFS('Blocker log'!$A:$A,$B1104,'Blocker log'!$G:$G,"&lt;&gt;"))</f>
        <v>0</v>
      </c>
      <c r="N1104" s="20">
        <f>IF($B1104="","",COUNTIFS('Blocker log'!$A:$A,$B1104,'Blocker log'!$G:$G,"Hard blocker"))</f>
        <v>0</v>
      </c>
      <c r="O1104" s="20">
        <f>IF($B1104="","",COUNTIFS('Blocker log'!$A:$A,$B1104,'Blocker log'!$G:$G,"Hard blocker",'Blocker log'!$L:$L,9))</f>
        <v>0</v>
      </c>
      <c r="P1104" s="20">
        <f>IF($B1104="","",MAXIFS('Blocker log'!$L:$L,'Blocker log'!$A:$A,$B1104,'Blocker log'!$G:$G,"Hard blocker"))</f>
        <v>0</v>
      </c>
      <c r="Q1104" s="20" t="str">
        <f>IF($B1104="","",IF($K1104&lt;&gt;"Complete","Assessment pending",IF($N1104=0,"Ready now",VLOOKUP($P1104,Lists!$D$2:$E$5,2,FALSE))))</f>
        <v>Assessment pending</v>
      </c>
    </row>
    <row r="1105" ht="15.75" customHeight="1">
      <c r="A1105" s="35" t="s">
        <v>2829</v>
      </c>
      <c r="B1105" s="35" t="s">
        <v>2830</v>
      </c>
      <c r="C1105" s="35" t="s">
        <v>76</v>
      </c>
      <c r="D1105" s="35" t="s">
        <v>58</v>
      </c>
      <c r="E1105" s="35" t="s">
        <v>140</v>
      </c>
      <c r="F1105" s="35" t="s">
        <v>141</v>
      </c>
      <c r="G1105" s="35" t="s">
        <v>999</v>
      </c>
      <c r="H1105" s="76">
        <v>14389.0</v>
      </c>
      <c r="I1105" s="35"/>
      <c r="M1105" s="20">
        <f>IF($B1105="","",COUNTIFS('Blocker log'!$A:$A,$B1105,'Blocker log'!$G:$G,"&lt;&gt;"))</f>
        <v>0</v>
      </c>
      <c r="N1105" s="20">
        <f>IF($B1105="","",COUNTIFS('Blocker log'!$A:$A,$B1105,'Blocker log'!$G:$G,"Hard blocker"))</f>
        <v>0</v>
      </c>
      <c r="O1105" s="20">
        <f>IF($B1105="","",COUNTIFS('Blocker log'!$A:$A,$B1105,'Blocker log'!$G:$G,"Hard blocker",'Blocker log'!$L:$L,9))</f>
        <v>0</v>
      </c>
      <c r="P1105" s="20">
        <f>IF($B1105="","",MAXIFS('Blocker log'!$L:$L,'Blocker log'!$A:$A,$B1105,'Blocker log'!$G:$G,"Hard blocker"))</f>
        <v>0</v>
      </c>
      <c r="Q1105" s="20" t="str">
        <f>IF($B1105="","",IF($K1105&lt;&gt;"Complete","Assessment pending",IF($N1105=0,"Ready now",VLOOKUP($P1105,Lists!$D$2:$E$5,2,FALSE))))</f>
        <v>Assessment pending</v>
      </c>
    </row>
    <row r="1106" ht="15.75" customHeight="1">
      <c r="A1106" s="35" t="s">
        <v>2831</v>
      </c>
      <c r="B1106" s="35" t="s">
        <v>2832</v>
      </c>
      <c r="C1106" s="35" t="s">
        <v>1286</v>
      </c>
      <c r="D1106" s="35" t="s">
        <v>260</v>
      </c>
      <c r="E1106" s="35" t="s">
        <v>1096</v>
      </c>
      <c r="F1106" s="35" t="s">
        <v>1650</v>
      </c>
      <c r="G1106" s="35" t="s">
        <v>1161</v>
      </c>
      <c r="H1106" s="76">
        <v>14340.0</v>
      </c>
      <c r="I1106" s="35" t="s">
        <v>416</v>
      </c>
      <c r="M1106" s="20">
        <f>IF($B1106="","",COUNTIFS('Blocker log'!$A:$A,$B1106,'Blocker log'!$G:$G,"&lt;&gt;"))</f>
        <v>0</v>
      </c>
      <c r="N1106" s="20">
        <f>IF($B1106="","",COUNTIFS('Blocker log'!$A:$A,$B1106,'Blocker log'!$G:$G,"Hard blocker"))</f>
        <v>0</v>
      </c>
      <c r="O1106" s="20">
        <f>IF($B1106="","",COUNTIFS('Blocker log'!$A:$A,$B1106,'Blocker log'!$G:$G,"Hard blocker",'Blocker log'!$L:$L,9))</f>
        <v>0</v>
      </c>
      <c r="P1106" s="20">
        <f>IF($B1106="","",MAXIFS('Blocker log'!$L:$L,'Blocker log'!$A:$A,$B1106,'Blocker log'!$G:$G,"Hard blocker"))</f>
        <v>0</v>
      </c>
      <c r="Q1106" s="20" t="str">
        <f>IF($B1106="","",IF($K1106&lt;&gt;"Complete","Assessment pending",IF($N1106=0,"Ready now",VLOOKUP($P1106,Lists!$D$2:$E$5,2,FALSE))))</f>
        <v>Assessment pending</v>
      </c>
    </row>
    <row r="1107" ht="15.75" customHeight="1">
      <c r="A1107" s="35" t="s">
        <v>2833</v>
      </c>
      <c r="B1107" s="35" t="s">
        <v>2834</v>
      </c>
      <c r="C1107" s="35" t="s">
        <v>1286</v>
      </c>
      <c r="D1107" s="35" t="s">
        <v>260</v>
      </c>
      <c r="E1107" s="35" t="s">
        <v>1096</v>
      </c>
      <c r="F1107" s="35" t="s">
        <v>1650</v>
      </c>
      <c r="G1107" s="35" t="s">
        <v>1161</v>
      </c>
      <c r="H1107" s="76">
        <v>14292.0</v>
      </c>
      <c r="I1107" s="35"/>
      <c r="M1107" s="20">
        <f>IF($B1107="","",COUNTIFS('Blocker log'!$A:$A,$B1107,'Blocker log'!$G:$G,"&lt;&gt;"))</f>
        <v>0</v>
      </c>
      <c r="N1107" s="20">
        <f>IF($B1107="","",COUNTIFS('Blocker log'!$A:$A,$B1107,'Blocker log'!$G:$G,"Hard blocker"))</f>
        <v>0</v>
      </c>
      <c r="O1107" s="20">
        <f>IF($B1107="","",COUNTIFS('Blocker log'!$A:$A,$B1107,'Blocker log'!$G:$G,"Hard blocker",'Blocker log'!$L:$L,9))</f>
        <v>0</v>
      </c>
      <c r="P1107" s="20">
        <f>IF($B1107="","",MAXIFS('Blocker log'!$L:$L,'Blocker log'!$A:$A,$B1107,'Blocker log'!$G:$G,"Hard blocker"))</f>
        <v>0</v>
      </c>
      <c r="Q1107" s="20" t="str">
        <f>IF($B1107="","",IF($K1107&lt;&gt;"Complete","Assessment pending",IF($N1107=0,"Ready now",VLOOKUP($P1107,Lists!$D$2:$E$5,2,FALSE))))</f>
        <v>Assessment pending</v>
      </c>
    </row>
    <row r="1108" ht="15.75" customHeight="1">
      <c r="A1108" s="35" t="s">
        <v>2835</v>
      </c>
      <c r="B1108" s="35" t="s">
        <v>2836</v>
      </c>
      <c r="C1108" s="35" t="s">
        <v>1286</v>
      </c>
      <c r="D1108" s="35" t="s">
        <v>260</v>
      </c>
      <c r="E1108" s="35" t="s">
        <v>1096</v>
      </c>
      <c r="F1108" s="35" t="s">
        <v>1650</v>
      </c>
      <c r="G1108" s="35" t="s">
        <v>1161</v>
      </c>
      <c r="H1108" s="76">
        <v>14292.0</v>
      </c>
      <c r="I1108" s="35" t="s">
        <v>416</v>
      </c>
      <c r="M1108" s="20">
        <f>IF($B1108="","",COUNTIFS('Blocker log'!$A:$A,$B1108,'Blocker log'!$G:$G,"&lt;&gt;"))</f>
        <v>0</v>
      </c>
      <c r="N1108" s="20">
        <f>IF($B1108="","",COUNTIFS('Blocker log'!$A:$A,$B1108,'Blocker log'!$G:$G,"Hard blocker"))</f>
        <v>0</v>
      </c>
      <c r="O1108" s="20">
        <f>IF($B1108="","",COUNTIFS('Blocker log'!$A:$A,$B1108,'Blocker log'!$G:$G,"Hard blocker",'Blocker log'!$L:$L,9))</f>
        <v>0</v>
      </c>
      <c r="P1108" s="20">
        <f>IF($B1108="","",MAXIFS('Blocker log'!$L:$L,'Blocker log'!$A:$A,$B1108,'Blocker log'!$G:$G,"Hard blocker"))</f>
        <v>0</v>
      </c>
      <c r="Q1108" s="20" t="str">
        <f>IF($B1108="","",IF($K1108&lt;&gt;"Complete","Assessment pending",IF($N1108=0,"Ready now",VLOOKUP($P1108,Lists!$D$2:$E$5,2,FALSE))))</f>
        <v>Assessment pending</v>
      </c>
    </row>
    <row r="1109" ht="15.75" customHeight="1">
      <c r="A1109" s="35" t="s">
        <v>2837</v>
      </c>
      <c r="B1109" s="35" t="s">
        <v>2838</v>
      </c>
      <c r="C1109" s="35"/>
      <c r="D1109" s="35" t="s">
        <v>260</v>
      </c>
      <c r="E1109" s="35" t="s">
        <v>1096</v>
      </c>
      <c r="F1109" s="35" t="s">
        <v>1366</v>
      </c>
      <c r="G1109" s="35" t="s">
        <v>1161</v>
      </c>
      <c r="H1109" s="76">
        <v>14292.0</v>
      </c>
      <c r="I1109" s="35"/>
      <c r="M1109" s="20">
        <f>IF($B1109="","",COUNTIFS('Blocker log'!$A:$A,$B1109,'Blocker log'!$G:$G,"&lt;&gt;"))</f>
        <v>0</v>
      </c>
      <c r="N1109" s="20">
        <f>IF($B1109="","",COUNTIFS('Blocker log'!$A:$A,$B1109,'Blocker log'!$G:$G,"Hard blocker"))</f>
        <v>0</v>
      </c>
      <c r="O1109" s="20">
        <f>IF($B1109="","",COUNTIFS('Blocker log'!$A:$A,$B1109,'Blocker log'!$G:$G,"Hard blocker",'Blocker log'!$L:$L,9))</f>
        <v>0</v>
      </c>
      <c r="P1109" s="20">
        <f>IF($B1109="","",MAXIFS('Blocker log'!$L:$L,'Blocker log'!$A:$A,$B1109,'Blocker log'!$G:$G,"Hard blocker"))</f>
        <v>0</v>
      </c>
      <c r="Q1109" s="20" t="str">
        <f>IF($B1109="","",IF($K1109&lt;&gt;"Complete","Assessment pending",IF($N1109=0,"Ready now",VLOOKUP($P1109,Lists!$D$2:$E$5,2,FALSE))))</f>
        <v>Assessment pending</v>
      </c>
    </row>
    <row r="1110" ht="15.75" customHeight="1">
      <c r="A1110" s="35" t="s">
        <v>2839</v>
      </c>
      <c r="B1110" s="35" t="s">
        <v>2840</v>
      </c>
      <c r="C1110" s="35" t="s">
        <v>1286</v>
      </c>
      <c r="D1110" s="35" t="s">
        <v>58</v>
      </c>
      <c r="E1110" s="35" t="s">
        <v>101</v>
      </c>
      <c r="F1110" s="35" t="s">
        <v>554</v>
      </c>
      <c r="G1110" s="35" t="s">
        <v>1161</v>
      </c>
      <c r="H1110" s="76">
        <v>14180.0</v>
      </c>
      <c r="I1110" s="35"/>
      <c r="M1110" s="20">
        <f>IF($B1110="","",COUNTIFS('Blocker log'!$A:$A,$B1110,'Blocker log'!$G:$G,"&lt;&gt;"))</f>
        <v>0</v>
      </c>
      <c r="N1110" s="20">
        <f>IF($B1110="","",COUNTIFS('Blocker log'!$A:$A,$B1110,'Blocker log'!$G:$G,"Hard blocker"))</f>
        <v>0</v>
      </c>
      <c r="O1110" s="20">
        <f>IF($B1110="","",COUNTIFS('Blocker log'!$A:$A,$B1110,'Blocker log'!$G:$G,"Hard blocker",'Blocker log'!$L:$L,9))</f>
        <v>0</v>
      </c>
      <c r="P1110" s="20">
        <f>IF($B1110="","",MAXIFS('Blocker log'!$L:$L,'Blocker log'!$A:$A,$B1110,'Blocker log'!$G:$G,"Hard blocker"))</f>
        <v>0</v>
      </c>
      <c r="Q1110" s="20" t="str">
        <f>IF($B1110="","",IF($K1110&lt;&gt;"Complete","Assessment pending",IF($N1110=0,"Ready now",VLOOKUP($P1110,Lists!$D$2:$E$5,2,FALSE))))</f>
        <v>Assessment pending</v>
      </c>
    </row>
    <row r="1111" ht="15.75" customHeight="1">
      <c r="A1111" s="35" t="s">
        <v>2841</v>
      </c>
      <c r="B1111" s="35" t="s">
        <v>2842</v>
      </c>
      <c r="C1111" s="35" t="s">
        <v>1286</v>
      </c>
      <c r="D1111" s="35" t="s">
        <v>260</v>
      </c>
      <c r="E1111" s="35" t="s">
        <v>1096</v>
      </c>
      <c r="F1111" s="35" t="s">
        <v>1366</v>
      </c>
      <c r="G1111" s="35" t="s">
        <v>1161</v>
      </c>
      <c r="H1111" s="76">
        <v>14096.0</v>
      </c>
      <c r="I1111" s="35"/>
      <c r="M1111" s="20">
        <f>IF($B1111="","",COUNTIFS('Blocker log'!$A:$A,$B1111,'Blocker log'!$G:$G,"&lt;&gt;"))</f>
        <v>0</v>
      </c>
      <c r="N1111" s="20">
        <f>IF($B1111="","",COUNTIFS('Blocker log'!$A:$A,$B1111,'Blocker log'!$G:$G,"Hard blocker"))</f>
        <v>0</v>
      </c>
      <c r="O1111" s="20">
        <f>IF($B1111="","",COUNTIFS('Blocker log'!$A:$A,$B1111,'Blocker log'!$G:$G,"Hard blocker",'Blocker log'!$L:$L,9))</f>
        <v>0</v>
      </c>
      <c r="P1111" s="20">
        <f>IF($B1111="","",MAXIFS('Blocker log'!$L:$L,'Blocker log'!$A:$A,$B1111,'Blocker log'!$G:$G,"Hard blocker"))</f>
        <v>0</v>
      </c>
      <c r="Q1111" s="20" t="str">
        <f>IF($B1111="","",IF($K1111&lt;&gt;"Complete","Assessment pending",IF($N1111=0,"Ready now",VLOOKUP($P1111,Lists!$D$2:$E$5,2,FALSE))))</f>
        <v>Assessment pending</v>
      </c>
    </row>
    <row r="1112" ht="15.75" customHeight="1">
      <c r="A1112" s="35" t="s">
        <v>2843</v>
      </c>
      <c r="B1112" s="35" t="s">
        <v>2844</v>
      </c>
      <c r="C1112" s="35" t="s">
        <v>1286</v>
      </c>
      <c r="D1112" s="35" t="s">
        <v>58</v>
      </c>
      <c r="E1112" s="35" t="s">
        <v>59</v>
      </c>
      <c r="F1112" s="35" t="s">
        <v>598</v>
      </c>
      <c r="G1112" s="35" t="s">
        <v>1161</v>
      </c>
      <c r="H1112" s="76">
        <v>14030.0</v>
      </c>
      <c r="I1112" s="35"/>
      <c r="M1112" s="20">
        <f>IF($B1112="","",COUNTIFS('Blocker log'!$A:$A,$B1112,'Blocker log'!$G:$G,"&lt;&gt;"))</f>
        <v>0</v>
      </c>
      <c r="N1112" s="20">
        <f>IF($B1112="","",COUNTIFS('Blocker log'!$A:$A,$B1112,'Blocker log'!$G:$G,"Hard blocker"))</f>
        <v>0</v>
      </c>
      <c r="O1112" s="20">
        <f>IF($B1112="","",COUNTIFS('Blocker log'!$A:$A,$B1112,'Blocker log'!$G:$G,"Hard blocker",'Blocker log'!$L:$L,9))</f>
        <v>0</v>
      </c>
      <c r="P1112" s="20">
        <f>IF($B1112="","",MAXIFS('Blocker log'!$L:$L,'Blocker log'!$A:$A,$B1112,'Blocker log'!$G:$G,"Hard blocker"))</f>
        <v>0</v>
      </c>
      <c r="Q1112" s="20" t="str">
        <f>IF($B1112="","",IF($K1112&lt;&gt;"Complete","Assessment pending",IF($N1112=0,"Ready now",VLOOKUP($P1112,Lists!$D$2:$E$5,2,FALSE))))</f>
        <v>Assessment pending</v>
      </c>
    </row>
    <row r="1113" ht="15.75" customHeight="1">
      <c r="A1113" s="35" t="s">
        <v>2845</v>
      </c>
      <c r="B1113" s="35" t="s">
        <v>2846</v>
      </c>
      <c r="C1113" s="35" t="s">
        <v>1286</v>
      </c>
      <c r="D1113" s="35" t="s">
        <v>58</v>
      </c>
      <c r="E1113" s="35" t="s">
        <v>494</v>
      </c>
      <c r="F1113" s="35" t="s">
        <v>629</v>
      </c>
      <c r="G1113" s="35" t="s">
        <v>1042</v>
      </c>
      <c r="H1113" s="76">
        <v>14000.0</v>
      </c>
      <c r="I1113" s="35" t="s">
        <v>421</v>
      </c>
      <c r="M1113" s="20">
        <f>IF($B1113="","",COUNTIFS('Blocker log'!$A:$A,$B1113,'Blocker log'!$G:$G,"&lt;&gt;"))</f>
        <v>0</v>
      </c>
      <c r="N1113" s="20">
        <f>IF($B1113="","",COUNTIFS('Blocker log'!$A:$A,$B1113,'Blocker log'!$G:$G,"Hard blocker"))</f>
        <v>0</v>
      </c>
      <c r="O1113" s="20">
        <f>IF($B1113="","",COUNTIFS('Blocker log'!$A:$A,$B1113,'Blocker log'!$G:$G,"Hard blocker",'Blocker log'!$L:$L,9))</f>
        <v>0</v>
      </c>
      <c r="P1113" s="20">
        <f>IF($B1113="","",MAXIFS('Blocker log'!$L:$L,'Blocker log'!$A:$A,$B1113,'Blocker log'!$G:$G,"Hard blocker"))</f>
        <v>0</v>
      </c>
      <c r="Q1113" s="20" t="str">
        <f>IF($B1113="","",IF($K1113&lt;&gt;"Complete","Assessment pending",IF($N1113=0,"Ready now",VLOOKUP($P1113,Lists!$D$2:$E$5,2,FALSE))))</f>
        <v>Assessment pending</v>
      </c>
    </row>
    <row r="1114" ht="15.75" customHeight="1">
      <c r="A1114" s="35" t="s">
        <v>2847</v>
      </c>
      <c r="B1114" s="35" t="s">
        <v>2848</v>
      </c>
      <c r="C1114" s="35" t="s">
        <v>1286</v>
      </c>
      <c r="D1114" s="35" t="s">
        <v>58</v>
      </c>
      <c r="E1114" s="35" t="s">
        <v>101</v>
      </c>
      <c r="F1114" s="35" t="s">
        <v>554</v>
      </c>
      <c r="G1114" s="35" t="s">
        <v>1161</v>
      </c>
      <c r="H1114" s="76">
        <v>13952.0</v>
      </c>
      <c r="I1114" s="35"/>
      <c r="M1114" s="20">
        <f>IF($B1114="","",COUNTIFS('Blocker log'!$A:$A,$B1114,'Blocker log'!$G:$G,"&lt;&gt;"))</f>
        <v>0</v>
      </c>
      <c r="N1114" s="20">
        <f>IF($B1114="","",COUNTIFS('Blocker log'!$A:$A,$B1114,'Blocker log'!$G:$G,"Hard blocker"))</f>
        <v>0</v>
      </c>
      <c r="O1114" s="20">
        <f>IF($B1114="","",COUNTIFS('Blocker log'!$A:$A,$B1114,'Blocker log'!$G:$G,"Hard blocker",'Blocker log'!$L:$L,9))</f>
        <v>0</v>
      </c>
      <c r="P1114" s="20">
        <f>IF($B1114="","",MAXIFS('Blocker log'!$L:$L,'Blocker log'!$A:$A,$B1114,'Blocker log'!$G:$G,"Hard blocker"))</f>
        <v>0</v>
      </c>
      <c r="Q1114" s="20" t="str">
        <f>IF($B1114="","",IF($K1114&lt;&gt;"Complete","Assessment pending",IF($N1114=0,"Ready now",VLOOKUP($P1114,Lists!$D$2:$E$5,2,FALSE))))</f>
        <v>Assessment pending</v>
      </c>
    </row>
    <row r="1115" ht="15.75" customHeight="1">
      <c r="A1115" s="35" t="s">
        <v>2849</v>
      </c>
      <c r="B1115" s="35" t="s">
        <v>2850</v>
      </c>
      <c r="C1115" s="35" t="s">
        <v>1286</v>
      </c>
      <c r="D1115" s="35" t="s">
        <v>171</v>
      </c>
      <c r="E1115" s="35" t="s">
        <v>760</v>
      </c>
      <c r="F1115" s="35" t="s">
        <v>2715</v>
      </c>
      <c r="G1115" s="35" t="s">
        <v>1161</v>
      </c>
      <c r="H1115" s="76">
        <v>13920.0</v>
      </c>
      <c r="I1115" s="35"/>
      <c r="M1115" s="20">
        <f>IF($B1115="","",COUNTIFS('Blocker log'!$A:$A,$B1115,'Blocker log'!$G:$G,"&lt;&gt;"))</f>
        <v>0</v>
      </c>
      <c r="N1115" s="20">
        <f>IF($B1115="","",COUNTIFS('Blocker log'!$A:$A,$B1115,'Blocker log'!$G:$G,"Hard blocker"))</f>
        <v>0</v>
      </c>
      <c r="O1115" s="20">
        <f>IF($B1115="","",COUNTIFS('Blocker log'!$A:$A,$B1115,'Blocker log'!$G:$G,"Hard blocker",'Blocker log'!$L:$L,9))</f>
        <v>0</v>
      </c>
      <c r="P1115" s="20">
        <f>IF($B1115="","",MAXIFS('Blocker log'!$L:$L,'Blocker log'!$A:$A,$B1115,'Blocker log'!$G:$G,"Hard blocker"))</f>
        <v>0</v>
      </c>
      <c r="Q1115" s="20" t="str">
        <f>IF($B1115="","",IF($K1115&lt;&gt;"Complete","Assessment pending",IF($N1115=0,"Ready now",VLOOKUP($P1115,Lists!$D$2:$E$5,2,FALSE))))</f>
        <v>Assessment pending</v>
      </c>
    </row>
    <row r="1116" ht="15.75" customHeight="1">
      <c r="A1116" s="35" t="s">
        <v>2851</v>
      </c>
      <c r="B1116" s="35" t="s">
        <v>2852</v>
      </c>
      <c r="C1116" s="35" t="s">
        <v>1286</v>
      </c>
      <c r="D1116" s="35" t="s">
        <v>260</v>
      </c>
      <c r="E1116" s="35" t="s">
        <v>530</v>
      </c>
      <c r="F1116" s="35" t="s">
        <v>2216</v>
      </c>
      <c r="G1116" s="35" t="s">
        <v>1161</v>
      </c>
      <c r="H1116" s="76">
        <v>13888.0</v>
      </c>
      <c r="I1116" s="35"/>
      <c r="M1116" s="20">
        <f>IF($B1116="","",COUNTIFS('Blocker log'!$A:$A,$B1116,'Blocker log'!$G:$G,"&lt;&gt;"))</f>
        <v>0</v>
      </c>
      <c r="N1116" s="20">
        <f>IF($B1116="","",COUNTIFS('Blocker log'!$A:$A,$B1116,'Blocker log'!$G:$G,"Hard blocker"))</f>
        <v>0</v>
      </c>
      <c r="O1116" s="20">
        <f>IF($B1116="","",COUNTIFS('Blocker log'!$A:$A,$B1116,'Blocker log'!$G:$G,"Hard blocker",'Blocker log'!$L:$L,9))</f>
        <v>0</v>
      </c>
      <c r="P1116" s="20">
        <f>IF($B1116="","",MAXIFS('Blocker log'!$L:$L,'Blocker log'!$A:$A,$B1116,'Blocker log'!$G:$G,"Hard blocker"))</f>
        <v>0</v>
      </c>
      <c r="Q1116" s="20" t="str">
        <f>IF($B1116="","",IF($K1116&lt;&gt;"Complete","Assessment pending",IF($N1116=0,"Ready now",VLOOKUP($P1116,Lists!$D$2:$E$5,2,FALSE))))</f>
        <v>Assessment pending</v>
      </c>
    </row>
    <row r="1117" ht="15.75" customHeight="1">
      <c r="A1117" s="35" t="s">
        <v>2853</v>
      </c>
      <c r="B1117" s="35" t="s">
        <v>2072</v>
      </c>
      <c r="C1117" s="35" t="s">
        <v>1286</v>
      </c>
      <c r="D1117" s="35" t="s">
        <v>301</v>
      </c>
      <c r="E1117" s="35" t="s">
        <v>2073</v>
      </c>
      <c r="F1117" s="35" t="s">
        <v>2074</v>
      </c>
      <c r="G1117" s="35" t="s">
        <v>1161</v>
      </c>
      <c r="H1117" s="76">
        <v>13845.0</v>
      </c>
      <c r="I1117" s="35"/>
      <c r="M1117" s="20">
        <f>IF($B1117="","",COUNTIFS('Blocker log'!$A:$A,$B1117,'Blocker log'!$G:$G,"&lt;&gt;"))</f>
        <v>0</v>
      </c>
      <c r="N1117" s="20">
        <f>IF($B1117="","",COUNTIFS('Blocker log'!$A:$A,$B1117,'Blocker log'!$G:$G,"Hard blocker"))</f>
        <v>0</v>
      </c>
      <c r="O1117" s="20">
        <f>IF($B1117="","",COUNTIFS('Blocker log'!$A:$A,$B1117,'Blocker log'!$G:$G,"Hard blocker",'Blocker log'!$L:$L,9))</f>
        <v>0</v>
      </c>
      <c r="P1117" s="20">
        <f>IF($B1117="","",MAXIFS('Blocker log'!$L:$L,'Blocker log'!$A:$A,$B1117,'Blocker log'!$G:$G,"Hard blocker"))</f>
        <v>0</v>
      </c>
      <c r="Q1117" s="20" t="str">
        <f>IF($B1117="","",IF($K1117&lt;&gt;"Complete","Assessment pending",IF($N1117=0,"Ready now",VLOOKUP($P1117,Lists!$D$2:$E$5,2,FALSE))))</f>
        <v>Assessment pending</v>
      </c>
    </row>
    <row r="1118" ht="15.75" customHeight="1">
      <c r="A1118" s="35" t="s">
        <v>2854</v>
      </c>
      <c r="B1118" s="35" t="s">
        <v>2855</v>
      </c>
      <c r="C1118" s="35" t="s">
        <v>1286</v>
      </c>
      <c r="D1118" s="35" t="s">
        <v>260</v>
      </c>
      <c r="E1118" s="35" t="s">
        <v>506</v>
      </c>
      <c r="F1118" s="35" t="s">
        <v>507</v>
      </c>
      <c r="G1118" s="35" t="s">
        <v>1161</v>
      </c>
      <c r="H1118" s="76">
        <v>13824.0</v>
      </c>
      <c r="I1118" s="35" t="s">
        <v>417</v>
      </c>
      <c r="M1118" s="20">
        <f>IF($B1118="","",COUNTIFS('Blocker log'!$A:$A,$B1118,'Blocker log'!$G:$G,"&lt;&gt;"))</f>
        <v>0</v>
      </c>
      <c r="N1118" s="20">
        <f>IF($B1118="","",COUNTIFS('Blocker log'!$A:$A,$B1118,'Blocker log'!$G:$G,"Hard blocker"))</f>
        <v>0</v>
      </c>
      <c r="O1118" s="20">
        <f>IF($B1118="","",COUNTIFS('Blocker log'!$A:$A,$B1118,'Blocker log'!$G:$G,"Hard blocker",'Blocker log'!$L:$L,9))</f>
        <v>0</v>
      </c>
      <c r="P1118" s="20">
        <f>IF($B1118="","",MAXIFS('Blocker log'!$L:$L,'Blocker log'!$A:$A,$B1118,'Blocker log'!$G:$G,"Hard blocker"))</f>
        <v>0</v>
      </c>
      <c r="Q1118" s="20" t="str">
        <f>IF($B1118="","",IF($K1118&lt;&gt;"Complete","Assessment pending",IF($N1118=0,"Ready now",VLOOKUP($P1118,Lists!$D$2:$E$5,2,FALSE))))</f>
        <v>Assessment pending</v>
      </c>
    </row>
    <row r="1119" ht="15.75" customHeight="1">
      <c r="A1119" s="35" t="s">
        <v>2856</v>
      </c>
      <c r="B1119" s="35" t="s">
        <v>2857</v>
      </c>
      <c r="C1119" s="35" t="s">
        <v>1286</v>
      </c>
      <c r="D1119" s="35" t="s">
        <v>260</v>
      </c>
      <c r="E1119" s="35" t="s">
        <v>576</v>
      </c>
      <c r="F1119" s="35" t="s">
        <v>1228</v>
      </c>
      <c r="G1119" s="35" t="s">
        <v>1161</v>
      </c>
      <c r="H1119" s="76">
        <v>13756.0</v>
      </c>
      <c r="I1119" s="35" t="s">
        <v>403</v>
      </c>
      <c r="M1119" s="20">
        <f>IF($B1119="","",COUNTIFS('Blocker log'!$A:$A,$B1119,'Blocker log'!$G:$G,"&lt;&gt;"))</f>
        <v>0</v>
      </c>
      <c r="N1119" s="20">
        <f>IF($B1119="","",COUNTIFS('Blocker log'!$A:$A,$B1119,'Blocker log'!$G:$G,"Hard blocker"))</f>
        <v>0</v>
      </c>
      <c r="O1119" s="20">
        <f>IF($B1119="","",COUNTIFS('Blocker log'!$A:$A,$B1119,'Blocker log'!$G:$G,"Hard blocker",'Blocker log'!$L:$L,9))</f>
        <v>0</v>
      </c>
      <c r="P1119" s="20">
        <f>IF($B1119="","",MAXIFS('Blocker log'!$L:$L,'Blocker log'!$A:$A,$B1119,'Blocker log'!$G:$G,"Hard blocker"))</f>
        <v>0</v>
      </c>
      <c r="Q1119" s="20" t="str">
        <f>IF($B1119="","",IF($K1119&lt;&gt;"Complete","Assessment pending",IF($N1119=0,"Ready now",VLOOKUP($P1119,Lists!$D$2:$E$5,2,FALSE))))</f>
        <v>Assessment pending</v>
      </c>
    </row>
    <row r="1120" ht="15.75" customHeight="1">
      <c r="A1120" s="35" t="s">
        <v>2858</v>
      </c>
      <c r="B1120" s="35" t="s">
        <v>2859</v>
      </c>
      <c r="C1120" s="35" t="s">
        <v>1286</v>
      </c>
      <c r="D1120" s="35" t="s">
        <v>260</v>
      </c>
      <c r="E1120" s="35" t="s">
        <v>506</v>
      </c>
      <c r="F1120" s="35" t="s">
        <v>507</v>
      </c>
      <c r="G1120" s="35" t="s">
        <v>1161</v>
      </c>
      <c r="H1120" s="76">
        <v>13687.0</v>
      </c>
      <c r="I1120" s="35" t="s">
        <v>417</v>
      </c>
      <c r="M1120" s="20">
        <f>IF($B1120="","",COUNTIFS('Blocker log'!$A:$A,$B1120,'Blocker log'!$G:$G,"&lt;&gt;"))</f>
        <v>0</v>
      </c>
      <c r="N1120" s="20">
        <f>IF($B1120="","",COUNTIFS('Blocker log'!$A:$A,$B1120,'Blocker log'!$G:$G,"Hard blocker"))</f>
        <v>0</v>
      </c>
      <c r="O1120" s="20">
        <f>IF($B1120="","",COUNTIFS('Blocker log'!$A:$A,$B1120,'Blocker log'!$G:$G,"Hard blocker",'Blocker log'!$L:$L,9))</f>
        <v>0</v>
      </c>
      <c r="P1120" s="20">
        <f>IF($B1120="","",MAXIFS('Blocker log'!$L:$L,'Blocker log'!$A:$A,$B1120,'Blocker log'!$G:$G,"Hard blocker"))</f>
        <v>0</v>
      </c>
      <c r="Q1120" s="20" t="str">
        <f>IF($B1120="","",IF($K1120&lt;&gt;"Complete","Assessment pending",IF($N1120=0,"Ready now",VLOOKUP($P1120,Lists!$D$2:$E$5,2,FALSE))))</f>
        <v>Assessment pending</v>
      </c>
    </row>
    <row r="1121" ht="15.75" customHeight="1">
      <c r="A1121" s="35" t="s">
        <v>2860</v>
      </c>
      <c r="B1121" s="35" t="s">
        <v>2861</v>
      </c>
      <c r="C1121" s="35" t="s">
        <v>1286</v>
      </c>
      <c r="D1121" s="35" t="s">
        <v>58</v>
      </c>
      <c r="E1121" s="35" t="s">
        <v>101</v>
      </c>
      <c r="F1121" s="35" t="s">
        <v>116</v>
      </c>
      <c r="G1121" s="35" t="s">
        <v>1161</v>
      </c>
      <c r="H1121" s="76">
        <v>13649.0</v>
      </c>
      <c r="I1121" s="35" t="s">
        <v>435</v>
      </c>
      <c r="M1121" s="20">
        <f>IF($B1121="","",COUNTIFS('Blocker log'!$A:$A,$B1121,'Blocker log'!$G:$G,"&lt;&gt;"))</f>
        <v>0</v>
      </c>
      <c r="N1121" s="20">
        <f>IF($B1121="","",COUNTIFS('Blocker log'!$A:$A,$B1121,'Blocker log'!$G:$G,"Hard blocker"))</f>
        <v>0</v>
      </c>
      <c r="O1121" s="20">
        <f>IF($B1121="","",COUNTIFS('Blocker log'!$A:$A,$B1121,'Blocker log'!$G:$G,"Hard blocker",'Blocker log'!$L:$L,9))</f>
        <v>0</v>
      </c>
      <c r="P1121" s="20">
        <f>IF($B1121="","",MAXIFS('Blocker log'!$L:$L,'Blocker log'!$A:$A,$B1121,'Blocker log'!$G:$G,"Hard blocker"))</f>
        <v>0</v>
      </c>
      <c r="Q1121" s="20" t="str">
        <f>IF($B1121="","",IF($K1121&lt;&gt;"Complete","Assessment pending",IF($N1121=0,"Ready now",VLOOKUP($P1121,Lists!$D$2:$E$5,2,FALSE))))</f>
        <v>Assessment pending</v>
      </c>
    </row>
    <row r="1122" ht="15.75" customHeight="1">
      <c r="A1122" s="35" t="s">
        <v>2862</v>
      </c>
      <c r="B1122" s="35" t="s">
        <v>2863</v>
      </c>
      <c r="C1122" s="35" t="s">
        <v>1286</v>
      </c>
      <c r="D1122" s="35" t="s">
        <v>260</v>
      </c>
      <c r="E1122" s="35" t="s">
        <v>530</v>
      </c>
      <c r="F1122" s="35" t="s">
        <v>531</v>
      </c>
      <c r="G1122" s="35" t="s">
        <v>1161</v>
      </c>
      <c r="H1122" s="76">
        <v>13600.0</v>
      </c>
      <c r="I1122" s="35"/>
      <c r="M1122" s="20">
        <f>IF($B1122="","",COUNTIFS('Blocker log'!$A:$A,$B1122,'Blocker log'!$G:$G,"&lt;&gt;"))</f>
        <v>0</v>
      </c>
      <c r="N1122" s="20">
        <f>IF($B1122="","",COUNTIFS('Blocker log'!$A:$A,$B1122,'Blocker log'!$G:$G,"Hard blocker"))</f>
        <v>0</v>
      </c>
      <c r="O1122" s="20">
        <f>IF($B1122="","",COUNTIFS('Blocker log'!$A:$A,$B1122,'Blocker log'!$G:$G,"Hard blocker",'Blocker log'!$L:$L,9))</f>
        <v>0</v>
      </c>
      <c r="P1122" s="20">
        <f>IF($B1122="","",MAXIFS('Blocker log'!$L:$L,'Blocker log'!$A:$A,$B1122,'Blocker log'!$G:$G,"Hard blocker"))</f>
        <v>0</v>
      </c>
      <c r="Q1122" s="20" t="str">
        <f>IF($B1122="","",IF($K1122&lt;&gt;"Complete","Assessment pending",IF($N1122=0,"Ready now",VLOOKUP($P1122,Lists!$D$2:$E$5,2,FALSE))))</f>
        <v>Assessment pending</v>
      </c>
    </row>
    <row r="1123" ht="15.75" customHeight="1">
      <c r="A1123" s="35" t="s">
        <v>2864</v>
      </c>
      <c r="B1123" s="35" t="s">
        <v>2865</v>
      </c>
      <c r="C1123" s="35" t="s">
        <v>1286</v>
      </c>
      <c r="D1123" s="35" t="s">
        <v>58</v>
      </c>
      <c r="E1123" s="35" t="s">
        <v>101</v>
      </c>
      <c r="F1123" s="35" t="s">
        <v>554</v>
      </c>
      <c r="G1123" s="35" t="s">
        <v>1042</v>
      </c>
      <c r="H1123" s="76">
        <v>13600.0</v>
      </c>
      <c r="I1123" s="35"/>
      <c r="M1123" s="20">
        <f>IF($B1123="","",COUNTIFS('Blocker log'!$A:$A,$B1123,'Blocker log'!$G:$G,"&lt;&gt;"))</f>
        <v>0</v>
      </c>
      <c r="N1123" s="20">
        <f>IF($B1123="","",COUNTIFS('Blocker log'!$A:$A,$B1123,'Blocker log'!$G:$G,"Hard blocker"))</f>
        <v>0</v>
      </c>
      <c r="O1123" s="20">
        <f>IF($B1123="","",COUNTIFS('Blocker log'!$A:$A,$B1123,'Blocker log'!$G:$G,"Hard blocker",'Blocker log'!$L:$L,9))</f>
        <v>0</v>
      </c>
      <c r="P1123" s="20">
        <f>IF($B1123="","",MAXIFS('Blocker log'!$L:$L,'Blocker log'!$A:$A,$B1123,'Blocker log'!$G:$G,"Hard blocker"))</f>
        <v>0</v>
      </c>
      <c r="Q1123" s="20" t="str">
        <f>IF($B1123="","",IF($K1123&lt;&gt;"Complete","Assessment pending",IF($N1123=0,"Ready now",VLOOKUP($P1123,Lists!$D$2:$E$5,2,FALSE))))</f>
        <v>Assessment pending</v>
      </c>
    </row>
    <row r="1124" ht="15.75" customHeight="1">
      <c r="A1124" s="35" t="s">
        <v>2866</v>
      </c>
      <c r="B1124" s="35" t="s">
        <v>2867</v>
      </c>
      <c r="C1124" s="35" t="s">
        <v>1286</v>
      </c>
      <c r="D1124" s="35" t="s">
        <v>260</v>
      </c>
      <c r="E1124" s="35" t="s">
        <v>530</v>
      </c>
      <c r="F1124" s="35" t="s">
        <v>1849</v>
      </c>
      <c r="G1124" s="35" t="s">
        <v>1161</v>
      </c>
      <c r="H1124" s="76">
        <v>13572.0</v>
      </c>
      <c r="I1124" s="35" t="s">
        <v>441</v>
      </c>
      <c r="M1124" s="20">
        <f>IF($B1124="","",COUNTIFS('Blocker log'!$A:$A,$B1124,'Blocker log'!$G:$G,"&lt;&gt;"))</f>
        <v>0</v>
      </c>
      <c r="N1124" s="20">
        <f>IF($B1124="","",COUNTIFS('Blocker log'!$A:$A,$B1124,'Blocker log'!$G:$G,"Hard blocker"))</f>
        <v>0</v>
      </c>
      <c r="O1124" s="20">
        <f>IF($B1124="","",COUNTIFS('Blocker log'!$A:$A,$B1124,'Blocker log'!$G:$G,"Hard blocker",'Blocker log'!$L:$L,9))</f>
        <v>0</v>
      </c>
      <c r="P1124" s="20">
        <f>IF($B1124="","",MAXIFS('Blocker log'!$L:$L,'Blocker log'!$A:$A,$B1124,'Blocker log'!$G:$G,"Hard blocker"))</f>
        <v>0</v>
      </c>
      <c r="Q1124" s="20" t="str">
        <f>IF($B1124="","",IF($K1124&lt;&gt;"Complete","Assessment pending",IF($N1124=0,"Ready now",VLOOKUP($P1124,Lists!$D$2:$E$5,2,FALSE))))</f>
        <v>Assessment pending</v>
      </c>
    </row>
    <row r="1125" ht="15.75" customHeight="1">
      <c r="A1125" s="35" t="s">
        <v>2868</v>
      </c>
      <c r="B1125" s="35" t="s">
        <v>2869</v>
      </c>
      <c r="C1125" s="35" t="s">
        <v>1286</v>
      </c>
      <c r="D1125" s="35" t="s">
        <v>260</v>
      </c>
      <c r="E1125" s="35" t="s">
        <v>530</v>
      </c>
      <c r="F1125" s="35" t="s">
        <v>1493</v>
      </c>
      <c r="G1125" s="35" t="s">
        <v>1161</v>
      </c>
      <c r="H1125" s="76">
        <v>13572.0</v>
      </c>
      <c r="I1125" s="35"/>
      <c r="M1125" s="20">
        <f>IF($B1125="","",COUNTIFS('Blocker log'!$A:$A,$B1125,'Blocker log'!$G:$G,"&lt;&gt;"))</f>
        <v>0</v>
      </c>
      <c r="N1125" s="20">
        <f>IF($B1125="","",COUNTIFS('Blocker log'!$A:$A,$B1125,'Blocker log'!$G:$G,"Hard blocker"))</f>
        <v>0</v>
      </c>
      <c r="O1125" s="20">
        <f>IF($B1125="","",COUNTIFS('Blocker log'!$A:$A,$B1125,'Blocker log'!$G:$G,"Hard blocker",'Blocker log'!$L:$L,9))</f>
        <v>0</v>
      </c>
      <c r="P1125" s="20">
        <f>IF($B1125="","",MAXIFS('Blocker log'!$L:$L,'Blocker log'!$A:$A,$B1125,'Blocker log'!$G:$G,"Hard blocker"))</f>
        <v>0</v>
      </c>
      <c r="Q1125" s="20" t="str">
        <f>IF($B1125="","",IF($K1125&lt;&gt;"Complete","Assessment pending",IF($N1125=0,"Ready now",VLOOKUP($P1125,Lists!$D$2:$E$5,2,FALSE))))</f>
        <v>Assessment pending</v>
      </c>
    </row>
    <row r="1126" ht="15.75" customHeight="1">
      <c r="A1126" s="35" t="s">
        <v>2870</v>
      </c>
      <c r="B1126" s="35" t="s">
        <v>2871</v>
      </c>
      <c r="C1126" s="35" t="s">
        <v>1286</v>
      </c>
      <c r="D1126" s="35" t="s">
        <v>260</v>
      </c>
      <c r="E1126" s="35" t="s">
        <v>506</v>
      </c>
      <c r="F1126" s="35" t="s">
        <v>685</v>
      </c>
      <c r="G1126" s="35" t="s">
        <v>1161</v>
      </c>
      <c r="H1126" s="76">
        <v>13543.0</v>
      </c>
      <c r="I1126" s="35" t="s">
        <v>440</v>
      </c>
      <c r="M1126" s="20">
        <f>IF($B1126="","",COUNTIFS('Blocker log'!$A:$A,$B1126,'Blocker log'!$G:$G,"&lt;&gt;"))</f>
        <v>0</v>
      </c>
      <c r="N1126" s="20">
        <f>IF($B1126="","",COUNTIFS('Blocker log'!$A:$A,$B1126,'Blocker log'!$G:$G,"Hard blocker"))</f>
        <v>0</v>
      </c>
      <c r="O1126" s="20">
        <f>IF($B1126="","",COUNTIFS('Blocker log'!$A:$A,$B1126,'Blocker log'!$G:$G,"Hard blocker",'Blocker log'!$L:$L,9))</f>
        <v>0</v>
      </c>
      <c r="P1126" s="20">
        <f>IF($B1126="","",MAXIFS('Blocker log'!$L:$L,'Blocker log'!$A:$A,$B1126,'Blocker log'!$G:$G,"Hard blocker"))</f>
        <v>0</v>
      </c>
      <c r="Q1126" s="20" t="str">
        <f>IF($B1126="","",IF($K1126&lt;&gt;"Complete","Assessment pending",IF($N1126=0,"Ready now",VLOOKUP($P1126,Lists!$D$2:$E$5,2,FALSE))))</f>
        <v>Assessment pending</v>
      </c>
    </row>
    <row r="1127" ht="15.75" customHeight="1">
      <c r="A1127" s="35" t="s">
        <v>2872</v>
      </c>
      <c r="B1127" s="35" t="s">
        <v>2873</v>
      </c>
      <c r="C1127" s="35" t="s">
        <v>1286</v>
      </c>
      <c r="D1127" s="35" t="s">
        <v>260</v>
      </c>
      <c r="E1127" s="35" t="s">
        <v>506</v>
      </c>
      <c r="F1127" s="35" t="s">
        <v>798</v>
      </c>
      <c r="G1127" s="35" t="s">
        <v>1161</v>
      </c>
      <c r="H1127" s="76">
        <v>13475.0</v>
      </c>
      <c r="I1127" s="35" t="s">
        <v>440</v>
      </c>
      <c r="M1127" s="20">
        <f>IF($B1127="","",COUNTIFS('Blocker log'!$A:$A,$B1127,'Blocker log'!$G:$G,"&lt;&gt;"))</f>
        <v>0</v>
      </c>
      <c r="N1127" s="20">
        <f>IF($B1127="","",COUNTIFS('Blocker log'!$A:$A,$B1127,'Blocker log'!$G:$G,"Hard blocker"))</f>
        <v>0</v>
      </c>
      <c r="O1127" s="20">
        <f>IF($B1127="","",COUNTIFS('Blocker log'!$A:$A,$B1127,'Blocker log'!$G:$G,"Hard blocker",'Blocker log'!$L:$L,9))</f>
        <v>0</v>
      </c>
      <c r="P1127" s="20">
        <f>IF($B1127="","",MAXIFS('Blocker log'!$L:$L,'Blocker log'!$A:$A,$B1127,'Blocker log'!$G:$G,"Hard blocker"))</f>
        <v>0</v>
      </c>
      <c r="Q1127" s="20" t="str">
        <f>IF($B1127="","",IF($K1127&lt;&gt;"Complete","Assessment pending",IF($N1127=0,"Ready now",VLOOKUP($P1127,Lists!$D$2:$E$5,2,FALSE))))</f>
        <v>Assessment pending</v>
      </c>
    </row>
    <row r="1128" ht="15.75" customHeight="1">
      <c r="A1128" s="35" t="s">
        <v>2874</v>
      </c>
      <c r="B1128" s="35" t="s">
        <v>2875</v>
      </c>
      <c r="C1128" s="35" t="s">
        <v>1286</v>
      </c>
      <c r="D1128" s="35" t="s">
        <v>301</v>
      </c>
      <c r="E1128" s="35" t="s">
        <v>593</v>
      </c>
      <c r="F1128" s="35" t="s">
        <v>593</v>
      </c>
      <c r="G1128" s="35" t="s">
        <v>1042</v>
      </c>
      <c r="H1128" s="76">
        <v>13446.0</v>
      </c>
      <c r="I1128" s="35"/>
      <c r="M1128" s="20">
        <f>IF($B1128="","",COUNTIFS('Blocker log'!$A:$A,$B1128,'Blocker log'!$G:$G,"&lt;&gt;"))</f>
        <v>0</v>
      </c>
      <c r="N1128" s="20">
        <f>IF($B1128="","",COUNTIFS('Blocker log'!$A:$A,$B1128,'Blocker log'!$G:$G,"Hard blocker"))</f>
        <v>0</v>
      </c>
      <c r="O1128" s="20">
        <f>IF($B1128="","",COUNTIFS('Blocker log'!$A:$A,$B1128,'Blocker log'!$G:$G,"Hard blocker",'Blocker log'!$L:$L,9))</f>
        <v>0</v>
      </c>
      <c r="P1128" s="20">
        <f>IF($B1128="","",MAXIFS('Blocker log'!$L:$L,'Blocker log'!$A:$A,$B1128,'Blocker log'!$G:$G,"Hard blocker"))</f>
        <v>0</v>
      </c>
      <c r="Q1128" s="20" t="str">
        <f>IF($B1128="","",IF($K1128&lt;&gt;"Complete","Assessment pending",IF($N1128=0,"Ready now",VLOOKUP($P1128,Lists!$D$2:$E$5,2,FALSE))))</f>
        <v>Assessment pending</v>
      </c>
    </row>
    <row r="1129" ht="15.75" customHeight="1">
      <c r="A1129" s="35" t="s">
        <v>2876</v>
      </c>
      <c r="B1129" s="35" t="s">
        <v>2877</v>
      </c>
      <c r="C1129" s="35" t="s">
        <v>1286</v>
      </c>
      <c r="D1129" s="35" t="s">
        <v>58</v>
      </c>
      <c r="E1129" s="35" t="s">
        <v>101</v>
      </c>
      <c r="F1129" s="35" t="s">
        <v>554</v>
      </c>
      <c r="G1129" s="35" t="s">
        <v>1161</v>
      </c>
      <c r="H1129" s="76">
        <v>13440.0</v>
      </c>
      <c r="I1129" s="35" t="s">
        <v>443</v>
      </c>
      <c r="M1129" s="20">
        <f>IF($B1129="","",COUNTIFS('Blocker log'!$A:$A,$B1129,'Blocker log'!$G:$G,"&lt;&gt;"))</f>
        <v>0</v>
      </c>
      <c r="N1129" s="20">
        <f>IF($B1129="","",COUNTIFS('Blocker log'!$A:$A,$B1129,'Blocker log'!$G:$G,"Hard blocker"))</f>
        <v>0</v>
      </c>
      <c r="O1129" s="20">
        <f>IF($B1129="","",COUNTIFS('Blocker log'!$A:$A,$B1129,'Blocker log'!$G:$G,"Hard blocker",'Blocker log'!$L:$L,9))</f>
        <v>0</v>
      </c>
      <c r="P1129" s="20">
        <f>IF($B1129="","",MAXIFS('Blocker log'!$L:$L,'Blocker log'!$A:$A,$B1129,'Blocker log'!$G:$G,"Hard blocker"))</f>
        <v>0</v>
      </c>
      <c r="Q1129" s="20" t="str">
        <f>IF($B1129="","",IF($K1129&lt;&gt;"Complete","Assessment pending",IF($N1129=0,"Ready now",VLOOKUP($P1129,Lists!$D$2:$E$5,2,FALSE))))</f>
        <v>Assessment pending</v>
      </c>
    </row>
    <row r="1130" ht="15.75" customHeight="1">
      <c r="A1130" s="35" t="s">
        <v>2878</v>
      </c>
      <c r="B1130" s="35" t="s">
        <v>2072</v>
      </c>
      <c r="C1130" s="35" t="s">
        <v>1286</v>
      </c>
      <c r="D1130" s="35" t="s">
        <v>301</v>
      </c>
      <c r="E1130" s="35" t="s">
        <v>2073</v>
      </c>
      <c r="F1130" s="35" t="s">
        <v>2074</v>
      </c>
      <c r="G1130" s="35" t="s">
        <v>1042</v>
      </c>
      <c r="H1130" s="76">
        <v>13392.0</v>
      </c>
      <c r="I1130" s="35"/>
      <c r="M1130" s="20">
        <f>IF($B1130="","",COUNTIFS('Blocker log'!$A:$A,$B1130,'Blocker log'!$G:$G,"&lt;&gt;"))</f>
        <v>0</v>
      </c>
      <c r="N1130" s="20">
        <f>IF($B1130="","",COUNTIFS('Blocker log'!$A:$A,$B1130,'Blocker log'!$G:$G,"Hard blocker"))</f>
        <v>0</v>
      </c>
      <c r="O1130" s="20">
        <f>IF($B1130="","",COUNTIFS('Blocker log'!$A:$A,$B1130,'Blocker log'!$G:$G,"Hard blocker",'Blocker log'!$L:$L,9))</f>
        <v>0</v>
      </c>
      <c r="P1130" s="20">
        <f>IF($B1130="","",MAXIFS('Blocker log'!$L:$L,'Blocker log'!$A:$A,$B1130,'Blocker log'!$G:$G,"Hard blocker"))</f>
        <v>0</v>
      </c>
      <c r="Q1130" s="20" t="str">
        <f>IF($B1130="","",IF($K1130&lt;&gt;"Complete","Assessment pending",IF($N1130=0,"Ready now",VLOOKUP($P1130,Lists!$D$2:$E$5,2,FALSE))))</f>
        <v>Assessment pending</v>
      </c>
    </row>
    <row r="1131" ht="15.75" customHeight="1">
      <c r="A1131" s="35" t="s">
        <v>2879</v>
      </c>
      <c r="B1131" s="35" t="s">
        <v>2880</v>
      </c>
      <c r="C1131" s="35" t="s">
        <v>1286</v>
      </c>
      <c r="D1131" s="35" t="s">
        <v>58</v>
      </c>
      <c r="E1131" s="35" t="s">
        <v>101</v>
      </c>
      <c r="F1131" s="35" t="s">
        <v>102</v>
      </c>
      <c r="G1131" s="35" t="s">
        <v>1161</v>
      </c>
      <c r="H1131" s="76">
        <v>13373.0</v>
      </c>
      <c r="I1131" s="35" t="s">
        <v>447</v>
      </c>
      <c r="M1131" s="20">
        <f>IF($B1131="","",COUNTIFS('Blocker log'!$A:$A,$B1131,'Blocker log'!$G:$G,"&lt;&gt;"))</f>
        <v>0</v>
      </c>
      <c r="N1131" s="20">
        <f>IF($B1131="","",COUNTIFS('Blocker log'!$A:$A,$B1131,'Blocker log'!$G:$G,"Hard blocker"))</f>
        <v>0</v>
      </c>
      <c r="O1131" s="20">
        <f>IF($B1131="","",COUNTIFS('Blocker log'!$A:$A,$B1131,'Blocker log'!$G:$G,"Hard blocker",'Blocker log'!$L:$L,9))</f>
        <v>0</v>
      </c>
      <c r="P1131" s="20">
        <f>IF($B1131="","",MAXIFS('Blocker log'!$L:$L,'Blocker log'!$A:$A,$B1131,'Blocker log'!$G:$G,"Hard blocker"))</f>
        <v>0</v>
      </c>
      <c r="Q1131" s="20" t="str">
        <f>IF($B1131="","",IF($K1131&lt;&gt;"Complete","Assessment pending",IF($N1131=0,"Ready now",VLOOKUP($P1131,Lists!$D$2:$E$5,2,FALSE))))</f>
        <v>Assessment pending</v>
      </c>
    </row>
    <row r="1132" ht="15.75" customHeight="1">
      <c r="A1132" s="35" t="s">
        <v>2881</v>
      </c>
      <c r="B1132" s="35" t="s">
        <v>2882</v>
      </c>
      <c r="C1132" s="35" t="s">
        <v>1286</v>
      </c>
      <c r="D1132" s="35" t="s">
        <v>171</v>
      </c>
      <c r="E1132" s="35" t="s">
        <v>205</v>
      </c>
      <c r="F1132" s="35" t="s">
        <v>1823</v>
      </c>
      <c r="G1132" s="35" t="s">
        <v>1161</v>
      </c>
      <c r="H1132" s="76">
        <v>13328.0</v>
      </c>
      <c r="I1132" s="35"/>
      <c r="M1132" s="20">
        <f>IF($B1132="","",COUNTIFS('Blocker log'!$A:$A,$B1132,'Blocker log'!$G:$G,"&lt;&gt;"))</f>
        <v>0</v>
      </c>
      <c r="N1132" s="20">
        <f>IF($B1132="","",COUNTIFS('Blocker log'!$A:$A,$B1132,'Blocker log'!$G:$G,"Hard blocker"))</f>
        <v>0</v>
      </c>
      <c r="O1132" s="20">
        <f>IF($B1132="","",COUNTIFS('Blocker log'!$A:$A,$B1132,'Blocker log'!$G:$G,"Hard blocker",'Blocker log'!$L:$L,9))</f>
        <v>0</v>
      </c>
      <c r="P1132" s="20">
        <f>IF($B1132="","",MAXIFS('Blocker log'!$L:$L,'Blocker log'!$A:$A,$B1132,'Blocker log'!$G:$G,"Hard blocker"))</f>
        <v>0</v>
      </c>
      <c r="Q1132" s="20" t="str">
        <f>IF($B1132="","",IF($K1132&lt;&gt;"Complete","Assessment pending",IF($N1132=0,"Ready now",VLOOKUP($P1132,Lists!$D$2:$E$5,2,FALSE))))</f>
        <v>Assessment pending</v>
      </c>
    </row>
    <row r="1133" ht="15.75" customHeight="1">
      <c r="A1133" s="35" t="s">
        <v>2883</v>
      </c>
      <c r="B1133" s="35" t="s">
        <v>2884</v>
      </c>
      <c r="C1133" s="35" t="s">
        <v>1286</v>
      </c>
      <c r="D1133" s="35" t="s">
        <v>171</v>
      </c>
      <c r="E1133" s="35" t="s">
        <v>512</v>
      </c>
      <c r="F1133" s="35" t="s">
        <v>537</v>
      </c>
      <c r="G1133" s="35" t="s">
        <v>1161</v>
      </c>
      <c r="H1133" s="76">
        <v>13266.0</v>
      </c>
      <c r="I1133" s="35"/>
      <c r="M1133" s="20">
        <f>IF($B1133="","",COUNTIFS('Blocker log'!$A:$A,$B1133,'Blocker log'!$G:$G,"&lt;&gt;"))</f>
        <v>0</v>
      </c>
      <c r="N1133" s="20">
        <f>IF($B1133="","",COUNTIFS('Blocker log'!$A:$A,$B1133,'Blocker log'!$G:$G,"Hard blocker"))</f>
        <v>0</v>
      </c>
      <c r="O1133" s="20">
        <f>IF($B1133="","",COUNTIFS('Blocker log'!$A:$A,$B1133,'Blocker log'!$G:$G,"Hard blocker",'Blocker log'!$L:$L,9))</f>
        <v>0</v>
      </c>
      <c r="P1133" s="20">
        <f>IF($B1133="","",MAXIFS('Blocker log'!$L:$L,'Blocker log'!$A:$A,$B1133,'Blocker log'!$G:$G,"Hard blocker"))</f>
        <v>0</v>
      </c>
      <c r="Q1133" s="20" t="str">
        <f>IF($B1133="","",IF($K1133&lt;&gt;"Complete","Assessment pending",IF($N1133=0,"Ready now",VLOOKUP($P1133,Lists!$D$2:$E$5,2,FALSE))))</f>
        <v>Assessment pending</v>
      </c>
    </row>
    <row r="1134" ht="15.75" customHeight="1">
      <c r="A1134" s="35" t="s">
        <v>2885</v>
      </c>
      <c r="B1134" s="35" t="s">
        <v>2886</v>
      </c>
      <c r="C1134" s="35" t="s">
        <v>1286</v>
      </c>
      <c r="D1134" s="35" t="s">
        <v>171</v>
      </c>
      <c r="E1134" s="35" t="s">
        <v>542</v>
      </c>
      <c r="F1134" s="35" t="s">
        <v>1713</v>
      </c>
      <c r="G1134" s="35" t="s">
        <v>1161</v>
      </c>
      <c r="H1134" s="76">
        <v>13260.0</v>
      </c>
      <c r="I1134" s="35" t="s">
        <v>424</v>
      </c>
      <c r="M1134" s="20">
        <f>IF($B1134="","",COUNTIFS('Blocker log'!$A:$A,$B1134,'Blocker log'!$G:$G,"&lt;&gt;"))</f>
        <v>0</v>
      </c>
      <c r="N1134" s="20">
        <f>IF($B1134="","",COUNTIFS('Blocker log'!$A:$A,$B1134,'Blocker log'!$G:$G,"Hard blocker"))</f>
        <v>0</v>
      </c>
      <c r="O1134" s="20">
        <f>IF($B1134="","",COUNTIFS('Blocker log'!$A:$A,$B1134,'Blocker log'!$G:$G,"Hard blocker",'Blocker log'!$L:$L,9))</f>
        <v>0</v>
      </c>
      <c r="P1134" s="20">
        <f>IF($B1134="","",MAXIFS('Blocker log'!$L:$L,'Blocker log'!$A:$A,$B1134,'Blocker log'!$G:$G,"Hard blocker"))</f>
        <v>0</v>
      </c>
      <c r="Q1134" s="20" t="str">
        <f>IF($B1134="","",IF($K1134&lt;&gt;"Complete","Assessment pending",IF($N1134=0,"Ready now",VLOOKUP($P1134,Lists!$D$2:$E$5,2,FALSE))))</f>
        <v>Assessment pending</v>
      </c>
    </row>
    <row r="1135" ht="15.75" customHeight="1">
      <c r="A1135" s="35" t="s">
        <v>2887</v>
      </c>
      <c r="B1135" s="35" t="s">
        <v>2888</v>
      </c>
      <c r="C1135" s="35" t="s">
        <v>76</v>
      </c>
      <c r="D1135" s="35" t="s">
        <v>260</v>
      </c>
      <c r="E1135" s="35" t="s">
        <v>530</v>
      </c>
      <c r="F1135" s="35" t="s">
        <v>531</v>
      </c>
      <c r="G1135" s="35" t="s">
        <v>980</v>
      </c>
      <c r="H1135" s="76">
        <v>13200.0</v>
      </c>
      <c r="I1135" s="35"/>
      <c r="M1135" s="20">
        <f>IF($B1135="","",COUNTIFS('Blocker log'!$A:$A,$B1135,'Blocker log'!$G:$G,"&lt;&gt;"))</f>
        <v>0</v>
      </c>
      <c r="N1135" s="20">
        <f>IF($B1135="","",COUNTIFS('Blocker log'!$A:$A,$B1135,'Blocker log'!$G:$G,"Hard blocker"))</f>
        <v>0</v>
      </c>
      <c r="O1135" s="20">
        <f>IF($B1135="","",COUNTIFS('Blocker log'!$A:$A,$B1135,'Blocker log'!$G:$G,"Hard blocker",'Blocker log'!$L:$L,9))</f>
        <v>0</v>
      </c>
      <c r="P1135" s="20">
        <f>IF($B1135="","",MAXIFS('Blocker log'!$L:$L,'Blocker log'!$A:$A,$B1135,'Blocker log'!$G:$G,"Hard blocker"))</f>
        <v>0</v>
      </c>
      <c r="Q1135" s="20" t="str">
        <f>IF($B1135="","",IF($K1135&lt;&gt;"Complete","Assessment pending",IF($N1135=0,"Ready now",VLOOKUP($P1135,Lists!$D$2:$E$5,2,FALSE))))</f>
        <v>Assessment pending</v>
      </c>
    </row>
    <row r="1136" ht="15.75" customHeight="1">
      <c r="A1136" s="35" t="s">
        <v>2889</v>
      </c>
      <c r="B1136" s="35" t="s">
        <v>2890</v>
      </c>
      <c r="C1136" s="35" t="s">
        <v>1286</v>
      </c>
      <c r="D1136" s="35" t="s">
        <v>171</v>
      </c>
      <c r="E1136" s="35" t="s">
        <v>587</v>
      </c>
      <c r="F1136" s="35" t="s">
        <v>1369</v>
      </c>
      <c r="G1136" s="35" t="s">
        <v>1161</v>
      </c>
      <c r="H1136" s="76">
        <v>13176.0</v>
      </c>
      <c r="I1136" s="35"/>
      <c r="M1136" s="20">
        <f>IF($B1136="","",COUNTIFS('Blocker log'!$A:$A,$B1136,'Blocker log'!$G:$G,"&lt;&gt;"))</f>
        <v>0</v>
      </c>
      <c r="N1136" s="20">
        <f>IF($B1136="","",COUNTIFS('Blocker log'!$A:$A,$B1136,'Blocker log'!$G:$G,"Hard blocker"))</f>
        <v>0</v>
      </c>
      <c r="O1136" s="20">
        <f>IF($B1136="","",COUNTIFS('Blocker log'!$A:$A,$B1136,'Blocker log'!$G:$G,"Hard blocker",'Blocker log'!$L:$L,9))</f>
        <v>0</v>
      </c>
      <c r="P1136" s="20">
        <f>IF($B1136="","",MAXIFS('Blocker log'!$L:$L,'Blocker log'!$A:$A,$B1136,'Blocker log'!$G:$G,"Hard blocker"))</f>
        <v>0</v>
      </c>
      <c r="Q1136" s="20" t="str">
        <f>IF($B1136="","",IF($K1136&lt;&gt;"Complete","Assessment pending",IF($N1136=0,"Ready now",VLOOKUP($P1136,Lists!$D$2:$E$5,2,FALSE))))</f>
        <v>Assessment pending</v>
      </c>
    </row>
    <row r="1137" ht="15.75" customHeight="1">
      <c r="A1137" s="35" t="s">
        <v>2891</v>
      </c>
      <c r="B1137" s="35" t="s">
        <v>2892</v>
      </c>
      <c r="C1137" s="35" t="s">
        <v>1286</v>
      </c>
      <c r="D1137" s="35" t="s">
        <v>58</v>
      </c>
      <c r="E1137" s="35" t="s">
        <v>59</v>
      </c>
      <c r="F1137" s="35" t="s">
        <v>598</v>
      </c>
      <c r="G1137" s="35" t="s">
        <v>1042</v>
      </c>
      <c r="H1137" s="76">
        <v>13005.0</v>
      </c>
      <c r="I1137" s="35" t="s">
        <v>453</v>
      </c>
      <c r="M1137" s="20">
        <f>IF($B1137="","",COUNTIFS('Blocker log'!$A:$A,$B1137,'Blocker log'!$G:$G,"&lt;&gt;"))</f>
        <v>0</v>
      </c>
      <c r="N1137" s="20">
        <f>IF($B1137="","",COUNTIFS('Blocker log'!$A:$A,$B1137,'Blocker log'!$G:$G,"Hard blocker"))</f>
        <v>0</v>
      </c>
      <c r="O1137" s="20">
        <f>IF($B1137="","",COUNTIFS('Blocker log'!$A:$A,$B1137,'Blocker log'!$G:$G,"Hard blocker",'Blocker log'!$L:$L,9))</f>
        <v>0</v>
      </c>
      <c r="P1137" s="20">
        <f>IF($B1137="","",MAXIFS('Blocker log'!$L:$L,'Blocker log'!$A:$A,$B1137,'Blocker log'!$G:$G,"Hard blocker"))</f>
        <v>0</v>
      </c>
      <c r="Q1137" s="20" t="str">
        <f>IF($B1137="","",IF($K1137&lt;&gt;"Complete","Assessment pending",IF($N1137=0,"Ready now",VLOOKUP($P1137,Lists!$D$2:$E$5,2,FALSE))))</f>
        <v>Assessment pending</v>
      </c>
    </row>
    <row r="1138" ht="15.75" customHeight="1">
      <c r="A1138" s="35" t="s">
        <v>2893</v>
      </c>
      <c r="B1138" s="35" t="s">
        <v>2894</v>
      </c>
      <c r="C1138" s="35" t="s">
        <v>1286</v>
      </c>
      <c r="D1138" s="35" t="s">
        <v>171</v>
      </c>
      <c r="E1138" s="35" t="s">
        <v>542</v>
      </c>
      <c r="F1138" s="35" t="s">
        <v>543</v>
      </c>
      <c r="G1138" s="35" t="s">
        <v>1161</v>
      </c>
      <c r="H1138" s="76">
        <v>13000.0</v>
      </c>
      <c r="I1138" s="35"/>
      <c r="M1138" s="20">
        <f>IF($B1138="","",COUNTIFS('Blocker log'!$A:$A,$B1138,'Blocker log'!$G:$G,"&lt;&gt;"))</f>
        <v>0</v>
      </c>
      <c r="N1138" s="20">
        <f>IF($B1138="","",COUNTIFS('Blocker log'!$A:$A,$B1138,'Blocker log'!$G:$G,"Hard blocker"))</f>
        <v>0</v>
      </c>
      <c r="O1138" s="20">
        <f>IF($B1138="","",COUNTIFS('Blocker log'!$A:$A,$B1138,'Blocker log'!$G:$G,"Hard blocker",'Blocker log'!$L:$L,9))</f>
        <v>0</v>
      </c>
      <c r="P1138" s="20">
        <f>IF($B1138="","",MAXIFS('Blocker log'!$L:$L,'Blocker log'!$A:$A,$B1138,'Blocker log'!$G:$G,"Hard blocker"))</f>
        <v>0</v>
      </c>
      <c r="Q1138" s="20" t="str">
        <f>IF($B1138="","",IF($K1138&lt;&gt;"Complete","Assessment pending",IF($N1138=0,"Ready now",VLOOKUP($P1138,Lists!$D$2:$E$5,2,FALSE))))</f>
        <v>Assessment pending</v>
      </c>
    </row>
    <row r="1139" ht="15.75" customHeight="1">
      <c r="A1139" s="35" t="s">
        <v>2895</v>
      </c>
      <c r="B1139" s="35" t="s">
        <v>2896</v>
      </c>
      <c r="C1139" s="35" t="s">
        <v>1286</v>
      </c>
      <c r="D1139" s="35" t="s">
        <v>58</v>
      </c>
      <c r="E1139" s="35" t="s">
        <v>101</v>
      </c>
      <c r="F1139" s="35" t="s">
        <v>116</v>
      </c>
      <c r="G1139" s="35" t="s">
        <v>1161</v>
      </c>
      <c r="H1139" s="76">
        <v>12989.0</v>
      </c>
      <c r="I1139" s="35" t="s">
        <v>453</v>
      </c>
      <c r="M1139" s="20">
        <f>IF($B1139="","",COUNTIFS('Blocker log'!$A:$A,$B1139,'Blocker log'!$G:$G,"&lt;&gt;"))</f>
        <v>0</v>
      </c>
      <c r="N1139" s="20">
        <f>IF($B1139="","",COUNTIFS('Blocker log'!$A:$A,$B1139,'Blocker log'!$G:$G,"Hard blocker"))</f>
        <v>0</v>
      </c>
      <c r="O1139" s="20">
        <f>IF($B1139="","",COUNTIFS('Blocker log'!$A:$A,$B1139,'Blocker log'!$G:$G,"Hard blocker",'Blocker log'!$L:$L,9))</f>
        <v>0</v>
      </c>
      <c r="P1139" s="20">
        <f>IF($B1139="","",MAXIFS('Blocker log'!$L:$L,'Blocker log'!$A:$A,$B1139,'Blocker log'!$G:$G,"Hard blocker"))</f>
        <v>0</v>
      </c>
      <c r="Q1139" s="20" t="str">
        <f>IF($B1139="","",IF($K1139&lt;&gt;"Complete","Assessment pending",IF($N1139=0,"Ready now",VLOOKUP($P1139,Lists!$D$2:$E$5,2,FALSE))))</f>
        <v>Assessment pending</v>
      </c>
    </row>
    <row r="1140" ht="15.75" customHeight="1">
      <c r="A1140" s="35" t="s">
        <v>2897</v>
      </c>
      <c r="B1140" s="35" t="s">
        <v>2898</v>
      </c>
      <c r="C1140" s="35" t="s">
        <v>1286</v>
      </c>
      <c r="D1140" s="35" t="s">
        <v>171</v>
      </c>
      <c r="E1140" s="35" t="s">
        <v>760</v>
      </c>
      <c r="F1140" s="35" t="s">
        <v>761</v>
      </c>
      <c r="G1140" s="35" t="s">
        <v>1042</v>
      </c>
      <c r="H1140" s="76">
        <v>12977.0</v>
      </c>
      <c r="I1140" s="35"/>
      <c r="M1140" s="20">
        <f>IF($B1140="","",COUNTIFS('Blocker log'!$A:$A,$B1140,'Blocker log'!$G:$G,"&lt;&gt;"))</f>
        <v>0</v>
      </c>
      <c r="N1140" s="20">
        <f>IF($B1140="","",COUNTIFS('Blocker log'!$A:$A,$B1140,'Blocker log'!$G:$G,"Hard blocker"))</f>
        <v>0</v>
      </c>
      <c r="O1140" s="20">
        <f>IF($B1140="","",COUNTIFS('Blocker log'!$A:$A,$B1140,'Blocker log'!$G:$G,"Hard blocker",'Blocker log'!$L:$L,9))</f>
        <v>0</v>
      </c>
      <c r="P1140" s="20">
        <f>IF($B1140="","",MAXIFS('Blocker log'!$L:$L,'Blocker log'!$A:$A,$B1140,'Blocker log'!$G:$G,"Hard blocker"))</f>
        <v>0</v>
      </c>
      <c r="Q1140" s="20" t="str">
        <f>IF($B1140="","",IF($K1140&lt;&gt;"Complete","Assessment pending",IF($N1140=0,"Ready now",VLOOKUP($P1140,Lists!$D$2:$E$5,2,FALSE))))</f>
        <v>Assessment pending</v>
      </c>
    </row>
    <row r="1141" ht="15.75" customHeight="1">
      <c r="A1141" s="35" t="s">
        <v>2899</v>
      </c>
      <c r="B1141" s="35" t="s">
        <v>2900</v>
      </c>
      <c r="C1141" s="35" t="s">
        <v>1286</v>
      </c>
      <c r="D1141" s="35" t="s">
        <v>171</v>
      </c>
      <c r="E1141" s="35" t="s">
        <v>172</v>
      </c>
      <c r="F1141" s="35" t="s">
        <v>173</v>
      </c>
      <c r="G1141" s="35" t="s">
        <v>1161</v>
      </c>
      <c r="H1141" s="76">
        <v>12960.0</v>
      </c>
      <c r="I1141" s="35" t="s">
        <v>431</v>
      </c>
      <c r="M1141" s="20">
        <f>IF($B1141="","",COUNTIFS('Blocker log'!$A:$A,$B1141,'Blocker log'!$G:$G,"&lt;&gt;"))</f>
        <v>0</v>
      </c>
      <c r="N1141" s="20">
        <f>IF($B1141="","",COUNTIFS('Blocker log'!$A:$A,$B1141,'Blocker log'!$G:$G,"Hard blocker"))</f>
        <v>0</v>
      </c>
      <c r="O1141" s="20">
        <f>IF($B1141="","",COUNTIFS('Blocker log'!$A:$A,$B1141,'Blocker log'!$G:$G,"Hard blocker",'Blocker log'!$L:$L,9))</f>
        <v>0</v>
      </c>
      <c r="P1141" s="20">
        <f>IF($B1141="","",MAXIFS('Blocker log'!$L:$L,'Blocker log'!$A:$A,$B1141,'Blocker log'!$G:$G,"Hard blocker"))</f>
        <v>0</v>
      </c>
      <c r="Q1141" s="20" t="str">
        <f>IF($B1141="","",IF($K1141&lt;&gt;"Complete","Assessment pending",IF($N1141=0,"Ready now",VLOOKUP($P1141,Lists!$D$2:$E$5,2,FALSE))))</f>
        <v>Assessment pending</v>
      </c>
    </row>
    <row r="1142" ht="15.75" customHeight="1">
      <c r="A1142" s="35" t="s">
        <v>2901</v>
      </c>
      <c r="B1142" s="35" t="s">
        <v>2902</v>
      </c>
      <c r="C1142" s="35" t="s">
        <v>1286</v>
      </c>
      <c r="D1142" s="35" t="s">
        <v>58</v>
      </c>
      <c r="E1142" s="35" t="s">
        <v>101</v>
      </c>
      <c r="F1142" s="35" t="s">
        <v>102</v>
      </c>
      <c r="G1142" s="35" t="s">
        <v>1161</v>
      </c>
      <c r="H1142" s="76">
        <v>12852.0</v>
      </c>
      <c r="I1142" s="35" t="s">
        <v>447</v>
      </c>
      <c r="M1142" s="20">
        <f>IF($B1142="","",COUNTIFS('Blocker log'!$A:$A,$B1142,'Blocker log'!$G:$G,"&lt;&gt;"))</f>
        <v>0</v>
      </c>
      <c r="N1142" s="20">
        <f>IF($B1142="","",COUNTIFS('Blocker log'!$A:$A,$B1142,'Blocker log'!$G:$G,"Hard blocker"))</f>
        <v>0</v>
      </c>
      <c r="O1142" s="20">
        <f>IF($B1142="","",COUNTIFS('Blocker log'!$A:$A,$B1142,'Blocker log'!$G:$G,"Hard blocker",'Blocker log'!$L:$L,9))</f>
        <v>0</v>
      </c>
      <c r="P1142" s="20">
        <f>IF($B1142="","",MAXIFS('Blocker log'!$L:$L,'Blocker log'!$A:$A,$B1142,'Blocker log'!$G:$G,"Hard blocker"))</f>
        <v>0</v>
      </c>
      <c r="Q1142" s="20" t="str">
        <f>IF($B1142="","",IF($K1142&lt;&gt;"Complete","Assessment pending",IF($N1142=0,"Ready now",VLOOKUP($P1142,Lists!$D$2:$E$5,2,FALSE))))</f>
        <v>Assessment pending</v>
      </c>
    </row>
    <row r="1143" ht="15.75" customHeight="1">
      <c r="A1143" s="35" t="s">
        <v>2903</v>
      </c>
      <c r="B1143" s="35" t="s">
        <v>2904</v>
      </c>
      <c r="C1143" s="35" t="s">
        <v>1286</v>
      </c>
      <c r="D1143" s="35" t="s">
        <v>260</v>
      </c>
      <c r="E1143" s="35" t="s">
        <v>576</v>
      </c>
      <c r="F1143" s="35" t="s">
        <v>1965</v>
      </c>
      <c r="G1143" s="35" t="s">
        <v>1161</v>
      </c>
      <c r="H1143" s="76">
        <v>12839.0</v>
      </c>
      <c r="I1143" s="35" t="s">
        <v>430</v>
      </c>
      <c r="M1143" s="20">
        <f>IF($B1143="","",COUNTIFS('Blocker log'!$A:$A,$B1143,'Blocker log'!$G:$G,"&lt;&gt;"))</f>
        <v>0</v>
      </c>
      <c r="N1143" s="20">
        <f>IF($B1143="","",COUNTIFS('Blocker log'!$A:$A,$B1143,'Blocker log'!$G:$G,"Hard blocker"))</f>
        <v>0</v>
      </c>
      <c r="O1143" s="20">
        <f>IF($B1143="","",COUNTIFS('Blocker log'!$A:$A,$B1143,'Blocker log'!$G:$G,"Hard blocker",'Blocker log'!$L:$L,9))</f>
        <v>0</v>
      </c>
      <c r="P1143" s="20">
        <f>IF($B1143="","",MAXIFS('Blocker log'!$L:$L,'Blocker log'!$A:$A,$B1143,'Blocker log'!$G:$G,"Hard blocker"))</f>
        <v>0</v>
      </c>
      <c r="Q1143" s="20" t="str">
        <f>IF($B1143="","",IF($K1143&lt;&gt;"Complete","Assessment pending",IF($N1143=0,"Ready now",VLOOKUP($P1143,Lists!$D$2:$E$5,2,FALSE))))</f>
        <v>Assessment pending</v>
      </c>
    </row>
    <row r="1144" ht="15.75" customHeight="1">
      <c r="A1144" s="35" t="s">
        <v>2905</v>
      </c>
      <c r="B1144" s="35" t="s">
        <v>2906</v>
      </c>
      <c r="C1144" s="35" t="s">
        <v>1286</v>
      </c>
      <c r="D1144" s="35" t="s">
        <v>171</v>
      </c>
      <c r="E1144" s="35" t="s">
        <v>713</v>
      </c>
      <c r="F1144" s="35" t="s">
        <v>714</v>
      </c>
      <c r="G1144" s="35" t="s">
        <v>1161</v>
      </c>
      <c r="H1144" s="76">
        <v>12816.0</v>
      </c>
      <c r="I1144" s="35" t="s">
        <v>424</v>
      </c>
      <c r="M1144" s="20">
        <f>IF($B1144="","",COUNTIFS('Blocker log'!$A:$A,$B1144,'Blocker log'!$G:$G,"&lt;&gt;"))</f>
        <v>0</v>
      </c>
      <c r="N1144" s="20">
        <f>IF($B1144="","",COUNTIFS('Blocker log'!$A:$A,$B1144,'Blocker log'!$G:$G,"Hard blocker"))</f>
        <v>0</v>
      </c>
      <c r="O1144" s="20">
        <f>IF($B1144="","",COUNTIFS('Blocker log'!$A:$A,$B1144,'Blocker log'!$G:$G,"Hard blocker",'Blocker log'!$L:$L,9))</f>
        <v>0</v>
      </c>
      <c r="P1144" s="20">
        <f>IF($B1144="","",MAXIFS('Blocker log'!$L:$L,'Blocker log'!$A:$A,$B1144,'Blocker log'!$G:$G,"Hard blocker"))</f>
        <v>0</v>
      </c>
      <c r="Q1144" s="20" t="str">
        <f>IF($B1144="","",IF($K1144&lt;&gt;"Complete","Assessment pending",IF($N1144=0,"Ready now",VLOOKUP($P1144,Lists!$D$2:$E$5,2,FALSE))))</f>
        <v>Assessment pending</v>
      </c>
    </row>
    <row r="1145" ht="15.75" customHeight="1">
      <c r="A1145" s="35" t="s">
        <v>2907</v>
      </c>
      <c r="B1145" s="35" t="s">
        <v>2908</v>
      </c>
      <c r="C1145" s="35" t="s">
        <v>76</v>
      </c>
      <c r="D1145" s="35" t="s">
        <v>58</v>
      </c>
      <c r="E1145" s="35" t="s">
        <v>140</v>
      </c>
      <c r="F1145" s="35" t="s">
        <v>141</v>
      </c>
      <c r="G1145" s="35" t="s">
        <v>999</v>
      </c>
      <c r="H1145" s="76">
        <v>12599.0</v>
      </c>
      <c r="I1145" s="35"/>
      <c r="M1145" s="20">
        <f>IF($B1145="","",COUNTIFS('Blocker log'!$A:$A,$B1145,'Blocker log'!$G:$G,"&lt;&gt;"))</f>
        <v>0</v>
      </c>
      <c r="N1145" s="20">
        <f>IF($B1145="","",COUNTIFS('Blocker log'!$A:$A,$B1145,'Blocker log'!$G:$G,"Hard blocker"))</f>
        <v>0</v>
      </c>
      <c r="O1145" s="20">
        <f>IF($B1145="","",COUNTIFS('Blocker log'!$A:$A,$B1145,'Blocker log'!$G:$G,"Hard blocker",'Blocker log'!$L:$L,9))</f>
        <v>0</v>
      </c>
      <c r="P1145" s="20">
        <f>IF($B1145="","",MAXIFS('Blocker log'!$L:$L,'Blocker log'!$A:$A,$B1145,'Blocker log'!$G:$G,"Hard blocker"))</f>
        <v>0</v>
      </c>
      <c r="Q1145" s="20" t="str">
        <f>IF($B1145="","",IF($K1145&lt;&gt;"Complete","Assessment pending",IF($N1145=0,"Ready now",VLOOKUP($P1145,Lists!$D$2:$E$5,2,FALSE))))</f>
        <v>Assessment pending</v>
      </c>
    </row>
    <row r="1146" ht="15.75" customHeight="1">
      <c r="A1146" s="35" t="s">
        <v>2909</v>
      </c>
      <c r="B1146" s="35" t="s">
        <v>2910</v>
      </c>
      <c r="C1146" s="35" t="s">
        <v>1286</v>
      </c>
      <c r="D1146" s="35" t="s">
        <v>171</v>
      </c>
      <c r="E1146" s="35" t="s">
        <v>713</v>
      </c>
      <c r="F1146" s="35" t="s">
        <v>2469</v>
      </c>
      <c r="G1146" s="35" t="s">
        <v>1161</v>
      </c>
      <c r="H1146" s="76">
        <v>12560.0</v>
      </c>
      <c r="I1146" s="35" t="s">
        <v>424</v>
      </c>
      <c r="M1146" s="20">
        <f>IF($B1146="","",COUNTIFS('Blocker log'!$A:$A,$B1146,'Blocker log'!$G:$G,"&lt;&gt;"))</f>
        <v>0</v>
      </c>
      <c r="N1146" s="20">
        <f>IF($B1146="","",COUNTIFS('Blocker log'!$A:$A,$B1146,'Blocker log'!$G:$G,"Hard blocker"))</f>
        <v>0</v>
      </c>
      <c r="O1146" s="20">
        <f>IF($B1146="","",COUNTIFS('Blocker log'!$A:$A,$B1146,'Blocker log'!$G:$G,"Hard blocker",'Blocker log'!$L:$L,9))</f>
        <v>0</v>
      </c>
      <c r="P1146" s="20">
        <f>IF($B1146="","",MAXIFS('Blocker log'!$L:$L,'Blocker log'!$A:$A,$B1146,'Blocker log'!$G:$G,"Hard blocker"))</f>
        <v>0</v>
      </c>
      <c r="Q1146" s="20" t="str">
        <f>IF($B1146="","",IF($K1146&lt;&gt;"Complete","Assessment pending",IF($N1146=0,"Ready now",VLOOKUP($P1146,Lists!$D$2:$E$5,2,FALSE))))</f>
        <v>Assessment pending</v>
      </c>
    </row>
    <row r="1147" ht="15.75" customHeight="1">
      <c r="A1147" s="35" t="s">
        <v>2911</v>
      </c>
      <c r="B1147" s="35" t="s">
        <v>2912</v>
      </c>
      <c r="C1147" s="35" t="s">
        <v>1286</v>
      </c>
      <c r="D1147" s="35" t="s">
        <v>260</v>
      </c>
      <c r="E1147" s="35" t="s">
        <v>530</v>
      </c>
      <c r="F1147" s="35" t="s">
        <v>1674</v>
      </c>
      <c r="G1147" s="35" t="s">
        <v>1161</v>
      </c>
      <c r="H1147" s="76">
        <v>12512.0</v>
      </c>
      <c r="I1147" s="35"/>
      <c r="M1147" s="20">
        <f>IF($B1147="","",COUNTIFS('Blocker log'!$A:$A,$B1147,'Blocker log'!$G:$G,"&lt;&gt;"))</f>
        <v>0</v>
      </c>
      <c r="N1147" s="20">
        <f>IF($B1147="","",COUNTIFS('Blocker log'!$A:$A,$B1147,'Blocker log'!$G:$G,"Hard blocker"))</f>
        <v>0</v>
      </c>
      <c r="O1147" s="20">
        <f>IF($B1147="","",COUNTIFS('Blocker log'!$A:$A,$B1147,'Blocker log'!$G:$G,"Hard blocker",'Blocker log'!$L:$L,9))</f>
        <v>0</v>
      </c>
      <c r="P1147" s="20">
        <f>IF($B1147="","",MAXIFS('Blocker log'!$L:$L,'Blocker log'!$A:$A,$B1147,'Blocker log'!$G:$G,"Hard blocker"))</f>
        <v>0</v>
      </c>
      <c r="Q1147" s="20" t="str">
        <f>IF($B1147="","",IF($K1147&lt;&gt;"Complete","Assessment pending",IF($N1147=0,"Ready now",VLOOKUP($P1147,Lists!$D$2:$E$5,2,FALSE))))</f>
        <v>Assessment pending</v>
      </c>
    </row>
    <row r="1148" ht="15.75" customHeight="1">
      <c r="A1148" s="35" t="s">
        <v>2913</v>
      </c>
      <c r="B1148" s="35" t="s">
        <v>2914</v>
      </c>
      <c r="C1148" s="35" t="s">
        <v>1286</v>
      </c>
      <c r="D1148" s="35" t="s">
        <v>260</v>
      </c>
      <c r="E1148" s="35" t="s">
        <v>1096</v>
      </c>
      <c r="F1148" s="35" t="s">
        <v>1097</v>
      </c>
      <c r="G1148" s="35" t="s">
        <v>1161</v>
      </c>
      <c r="H1148" s="76">
        <v>12431.0</v>
      </c>
      <c r="I1148" s="35" t="s">
        <v>416</v>
      </c>
      <c r="M1148" s="20">
        <f>IF($B1148="","",COUNTIFS('Blocker log'!$A:$A,$B1148,'Blocker log'!$G:$G,"&lt;&gt;"))</f>
        <v>0</v>
      </c>
      <c r="N1148" s="20">
        <f>IF($B1148="","",COUNTIFS('Blocker log'!$A:$A,$B1148,'Blocker log'!$G:$G,"Hard blocker"))</f>
        <v>0</v>
      </c>
      <c r="O1148" s="20">
        <f>IF($B1148="","",COUNTIFS('Blocker log'!$A:$A,$B1148,'Blocker log'!$G:$G,"Hard blocker",'Blocker log'!$L:$L,9))</f>
        <v>0</v>
      </c>
      <c r="P1148" s="20">
        <f>IF($B1148="","",MAXIFS('Blocker log'!$L:$L,'Blocker log'!$A:$A,$B1148,'Blocker log'!$G:$G,"Hard blocker"))</f>
        <v>0</v>
      </c>
      <c r="Q1148" s="20" t="str">
        <f>IF($B1148="","",IF($K1148&lt;&gt;"Complete","Assessment pending",IF($N1148=0,"Ready now",VLOOKUP($P1148,Lists!$D$2:$E$5,2,FALSE))))</f>
        <v>Assessment pending</v>
      </c>
    </row>
    <row r="1149" ht="15.75" customHeight="1">
      <c r="A1149" s="35" t="s">
        <v>2915</v>
      </c>
      <c r="B1149" s="35" t="s">
        <v>2916</v>
      </c>
      <c r="C1149" s="35" t="s">
        <v>1286</v>
      </c>
      <c r="D1149" s="35" t="s">
        <v>58</v>
      </c>
      <c r="E1149" s="35" t="s">
        <v>494</v>
      </c>
      <c r="F1149" s="35" t="s">
        <v>690</v>
      </c>
      <c r="G1149" s="35" t="s">
        <v>1161</v>
      </c>
      <c r="H1149" s="76">
        <v>12375.0</v>
      </c>
      <c r="I1149" s="35"/>
      <c r="M1149" s="20">
        <f>IF($B1149="","",COUNTIFS('Blocker log'!$A:$A,$B1149,'Blocker log'!$G:$G,"&lt;&gt;"))</f>
        <v>0</v>
      </c>
      <c r="N1149" s="20">
        <f>IF($B1149="","",COUNTIFS('Blocker log'!$A:$A,$B1149,'Blocker log'!$G:$G,"Hard blocker"))</f>
        <v>0</v>
      </c>
      <c r="O1149" s="20">
        <f>IF($B1149="","",COUNTIFS('Blocker log'!$A:$A,$B1149,'Blocker log'!$G:$G,"Hard blocker",'Blocker log'!$L:$L,9))</f>
        <v>0</v>
      </c>
      <c r="P1149" s="20">
        <f>IF($B1149="","",MAXIFS('Blocker log'!$L:$L,'Blocker log'!$A:$A,$B1149,'Blocker log'!$G:$G,"Hard blocker"))</f>
        <v>0</v>
      </c>
      <c r="Q1149" s="20" t="str">
        <f>IF($B1149="","",IF($K1149&lt;&gt;"Complete","Assessment pending",IF($N1149=0,"Ready now",VLOOKUP($P1149,Lists!$D$2:$E$5,2,FALSE))))</f>
        <v>Assessment pending</v>
      </c>
    </row>
    <row r="1150" ht="15.75" customHeight="1">
      <c r="A1150" s="35" t="s">
        <v>2917</v>
      </c>
      <c r="B1150" s="35" t="s">
        <v>2918</v>
      </c>
      <c r="C1150" s="35" t="s">
        <v>1286</v>
      </c>
      <c r="D1150" s="35" t="s">
        <v>260</v>
      </c>
      <c r="E1150" s="35" t="s">
        <v>530</v>
      </c>
      <c r="F1150" s="35" t="s">
        <v>1766</v>
      </c>
      <c r="G1150" s="35" t="s">
        <v>1161</v>
      </c>
      <c r="H1150" s="76">
        <v>12304.0</v>
      </c>
      <c r="I1150" s="35" t="s">
        <v>441</v>
      </c>
      <c r="M1150" s="20">
        <f>IF($B1150="","",COUNTIFS('Blocker log'!$A:$A,$B1150,'Blocker log'!$G:$G,"&lt;&gt;"))</f>
        <v>0</v>
      </c>
      <c r="N1150" s="20">
        <f>IF($B1150="","",COUNTIFS('Blocker log'!$A:$A,$B1150,'Blocker log'!$G:$G,"Hard blocker"))</f>
        <v>0</v>
      </c>
      <c r="O1150" s="20">
        <f>IF($B1150="","",COUNTIFS('Blocker log'!$A:$A,$B1150,'Blocker log'!$G:$G,"Hard blocker",'Blocker log'!$L:$L,9))</f>
        <v>0</v>
      </c>
      <c r="P1150" s="20">
        <f>IF($B1150="","",MAXIFS('Blocker log'!$L:$L,'Blocker log'!$A:$A,$B1150,'Blocker log'!$G:$G,"Hard blocker"))</f>
        <v>0</v>
      </c>
      <c r="Q1150" s="20" t="str">
        <f>IF($B1150="","",IF($K1150&lt;&gt;"Complete","Assessment pending",IF($N1150=0,"Ready now",VLOOKUP($P1150,Lists!$D$2:$E$5,2,FALSE))))</f>
        <v>Assessment pending</v>
      </c>
    </row>
    <row r="1151" ht="15.75" customHeight="1">
      <c r="A1151" s="35" t="s">
        <v>2919</v>
      </c>
      <c r="B1151" s="35" t="s">
        <v>2920</v>
      </c>
      <c r="C1151" s="35" t="s">
        <v>1286</v>
      </c>
      <c r="D1151" s="35" t="s">
        <v>301</v>
      </c>
      <c r="E1151" s="35" t="s">
        <v>593</v>
      </c>
      <c r="F1151" s="35" t="s">
        <v>593</v>
      </c>
      <c r="G1151" s="35" t="s">
        <v>1161</v>
      </c>
      <c r="H1151" s="76">
        <v>12304.0</v>
      </c>
      <c r="I1151" s="35"/>
      <c r="M1151" s="20">
        <f>IF($B1151="","",COUNTIFS('Blocker log'!$A:$A,$B1151,'Blocker log'!$G:$G,"&lt;&gt;"))</f>
        <v>0</v>
      </c>
      <c r="N1151" s="20">
        <f>IF($B1151="","",COUNTIFS('Blocker log'!$A:$A,$B1151,'Blocker log'!$G:$G,"Hard blocker"))</f>
        <v>0</v>
      </c>
      <c r="O1151" s="20">
        <f>IF($B1151="","",COUNTIFS('Blocker log'!$A:$A,$B1151,'Blocker log'!$G:$G,"Hard blocker",'Blocker log'!$L:$L,9))</f>
        <v>0</v>
      </c>
      <c r="P1151" s="20">
        <f>IF($B1151="","",MAXIFS('Blocker log'!$L:$L,'Blocker log'!$A:$A,$B1151,'Blocker log'!$G:$G,"Hard blocker"))</f>
        <v>0</v>
      </c>
      <c r="Q1151" s="20" t="str">
        <f>IF($B1151="","",IF($K1151&lt;&gt;"Complete","Assessment pending",IF($N1151=0,"Ready now",VLOOKUP($P1151,Lists!$D$2:$E$5,2,FALSE))))</f>
        <v>Assessment pending</v>
      </c>
    </row>
    <row r="1152" ht="15.75" customHeight="1">
      <c r="A1152" s="35" t="s">
        <v>2921</v>
      </c>
      <c r="B1152" s="35" t="s">
        <v>2922</v>
      </c>
      <c r="C1152" s="35" t="s">
        <v>1286</v>
      </c>
      <c r="D1152" s="35" t="s">
        <v>171</v>
      </c>
      <c r="E1152" s="35" t="s">
        <v>773</v>
      </c>
      <c r="F1152" s="35" t="s">
        <v>774</v>
      </c>
      <c r="G1152" s="35" t="s">
        <v>1161</v>
      </c>
      <c r="H1152" s="76">
        <v>12240.0</v>
      </c>
      <c r="I1152" s="35"/>
      <c r="M1152" s="20">
        <f>IF($B1152="","",COUNTIFS('Blocker log'!$A:$A,$B1152,'Blocker log'!$G:$G,"&lt;&gt;"))</f>
        <v>0</v>
      </c>
      <c r="N1152" s="20">
        <f>IF($B1152="","",COUNTIFS('Blocker log'!$A:$A,$B1152,'Blocker log'!$G:$G,"Hard blocker"))</f>
        <v>0</v>
      </c>
      <c r="O1152" s="20">
        <f>IF($B1152="","",COUNTIFS('Blocker log'!$A:$A,$B1152,'Blocker log'!$G:$G,"Hard blocker",'Blocker log'!$L:$L,9))</f>
        <v>0</v>
      </c>
      <c r="P1152" s="20">
        <f>IF($B1152="","",MAXIFS('Blocker log'!$L:$L,'Blocker log'!$A:$A,$B1152,'Blocker log'!$G:$G,"Hard blocker"))</f>
        <v>0</v>
      </c>
      <c r="Q1152" s="20" t="str">
        <f>IF($B1152="","",IF($K1152&lt;&gt;"Complete","Assessment pending",IF($N1152=0,"Ready now",VLOOKUP($P1152,Lists!$D$2:$E$5,2,FALSE))))</f>
        <v>Assessment pending</v>
      </c>
    </row>
    <row r="1153" ht="15.75" customHeight="1">
      <c r="A1153" s="35" t="s">
        <v>2923</v>
      </c>
      <c r="B1153" s="35" t="s">
        <v>2924</v>
      </c>
      <c r="C1153" s="35" t="s">
        <v>1286</v>
      </c>
      <c r="D1153" s="35" t="s">
        <v>171</v>
      </c>
      <c r="E1153" s="35" t="s">
        <v>524</v>
      </c>
      <c r="F1153" s="35" t="s">
        <v>1217</v>
      </c>
      <c r="G1153" s="35" t="s">
        <v>1161</v>
      </c>
      <c r="H1153" s="76">
        <v>12240.0</v>
      </c>
      <c r="I1153" s="35" t="s">
        <v>431</v>
      </c>
      <c r="M1153" s="20">
        <f>IF($B1153="","",COUNTIFS('Blocker log'!$A:$A,$B1153,'Blocker log'!$G:$G,"&lt;&gt;"))</f>
        <v>0</v>
      </c>
      <c r="N1153" s="20">
        <f>IF($B1153="","",COUNTIFS('Blocker log'!$A:$A,$B1153,'Blocker log'!$G:$G,"Hard blocker"))</f>
        <v>0</v>
      </c>
      <c r="O1153" s="20">
        <f>IF($B1153="","",COUNTIFS('Blocker log'!$A:$A,$B1153,'Blocker log'!$G:$G,"Hard blocker",'Blocker log'!$L:$L,9))</f>
        <v>0</v>
      </c>
      <c r="P1153" s="20">
        <f>IF($B1153="","",MAXIFS('Blocker log'!$L:$L,'Blocker log'!$A:$A,$B1153,'Blocker log'!$G:$G,"Hard blocker"))</f>
        <v>0</v>
      </c>
      <c r="Q1153" s="20" t="str">
        <f>IF($B1153="","",IF($K1153&lt;&gt;"Complete","Assessment pending",IF($N1153=0,"Ready now",VLOOKUP($P1153,Lists!$D$2:$E$5,2,FALSE))))</f>
        <v>Assessment pending</v>
      </c>
    </row>
    <row r="1154" ht="15.75" customHeight="1">
      <c r="A1154" s="35" t="s">
        <v>2925</v>
      </c>
      <c r="B1154" s="35" t="s">
        <v>2926</v>
      </c>
      <c r="C1154" s="35" t="s">
        <v>1286</v>
      </c>
      <c r="D1154" s="35" t="s">
        <v>171</v>
      </c>
      <c r="E1154" s="35" t="s">
        <v>1465</v>
      </c>
      <c r="F1154" s="35" t="s">
        <v>2927</v>
      </c>
      <c r="G1154" s="35" t="s">
        <v>1161</v>
      </c>
      <c r="H1154" s="76">
        <v>12160.0</v>
      </c>
      <c r="I1154" s="35"/>
      <c r="M1154" s="20">
        <f>IF($B1154="","",COUNTIFS('Blocker log'!$A:$A,$B1154,'Blocker log'!$G:$G,"&lt;&gt;"))</f>
        <v>0</v>
      </c>
      <c r="N1154" s="20">
        <f>IF($B1154="","",COUNTIFS('Blocker log'!$A:$A,$B1154,'Blocker log'!$G:$G,"Hard blocker"))</f>
        <v>0</v>
      </c>
      <c r="O1154" s="20">
        <f>IF($B1154="","",COUNTIFS('Blocker log'!$A:$A,$B1154,'Blocker log'!$G:$G,"Hard blocker",'Blocker log'!$L:$L,9))</f>
        <v>0</v>
      </c>
      <c r="P1154" s="20">
        <f>IF($B1154="","",MAXIFS('Blocker log'!$L:$L,'Blocker log'!$A:$A,$B1154,'Blocker log'!$G:$G,"Hard blocker"))</f>
        <v>0</v>
      </c>
      <c r="Q1154" s="20" t="str">
        <f>IF($B1154="","",IF($K1154&lt;&gt;"Complete","Assessment pending",IF($N1154=0,"Ready now",VLOOKUP($P1154,Lists!$D$2:$E$5,2,FALSE))))</f>
        <v>Assessment pending</v>
      </c>
    </row>
    <row r="1155" ht="15.75" customHeight="1">
      <c r="A1155" s="35" t="s">
        <v>2928</v>
      </c>
      <c r="B1155" s="35" t="s">
        <v>2929</v>
      </c>
      <c r="C1155" s="35" t="s">
        <v>1286</v>
      </c>
      <c r="D1155" s="35" t="s">
        <v>171</v>
      </c>
      <c r="E1155" s="35" t="s">
        <v>713</v>
      </c>
      <c r="F1155" s="35" t="s">
        <v>714</v>
      </c>
      <c r="G1155" s="35" t="s">
        <v>1161</v>
      </c>
      <c r="H1155" s="76">
        <v>12096.0</v>
      </c>
      <c r="I1155" s="35" t="s">
        <v>415</v>
      </c>
      <c r="M1155" s="20">
        <f>IF($B1155="","",COUNTIFS('Blocker log'!$A:$A,$B1155,'Blocker log'!$G:$G,"&lt;&gt;"))</f>
        <v>0</v>
      </c>
      <c r="N1155" s="20">
        <f>IF($B1155="","",COUNTIFS('Blocker log'!$A:$A,$B1155,'Blocker log'!$G:$G,"Hard blocker"))</f>
        <v>0</v>
      </c>
      <c r="O1155" s="20">
        <f>IF($B1155="","",COUNTIFS('Blocker log'!$A:$A,$B1155,'Blocker log'!$G:$G,"Hard blocker",'Blocker log'!$L:$L,9))</f>
        <v>0</v>
      </c>
      <c r="P1155" s="20">
        <f>IF($B1155="","",MAXIFS('Blocker log'!$L:$L,'Blocker log'!$A:$A,$B1155,'Blocker log'!$G:$G,"Hard blocker"))</f>
        <v>0</v>
      </c>
      <c r="Q1155" s="20" t="str">
        <f>IF($B1155="","",IF($K1155&lt;&gt;"Complete","Assessment pending",IF($N1155=0,"Ready now",VLOOKUP($P1155,Lists!$D$2:$E$5,2,FALSE))))</f>
        <v>Assessment pending</v>
      </c>
    </row>
    <row r="1156" ht="15.75" customHeight="1">
      <c r="A1156" s="35" t="s">
        <v>2930</v>
      </c>
      <c r="B1156" s="35" t="s">
        <v>2931</v>
      </c>
      <c r="C1156" s="35" t="s">
        <v>1286</v>
      </c>
      <c r="D1156" s="35" t="s">
        <v>260</v>
      </c>
      <c r="E1156" s="35" t="s">
        <v>506</v>
      </c>
      <c r="F1156" s="35" t="s">
        <v>798</v>
      </c>
      <c r="G1156" s="35" t="s">
        <v>1161</v>
      </c>
      <c r="H1156" s="76">
        <v>12001.0</v>
      </c>
      <c r="I1156" s="35" t="s">
        <v>417</v>
      </c>
      <c r="M1156" s="20">
        <f>IF($B1156="","",COUNTIFS('Blocker log'!$A:$A,$B1156,'Blocker log'!$G:$G,"&lt;&gt;"))</f>
        <v>0</v>
      </c>
      <c r="N1156" s="20">
        <f>IF($B1156="","",COUNTIFS('Blocker log'!$A:$A,$B1156,'Blocker log'!$G:$G,"Hard blocker"))</f>
        <v>0</v>
      </c>
      <c r="O1156" s="20">
        <f>IF($B1156="","",COUNTIFS('Blocker log'!$A:$A,$B1156,'Blocker log'!$G:$G,"Hard blocker",'Blocker log'!$L:$L,9))</f>
        <v>0</v>
      </c>
      <c r="P1156" s="20">
        <f>IF($B1156="","",MAXIFS('Blocker log'!$L:$L,'Blocker log'!$A:$A,$B1156,'Blocker log'!$G:$G,"Hard blocker"))</f>
        <v>0</v>
      </c>
      <c r="Q1156" s="20" t="str">
        <f>IF($B1156="","",IF($K1156&lt;&gt;"Complete","Assessment pending",IF($N1156=0,"Ready now",VLOOKUP($P1156,Lists!$D$2:$E$5,2,FALSE))))</f>
        <v>Assessment pending</v>
      </c>
    </row>
    <row r="1157" ht="15.75" customHeight="1">
      <c r="A1157" s="35" t="s">
        <v>2932</v>
      </c>
      <c r="B1157" s="35" t="s">
        <v>1673</v>
      </c>
      <c r="C1157" s="35" t="s">
        <v>1286</v>
      </c>
      <c r="D1157" s="35" t="s">
        <v>260</v>
      </c>
      <c r="E1157" s="35" t="s">
        <v>530</v>
      </c>
      <c r="F1157" s="35" t="s">
        <v>1674</v>
      </c>
      <c r="G1157" s="35" t="s">
        <v>1161</v>
      </c>
      <c r="H1157" s="76">
        <v>11952.0</v>
      </c>
      <c r="I1157" s="35"/>
      <c r="M1157" s="20">
        <f>IF($B1157="","",COUNTIFS('Blocker log'!$A:$A,$B1157,'Blocker log'!$G:$G,"&lt;&gt;"))</f>
        <v>0</v>
      </c>
      <c r="N1157" s="20">
        <f>IF($B1157="","",COUNTIFS('Blocker log'!$A:$A,$B1157,'Blocker log'!$G:$G,"Hard blocker"))</f>
        <v>0</v>
      </c>
      <c r="O1157" s="20">
        <f>IF($B1157="","",COUNTIFS('Blocker log'!$A:$A,$B1157,'Blocker log'!$G:$G,"Hard blocker",'Blocker log'!$L:$L,9))</f>
        <v>0</v>
      </c>
      <c r="P1157" s="20">
        <f>IF($B1157="","",MAXIFS('Blocker log'!$L:$L,'Blocker log'!$A:$A,$B1157,'Blocker log'!$G:$G,"Hard blocker"))</f>
        <v>0</v>
      </c>
      <c r="Q1157" s="20" t="str">
        <f>IF($B1157="","",IF($K1157&lt;&gt;"Complete","Assessment pending",IF($N1157=0,"Ready now",VLOOKUP($P1157,Lists!$D$2:$E$5,2,FALSE))))</f>
        <v>Assessment pending</v>
      </c>
    </row>
    <row r="1158" ht="15.75" customHeight="1">
      <c r="A1158" s="35" t="s">
        <v>2933</v>
      </c>
      <c r="B1158" s="35" t="s">
        <v>1673</v>
      </c>
      <c r="C1158" s="35" t="s">
        <v>1286</v>
      </c>
      <c r="D1158" s="35" t="s">
        <v>260</v>
      </c>
      <c r="E1158" s="35" t="s">
        <v>530</v>
      </c>
      <c r="F1158" s="35" t="s">
        <v>1674</v>
      </c>
      <c r="G1158" s="35" t="s">
        <v>1161</v>
      </c>
      <c r="H1158" s="76">
        <v>11952.0</v>
      </c>
      <c r="I1158" s="35"/>
      <c r="M1158" s="20">
        <f>IF($B1158="","",COUNTIFS('Blocker log'!$A:$A,$B1158,'Blocker log'!$G:$G,"&lt;&gt;"))</f>
        <v>0</v>
      </c>
      <c r="N1158" s="20">
        <f>IF($B1158="","",COUNTIFS('Blocker log'!$A:$A,$B1158,'Blocker log'!$G:$G,"Hard blocker"))</f>
        <v>0</v>
      </c>
      <c r="O1158" s="20">
        <f>IF($B1158="","",COUNTIFS('Blocker log'!$A:$A,$B1158,'Blocker log'!$G:$G,"Hard blocker",'Blocker log'!$L:$L,9))</f>
        <v>0</v>
      </c>
      <c r="P1158" s="20">
        <f>IF($B1158="","",MAXIFS('Blocker log'!$L:$L,'Blocker log'!$A:$A,$B1158,'Blocker log'!$G:$G,"Hard blocker"))</f>
        <v>0</v>
      </c>
      <c r="Q1158" s="20" t="str">
        <f>IF($B1158="","",IF($K1158&lt;&gt;"Complete","Assessment pending",IF($N1158=0,"Ready now",VLOOKUP($P1158,Lists!$D$2:$E$5,2,FALSE))))</f>
        <v>Assessment pending</v>
      </c>
    </row>
    <row r="1159" ht="15.75" customHeight="1">
      <c r="A1159" s="35" t="s">
        <v>2934</v>
      </c>
      <c r="B1159" s="35" t="s">
        <v>1673</v>
      </c>
      <c r="C1159" s="35" t="s">
        <v>1286</v>
      </c>
      <c r="D1159" s="35" t="s">
        <v>260</v>
      </c>
      <c r="E1159" s="35" t="s">
        <v>530</v>
      </c>
      <c r="F1159" s="35" t="s">
        <v>1674</v>
      </c>
      <c r="G1159" s="35" t="s">
        <v>1161</v>
      </c>
      <c r="H1159" s="76">
        <v>11952.0</v>
      </c>
      <c r="I1159" s="35"/>
      <c r="M1159" s="20">
        <f>IF($B1159="","",COUNTIFS('Blocker log'!$A:$A,$B1159,'Blocker log'!$G:$G,"&lt;&gt;"))</f>
        <v>0</v>
      </c>
      <c r="N1159" s="20">
        <f>IF($B1159="","",COUNTIFS('Blocker log'!$A:$A,$B1159,'Blocker log'!$G:$G,"Hard blocker"))</f>
        <v>0</v>
      </c>
      <c r="O1159" s="20">
        <f>IF($B1159="","",COUNTIFS('Blocker log'!$A:$A,$B1159,'Blocker log'!$G:$G,"Hard blocker",'Blocker log'!$L:$L,9))</f>
        <v>0</v>
      </c>
      <c r="P1159" s="20">
        <f>IF($B1159="","",MAXIFS('Blocker log'!$L:$L,'Blocker log'!$A:$A,$B1159,'Blocker log'!$G:$G,"Hard blocker"))</f>
        <v>0</v>
      </c>
      <c r="Q1159" s="20" t="str">
        <f>IF($B1159="","",IF($K1159&lt;&gt;"Complete","Assessment pending",IF($N1159=0,"Ready now",VLOOKUP($P1159,Lists!$D$2:$E$5,2,FALSE))))</f>
        <v>Assessment pending</v>
      </c>
    </row>
    <row r="1160" ht="15.75" customHeight="1">
      <c r="A1160" s="35" t="s">
        <v>2935</v>
      </c>
      <c r="B1160" s="35" t="s">
        <v>1673</v>
      </c>
      <c r="C1160" s="35" t="s">
        <v>1286</v>
      </c>
      <c r="D1160" s="35" t="s">
        <v>260</v>
      </c>
      <c r="E1160" s="35" t="s">
        <v>530</v>
      </c>
      <c r="F1160" s="35" t="s">
        <v>1674</v>
      </c>
      <c r="G1160" s="35" t="s">
        <v>1161</v>
      </c>
      <c r="H1160" s="76">
        <v>11952.0</v>
      </c>
      <c r="I1160" s="35"/>
      <c r="M1160" s="20">
        <f>IF($B1160="","",COUNTIFS('Blocker log'!$A:$A,$B1160,'Blocker log'!$G:$G,"&lt;&gt;"))</f>
        <v>0</v>
      </c>
      <c r="N1160" s="20">
        <f>IF($B1160="","",COUNTIFS('Blocker log'!$A:$A,$B1160,'Blocker log'!$G:$G,"Hard blocker"))</f>
        <v>0</v>
      </c>
      <c r="O1160" s="20">
        <f>IF($B1160="","",COUNTIFS('Blocker log'!$A:$A,$B1160,'Blocker log'!$G:$G,"Hard blocker",'Blocker log'!$L:$L,9))</f>
        <v>0</v>
      </c>
      <c r="P1160" s="20">
        <f>IF($B1160="","",MAXIFS('Blocker log'!$L:$L,'Blocker log'!$A:$A,$B1160,'Blocker log'!$G:$G,"Hard blocker"))</f>
        <v>0</v>
      </c>
      <c r="Q1160" s="20" t="str">
        <f>IF($B1160="","",IF($K1160&lt;&gt;"Complete","Assessment pending",IF($N1160=0,"Ready now",VLOOKUP($P1160,Lists!$D$2:$E$5,2,FALSE))))</f>
        <v>Assessment pending</v>
      </c>
    </row>
    <row r="1161" ht="15.75" customHeight="1">
      <c r="A1161" s="35" t="s">
        <v>2936</v>
      </c>
      <c r="B1161" s="35" t="s">
        <v>1673</v>
      </c>
      <c r="C1161" s="35" t="s">
        <v>1286</v>
      </c>
      <c r="D1161" s="35" t="s">
        <v>260</v>
      </c>
      <c r="E1161" s="35" t="s">
        <v>530</v>
      </c>
      <c r="F1161" s="35" t="s">
        <v>1674</v>
      </c>
      <c r="G1161" s="35" t="s">
        <v>1161</v>
      </c>
      <c r="H1161" s="76">
        <v>11952.0</v>
      </c>
      <c r="I1161" s="35"/>
      <c r="M1161" s="20">
        <f>IF($B1161="","",COUNTIFS('Blocker log'!$A:$A,$B1161,'Blocker log'!$G:$G,"&lt;&gt;"))</f>
        <v>0</v>
      </c>
      <c r="N1161" s="20">
        <f>IF($B1161="","",COUNTIFS('Blocker log'!$A:$A,$B1161,'Blocker log'!$G:$G,"Hard blocker"))</f>
        <v>0</v>
      </c>
      <c r="O1161" s="20">
        <f>IF($B1161="","",COUNTIFS('Blocker log'!$A:$A,$B1161,'Blocker log'!$G:$G,"Hard blocker",'Blocker log'!$L:$L,9))</f>
        <v>0</v>
      </c>
      <c r="P1161" s="20">
        <f>IF($B1161="","",MAXIFS('Blocker log'!$L:$L,'Blocker log'!$A:$A,$B1161,'Blocker log'!$G:$G,"Hard blocker"))</f>
        <v>0</v>
      </c>
      <c r="Q1161" s="20" t="str">
        <f>IF($B1161="","",IF($K1161&lt;&gt;"Complete","Assessment pending",IF($N1161=0,"Ready now",VLOOKUP($P1161,Lists!$D$2:$E$5,2,FALSE))))</f>
        <v>Assessment pending</v>
      </c>
    </row>
    <row r="1162" ht="15.75" customHeight="1">
      <c r="A1162" s="35" t="s">
        <v>2937</v>
      </c>
      <c r="B1162" s="35" t="s">
        <v>1678</v>
      </c>
      <c r="C1162" s="35" t="s">
        <v>1286</v>
      </c>
      <c r="D1162" s="35" t="s">
        <v>260</v>
      </c>
      <c r="E1162" s="35" t="s">
        <v>530</v>
      </c>
      <c r="F1162" s="35" t="s">
        <v>1674</v>
      </c>
      <c r="G1162" s="35" t="s">
        <v>1161</v>
      </c>
      <c r="H1162" s="76">
        <v>11952.0</v>
      </c>
      <c r="I1162" s="35"/>
      <c r="M1162" s="20">
        <f>IF($B1162="","",COUNTIFS('Blocker log'!$A:$A,$B1162,'Blocker log'!$G:$G,"&lt;&gt;"))</f>
        <v>0</v>
      </c>
      <c r="N1162" s="20">
        <f>IF($B1162="","",COUNTIFS('Blocker log'!$A:$A,$B1162,'Blocker log'!$G:$G,"Hard blocker"))</f>
        <v>0</v>
      </c>
      <c r="O1162" s="20">
        <f>IF($B1162="","",COUNTIFS('Blocker log'!$A:$A,$B1162,'Blocker log'!$G:$G,"Hard blocker",'Blocker log'!$L:$L,9))</f>
        <v>0</v>
      </c>
      <c r="P1162" s="20">
        <f>IF($B1162="","",MAXIFS('Blocker log'!$L:$L,'Blocker log'!$A:$A,$B1162,'Blocker log'!$G:$G,"Hard blocker"))</f>
        <v>0</v>
      </c>
      <c r="Q1162" s="20" t="str">
        <f>IF($B1162="","",IF($K1162&lt;&gt;"Complete","Assessment pending",IF($N1162=0,"Ready now",VLOOKUP($P1162,Lists!$D$2:$E$5,2,FALSE))))</f>
        <v>Assessment pending</v>
      </c>
    </row>
    <row r="1163" ht="15.75" customHeight="1">
      <c r="A1163" s="35" t="s">
        <v>2938</v>
      </c>
      <c r="B1163" s="35" t="s">
        <v>1743</v>
      </c>
      <c r="C1163" s="35" t="s">
        <v>1286</v>
      </c>
      <c r="D1163" s="35" t="s">
        <v>260</v>
      </c>
      <c r="E1163" s="35" t="s">
        <v>530</v>
      </c>
      <c r="F1163" s="35" t="s">
        <v>1674</v>
      </c>
      <c r="G1163" s="35" t="s">
        <v>1161</v>
      </c>
      <c r="H1163" s="76">
        <v>11952.0</v>
      </c>
      <c r="I1163" s="35"/>
      <c r="M1163" s="20">
        <f>IF($B1163="","",COUNTIFS('Blocker log'!$A:$A,$B1163,'Blocker log'!$G:$G,"&lt;&gt;"))</f>
        <v>0</v>
      </c>
      <c r="N1163" s="20">
        <f>IF($B1163="","",COUNTIFS('Blocker log'!$A:$A,$B1163,'Blocker log'!$G:$G,"Hard blocker"))</f>
        <v>0</v>
      </c>
      <c r="O1163" s="20">
        <f>IF($B1163="","",COUNTIFS('Blocker log'!$A:$A,$B1163,'Blocker log'!$G:$G,"Hard blocker",'Blocker log'!$L:$L,9))</f>
        <v>0</v>
      </c>
      <c r="P1163" s="20">
        <f>IF($B1163="","",MAXIFS('Blocker log'!$L:$L,'Blocker log'!$A:$A,$B1163,'Blocker log'!$G:$G,"Hard blocker"))</f>
        <v>0</v>
      </c>
      <c r="Q1163" s="20" t="str">
        <f>IF($B1163="","",IF($K1163&lt;&gt;"Complete","Assessment pending",IF($N1163=0,"Ready now",VLOOKUP($P1163,Lists!$D$2:$E$5,2,FALSE))))</f>
        <v>Assessment pending</v>
      </c>
    </row>
    <row r="1164" ht="15.75" customHeight="1">
      <c r="A1164" s="35" t="s">
        <v>2939</v>
      </c>
      <c r="B1164" s="35" t="s">
        <v>2940</v>
      </c>
      <c r="C1164" s="35" t="s">
        <v>1286</v>
      </c>
      <c r="D1164" s="35" t="s">
        <v>260</v>
      </c>
      <c r="E1164" s="35" t="s">
        <v>530</v>
      </c>
      <c r="F1164" s="35" t="s">
        <v>531</v>
      </c>
      <c r="G1164" s="35" t="s">
        <v>1161</v>
      </c>
      <c r="H1164" s="76">
        <v>11952.0</v>
      </c>
      <c r="I1164" s="35"/>
      <c r="M1164" s="20">
        <f>IF($B1164="","",COUNTIFS('Blocker log'!$A:$A,$B1164,'Blocker log'!$G:$G,"&lt;&gt;"))</f>
        <v>0</v>
      </c>
      <c r="N1164" s="20">
        <f>IF($B1164="","",COUNTIFS('Blocker log'!$A:$A,$B1164,'Blocker log'!$G:$G,"Hard blocker"))</f>
        <v>0</v>
      </c>
      <c r="O1164" s="20">
        <f>IF($B1164="","",COUNTIFS('Blocker log'!$A:$A,$B1164,'Blocker log'!$G:$G,"Hard blocker",'Blocker log'!$L:$L,9))</f>
        <v>0</v>
      </c>
      <c r="P1164" s="20">
        <f>IF($B1164="","",MAXIFS('Blocker log'!$L:$L,'Blocker log'!$A:$A,$B1164,'Blocker log'!$G:$G,"Hard blocker"))</f>
        <v>0</v>
      </c>
      <c r="Q1164" s="20" t="str">
        <f>IF($B1164="","",IF($K1164&lt;&gt;"Complete","Assessment pending",IF($N1164=0,"Ready now",VLOOKUP($P1164,Lists!$D$2:$E$5,2,FALSE))))</f>
        <v>Assessment pending</v>
      </c>
    </row>
    <row r="1165" ht="15.75" customHeight="1">
      <c r="A1165" s="35" t="s">
        <v>2941</v>
      </c>
      <c r="B1165" s="35" t="s">
        <v>2942</v>
      </c>
      <c r="C1165" s="35" t="s">
        <v>1286</v>
      </c>
      <c r="D1165" s="35" t="s">
        <v>260</v>
      </c>
      <c r="E1165" s="35" t="s">
        <v>530</v>
      </c>
      <c r="F1165" s="35" t="s">
        <v>531</v>
      </c>
      <c r="G1165" s="35" t="s">
        <v>1161</v>
      </c>
      <c r="H1165" s="76">
        <v>11952.0</v>
      </c>
      <c r="I1165" s="35"/>
      <c r="M1165" s="20">
        <f>IF($B1165="","",COUNTIFS('Blocker log'!$A:$A,$B1165,'Blocker log'!$G:$G,"&lt;&gt;"))</f>
        <v>0</v>
      </c>
      <c r="N1165" s="20">
        <f>IF($B1165="","",COUNTIFS('Blocker log'!$A:$A,$B1165,'Blocker log'!$G:$G,"Hard blocker"))</f>
        <v>0</v>
      </c>
      <c r="O1165" s="20">
        <f>IF($B1165="","",COUNTIFS('Blocker log'!$A:$A,$B1165,'Blocker log'!$G:$G,"Hard blocker",'Blocker log'!$L:$L,9))</f>
        <v>0</v>
      </c>
      <c r="P1165" s="20">
        <f>IF($B1165="","",MAXIFS('Blocker log'!$L:$L,'Blocker log'!$A:$A,$B1165,'Blocker log'!$G:$G,"Hard blocker"))</f>
        <v>0</v>
      </c>
      <c r="Q1165" s="20" t="str">
        <f>IF($B1165="","",IF($K1165&lt;&gt;"Complete","Assessment pending",IF($N1165=0,"Ready now",VLOOKUP($P1165,Lists!$D$2:$E$5,2,FALSE))))</f>
        <v>Assessment pending</v>
      </c>
    </row>
    <row r="1166" ht="15.75" customHeight="1">
      <c r="A1166" s="35" t="s">
        <v>2943</v>
      </c>
      <c r="B1166" s="35" t="s">
        <v>2944</v>
      </c>
      <c r="C1166" s="35" t="s">
        <v>1286</v>
      </c>
      <c r="D1166" s="35" t="s">
        <v>260</v>
      </c>
      <c r="E1166" s="35" t="s">
        <v>530</v>
      </c>
      <c r="F1166" s="35" t="s">
        <v>795</v>
      </c>
      <c r="G1166" s="35" t="s">
        <v>1161</v>
      </c>
      <c r="H1166" s="76">
        <v>11952.0</v>
      </c>
      <c r="I1166" s="35"/>
      <c r="M1166" s="20">
        <f>IF($B1166="","",COUNTIFS('Blocker log'!$A:$A,$B1166,'Blocker log'!$G:$G,"&lt;&gt;"))</f>
        <v>0</v>
      </c>
      <c r="N1166" s="20">
        <f>IF($B1166="","",COUNTIFS('Blocker log'!$A:$A,$B1166,'Blocker log'!$G:$G,"Hard blocker"))</f>
        <v>0</v>
      </c>
      <c r="O1166" s="20">
        <f>IF($B1166="","",COUNTIFS('Blocker log'!$A:$A,$B1166,'Blocker log'!$G:$G,"Hard blocker",'Blocker log'!$L:$L,9))</f>
        <v>0</v>
      </c>
      <c r="P1166" s="20">
        <f>IF($B1166="","",MAXIFS('Blocker log'!$L:$L,'Blocker log'!$A:$A,$B1166,'Blocker log'!$G:$G,"Hard blocker"))</f>
        <v>0</v>
      </c>
      <c r="Q1166" s="20" t="str">
        <f>IF($B1166="","",IF($K1166&lt;&gt;"Complete","Assessment pending",IF($N1166=0,"Ready now",VLOOKUP($P1166,Lists!$D$2:$E$5,2,FALSE))))</f>
        <v>Assessment pending</v>
      </c>
    </row>
    <row r="1167" ht="15.75" customHeight="1">
      <c r="A1167" s="35" t="s">
        <v>2945</v>
      </c>
      <c r="B1167" s="35" t="s">
        <v>2946</v>
      </c>
      <c r="C1167" s="35" t="s">
        <v>1286</v>
      </c>
      <c r="D1167" s="35" t="s">
        <v>260</v>
      </c>
      <c r="E1167" s="35" t="s">
        <v>530</v>
      </c>
      <c r="F1167" s="35" t="s">
        <v>1493</v>
      </c>
      <c r="G1167" s="35" t="s">
        <v>1161</v>
      </c>
      <c r="H1167" s="76">
        <v>11952.0</v>
      </c>
      <c r="I1167" s="35"/>
      <c r="M1167" s="20">
        <f>IF($B1167="","",COUNTIFS('Blocker log'!$A:$A,$B1167,'Blocker log'!$G:$G,"&lt;&gt;"))</f>
        <v>0</v>
      </c>
      <c r="N1167" s="20">
        <f>IF($B1167="","",COUNTIFS('Blocker log'!$A:$A,$B1167,'Blocker log'!$G:$G,"Hard blocker"))</f>
        <v>0</v>
      </c>
      <c r="O1167" s="20">
        <f>IF($B1167="","",COUNTIFS('Blocker log'!$A:$A,$B1167,'Blocker log'!$G:$G,"Hard blocker",'Blocker log'!$L:$L,9))</f>
        <v>0</v>
      </c>
      <c r="P1167" s="20">
        <f>IF($B1167="","",MAXIFS('Blocker log'!$L:$L,'Blocker log'!$A:$A,$B1167,'Blocker log'!$G:$G,"Hard blocker"))</f>
        <v>0</v>
      </c>
      <c r="Q1167" s="20" t="str">
        <f>IF($B1167="","",IF($K1167&lt;&gt;"Complete","Assessment pending",IF($N1167=0,"Ready now",VLOOKUP($P1167,Lists!$D$2:$E$5,2,FALSE))))</f>
        <v>Assessment pending</v>
      </c>
    </row>
    <row r="1168" ht="15.75" customHeight="1">
      <c r="A1168" s="35" t="s">
        <v>2947</v>
      </c>
      <c r="B1168" s="35" t="s">
        <v>2948</v>
      </c>
      <c r="C1168" s="35" t="s">
        <v>1286</v>
      </c>
      <c r="D1168" s="35" t="s">
        <v>260</v>
      </c>
      <c r="E1168" s="35" t="s">
        <v>530</v>
      </c>
      <c r="F1168" s="35" t="s">
        <v>1493</v>
      </c>
      <c r="G1168" s="35" t="s">
        <v>1161</v>
      </c>
      <c r="H1168" s="76">
        <v>11952.0</v>
      </c>
      <c r="I1168" s="35"/>
      <c r="M1168" s="20">
        <f>IF($B1168="","",COUNTIFS('Blocker log'!$A:$A,$B1168,'Blocker log'!$G:$G,"&lt;&gt;"))</f>
        <v>0</v>
      </c>
      <c r="N1168" s="20">
        <f>IF($B1168="","",COUNTIFS('Blocker log'!$A:$A,$B1168,'Blocker log'!$G:$G,"Hard blocker"))</f>
        <v>0</v>
      </c>
      <c r="O1168" s="20">
        <f>IF($B1168="","",COUNTIFS('Blocker log'!$A:$A,$B1168,'Blocker log'!$G:$G,"Hard blocker",'Blocker log'!$L:$L,9))</f>
        <v>0</v>
      </c>
      <c r="P1168" s="20">
        <f>IF($B1168="","",MAXIFS('Blocker log'!$L:$L,'Blocker log'!$A:$A,$B1168,'Blocker log'!$G:$G,"Hard blocker"))</f>
        <v>0</v>
      </c>
      <c r="Q1168" s="20" t="str">
        <f>IF($B1168="","",IF($K1168&lt;&gt;"Complete","Assessment pending",IF($N1168=0,"Ready now",VLOOKUP($P1168,Lists!$D$2:$E$5,2,FALSE))))</f>
        <v>Assessment pending</v>
      </c>
    </row>
    <row r="1169" ht="15.75" customHeight="1">
      <c r="A1169" s="35" t="s">
        <v>2949</v>
      </c>
      <c r="B1169" s="35" t="s">
        <v>2950</v>
      </c>
      <c r="C1169" s="35" t="s">
        <v>1286</v>
      </c>
      <c r="D1169" s="35" t="s">
        <v>260</v>
      </c>
      <c r="E1169" s="35" t="s">
        <v>530</v>
      </c>
      <c r="F1169" s="35" t="s">
        <v>1350</v>
      </c>
      <c r="G1169" s="35" t="s">
        <v>1161</v>
      </c>
      <c r="H1169" s="76">
        <v>11952.0</v>
      </c>
      <c r="I1169" s="35"/>
      <c r="M1169" s="20">
        <f>IF($B1169="","",COUNTIFS('Blocker log'!$A:$A,$B1169,'Blocker log'!$G:$G,"&lt;&gt;"))</f>
        <v>0</v>
      </c>
      <c r="N1169" s="20">
        <f>IF($B1169="","",COUNTIFS('Blocker log'!$A:$A,$B1169,'Blocker log'!$G:$G,"Hard blocker"))</f>
        <v>0</v>
      </c>
      <c r="O1169" s="20">
        <f>IF($B1169="","",COUNTIFS('Blocker log'!$A:$A,$B1169,'Blocker log'!$G:$G,"Hard blocker",'Blocker log'!$L:$L,9))</f>
        <v>0</v>
      </c>
      <c r="P1169" s="20">
        <f>IF($B1169="","",MAXIFS('Blocker log'!$L:$L,'Blocker log'!$A:$A,$B1169,'Blocker log'!$G:$G,"Hard blocker"))</f>
        <v>0</v>
      </c>
      <c r="Q1169" s="20" t="str">
        <f>IF($B1169="","",IF($K1169&lt;&gt;"Complete","Assessment pending",IF($N1169=0,"Ready now",VLOOKUP($P1169,Lists!$D$2:$E$5,2,FALSE))))</f>
        <v>Assessment pending</v>
      </c>
    </row>
    <row r="1170" ht="15.75" customHeight="1">
      <c r="A1170" s="35" t="s">
        <v>2951</v>
      </c>
      <c r="B1170" s="35" t="s">
        <v>2952</v>
      </c>
      <c r="C1170" s="35" t="s">
        <v>1286</v>
      </c>
      <c r="D1170" s="35" t="s">
        <v>301</v>
      </c>
      <c r="E1170" s="35" t="s">
        <v>593</v>
      </c>
      <c r="F1170" s="35" t="s">
        <v>593</v>
      </c>
      <c r="G1170" s="35" t="s">
        <v>1161</v>
      </c>
      <c r="H1170" s="76">
        <v>11933.0</v>
      </c>
      <c r="I1170" s="35"/>
      <c r="M1170" s="20">
        <f>IF($B1170="","",COUNTIFS('Blocker log'!$A:$A,$B1170,'Blocker log'!$G:$G,"&lt;&gt;"))</f>
        <v>0</v>
      </c>
      <c r="N1170" s="20">
        <f>IF($B1170="","",COUNTIFS('Blocker log'!$A:$A,$B1170,'Blocker log'!$G:$G,"Hard blocker"))</f>
        <v>0</v>
      </c>
      <c r="O1170" s="20">
        <f>IF($B1170="","",COUNTIFS('Blocker log'!$A:$A,$B1170,'Blocker log'!$G:$G,"Hard blocker",'Blocker log'!$L:$L,9))</f>
        <v>0</v>
      </c>
      <c r="P1170" s="20">
        <f>IF($B1170="","",MAXIFS('Blocker log'!$L:$L,'Blocker log'!$A:$A,$B1170,'Blocker log'!$G:$G,"Hard blocker"))</f>
        <v>0</v>
      </c>
      <c r="Q1170" s="20" t="str">
        <f>IF($B1170="","",IF($K1170&lt;&gt;"Complete","Assessment pending",IF($N1170=0,"Ready now",VLOOKUP($P1170,Lists!$D$2:$E$5,2,FALSE))))</f>
        <v>Assessment pending</v>
      </c>
    </row>
    <row r="1171" ht="15.75" customHeight="1">
      <c r="A1171" s="35" t="s">
        <v>2953</v>
      </c>
      <c r="B1171" s="35" t="s">
        <v>1673</v>
      </c>
      <c r="C1171" s="35" t="s">
        <v>1286</v>
      </c>
      <c r="D1171" s="35" t="s">
        <v>260</v>
      </c>
      <c r="E1171" s="35" t="s">
        <v>530</v>
      </c>
      <c r="F1171" s="35" t="s">
        <v>1674</v>
      </c>
      <c r="G1171" s="35" t="s">
        <v>1161</v>
      </c>
      <c r="H1171" s="76">
        <v>11880.0</v>
      </c>
      <c r="I1171" s="35"/>
      <c r="M1171" s="20">
        <f>IF($B1171="","",COUNTIFS('Blocker log'!$A:$A,$B1171,'Blocker log'!$G:$G,"&lt;&gt;"))</f>
        <v>0</v>
      </c>
      <c r="N1171" s="20">
        <f>IF($B1171="","",COUNTIFS('Blocker log'!$A:$A,$B1171,'Blocker log'!$G:$G,"Hard blocker"))</f>
        <v>0</v>
      </c>
      <c r="O1171" s="20">
        <f>IF($B1171="","",COUNTIFS('Blocker log'!$A:$A,$B1171,'Blocker log'!$G:$G,"Hard blocker",'Blocker log'!$L:$L,9))</f>
        <v>0</v>
      </c>
      <c r="P1171" s="20">
        <f>IF($B1171="","",MAXIFS('Blocker log'!$L:$L,'Blocker log'!$A:$A,$B1171,'Blocker log'!$G:$G,"Hard blocker"))</f>
        <v>0</v>
      </c>
      <c r="Q1171" s="20" t="str">
        <f>IF($B1171="","",IF($K1171&lt;&gt;"Complete","Assessment pending",IF($N1171=0,"Ready now",VLOOKUP($P1171,Lists!$D$2:$E$5,2,FALSE))))</f>
        <v>Assessment pending</v>
      </c>
    </row>
    <row r="1172" ht="15.75" customHeight="1">
      <c r="A1172" s="35" t="s">
        <v>2954</v>
      </c>
      <c r="B1172" s="35" t="s">
        <v>1678</v>
      </c>
      <c r="C1172" s="35" t="s">
        <v>1286</v>
      </c>
      <c r="D1172" s="35" t="s">
        <v>260</v>
      </c>
      <c r="E1172" s="35" t="s">
        <v>530</v>
      </c>
      <c r="F1172" s="35" t="s">
        <v>1674</v>
      </c>
      <c r="G1172" s="35" t="s">
        <v>1161</v>
      </c>
      <c r="H1172" s="76">
        <v>11880.0</v>
      </c>
      <c r="I1172" s="35" t="s">
        <v>438</v>
      </c>
      <c r="M1172" s="20">
        <f>IF($B1172="","",COUNTIFS('Blocker log'!$A:$A,$B1172,'Blocker log'!$G:$G,"&lt;&gt;"))</f>
        <v>0</v>
      </c>
      <c r="N1172" s="20">
        <f>IF($B1172="","",COUNTIFS('Blocker log'!$A:$A,$B1172,'Blocker log'!$G:$G,"Hard blocker"))</f>
        <v>0</v>
      </c>
      <c r="O1172" s="20">
        <f>IF($B1172="","",COUNTIFS('Blocker log'!$A:$A,$B1172,'Blocker log'!$G:$G,"Hard blocker",'Blocker log'!$L:$L,9))</f>
        <v>0</v>
      </c>
      <c r="P1172" s="20">
        <f>IF($B1172="","",MAXIFS('Blocker log'!$L:$L,'Blocker log'!$A:$A,$B1172,'Blocker log'!$G:$G,"Hard blocker"))</f>
        <v>0</v>
      </c>
      <c r="Q1172" s="20" t="str">
        <f>IF($B1172="","",IF($K1172&lt;&gt;"Complete","Assessment pending",IF($N1172=0,"Ready now",VLOOKUP($P1172,Lists!$D$2:$E$5,2,FALSE))))</f>
        <v>Assessment pending</v>
      </c>
    </row>
    <row r="1173" ht="15.75" customHeight="1">
      <c r="A1173" s="35" t="s">
        <v>2955</v>
      </c>
      <c r="B1173" s="35" t="s">
        <v>2956</v>
      </c>
      <c r="C1173" s="35" t="s">
        <v>1286</v>
      </c>
      <c r="D1173" s="35" t="s">
        <v>58</v>
      </c>
      <c r="E1173" s="35" t="s">
        <v>59</v>
      </c>
      <c r="F1173" s="35" t="s">
        <v>598</v>
      </c>
      <c r="G1173" s="35" t="s">
        <v>1161</v>
      </c>
      <c r="H1173" s="76">
        <v>11880.0</v>
      </c>
      <c r="I1173" s="35" t="s">
        <v>437</v>
      </c>
      <c r="M1173" s="20">
        <f>IF($B1173="","",COUNTIFS('Blocker log'!$A:$A,$B1173,'Blocker log'!$G:$G,"&lt;&gt;"))</f>
        <v>0</v>
      </c>
      <c r="N1173" s="20">
        <f>IF($B1173="","",COUNTIFS('Blocker log'!$A:$A,$B1173,'Blocker log'!$G:$G,"Hard blocker"))</f>
        <v>0</v>
      </c>
      <c r="O1173" s="20">
        <f>IF($B1173="","",COUNTIFS('Blocker log'!$A:$A,$B1173,'Blocker log'!$G:$G,"Hard blocker",'Blocker log'!$L:$L,9))</f>
        <v>0</v>
      </c>
      <c r="P1173" s="20">
        <f>IF($B1173="","",MAXIFS('Blocker log'!$L:$L,'Blocker log'!$A:$A,$B1173,'Blocker log'!$G:$G,"Hard blocker"))</f>
        <v>0</v>
      </c>
      <c r="Q1173" s="20" t="str">
        <f>IF($B1173="","",IF($K1173&lt;&gt;"Complete","Assessment pending",IF($N1173=0,"Ready now",VLOOKUP($P1173,Lists!$D$2:$E$5,2,FALSE))))</f>
        <v>Assessment pending</v>
      </c>
    </row>
    <row r="1174" ht="15.75" customHeight="1">
      <c r="A1174" s="35" t="s">
        <v>2957</v>
      </c>
      <c r="B1174" s="35" t="s">
        <v>2958</v>
      </c>
      <c r="C1174" s="35" t="s">
        <v>1286</v>
      </c>
      <c r="D1174" s="35" t="s">
        <v>58</v>
      </c>
      <c r="E1174" s="35" t="s">
        <v>101</v>
      </c>
      <c r="F1174" s="35" t="s">
        <v>554</v>
      </c>
      <c r="G1174" s="35" t="s">
        <v>1161</v>
      </c>
      <c r="H1174" s="76">
        <v>11880.0</v>
      </c>
      <c r="I1174" s="35"/>
      <c r="M1174" s="20">
        <f>IF($B1174="","",COUNTIFS('Blocker log'!$A:$A,$B1174,'Blocker log'!$G:$G,"&lt;&gt;"))</f>
        <v>0</v>
      </c>
      <c r="N1174" s="20">
        <f>IF($B1174="","",COUNTIFS('Blocker log'!$A:$A,$B1174,'Blocker log'!$G:$G,"Hard blocker"))</f>
        <v>0</v>
      </c>
      <c r="O1174" s="20">
        <f>IF($B1174="","",COUNTIFS('Blocker log'!$A:$A,$B1174,'Blocker log'!$G:$G,"Hard blocker",'Blocker log'!$L:$L,9))</f>
        <v>0</v>
      </c>
      <c r="P1174" s="20">
        <f>IF($B1174="","",MAXIFS('Blocker log'!$L:$L,'Blocker log'!$A:$A,$B1174,'Blocker log'!$G:$G,"Hard blocker"))</f>
        <v>0</v>
      </c>
      <c r="Q1174" s="20" t="str">
        <f>IF($B1174="","",IF($K1174&lt;&gt;"Complete","Assessment pending",IF($N1174=0,"Ready now",VLOOKUP($P1174,Lists!$D$2:$E$5,2,FALSE))))</f>
        <v>Assessment pending</v>
      </c>
    </row>
    <row r="1175" ht="15.75" customHeight="1">
      <c r="A1175" s="35" t="s">
        <v>2959</v>
      </c>
      <c r="B1175" s="35" t="s">
        <v>2960</v>
      </c>
      <c r="C1175" s="35" t="s">
        <v>1286</v>
      </c>
      <c r="D1175" s="35" t="s">
        <v>260</v>
      </c>
      <c r="E1175" s="35" t="s">
        <v>506</v>
      </c>
      <c r="F1175" s="35" t="s">
        <v>798</v>
      </c>
      <c r="G1175" s="35" t="s">
        <v>1161</v>
      </c>
      <c r="H1175" s="76">
        <v>11813.0</v>
      </c>
      <c r="I1175" s="35" t="s">
        <v>417</v>
      </c>
      <c r="M1175" s="20">
        <f>IF($B1175="","",COUNTIFS('Blocker log'!$A:$A,$B1175,'Blocker log'!$G:$G,"&lt;&gt;"))</f>
        <v>0</v>
      </c>
      <c r="N1175" s="20">
        <f>IF($B1175="","",COUNTIFS('Blocker log'!$A:$A,$B1175,'Blocker log'!$G:$G,"Hard blocker"))</f>
        <v>0</v>
      </c>
      <c r="O1175" s="20">
        <f>IF($B1175="","",COUNTIFS('Blocker log'!$A:$A,$B1175,'Blocker log'!$G:$G,"Hard blocker",'Blocker log'!$L:$L,9))</f>
        <v>0</v>
      </c>
      <c r="P1175" s="20">
        <f>IF($B1175="","",MAXIFS('Blocker log'!$L:$L,'Blocker log'!$A:$A,$B1175,'Blocker log'!$G:$G,"Hard blocker"))</f>
        <v>0</v>
      </c>
      <c r="Q1175" s="20" t="str">
        <f>IF($B1175="","",IF($K1175&lt;&gt;"Complete","Assessment pending",IF($N1175=0,"Ready now",VLOOKUP($P1175,Lists!$D$2:$E$5,2,FALSE))))</f>
        <v>Assessment pending</v>
      </c>
    </row>
    <row r="1176" ht="15.75" customHeight="1">
      <c r="A1176" s="35" t="s">
        <v>2961</v>
      </c>
      <c r="B1176" s="35" t="s">
        <v>2962</v>
      </c>
      <c r="C1176" s="35" t="s">
        <v>1286</v>
      </c>
      <c r="D1176" s="35" t="s">
        <v>171</v>
      </c>
      <c r="E1176" s="35" t="s">
        <v>773</v>
      </c>
      <c r="F1176" s="35" t="s">
        <v>774</v>
      </c>
      <c r="G1176" s="35" t="s">
        <v>1161</v>
      </c>
      <c r="H1176" s="76">
        <v>11725.0</v>
      </c>
      <c r="I1176" s="35"/>
      <c r="M1176" s="20">
        <f>IF($B1176="","",COUNTIFS('Blocker log'!$A:$A,$B1176,'Blocker log'!$G:$G,"&lt;&gt;"))</f>
        <v>0</v>
      </c>
      <c r="N1176" s="20">
        <f>IF($B1176="","",COUNTIFS('Blocker log'!$A:$A,$B1176,'Blocker log'!$G:$G,"Hard blocker"))</f>
        <v>0</v>
      </c>
      <c r="O1176" s="20">
        <f>IF($B1176="","",COUNTIFS('Blocker log'!$A:$A,$B1176,'Blocker log'!$G:$G,"Hard blocker",'Blocker log'!$L:$L,9))</f>
        <v>0</v>
      </c>
      <c r="P1176" s="20">
        <f>IF($B1176="","",MAXIFS('Blocker log'!$L:$L,'Blocker log'!$A:$A,$B1176,'Blocker log'!$G:$G,"Hard blocker"))</f>
        <v>0</v>
      </c>
      <c r="Q1176" s="20" t="str">
        <f>IF($B1176="","",IF($K1176&lt;&gt;"Complete","Assessment pending",IF($N1176=0,"Ready now",VLOOKUP($P1176,Lists!$D$2:$E$5,2,FALSE))))</f>
        <v>Assessment pending</v>
      </c>
    </row>
    <row r="1177" ht="15.75" customHeight="1">
      <c r="A1177" s="35" t="s">
        <v>2963</v>
      </c>
      <c r="B1177" s="35" t="s">
        <v>2964</v>
      </c>
      <c r="C1177" s="35" t="s">
        <v>1286</v>
      </c>
      <c r="D1177" s="35" t="s">
        <v>260</v>
      </c>
      <c r="E1177" s="35" t="s">
        <v>1096</v>
      </c>
      <c r="F1177" s="35" t="s">
        <v>1097</v>
      </c>
      <c r="G1177" s="35" t="s">
        <v>1161</v>
      </c>
      <c r="H1177" s="76">
        <v>11691.0</v>
      </c>
      <c r="I1177" s="35" t="s">
        <v>416</v>
      </c>
      <c r="M1177" s="20">
        <f>IF($B1177="","",COUNTIFS('Blocker log'!$A:$A,$B1177,'Blocker log'!$G:$G,"&lt;&gt;"))</f>
        <v>0</v>
      </c>
      <c r="N1177" s="20">
        <f>IF($B1177="","",COUNTIFS('Blocker log'!$A:$A,$B1177,'Blocker log'!$G:$G,"Hard blocker"))</f>
        <v>0</v>
      </c>
      <c r="O1177" s="20">
        <f>IF($B1177="","",COUNTIFS('Blocker log'!$A:$A,$B1177,'Blocker log'!$G:$G,"Hard blocker",'Blocker log'!$L:$L,9))</f>
        <v>0</v>
      </c>
      <c r="P1177" s="20">
        <f>IF($B1177="","",MAXIFS('Blocker log'!$L:$L,'Blocker log'!$A:$A,$B1177,'Blocker log'!$G:$G,"Hard blocker"))</f>
        <v>0</v>
      </c>
      <c r="Q1177" s="20" t="str">
        <f>IF($B1177="","",IF($K1177&lt;&gt;"Complete","Assessment pending",IF($N1177=0,"Ready now",VLOOKUP($P1177,Lists!$D$2:$E$5,2,FALSE))))</f>
        <v>Assessment pending</v>
      </c>
    </row>
    <row r="1178" ht="15.75" customHeight="1">
      <c r="A1178" s="35" t="s">
        <v>2965</v>
      </c>
      <c r="B1178" s="35" t="s">
        <v>2966</v>
      </c>
      <c r="C1178" s="35" t="s">
        <v>1286</v>
      </c>
      <c r="D1178" s="35" t="s">
        <v>58</v>
      </c>
      <c r="E1178" s="35" t="s">
        <v>101</v>
      </c>
      <c r="F1178" s="35" t="s">
        <v>554</v>
      </c>
      <c r="G1178" s="35" t="s">
        <v>1161</v>
      </c>
      <c r="H1178" s="76">
        <v>11646.0</v>
      </c>
      <c r="I1178" s="35" t="s">
        <v>443</v>
      </c>
      <c r="M1178" s="20">
        <f>IF($B1178="","",COUNTIFS('Blocker log'!$A:$A,$B1178,'Blocker log'!$G:$G,"&lt;&gt;"))</f>
        <v>0</v>
      </c>
      <c r="N1178" s="20">
        <f>IF($B1178="","",COUNTIFS('Blocker log'!$A:$A,$B1178,'Blocker log'!$G:$G,"Hard blocker"))</f>
        <v>0</v>
      </c>
      <c r="O1178" s="20">
        <f>IF($B1178="","",COUNTIFS('Blocker log'!$A:$A,$B1178,'Blocker log'!$G:$G,"Hard blocker",'Blocker log'!$L:$L,9))</f>
        <v>0</v>
      </c>
      <c r="P1178" s="20">
        <f>IF($B1178="","",MAXIFS('Blocker log'!$L:$L,'Blocker log'!$A:$A,$B1178,'Blocker log'!$G:$G,"Hard blocker"))</f>
        <v>0</v>
      </c>
      <c r="Q1178" s="20" t="str">
        <f>IF($B1178="","",IF($K1178&lt;&gt;"Complete","Assessment pending",IF($N1178=0,"Ready now",VLOOKUP($P1178,Lists!$D$2:$E$5,2,FALSE))))</f>
        <v>Assessment pending</v>
      </c>
    </row>
    <row r="1179" ht="15.75" customHeight="1">
      <c r="A1179" s="35" t="s">
        <v>2967</v>
      </c>
      <c r="B1179" s="35" t="s">
        <v>2968</v>
      </c>
      <c r="C1179" s="35" t="s">
        <v>1286</v>
      </c>
      <c r="D1179" s="35" t="s">
        <v>171</v>
      </c>
      <c r="E1179" s="35" t="s">
        <v>773</v>
      </c>
      <c r="F1179" s="35" t="s">
        <v>774</v>
      </c>
      <c r="G1179" s="35" t="s">
        <v>1161</v>
      </c>
      <c r="H1179" s="76">
        <v>11600.0</v>
      </c>
      <c r="I1179" s="35" t="s">
        <v>407</v>
      </c>
      <c r="M1179" s="20">
        <f>IF($B1179="","",COUNTIFS('Blocker log'!$A:$A,$B1179,'Blocker log'!$G:$G,"&lt;&gt;"))</f>
        <v>0</v>
      </c>
      <c r="N1179" s="20">
        <f>IF($B1179="","",COUNTIFS('Blocker log'!$A:$A,$B1179,'Blocker log'!$G:$G,"Hard blocker"))</f>
        <v>0</v>
      </c>
      <c r="O1179" s="20">
        <f>IF($B1179="","",COUNTIFS('Blocker log'!$A:$A,$B1179,'Blocker log'!$G:$G,"Hard blocker",'Blocker log'!$L:$L,9))</f>
        <v>0</v>
      </c>
      <c r="P1179" s="20">
        <f>IF($B1179="","",MAXIFS('Blocker log'!$L:$L,'Blocker log'!$A:$A,$B1179,'Blocker log'!$G:$G,"Hard blocker"))</f>
        <v>0</v>
      </c>
      <c r="Q1179" s="20" t="str">
        <f>IF($B1179="","",IF($K1179&lt;&gt;"Complete","Assessment pending",IF($N1179=0,"Ready now",VLOOKUP($P1179,Lists!$D$2:$E$5,2,FALSE))))</f>
        <v>Assessment pending</v>
      </c>
    </row>
    <row r="1180" ht="15.75" customHeight="1">
      <c r="A1180" s="35" t="s">
        <v>2969</v>
      </c>
      <c r="B1180" s="35" t="s">
        <v>2970</v>
      </c>
      <c r="C1180" s="35" t="s">
        <v>76</v>
      </c>
      <c r="D1180" s="35" t="s">
        <v>260</v>
      </c>
      <c r="E1180" s="35" t="s">
        <v>530</v>
      </c>
      <c r="F1180" s="35" t="s">
        <v>531</v>
      </c>
      <c r="G1180" s="35" t="s">
        <v>999</v>
      </c>
      <c r="H1180" s="76">
        <v>11535.0</v>
      </c>
      <c r="I1180" s="35"/>
      <c r="M1180" s="20">
        <f>IF($B1180="","",COUNTIFS('Blocker log'!$A:$A,$B1180,'Blocker log'!$G:$G,"&lt;&gt;"))</f>
        <v>0</v>
      </c>
      <c r="N1180" s="20">
        <f>IF($B1180="","",COUNTIFS('Blocker log'!$A:$A,$B1180,'Blocker log'!$G:$G,"Hard blocker"))</f>
        <v>0</v>
      </c>
      <c r="O1180" s="20">
        <f>IF($B1180="","",COUNTIFS('Blocker log'!$A:$A,$B1180,'Blocker log'!$G:$G,"Hard blocker",'Blocker log'!$L:$L,9))</f>
        <v>0</v>
      </c>
      <c r="P1180" s="20">
        <f>IF($B1180="","",MAXIFS('Blocker log'!$L:$L,'Blocker log'!$A:$A,$B1180,'Blocker log'!$G:$G,"Hard blocker"))</f>
        <v>0</v>
      </c>
      <c r="Q1180" s="20" t="str">
        <f>IF($B1180="","",IF($K1180&lt;&gt;"Complete","Assessment pending",IF($N1180=0,"Ready now",VLOOKUP($P1180,Lists!$D$2:$E$5,2,FALSE))))</f>
        <v>Assessment pending</v>
      </c>
    </row>
    <row r="1181" ht="15.75" customHeight="1">
      <c r="A1181" s="35" t="s">
        <v>2971</v>
      </c>
      <c r="B1181" s="35" t="s">
        <v>2972</v>
      </c>
      <c r="C1181" s="35" t="s">
        <v>1286</v>
      </c>
      <c r="D1181" s="35" t="s">
        <v>171</v>
      </c>
      <c r="E1181" s="35" t="s">
        <v>713</v>
      </c>
      <c r="F1181" s="35" t="s">
        <v>714</v>
      </c>
      <c r="G1181" s="35" t="s">
        <v>1161</v>
      </c>
      <c r="H1181" s="76">
        <v>11385.0</v>
      </c>
      <c r="I1181" s="35"/>
      <c r="M1181" s="20">
        <f>IF($B1181="","",COUNTIFS('Blocker log'!$A:$A,$B1181,'Blocker log'!$G:$G,"&lt;&gt;"))</f>
        <v>0</v>
      </c>
      <c r="N1181" s="20">
        <f>IF($B1181="","",COUNTIFS('Blocker log'!$A:$A,$B1181,'Blocker log'!$G:$G,"Hard blocker"))</f>
        <v>0</v>
      </c>
      <c r="O1181" s="20">
        <f>IF($B1181="","",COUNTIFS('Blocker log'!$A:$A,$B1181,'Blocker log'!$G:$G,"Hard blocker",'Blocker log'!$L:$L,9))</f>
        <v>0</v>
      </c>
      <c r="P1181" s="20">
        <f>IF($B1181="","",MAXIFS('Blocker log'!$L:$L,'Blocker log'!$A:$A,$B1181,'Blocker log'!$G:$G,"Hard blocker"))</f>
        <v>0</v>
      </c>
      <c r="Q1181" s="20" t="str">
        <f>IF($B1181="","",IF($K1181&lt;&gt;"Complete","Assessment pending",IF($N1181=0,"Ready now",VLOOKUP($P1181,Lists!$D$2:$E$5,2,FALSE))))</f>
        <v>Assessment pending</v>
      </c>
    </row>
    <row r="1182" ht="15.75" customHeight="1">
      <c r="A1182" s="35" t="s">
        <v>2973</v>
      </c>
      <c r="B1182" s="35" t="s">
        <v>2974</v>
      </c>
      <c r="C1182" s="35" t="s">
        <v>1286</v>
      </c>
      <c r="D1182" s="35" t="s">
        <v>260</v>
      </c>
      <c r="E1182" s="35" t="s">
        <v>530</v>
      </c>
      <c r="F1182" s="35" t="s">
        <v>1849</v>
      </c>
      <c r="G1182" s="35" t="s">
        <v>1161</v>
      </c>
      <c r="H1182" s="76">
        <v>11354.0</v>
      </c>
      <c r="I1182" s="35"/>
      <c r="M1182" s="20">
        <f>IF($B1182="","",COUNTIFS('Blocker log'!$A:$A,$B1182,'Blocker log'!$G:$G,"&lt;&gt;"))</f>
        <v>0</v>
      </c>
      <c r="N1182" s="20">
        <f>IF($B1182="","",COUNTIFS('Blocker log'!$A:$A,$B1182,'Blocker log'!$G:$G,"Hard blocker"))</f>
        <v>0</v>
      </c>
      <c r="O1182" s="20">
        <f>IF($B1182="","",COUNTIFS('Blocker log'!$A:$A,$B1182,'Blocker log'!$G:$G,"Hard blocker",'Blocker log'!$L:$L,9))</f>
        <v>0</v>
      </c>
      <c r="P1182" s="20">
        <f>IF($B1182="","",MAXIFS('Blocker log'!$L:$L,'Blocker log'!$A:$A,$B1182,'Blocker log'!$G:$G,"Hard blocker"))</f>
        <v>0</v>
      </c>
      <c r="Q1182" s="20" t="str">
        <f>IF($B1182="","",IF($K1182&lt;&gt;"Complete","Assessment pending",IF($N1182=0,"Ready now",VLOOKUP($P1182,Lists!$D$2:$E$5,2,FALSE))))</f>
        <v>Assessment pending</v>
      </c>
    </row>
    <row r="1183" ht="15.75" customHeight="1">
      <c r="A1183" s="35" t="s">
        <v>2975</v>
      </c>
      <c r="B1183" s="35" t="s">
        <v>2976</v>
      </c>
      <c r="C1183" s="35" t="s">
        <v>1286</v>
      </c>
      <c r="D1183" s="35" t="s">
        <v>260</v>
      </c>
      <c r="E1183" s="35" t="s">
        <v>576</v>
      </c>
      <c r="F1183" s="35" t="s">
        <v>1965</v>
      </c>
      <c r="G1183" s="35" t="s">
        <v>1161</v>
      </c>
      <c r="H1183" s="76">
        <v>11341.0</v>
      </c>
      <c r="I1183" s="35" t="s">
        <v>403</v>
      </c>
      <c r="M1183" s="20">
        <f>IF($B1183="","",COUNTIFS('Blocker log'!$A:$A,$B1183,'Blocker log'!$G:$G,"&lt;&gt;"))</f>
        <v>0</v>
      </c>
      <c r="N1183" s="20">
        <f>IF($B1183="","",COUNTIFS('Blocker log'!$A:$A,$B1183,'Blocker log'!$G:$G,"Hard blocker"))</f>
        <v>0</v>
      </c>
      <c r="O1183" s="20">
        <f>IF($B1183="","",COUNTIFS('Blocker log'!$A:$A,$B1183,'Blocker log'!$G:$G,"Hard blocker",'Blocker log'!$L:$L,9))</f>
        <v>0</v>
      </c>
      <c r="P1183" s="20">
        <f>IF($B1183="","",MAXIFS('Blocker log'!$L:$L,'Blocker log'!$A:$A,$B1183,'Blocker log'!$G:$G,"Hard blocker"))</f>
        <v>0</v>
      </c>
      <c r="Q1183" s="20" t="str">
        <f>IF($B1183="","",IF($K1183&lt;&gt;"Complete","Assessment pending",IF($N1183=0,"Ready now",VLOOKUP($P1183,Lists!$D$2:$E$5,2,FALSE))))</f>
        <v>Assessment pending</v>
      </c>
    </row>
    <row r="1184" ht="15.75" customHeight="1">
      <c r="A1184" s="35" t="s">
        <v>2977</v>
      </c>
      <c r="B1184" s="35" t="s">
        <v>2978</v>
      </c>
      <c r="C1184" s="35" t="s">
        <v>1286</v>
      </c>
      <c r="D1184" s="35" t="s">
        <v>58</v>
      </c>
      <c r="E1184" s="35" t="s">
        <v>101</v>
      </c>
      <c r="F1184" s="35" t="s">
        <v>554</v>
      </c>
      <c r="G1184" s="35" t="s">
        <v>1161</v>
      </c>
      <c r="H1184" s="76">
        <v>11340.0</v>
      </c>
      <c r="I1184" s="35"/>
      <c r="M1184" s="20">
        <f>IF($B1184="","",COUNTIFS('Blocker log'!$A:$A,$B1184,'Blocker log'!$G:$G,"&lt;&gt;"))</f>
        <v>0</v>
      </c>
      <c r="N1184" s="20">
        <f>IF($B1184="","",COUNTIFS('Blocker log'!$A:$A,$B1184,'Blocker log'!$G:$G,"Hard blocker"))</f>
        <v>0</v>
      </c>
      <c r="O1184" s="20">
        <f>IF($B1184="","",COUNTIFS('Blocker log'!$A:$A,$B1184,'Blocker log'!$G:$G,"Hard blocker",'Blocker log'!$L:$L,9))</f>
        <v>0</v>
      </c>
      <c r="P1184" s="20">
        <f>IF($B1184="","",MAXIFS('Blocker log'!$L:$L,'Blocker log'!$A:$A,$B1184,'Blocker log'!$G:$G,"Hard blocker"))</f>
        <v>0</v>
      </c>
      <c r="Q1184" s="20" t="str">
        <f>IF($B1184="","",IF($K1184&lt;&gt;"Complete","Assessment pending",IF($N1184=0,"Ready now",VLOOKUP($P1184,Lists!$D$2:$E$5,2,FALSE))))</f>
        <v>Assessment pending</v>
      </c>
    </row>
    <row r="1185" ht="15.75" customHeight="1">
      <c r="A1185" s="35" t="s">
        <v>2979</v>
      </c>
      <c r="B1185" s="35" t="s">
        <v>2980</v>
      </c>
      <c r="C1185" s="35" t="s">
        <v>1286</v>
      </c>
      <c r="D1185" s="35" t="s">
        <v>58</v>
      </c>
      <c r="E1185" s="35" t="s">
        <v>101</v>
      </c>
      <c r="F1185" s="35" t="s">
        <v>554</v>
      </c>
      <c r="G1185" s="35" t="s">
        <v>1161</v>
      </c>
      <c r="H1185" s="76">
        <v>11264.0</v>
      </c>
      <c r="I1185" s="35" t="s">
        <v>435</v>
      </c>
      <c r="M1185" s="20">
        <f>IF($B1185="","",COUNTIFS('Blocker log'!$A:$A,$B1185,'Blocker log'!$G:$G,"&lt;&gt;"))</f>
        <v>0</v>
      </c>
      <c r="N1185" s="20">
        <f>IF($B1185="","",COUNTIFS('Blocker log'!$A:$A,$B1185,'Blocker log'!$G:$G,"Hard blocker"))</f>
        <v>0</v>
      </c>
      <c r="O1185" s="20">
        <f>IF($B1185="","",COUNTIFS('Blocker log'!$A:$A,$B1185,'Blocker log'!$G:$G,"Hard blocker",'Blocker log'!$L:$L,9))</f>
        <v>0</v>
      </c>
      <c r="P1185" s="20">
        <f>IF($B1185="","",MAXIFS('Blocker log'!$L:$L,'Blocker log'!$A:$A,$B1185,'Blocker log'!$G:$G,"Hard blocker"))</f>
        <v>0</v>
      </c>
      <c r="Q1185" s="20" t="str">
        <f>IF($B1185="","",IF($K1185&lt;&gt;"Complete","Assessment pending",IF($N1185=0,"Ready now",VLOOKUP($P1185,Lists!$D$2:$E$5,2,FALSE))))</f>
        <v>Assessment pending</v>
      </c>
    </row>
    <row r="1186" ht="15.75" customHeight="1">
      <c r="A1186" s="35" t="s">
        <v>2981</v>
      </c>
      <c r="B1186" s="35" t="s">
        <v>1673</v>
      </c>
      <c r="C1186" s="35" t="s">
        <v>1286</v>
      </c>
      <c r="D1186" s="35" t="s">
        <v>260</v>
      </c>
      <c r="E1186" s="35" t="s">
        <v>530</v>
      </c>
      <c r="F1186" s="35" t="s">
        <v>1674</v>
      </c>
      <c r="G1186" s="35" t="s">
        <v>1161</v>
      </c>
      <c r="H1186" s="76">
        <v>11232.0</v>
      </c>
      <c r="I1186" s="35" t="s">
        <v>441</v>
      </c>
      <c r="M1186" s="20">
        <f>IF($B1186="","",COUNTIFS('Blocker log'!$A:$A,$B1186,'Blocker log'!$G:$G,"&lt;&gt;"))</f>
        <v>0</v>
      </c>
      <c r="N1186" s="20">
        <f>IF($B1186="","",COUNTIFS('Blocker log'!$A:$A,$B1186,'Blocker log'!$G:$G,"Hard blocker"))</f>
        <v>0</v>
      </c>
      <c r="O1186" s="20">
        <f>IF($B1186="","",COUNTIFS('Blocker log'!$A:$A,$B1186,'Blocker log'!$G:$G,"Hard blocker",'Blocker log'!$L:$L,9))</f>
        <v>0</v>
      </c>
      <c r="P1186" s="20">
        <f>IF($B1186="","",MAXIFS('Blocker log'!$L:$L,'Blocker log'!$A:$A,$B1186,'Blocker log'!$G:$G,"Hard blocker"))</f>
        <v>0</v>
      </c>
      <c r="Q1186" s="20" t="str">
        <f>IF($B1186="","",IF($K1186&lt;&gt;"Complete","Assessment pending",IF($N1186=0,"Ready now",VLOOKUP($P1186,Lists!$D$2:$E$5,2,FALSE))))</f>
        <v>Assessment pending</v>
      </c>
    </row>
    <row r="1187" ht="15.75" customHeight="1">
      <c r="A1187" s="35" t="s">
        <v>2982</v>
      </c>
      <c r="B1187" s="35" t="s">
        <v>2983</v>
      </c>
      <c r="C1187" s="35" t="s">
        <v>1286</v>
      </c>
      <c r="D1187" s="35" t="s">
        <v>171</v>
      </c>
      <c r="E1187" s="35" t="s">
        <v>668</v>
      </c>
      <c r="F1187" s="35" t="s">
        <v>1634</v>
      </c>
      <c r="G1187" s="35" t="s">
        <v>1042</v>
      </c>
      <c r="H1187" s="76">
        <v>11167.0</v>
      </c>
      <c r="I1187" s="35"/>
      <c r="M1187" s="20">
        <f>IF($B1187="","",COUNTIFS('Blocker log'!$A:$A,$B1187,'Blocker log'!$G:$G,"&lt;&gt;"))</f>
        <v>0</v>
      </c>
      <c r="N1187" s="20">
        <f>IF($B1187="","",COUNTIFS('Blocker log'!$A:$A,$B1187,'Blocker log'!$G:$G,"Hard blocker"))</f>
        <v>0</v>
      </c>
      <c r="O1187" s="20">
        <f>IF($B1187="","",COUNTIFS('Blocker log'!$A:$A,$B1187,'Blocker log'!$G:$G,"Hard blocker",'Blocker log'!$L:$L,9))</f>
        <v>0</v>
      </c>
      <c r="P1187" s="20">
        <f>IF($B1187="","",MAXIFS('Blocker log'!$L:$L,'Blocker log'!$A:$A,$B1187,'Blocker log'!$G:$G,"Hard blocker"))</f>
        <v>0</v>
      </c>
      <c r="Q1187" s="20" t="str">
        <f>IF($B1187="","",IF($K1187&lt;&gt;"Complete","Assessment pending",IF($N1187=0,"Ready now",VLOOKUP($P1187,Lists!$D$2:$E$5,2,FALSE))))</f>
        <v>Assessment pending</v>
      </c>
    </row>
    <row r="1188" ht="15.75" customHeight="1">
      <c r="A1188" s="35" t="s">
        <v>2984</v>
      </c>
      <c r="B1188" s="35" t="s">
        <v>2985</v>
      </c>
      <c r="C1188" s="35" t="s">
        <v>1286</v>
      </c>
      <c r="D1188" s="35" t="s">
        <v>260</v>
      </c>
      <c r="E1188" s="35" t="s">
        <v>506</v>
      </c>
      <c r="F1188" s="35" t="s">
        <v>798</v>
      </c>
      <c r="G1188" s="35" t="s">
        <v>1161</v>
      </c>
      <c r="H1188" s="76">
        <v>11012.0</v>
      </c>
      <c r="I1188" s="35" t="s">
        <v>430</v>
      </c>
      <c r="M1188" s="20">
        <f>IF($B1188="","",COUNTIFS('Blocker log'!$A:$A,$B1188,'Blocker log'!$G:$G,"&lt;&gt;"))</f>
        <v>0</v>
      </c>
      <c r="N1188" s="20">
        <f>IF($B1188="","",COUNTIFS('Blocker log'!$A:$A,$B1188,'Blocker log'!$G:$G,"Hard blocker"))</f>
        <v>0</v>
      </c>
      <c r="O1188" s="20">
        <f>IF($B1188="","",COUNTIFS('Blocker log'!$A:$A,$B1188,'Blocker log'!$G:$G,"Hard blocker",'Blocker log'!$L:$L,9))</f>
        <v>0</v>
      </c>
      <c r="P1188" s="20">
        <f>IF($B1188="","",MAXIFS('Blocker log'!$L:$L,'Blocker log'!$A:$A,$B1188,'Blocker log'!$G:$G,"Hard blocker"))</f>
        <v>0</v>
      </c>
      <c r="Q1188" s="20" t="str">
        <f>IF($B1188="","",IF($K1188&lt;&gt;"Complete","Assessment pending",IF($N1188=0,"Ready now",VLOOKUP($P1188,Lists!$D$2:$E$5,2,FALSE))))</f>
        <v>Assessment pending</v>
      </c>
    </row>
    <row r="1189" ht="15.75" customHeight="1">
      <c r="A1189" s="35" t="s">
        <v>2986</v>
      </c>
      <c r="B1189" s="35" t="s">
        <v>2987</v>
      </c>
      <c r="C1189" s="35" t="s">
        <v>1286</v>
      </c>
      <c r="D1189" s="35" t="s">
        <v>260</v>
      </c>
      <c r="E1189" s="35" t="s">
        <v>351</v>
      </c>
      <c r="F1189" s="35" t="s">
        <v>1906</v>
      </c>
      <c r="G1189" s="35" t="s">
        <v>1161</v>
      </c>
      <c r="H1189" s="76">
        <v>10918.0</v>
      </c>
      <c r="I1189" s="35" t="s">
        <v>430</v>
      </c>
      <c r="M1189" s="20">
        <f>IF($B1189="","",COUNTIFS('Blocker log'!$A:$A,$B1189,'Blocker log'!$G:$G,"&lt;&gt;"))</f>
        <v>0</v>
      </c>
      <c r="N1189" s="20">
        <f>IF($B1189="","",COUNTIFS('Blocker log'!$A:$A,$B1189,'Blocker log'!$G:$G,"Hard blocker"))</f>
        <v>0</v>
      </c>
      <c r="O1189" s="20">
        <f>IF($B1189="","",COUNTIFS('Blocker log'!$A:$A,$B1189,'Blocker log'!$G:$G,"Hard blocker",'Blocker log'!$L:$L,9))</f>
        <v>0</v>
      </c>
      <c r="P1189" s="20">
        <f>IF($B1189="","",MAXIFS('Blocker log'!$L:$L,'Blocker log'!$A:$A,$B1189,'Blocker log'!$G:$G,"Hard blocker"))</f>
        <v>0</v>
      </c>
      <c r="Q1189" s="20" t="str">
        <f>IF($B1189="","",IF($K1189&lt;&gt;"Complete","Assessment pending",IF($N1189=0,"Ready now",VLOOKUP($P1189,Lists!$D$2:$E$5,2,FALSE))))</f>
        <v>Assessment pending</v>
      </c>
    </row>
    <row r="1190" ht="15.75" customHeight="1">
      <c r="A1190" s="35" t="s">
        <v>2988</v>
      </c>
      <c r="B1190" s="35" t="s">
        <v>2989</v>
      </c>
      <c r="C1190" s="35" t="s">
        <v>1286</v>
      </c>
      <c r="D1190" s="35" t="s">
        <v>58</v>
      </c>
      <c r="E1190" s="35" t="s">
        <v>1315</v>
      </c>
      <c r="F1190" s="35" t="s">
        <v>1315</v>
      </c>
      <c r="G1190" s="35" t="s">
        <v>1161</v>
      </c>
      <c r="H1190" s="76">
        <v>10800.0</v>
      </c>
      <c r="I1190" s="35"/>
      <c r="M1190" s="20">
        <f>IF($B1190="","",COUNTIFS('Blocker log'!$A:$A,$B1190,'Blocker log'!$G:$G,"&lt;&gt;"))</f>
        <v>0</v>
      </c>
      <c r="N1190" s="20">
        <f>IF($B1190="","",COUNTIFS('Blocker log'!$A:$A,$B1190,'Blocker log'!$G:$G,"Hard blocker"))</f>
        <v>0</v>
      </c>
      <c r="O1190" s="20">
        <f>IF($B1190="","",COUNTIFS('Blocker log'!$A:$A,$B1190,'Blocker log'!$G:$G,"Hard blocker",'Blocker log'!$L:$L,9))</f>
        <v>0</v>
      </c>
      <c r="P1190" s="20">
        <f>IF($B1190="","",MAXIFS('Blocker log'!$L:$L,'Blocker log'!$A:$A,$B1190,'Blocker log'!$G:$G,"Hard blocker"))</f>
        <v>0</v>
      </c>
      <c r="Q1190" s="20" t="str">
        <f>IF($B1190="","",IF($K1190&lt;&gt;"Complete","Assessment pending",IF($N1190=0,"Ready now",VLOOKUP($P1190,Lists!$D$2:$E$5,2,FALSE))))</f>
        <v>Assessment pending</v>
      </c>
    </row>
    <row r="1191" ht="15.75" customHeight="1">
      <c r="A1191" s="35" t="s">
        <v>2990</v>
      </c>
      <c r="B1191" s="35" t="s">
        <v>2991</v>
      </c>
      <c r="C1191" s="35" t="s">
        <v>1286</v>
      </c>
      <c r="D1191" s="35" t="s">
        <v>260</v>
      </c>
      <c r="E1191" s="35" t="s">
        <v>261</v>
      </c>
      <c r="F1191" s="35" t="s">
        <v>261</v>
      </c>
      <c r="G1191" s="35" t="s">
        <v>1161</v>
      </c>
      <c r="H1191" s="76">
        <v>10800.0</v>
      </c>
      <c r="I1191" s="35"/>
      <c r="M1191" s="20">
        <f>IF($B1191="","",COUNTIFS('Blocker log'!$A:$A,$B1191,'Blocker log'!$G:$G,"&lt;&gt;"))</f>
        <v>0</v>
      </c>
      <c r="N1191" s="20">
        <f>IF($B1191="","",COUNTIFS('Blocker log'!$A:$A,$B1191,'Blocker log'!$G:$G,"Hard blocker"))</f>
        <v>0</v>
      </c>
      <c r="O1191" s="20">
        <f>IF($B1191="","",COUNTIFS('Blocker log'!$A:$A,$B1191,'Blocker log'!$G:$G,"Hard blocker",'Blocker log'!$L:$L,9))</f>
        <v>0</v>
      </c>
      <c r="P1191" s="20">
        <f>IF($B1191="","",MAXIFS('Blocker log'!$L:$L,'Blocker log'!$A:$A,$B1191,'Blocker log'!$G:$G,"Hard blocker"))</f>
        <v>0</v>
      </c>
      <c r="Q1191" s="20" t="str">
        <f>IF($B1191="","",IF($K1191&lt;&gt;"Complete","Assessment pending",IF($N1191=0,"Ready now",VLOOKUP($P1191,Lists!$D$2:$E$5,2,FALSE))))</f>
        <v>Assessment pending</v>
      </c>
    </row>
    <row r="1192" ht="15.75" customHeight="1">
      <c r="A1192" s="35" t="s">
        <v>2992</v>
      </c>
      <c r="B1192" s="35" t="s">
        <v>2993</v>
      </c>
      <c r="C1192" s="35" t="s">
        <v>1286</v>
      </c>
      <c r="D1192" s="35" t="s">
        <v>301</v>
      </c>
      <c r="E1192" s="35" t="s">
        <v>490</v>
      </c>
      <c r="F1192" s="35" t="s">
        <v>490</v>
      </c>
      <c r="G1192" s="35" t="s">
        <v>1161</v>
      </c>
      <c r="H1192" s="76">
        <v>10800.0</v>
      </c>
      <c r="I1192" s="35"/>
      <c r="M1192" s="20">
        <f>IF($B1192="","",COUNTIFS('Blocker log'!$A:$A,$B1192,'Blocker log'!$G:$G,"&lt;&gt;"))</f>
        <v>0</v>
      </c>
      <c r="N1192" s="20">
        <f>IF($B1192="","",COUNTIFS('Blocker log'!$A:$A,$B1192,'Blocker log'!$G:$G,"Hard blocker"))</f>
        <v>0</v>
      </c>
      <c r="O1192" s="20">
        <f>IF($B1192="","",COUNTIFS('Blocker log'!$A:$A,$B1192,'Blocker log'!$G:$G,"Hard blocker",'Blocker log'!$L:$L,9))</f>
        <v>0</v>
      </c>
      <c r="P1192" s="20">
        <f>IF($B1192="","",MAXIFS('Blocker log'!$L:$L,'Blocker log'!$A:$A,$B1192,'Blocker log'!$G:$G,"Hard blocker"))</f>
        <v>0</v>
      </c>
      <c r="Q1192" s="20" t="str">
        <f>IF($B1192="","",IF($K1192&lt;&gt;"Complete","Assessment pending",IF($N1192=0,"Ready now",VLOOKUP($P1192,Lists!$D$2:$E$5,2,FALSE))))</f>
        <v>Assessment pending</v>
      </c>
    </row>
    <row r="1193" ht="15.75" customHeight="1">
      <c r="A1193" s="35" t="s">
        <v>2994</v>
      </c>
      <c r="B1193" s="35" t="s">
        <v>2995</v>
      </c>
      <c r="C1193" s="35" t="s">
        <v>1286</v>
      </c>
      <c r="D1193" s="35" t="s">
        <v>58</v>
      </c>
      <c r="E1193" s="35" t="s">
        <v>1315</v>
      </c>
      <c r="F1193" s="35" t="s">
        <v>1315</v>
      </c>
      <c r="G1193" s="35" t="s">
        <v>1161</v>
      </c>
      <c r="H1193" s="76">
        <v>10800.0</v>
      </c>
      <c r="I1193" s="35"/>
      <c r="M1193" s="20">
        <f>IF($B1193="","",COUNTIFS('Blocker log'!$A:$A,$B1193,'Blocker log'!$G:$G,"&lt;&gt;"))</f>
        <v>0</v>
      </c>
      <c r="N1193" s="20">
        <f>IF($B1193="","",COUNTIFS('Blocker log'!$A:$A,$B1193,'Blocker log'!$G:$G,"Hard blocker"))</f>
        <v>0</v>
      </c>
      <c r="O1193" s="20">
        <f>IF($B1193="","",COUNTIFS('Blocker log'!$A:$A,$B1193,'Blocker log'!$G:$G,"Hard blocker",'Blocker log'!$L:$L,9))</f>
        <v>0</v>
      </c>
      <c r="P1193" s="20">
        <f>IF($B1193="","",MAXIFS('Blocker log'!$L:$L,'Blocker log'!$A:$A,$B1193,'Blocker log'!$G:$G,"Hard blocker"))</f>
        <v>0</v>
      </c>
      <c r="Q1193" s="20" t="str">
        <f>IF($B1193="","",IF($K1193&lt;&gt;"Complete","Assessment pending",IF($N1193=0,"Ready now",VLOOKUP($P1193,Lists!$D$2:$E$5,2,FALSE))))</f>
        <v>Assessment pending</v>
      </c>
    </row>
    <row r="1194" ht="15.75" customHeight="1">
      <c r="A1194" s="35" t="s">
        <v>2996</v>
      </c>
      <c r="B1194" s="35" t="s">
        <v>2997</v>
      </c>
      <c r="C1194" s="35" t="s">
        <v>1286</v>
      </c>
      <c r="D1194" s="35" t="s">
        <v>260</v>
      </c>
      <c r="E1194" s="35" t="s">
        <v>261</v>
      </c>
      <c r="F1194" s="35" t="s">
        <v>261</v>
      </c>
      <c r="G1194" s="35" t="s">
        <v>1161</v>
      </c>
      <c r="H1194" s="76">
        <v>10800.0</v>
      </c>
      <c r="I1194" s="35" t="s">
        <v>416</v>
      </c>
      <c r="M1194" s="20">
        <f>IF($B1194="","",COUNTIFS('Blocker log'!$A:$A,$B1194,'Blocker log'!$G:$G,"&lt;&gt;"))</f>
        <v>0</v>
      </c>
      <c r="N1194" s="20">
        <f>IF($B1194="","",COUNTIFS('Blocker log'!$A:$A,$B1194,'Blocker log'!$G:$G,"Hard blocker"))</f>
        <v>0</v>
      </c>
      <c r="O1194" s="20">
        <f>IF($B1194="","",COUNTIFS('Blocker log'!$A:$A,$B1194,'Blocker log'!$G:$G,"Hard blocker",'Blocker log'!$L:$L,9))</f>
        <v>0</v>
      </c>
      <c r="P1194" s="20">
        <f>IF($B1194="","",MAXIFS('Blocker log'!$L:$L,'Blocker log'!$A:$A,$B1194,'Blocker log'!$G:$G,"Hard blocker"))</f>
        <v>0</v>
      </c>
      <c r="Q1194" s="20" t="str">
        <f>IF($B1194="","",IF($K1194&lt;&gt;"Complete","Assessment pending",IF($N1194=0,"Ready now",VLOOKUP($P1194,Lists!$D$2:$E$5,2,FALSE))))</f>
        <v>Assessment pending</v>
      </c>
    </row>
    <row r="1195" ht="15.75" customHeight="1">
      <c r="A1195" s="35" t="s">
        <v>2998</v>
      </c>
      <c r="B1195" s="35" t="s">
        <v>2999</v>
      </c>
      <c r="C1195" s="35" t="s">
        <v>1286</v>
      </c>
      <c r="D1195" s="35" t="s">
        <v>260</v>
      </c>
      <c r="E1195" s="35" t="s">
        <v>506</v>
      </c>
      <c r="F1195" s="35" t="s">
        <v>798</v>
      </c>
      <c r="G1195" s="35" t="s">
        <v>1161</v>
      </c>
      <c r="H1195" s="76">
        <v>10800.0</v>
      </c>
      <c r="I1195" s="35" t="s">
        <v>417</v>
      </c>
      <c r="M1195" s="20">
        <f>IF($B1195="","",COUNTIFS('Blocker log'!$A:$A,$B1195,'Blocker log'!$G:$G,"&lt;&gt;"))</f>
        <v>0</v>
      </c>
      <c r="N1195" s="20">
        <f>IF($B1195="","",COUNTIFS('Blocker log'!$A:$A,$B1195,'Blocker log'!$G:$G,"Hard blocker"))</f>
        <v>0</v>
      </c>
      <c r="O1195" s="20">
        <f>IF($B1195="","",COUNTIFS('Blocker log'!$A:$A,$B1195,'Blocker log'!$G:$G,"Hard blocker",'Blocker log'!$L:$L,9))</f>
        <v>0</v>
      </c>
      <c r="P1195" s="20">
        <f>IF($B1195="","",MAXIFS('Blocker log'!$L:$L,'Blocker log'!$A:$A,$B1195,'Blocker log'!$G:$G,"Hard blocker"))</f>
        <v>0</v>
      </c>
      <c r="Q1195" s="20" t="str">
        <f>IF($B1195="","",IF($K1195&lt;&gt;"Complete","Assessment pending",IF($N1195=0,"Ready now",VLOOKUP($P1195,Lists!$D$2:$E$5,2,FALSE))))</f>
        <v>Assessment pending</v>
      </c>
    </row>
    <row r="1196" ht="15.75" customHeight="1">
      <c r="A1196" s="35" t="s">
        <v>3000</v>
      </c>
      <c r="B1196" s="35" t="s">
        <v>3001</v>
      </c>
      <c r="C1196" s="35" t="s">
        <v>1286</v>
      </c>
      <c r="D1196" s="35" t="s">
        <v>260</v>
      </c>
      <c r="E1196" s="35" t="s">
        <v>1096</v>
      </c>
      <c r="F1196" s="35" t="s">
        <v>1366</v>
      </c>
      <c r="G1196" s="35" t="s">
        <v>1161</v>
      </c>
      <c r="H1196" s="76">
        <v>10800.0</v>
      </c>
      <c r="I1196" s="35"/>
      <c r="M1196" s="20">
        <f>IF($B1196="","",COUNTIFS('Blocker log'!$A:$A,$B1196,'Blocker log'!$G:$G,"&lt;&gt;"))</f>
        <v>0</v>
      </c>
      <c r="N1196" s="20">
        <f>IF($B1196="","",COUNTIFS('Blocker log'!$A:$A,$B1196,'Blocker log'!$G:$G,"Hard blocker"))</f>
        <v>0</v>
      </c>
      <c r="O1196" s="20">
        <f>IF($B1196="","",COUNTIFS('Blocker log'!$A:$A,$B1196,'Blocker log'!$G:$G,"Hard blocker",'Blocker log'!$L:$L,9))</f>
        <v>0</v>
      </c>
      <c r="P1196" s="20">
        <f>IF($B1196="","",MAXIFS('Blocker log'!$L:$L,'Blocker log'!$A:$A,$B1196,'Blocker log'!$G:$G,"Hard blocker"))</f>
        <v>0</v>
      </c>
      <c r="Q1196" s="20" t="str">
        <f>IF($B1196="","",IF($K1196&lt;&gt;"Complete","Assessment pending",IF($N1196=0,"Ready now",VLOOKUP($P1196,Lists!$D$2:$E$5,2,FALSE))))</f>
        <v>Assessment pending</v>
      </c>
    </row>
    <row r="1197" ht="15.75" customHeight="1">
      <c r="A1197" s="35" t="s">
        <v>3002</v>
      </c>
      <c r="B1197" s="35" t="s">
        <v>3003</v>
      </c>
      <c r="C1197" s="35" t="s">
        <v>1286</v>
      </c>
      <c r="D1197" s="35" t="s">
        <v>58</v>
      </c>
      <c r="E1197" s="35" t="s">
        <v>101</v>
      </c>
      <c r="F1197" s="35" t="s">
        <v>554</v>
      </c>
      <c r="G1197" s="35" t="s">
        <v>1161</v>
      </c>
      <c r="H1197" s="76">
        <v>10800.0</v>
      </c>
      <c r="I1197" s="35" t="s">
        <v>448</v>
      </c>
      <c r="M1197" s="20">
        <f>IF($B1197="","",COUNTIFS('Blocker log'!$A:$A,$B1197,'Blocker log'!$G:$G,"&lt;&gt;"))</f>
        <v>0</v>
      </c>
      <c r="N1197" s="20">
        <f>IF($B1197="","",COUNTIFS('Blocker log'!$A:$A,$B1197,'Blocker log'!$G:$G,"Hard blocker"))</f>
        <v>0</v>
      </c>
      <c r="O1197" s="20">
        <f>IF($B1197="","",COUNTIFS('Blocker log'!$A:$A,$B1197,'Blocker log'!$G:$G,"Hard blocker",'Blocker log'!$L:$L,9))</f>
        <v>0</v>
      </c>
      <c r="P1197" s="20">
        <f>IF($B1197="","",MAXIFS('Blocker log'!$L:$L,'Blocker log'!$A:$A,$B1197,'Blocker log'!$G:$G,"Hard blocker"))</f>
        <v>0</v>
      </c>
      <c r="Q1197" s="20" t="str">
        <f>IF($B1197="","",IF($K1197&lt;&gt;"Complete","Assessment pending",IF($N1197=0,"Ready now",VLOOKUP($P1197,Lists!$D$2:$E$5,2,FALSE))))</f>
        <v>Assessment pending</v>
      </c>
    </row>
    <row r="1198" ht="15.75" customHeight="1">
      <c r="A1198" s="35" t="s">
        <v>3004</v>
      </c>
      <c r="B1198" s="35" t="s">
        <v>3005</v>
      </c>
      <c r="C1198" s="35" t="s">
        <v>1286</v>
      </c>
      <c r="D1198" s="35" t="s">
        <v>171</v>
      </c>
      <c r="E1198" s="35" t="s">
        <v>668</v>
      </c>
      <c r="F1198" s="35" t="s">
        <v>669</v>
      </c>
      <c r="G1198" s="35" t="s">
        <v>1161</v>
      </c>
      <c r="H1198" s="76">
        <v>10800.0</v>
      </c>
      <c r="I1198" s="35"/>
      <c r="M1198" s="20">
        <f>IF($B1198="","",COUNTIFS('Blocker log'!$A:$A,$B1198,'Blocker log'!$G:$G,"&lt;&gt;"))</f>
        <v>0</v>
      </c>
      <c r="N1198" s="20">
        <f>IF($B1198="","",COUNTIFS('Blocker log'!$A:$A,$B1198,'Blocker log'!$G:$G,"Hard blocker"))</f>
        <v>0</v>
      </c>
      <c r="O1198" s="20">
        <f>IF($B1198="","",COUNTIFS('Blocker log'!$A:$A,$B1198,'Blocker log'!$G:$G,"Hard blocker",'Blocker log'!$L:$L,9))</f>
        <v>0</v>
      </c>
      <c r="P1198" s="20">
        <f>IF($B1198="","",MAXIFS('Blocker log'!$L:$L,'Blocker log'!$A:$A,$B1198,'Blocker log'!$G:$G,"Hard blocker"))</f>
        <v>0</v>
      </c>
      <c r="Q1198" s="20" t="str">
        <f>IF($B1198="","",IF($K1198&lt;&gt;"Complete","Assessment pending",IF($N1198=0,"Ready now",VLOOKUP($P1198,Lists!$D$2:$E$5,2,FALSE))))</f>
        <v>Assessment pending</v>
      </c>
    </row>
    <row r="1199" ht="15.75" customHeight="1">
      <c r="A1199" s="35" t="s">
        <v>3006</v>
      </c>
      <c r="B1199" s="35" t="s">
        <v>3007</v>
      </c>
      <c r="C1199" s="35" t="s">
        <v>1286</v>
      </c>
      <c r="D1199" s="35" t="s">
        <v>58</v>
      </c>
      <c r="E1199" s="35" t="s">
        <v>1315</v>
      </c>
      <c r="F1199" s="35" t="s">
        <v>1315</v>
      </c>
      <c r="G1199" s="35" t="s">
        <v>1161</v>
      </c>
      <c r="H1199" s="76">
        <v>10800.0</v>
      </c>
      <c r="I1199" s="35"/>
      <c r="M1199" s="20">
        <f>IF($B1199="","",COUNTIFS('Blocker log'!$A:$A,$B1199,'Blocker log'!$G:$G,"&lt;&gt;"))</f>
        <v>0</v>
      </c>
      <c r="N1199" s="20">
        <f>IF($B1199="","",COUNTIFS('Blocker log'!$A:$A,$B1199,'Blocker log'!$G:$G,"Hard blocker"))</f>
        <v>0</v>
      </c>
      <c r="O1199" s="20">
        <f>IF($B1199="","",COUNTIFS('Blocker log'!$A:$A,$B1199,'Blocker log'!$G:$G,"Hard blocker",'Blocker log'!$L:$L,9))</f>
        <v>0</v>
      </c>
      <c r="P1199" s="20">
        <f>IF($B1199="","",MAXIFS('Blocker log'!$L:$L,'Blocker log'!$A:$A,$B1199,'Blocker log'!$G:$G,"Hard blocker"))</f>
        <v>0</v>
      </c>
      <c r="Q1199" s="20" t="str">
        <f>IF($B1199="","",IF($K1199&lt;&gt;"Complete","Assessment pending",IF($N1199=0,"Ready now",VLOOKUP($P1199,Lists!$D$2:$E$5,2,FALSE))))</f>
        <v>Assessment pending</v>
      </c>
    </row>
    <row r="1200" ht="15.75" customHeight="1">
      <c r="A1200" s="35" t="s">
        <v>3008</v>
      </c>
      <c r="B1200" s="35" t="s">
        <v>3009</v>
      </c>
      <c r="C1200" s="35" t="s">
        <v>1286</v>
      </c>
      <c r="D1200" s="35" t="s">
        <v>260</v>
      </c>
      <c r="E1200" s="35" t="s">
        <v>576</v>
      </c>
      <c r="F1200" s="35" t="s">
        <v>1228</v>
      </c>
      <c r="G1200" s="35" t="s">
        <v>1042</v>
      </c>
      <c r="H1200" s="76">
        <v>10800.0</v>
      </c>
      <c r="I1200" s="35" t="s">
        <v>403</v>
      </c>
      <c r="M1200" s="20">
        <f>IF($B1200="","",COUNTIFS('Blocker log'!$A:$A,$B1200,'Blocker log'!$G:$G,"&lt;&gt;"))</f>
        <v>0</v>
      </c>
      <c r="N1200" s="20">
        <f>IF($B1200="","",COUNTIFS('Blocker log'!$A:$A,$B1200,'Blocker log'!$G:$G,"Hard blocker"))</f>
        <v>0</v>
      </c>
      <c r="O1200" s="20">
        <f>IF($B1200="","",COUNTIFS('Blocker log'!$A:$A,$B1200,'Blocker log'!$G:$G,"Hard blocker",'Blocker log'!$L:$L,9))</f>
        <v>0</v>
      </c>
      <c r="P1200" s="20">
        <f>IF($B1200="","",MAXIFS('Blocker log'!$L:$L,'Blocker log'!$A:$A,$B1200,'Blocker log'!$G:$G,"Hard blocker"))</f>
        <v>0</v>
      </c>
      <c r="Q1200" s="20" t="str">
        <f>IF($B1200="","",IF($K1200&lt;&gt;"Complete","Assessment pending",IF($N1200=0,"Ready now",VLOOKUP($P1200,Lists!$D$2:$E$5,2,FALSE))))</f>
        <v>Assessment pending</v>
      </c>
    </row>
    <row r="1201" ht="15.75" customHeight="1">
      <c r="A1201" s="35" t="s">
        <v>3010</v>
      </c>
      <c r="B1201" s="35" t="s">
        <v>3011</v>
      </c>
      <c r="C1201" s="35" t="s">
        <v>1286</v>
      </c>
      <c r="D1201" s="35" t="s">
        <v>58</v>
      </c>
      <c r="E1201" s="35" t="s">
        <v>101</v>
      </c>
      <c r="F1201" s="35" t="s">
        <v>554</v>
      </c>
      <c r="G1201" s="35" t="s">
        <v>1161</v>
      </c>
      <c r="H1201" s="76">
        <v>10768.0</v>
      </c>
      <c r="I1201" s="35"/>
      <c r="M1201" s="20">
        <f>IF($B1201="","",COUNTIFS('Blocker log'!$A:$A,$B1201,'Blocker log'!$G:$G,"&lt;&gt;"))</f>
        <v>0</v>
      </c>
      <c r="N1201" s="20">
        <f>IF($B1201="","",COUNTIFS('Blocker log'!$A:$A,$B1201,'Blocker log'!$G:$G,"Hard blocker"))</f>
        <v>0</v>
      </c>
      <c r="O1201" s="20">
        <f>IF($B1201="","",COUNTIFS('Blocker log'!$A:$A,$B1201,'Blocker log'!$G:$G,"Hard blocker",'Blocker log'!$L:$L,9))</f>
        <v>0</v>
      </c>
      <c r="P1201" s="20">
        <f>IF($B1201="","",MAXIFS('Blocker log'!$L:$L,'Blocker log'!$A:$A,$B1201,'Blocker log'!$G:$G,"Hard blocker"))</f>
        <v>0</v>
      </c>
      <c r="Q1201" s="20" t="str">
        <f>IF($B1201="","",IF($K1201&lt;&gt;"Complete","Assessment pending",IF($N1201=0,"Ready now",VLOOKUP($P1201,Lists!$D$2:$E$5,2,FALSE))))</f>
        <v>Assessment pending</v>
      </c>
    </row>
    <row r="1202" ht="15.75" customHeight="1">
      <c r="A1202" s="35" t="s">
        <v>3012</v>
      </c>
      <c r="B1202" s="35" t="s">
        <v>3013</v>
      </c>
      <c r="C1202" s="35" t="s">
        <v>1286</v>
      </c>
      <c r="D1202" s="35" t="s">
        <v>171</v>
      </c>
      <c r="E1202" s="35" t="s">
        <v>668</v>
      </c>
      <c r="F1202" s="35" t="s">
        <v>669</v>
      </c>
      <c r="G1202" s="35" t="s">
        <v>1161</v>
      </c>
      <c r="H1202" s="76">
        <v>10756.0</v>
      </c>
      <c r="I1202" s="35" t="s">
        <v>431</v>
      </c>
      <c r="M1202" s="20">
        <f>IF($B1202="","",COUNTIFS('Blocker log'!$A:$A,$B1202,'Blocker log'!$G:$G,"&lt;&gt;"))</f>
        <v>0</v>
      </c>
      <c r="N1202" s="20">
        <f>IF($B1202="","",COUNTIFS('Blocker log'!$A:$A,$B1202,'Blocker log'!$G:$G,"Hard blocker"))</f>
        <v>0</v>
      </c>
      <c r="O1202" s="20">
        <f>IF($B1202="","",COUNTIFS('Blocker log'!$A:$A,$B1202,'Blocker log'!$G:$G,"Hard blocker",'Blocker log'!$L:$L,9))</f>
        <v>0</v>
      </c>
      <c r="P1202" s="20">
        <f>IF($B1202="","",MAXIFS('Blocker log'!$L:$L,'Blocker log'!$A:$A,$B1202,'Blocker log'!$G:$G,"Hard blocker"))</f>
        <v>0</v>
      </c>
      <c r="Q1202" s="20" t="str">
        <f>IF($B1202="","",IF($K1202&lt;&gt;"Complete","Assessment pending",IF($N1202=0,"Ready now",VLOOKUP($P1202,Lists!$D$2:$E$5,2,FALSE))))</f>
        <v>Assessment pending</v>
      </c>
    </row>
    <row r="1203" ht="15.75" customHeight="1">
      <c r="A1203" s="35" t="s">
        <v>3014</v>
      </c>
      <c r="B1203" s="35" t="s">
        <v>3015</v>
      </c>
      <c r="C1203" s="35" t="s">
        <v>1286</v>
      </c>
      <c r="D1203" s="35" t="s">
        <v>58</v>
      </c>
      <c r="E1203" s="35" t="s">
        <v>101</v>
      </c>
      <c r="F1203" s="35" t="s">
        <v>554</v>
      </c>
      <c r="G1203" s="35" t="s">
        <v>1161</v>
      </c>
      <c r="H1203" s="76">
        <v>10696.0</v>
      </c>
      <c r="I1203" s="35" t="s">
        <v>413</v>
      </c>
      <c r="M1203" s="20">
        <f>IF($B1203="","",COUNTIFS('Blocker log'!$A:$A,$B1203,'Blocker log'!$G:$G,"&lt;&gt;"))</f>
        <v>0</v>
      </c>
      <c r="N1203" s="20">
        <f>IF($B1203="","",COUNTIFS('Blocker log'!$A:$A,$B1203,'Blocker log'!$G:$G,"Hard blocker"))</f>
        <v>0</v>
      </c>
      <c r="O1203" s="20">
        <f>IF($B1203="","",COUNTIFS('Blocker log'!$A:$A,$B1203,'Blocker log'!$G:$G,"Hard blocker",'Blocker log'!$L:$L,9))</f>
        <v>0</v>
      </c>
      <c r="P1203" s="20">
        <f>IF($B1203="","",MAXIFS('Blocker log'!$L:$L,'Blocker log'!$A:$A,$B1203,'Blocker log'!$G:$G,"Hard blocker"))</f>
        <v>0</v>
      </c>
      <c r="Q1203" s="20" t="str">
        <f>IF($B1203="","",IF($K1203&lt;&gt;"Complete","Assessment pending",IF($N1203=0,"Ready now",VLOOKUP($P1203,Lists!$D$2:$E$5,2,FALSE))))</f>
        <v>Assessment pending</v>
      </c>
    </row>
    <row r="1204" ht="15.75" customHeight="1">
      <c r="A1204" s="35" t="s">
        <v>3016</v>
      </c>
      <c r="B1204" s="35" t="s">
        <v>3017</v>
      </c>
      <c r="C1204" s="35" t="s">
        <v>1286</v>
      </c>
      <c r="D1204" s="35" t="s">
        <v>260</v>
      </c>
      <c r="E1204" s="35" t="s">
        <v>1096</v>
      </c>
      <c r="F1204" s="35" t="s">
        <v>1366</v>
      </c>
      <c r="G1204" s="35" t="s">
        <v>1161</v>
      </c>
      <c r="H1204" s="76">
        <v>10620.0</v>
      </c>
      <c r="I1204" s="35"/>
      <c r="M1204" s="20">
        <f>IF($B1204="","",COUNTIFS('Blocker log'!$A:$A,$B1204,'Blocker log'!$G:$G,"&lt;&gt;"))</f>
        <v>0</v>
      </c>
      <c r="N1204" s="20">
        <f>IF($B1204="","",COUNTIFS('Blocker log'!$A:$A,$B1204,'Blocker log'!$G:$G,"Hard blocker"))</f>
        <v>0</v>
      </c>
      <c r="O1204" s="20">
        <f>IF($B1204="","",COUNTIFS('Blocker log'!$A:$A,$B1204,'Blocker log'!$G:$G,"Hard blocker",'Blocker log'!$L:$L,9))</f>
        <v>0</v>
      </c>
      <c r="P1204" s="20">
        <f>IF($B1204="","",MAXIFS('Blocker log'!$L:$L,'Blocker log'!$A:$A,$B1204,'Blocker log'!$G:$G,"Hard blocker"))</f>
        <v>0</v>
      </c>
      <c r="Q1204" s="20" t="str">
        <f>IF($B1204="","",IF($K1204&lt;&gt;"Complete","Assessment pending",IF($N1204=0,"Ready now",VLOOKUP($P1204,Lists!$D$2:$E$5,2,FALSE))))</f>
        <v>Assessment pending</v>
      </c>
    </row>
    <row r="1205" ht="15.75" customHeight="1">
      <c r="A1205" s="35" t="s">
        <v>3018</v>
      </c>
      <c r="B1205" s="35" t="s">
        <v>3019</v>
      </c>
      <c r="C1205" s="35" t="s">
        <v>1286</v>
      </c>
      <c r="D1205" s="35" t="s">
        <v>301</v>
      </c>
      <c r="E1205" s="35" t="s">
        <v>490</v>
      </c>
      <c r="F1205" s="35" t="s">
        <v>490</v>
      </c>
      <c r="G1205" s="35" t="s">
        <v>1161</v>
      </c>
      <c r="H1205" s="76">
        <v>10619.0</v>
      </c>
      <c r="I1205" s="35"/>
      <c r="M1205" s="20">
        <f>IF($B1205="","",COUNTIFS('Blocker log'!$A:$A,$B1205,'Blocker log'!$G:$G,"&lt;&gt;"))</f>
        <v>0</v>
      </c>
      <c r="N1205" s="20">
        <f>IF($B1205="","",COUNTIFS('Blocker log'!$A:$A,$B1205,'Blocker log'!$G:$G,"Hard blocker"))</f>
        <v>0</v>
      </c>
      <c r="O1205" s="20">
        <f>IF($B1205="","",COUNTIFS('Blocker log'!$A:$A,$B1205,'Blocker log'!$G:$G,"Hard blocker",'Blocker log'!$L:$L,9))</f>
        <v>0</v>
      </c>
      <c r="P1205" s="20">
        <f>IF($B1205="","",MAXIFS('Blocker log'!$L:$L,'Blocker log'!$A:$A,$B1205,'Blocker log'!$G:$G,"Hard blocker"))</f>
        <v>0</v>
      </c>
      <c r="Q1205" s="20" t="str">
        <f>IF($B1205="","",IF($K1205&lt;&gt;"Complete","Assessment pending",IF($N1205=0,"Ready now",VLOOKUP($P1205,Lists!$D$2:$E$5,2,FALSE))))</f>
        <v>Assessment pending</v>
      </c>
    </row>
    <row r="1206" ht="15.75" customHeight="1">
      <c r="A1206" s="35" t="s">
        <v>3020</v>
      </c>
      <c r="B1206" s="35" t="s">
        <v>3021</v>
      </c>
      <c r="C1206" s="35" t="s">
        <v>1286</v>
      </c>
      <c r="D1206" s="35" t="s">
        <v>260</v>
      </c>
      <c r="E1206" s="35" t="s">
        <v>506</v>
      </c>
      <c r="F1206" s="35" t="s">
        <v>815</v>
      </c>
      <c r="G1206" s="35" t="s">
        <v>1161</v>
      </c>
      <c r="H1206" s="76">
        <v>10617.0</v>
      </c>
      <c r="I1206" s="35" t="s">
        <v>416</v>
      </c>
      <c r="M1206" s="20">
        <f>IF($B1206="","",COUNTIFS('Blocker log'!$A:$A,$B1206,'Blocker log'!$G:$G,"&lt;&gt;"))</f>
        <v>0</v>
      </c>
      <c r="N1206" s="20">
        <f>IF($B1206="","",COUNTIFS('Blocker log'!$A:$A,$B1206,'Blocker log'!$G:$G,"Hard blocker"))</f>
        <v>0</v>
      </c>
      <c r="O1206" s="20">
        <f>IF($B1206="","",COUNTIFS('Blocker log'!$A:$A,$B1206,'Blocker log'!$G:$G,"Hard blocker",'Blocker log'!$L:$L,9))</f>
        <v>0</v>
      </c>
      <c r="P1206" s="20">
        <f>IF($B1206="","",MAXIFS('Blocker log'!$L:$L,'Blocker log'!$A:$A,$B1206,'Blocker log'!$G:$G,"Hard blocker"))</f>
        <v>0</v>
      </c>
      <c r="Q1206" s="20" t="str">
        <f>IF($B1206="","",IF($K1206&lt;&gt;"Complete","Assessment pending",IF($N1206=0,"Ready now",VLOOKUP($P1206,Lists!$D$2:$E$5,2,FALSE))))</f>
        <v>Assessment pending</v>
      </c>
    </row>
    <row r="1207" ht="15.75" customHeight="1">
      <c r="A1207" s="35" t="s">
        <v>3022</v>
      </c>
      <c r="B1207" s="35" t="s">
        <v>3023</v>
      </c>
      <c r="C1207" s="35" t="s">
        <v>1286</v>
      </c>
      <c r="D1207" s="35" t="s">
        <v>301</v>
      </c>
      <c r="E1207" s="35" t="s">
        <v>484</v>
      </c>
      <c r="F1207" s="35" t="s">
        <v>484</v>
      </c>
      <c r="G1207" s="35" t="s">
        <v>1042</v>
      </c>
      <c r="H1207" s="76">
        <v>10608.0</v>
      </c>
      <c r="I1207" s="35"/>
      <c r="M1207" s="20">
        <f>IF($B1207="","",COUNTIFS('Blocker log'!$A:$A,$B1207,'Blocker log'!$G:$G,"&lt;&gt;"))</f>
        <v>0</v>
      </c>
      <c r="N1207" s="20">
        <f>IF($B1207="","",COUNTIFS('Blocker log'!$A:$A,$B1207,'Blocker log'!$G:$G,"Hard blocker"))</f>
        <v>0</v>
      </c>
      <c r="O1207" s="20">
        <f>IF($B1207="","",COUNTIFS('Blocker log'!$A:$A,$B1207,'Blocker log'!$G:$G,"Hard blocker",'Blocker log'!$L:$L,9))</f>
        <v>0</v>
      </c>
      <c r="P1207" s="20">
        <f>IF($B1207="","",MAXIFS('Blocker log'!$L:$L,'Blocker log'!$A:$A,$B1207,'Blocker log'!$G:$G,"Hard blocker"))</f>
        <v>0</v>
      </c>
      <c r="Q1207" s="20" t="str">
        <f>IF($B1207="","",IF($K1207&lt;&gt;"Complete","Assessment pending",IF($N1207=0,"Ready now",VLOOKUP($P1207,Lists!$D$2:$E$5,2,FALSE))))</f>
        <v>Assessment pending</v>
      </c>
    </row>
    <row r="1208" ht="15.75" customHeight="1">
      <c r="A1208" s="35" t="s">
        <v>3024</v>
      </c>
      <c r="B1208" s="35" t="s">
        <v>3025</v>
      </c>
      <c r="C1208" s="35" t="s">
        <v>1286</v>
      </c>
      <c r="D1208" s="35" t="s">
        <v>260</v>
      </c>
      <c r="E1208" s="35" t="s">
        <v>530</v>
      </c>
      <c r="F1208" s="35" t="s">
        <v>2216</v>
      </c>
      <c r="G1208" s="35" t="s">
        <v>1161</v>
      </c>
      <c r="H1208" s="76">
        <v>10602.0</v>
      </c>
      <c r="I1208" s="35" t="s">
        <v>441</v>
      </c>
      <c r="M1208" s="20">
        <f>IF($B1208="","",COUNTIFS('Blocker log'!$A:$A,$B1208,'Blocker log'!$G:$G,"&lt;&gt;"))</f>
        <v>0</v>
      </c>
      <c r="N1208" s="20">
        <f>IF($B1208="","",COUNTIFS('Blocker log'!$A:$A,$B1208,'Blocker log'!$G:$G,"Hard blocker"))</f>
        <v>0</v>
      </c>
      <c r="O1208" s="20">
        <f>IF($B1208="","",COUNTIFS('Blocker log'!$A:$A,$B1208,'Blocker log'!$G:$G,"Hard blocker",'Blocker log'!$L:$L,9))</f>
        <v>0</v>
      </c>
      <c r="P1208" s="20">
        <f>IF($B1208="","",MAXIFS('Blocker log'!$L:$L,'Blocker log'!$A:$A,$B1208,'Blocker log'!$G:$G,"Hard blocker"))</f>
        <v>0</v>
      </c>
      <c r="Q1208" s="20" t="str">
        <f>IF($B1208="","",IF($K1208&lt;&gt;"Complete","Assessment pending",IF($N1208=0,"Ready now",VLOOKUP($P1208,Lists!$D$2:$E$5,2,FALSE))))</f>
        <v>Assessment pending</v>
      </c>
    </row>
    <row r="1209" ht="15.75" customHeight="1">
      <c r="A1209" s="35" t="s">
        <v>3026</v>
      </c>
      <c r="B1209" s="35" t="s">
        <v>3027</v>
      </c>
      <c r="C1209" s="35" t="s">
        <v>1286</v>
      </c>
      <c r="D1209" s="35" t="s">
        <v>171</v>
      </c>
      <c r="E1209" s="35" t="s">
        <v>542</v>
      </c>
      <c r="F1209" s="35" t="s">
        <v>549</v>
      </c>
      <c r="G1209" s="35" t="s">
        <v>1161</v>
      </c>
      <c r="H1209" s="76">
        <v>10440.0</v>
      </c>
      <c r="I1209" s="35"/>
      <c r="M1209" s="20">
        <f>IF($B1209="","",COUNTIFS('Blocker log'!$A:$A,$B1209,'Blocker log'!$G:$G,"&lt;&gt;"))</f>
        <v>0</v>
      </c>
      <c r="N1209" s="20">
        <f>IF($B1209="","",COUNTIFS('Blocker log'!$A:$A,$B1209,'Blocker log'!$G:$G,"Hard blocker"))</f>
        <v>0</v>
      </c>
      <c r="O1209" s="20">
        <f>IF($B1209="","",COUNTIFS('Blocker log'!$A:$A,$B1209,'Blocker log'!$G:$G,"Hard blocker",'Blocker log'!$L:$L,9))</f>
        <v>0</v>
      </c>
      <c r="P1209" s="20">
        <f>IF($B1209="","",MAXIFS('Blocker log'!$L:$L,'Blocker log'!$A:$A,$B1209,'Blocker log'!$G:$G,"Hard blocker"))</f>
        <v>0</v>
      </c>
      <c r="Q1209" s="20" t="str">
        <f>IF($B1209="","",IF($K1209&lt;&gt;"Complete","Assessment pending",IF($N1209=0,"Ready now",VLOOKUP($P1209,Lists!$D$2:$E$5,2,FALSE))))</f>
        <v>Assessment pending</v>
      </c>
    </row>
    <row r="1210" ht="15.75" customHeight="1">
      <c r="A1210" s="35" t="s">
        <v>3028</v>
      </c>
      <c r="B1210" s="35" t="s">
        <v>3029</v>
      </c>
      <c r="C1210" s="35"/>
      <c r="D1210" s="35" t="s">
        <v>260</v>
      </c>
      <c r="E1210" s="35" t="s">
        <v>1096</v>
      </c>
      <c r="F1210" s="35" t="s">
        <v>1366</v>
      </c>
      <c r="G1210" s="35" t="s">
        <v>1161</v>
      </c>
      <c r="H1210" s="76">
        <v>10332.0</v>
      </c>
      <c r="I1210" s="35"/>
      <c r="M1210" s="20">
        <f>IF($B1210="","",COUNTIFS('Blocker log'!$A:$A,$B1210,'Blocker log'!$G:$G,"&lt;&gt;"))</f>
        <v>0</v>
      </c>
      <c r="N1210" s="20">
        <f>IF($B1210="","",COUNTIFS('Blocker log'!$A:$A,$B1210,'Blocker log'!$G:$G,"Hard blocker"))</f>
        <v>0</v>
      </c>
      <c r="O1210" s="20">
        <f>IF($B1210="","",COUNTIFS('Blocker log'!$A:$A,$B1210,'Blocker log'!$G:$G,"Hard blocker",'Blocker log'!$L:$L,9))</f>
        <v>0</v>
      </c>
      <c r="P1210" s="20">
        <f>IF($B1210="","",MAXIFS('Blocker log'!$L:$L,'Blocker log'!$A:$A,$B1210,'Blocker log'!$G:$G,"Hard blocker"))</f>
        <v>0</v>
      </c>
      <c r="Q1210" s="20" t="str">
        <f>IF($B1210="","",IF($K1210&lt;&gt;"Complete","Assessment pending",IF($N1210=0,"Ready now",VLOOKUP($P1210,Lists!$D$2:$E$5,2,FALSE))))</f>
        <v>Assessment pending</v>
      </c>
    </row>
    <row r="1211" ht="15.75" customHeight="1">
      <c r="A1211" s="35" t="s">
        <v>3030</v>
      </c>
      <c r="B1211" s="35" t="s">
        <v>3031</v>
      </c>
      <c r="C1211" s="35" t="s">
        <v>1286</v>
      </c>
      <c r="D1211" s="35" t="s">
        <v>260</v>
      </c>
      <c r="E1211" s="35" t="s">
        <v>530</v>
      </c>
      <c r="F1211" s="35" t="s">
        <v>531</v>
      </c>
      <c r="G1211" s="35" t="s">
        <v>1161</v>
      </c>
      <c r="H1211" s="76">
        <v>10280.0</v>
      </c>
      <c r="I1211" s="35" t="s">
        <v>441</v>
      </c>
      <c r="M1211" s="20">
        <f>IF($B1211="","",COUNTIFS('Blocker log'!$A:$A,$B1211,'Blocker log'!$G:$G,"&lt;&gt;"))</f>
        <v>0</v>
      </c>
      <c r="N1211" s="20">
        <f>IF($B1211="","",COUNTIFS('Blocker log'!$A:$A,$B1211,'Blocker log'!$G:$G,"Hard blocker"))</f>
        <v>0</v>
      </c>
      <c r="O1211" s="20">
        <f>IF($B1211="","",COUNTIFS('Blocker log'!$A:$A,$B1211,'Blocker log'!$G:$G,"Hard blocker",'Blocker log'!$L:$L,9))</f>
        <v>0</v>
      </c>
      <c r="P1211" s="20">
        <f>IF($B1211="","",MAXIFS('Blocker log'!$L:$L,'Blocker log'!$A:$A,$B1211,'Blocker log'!$G:$G,"Hard blocker"))</f>
        <v>0</v>
      </c>
      <c r="Q1211" s="20" t="str">
        <f>IF($B1211="","",IF($K1211&lt;&gt;"Complete","Assessment pending",IF($N1211=0,"Ready now",VLOOKUP($P1211,Lists!$D$2:$E$5,2,FALSE))))</f>
        <v>Assessment pending</v>
      </c>
    </row>
    <row r="1212" ht="15.75" customHeight="1">
      <c r="A1212" s="35" t="s">
        <v>3032</v>
      </c>
      <c r="B1212" s="35" t="s">
        <v>3033</v>
      </c>
      <c r="C1212" s="35" t="s">
        <v>1286</v>
      </c>
      <c r="D1212" s="35" t="s">
        <v>260</v>
      </c>
      <c r="E1212" s="35" t="s">
        <v>1096</v>
      </c>
      <c r="F1212" s="35" t="s">
        <v>1650</v>
      </c>
      <c r="G1212" s="35" t="s">
        <v>1161</v>
      </c>
      <c r="H1212" s="76">
        <v>10264.0</v>
      </c>
      <c r="I1212" s="35" t="s">
        <v>416</v>
      </c>
      <c r="M1212" s="20">
        <f>IF($B1212="","",COUNTIFS('Blocker log'!$A:$A,$B1212,'Blocker log'!$G:$G,"&lt;&gt;"))</f>
        <v>0</v>
      </c>
      <c r="N1212" s="20">
        <f>IF($B1212="","",COUNTIFS('Blocker log'!$A:$A,$B1212,'Blocker log'!$G:$G,"Hard blocker"))</f>
        <v>0</v>
      </c>
      <c r="O1212" s="20">
        <f>IF($B1212="","",COUNTIFS('Blocker log'!$A:$A,$B1212,'Blocker log'!$G:$G,"Hard blocker",'Blocker log'!$L:$L,9))</f>
        <v>0</v>
      </c>
      <c r="P1212" s="20">
        <f>IF($B1212="","",MAXIFS('Blocker log'!$L:$L,'Blocker log'!$A:$A,$B1212,'Blocker log'!$G:$G,"Hard blocker"))</f>
        <v>0</v>
      </c>
      <c r="Q1212" s="20" t="str">
        <f>IF($B1212="","",IF($K1212&lt;&gt;"Complete","Assessment pending",IF($N1212=0,"Ready now",VLOOKUP($P1212,Lists!$D$2:$E$5,2,FALSE))))</f>
        <v>Assessment pending</v>
      </c>
    </row>
    <row r="1213" ht="15.75" customHeight="1">
      <c r="A1213" s="35" t="s">
        <v>3034</v>
      </c>
      <c r="B1213" s="35" t="s">
        <v>3035</v>
      </c>
      <c r="C1213" s="35" t="s">
        <v>1286</v>
      </c>
      <c r="D1213" s="35" t="s">
        <v>260</v>
      </c>
      <c r="E1213" s="35" t="s">
        <v>506</v>
      </c>
      <c r="F1213" s="35" t="s">
        <v>507</v>
      </c>
      <c r="G1213" s="35" t="s">
        <v>1161</v>
      </c>
      <c r="H1213" s="76">
        <v>10231.0</v>
      </c>
      <c r="I1213" s="35" t="s">
        <v>417</v>
      </c>
      <c r="M1213" s="20">
        <f>IF($B1213="","",COUNTIFS('Blocker log'!$A:$A,$B1213,'Blocker log'!$G:$G,"&lt;&gt;"))</f>
        <v>0</v>
      </c>
      <c r="N1213" s="20">
        <f>IF($B1213="","",COUNTIFS('Blocker log'!$A:$A,$B1213,'Blocker log'!$G:$G,"Hard blocker"))</f>
        <v>0</v>
      </c>
      <c r="O1213" s="20">
        <f>IF($B1213="","",COUNTIFS('Blocker log'!$A:$A,$B1213,'Blocker log'!$G:$G,"Hard blocker",'Blocker log'!$L:$L,9))</f>
        <v>0</v>
      </c>
      <c r="P1213" s="20">
        <f>IF($B1213="","",MAXIFS('Blocker log'!$L:$L,'Blocker log'!$A:$A,$B1213,'Blocker log'!$G:$G,"Hard blocker"))</f>
        <v>0</v>
      </c>
      <c r="Q1213" s="20" t="str">
        <f>IF($B1213="","",IF($K1213&lt;&gt;"Complete","Assessment pending",IF($N1213=0,"Ready now",VLOOKUP($P1213,Lists!$D$2:$E$5,2,FALSE))))</f>
        <v>Assessment pending</v>
      </c>
    </row>
    <row r="1214" ht="15.75" customHeight="1">
      <c r="A1214" s="35" t="s">
        <v>3036</v>
      </c>
      <c r="B1214" s="35" t="s">
        <v>3037</v>
      </c>
      <c r="C1214" s="35" t="s">
        <v>1286</v>
      </c>
      <c r="D1214" s="35" t="s">
        <v>171</v>
      </c>
      <c r="E1214" s="35" t="s">
        <v>542</v>
      </c>
      <c r="F1214" s="35" t="s">
        <v>543</v>
      </c>
      <c r="G1214" s="35" t="s">
        <v>1161</v>
      </c>
      <c r="H1214" s="76">
        <v>10098.0</v>
      </c>
      <c r="I1214" s="35"/>
      <c r="M1214" s="20">
        <f>IF($B1214="","",COUNTIFS('Blocker log'!$A:$A,$B1214,'Blocker log'!$G:$G,"&lt;&gt;"))</f>
        <v>0</v>
      </c>
      <c r="N1214" s="20">
        <f>IF($B1214="","",COUNTIFS('Blocker log'!$A:$A,$B1214,'Blocker log'!$G:$G,"Hard blocker"))</f>
        <v>0</v>
      </c>
      <c r="O1214" s="20">
        <f>IF($B1214="","",COUNTIFS('Blocker log'!$A:$A,$B1214,'Blocker log'!$G:$G,"Hard blocker",'Blocker log'!$L:$L,9))</f>
        <v>0</v>
      </c>
      <c r="P1214" s="20">
        <f>IF($B1214="","",MAXIFS('Blocker log'!$L:$L,'Blocker log'!$A:$A,$B1214,'Blocker log'!$G:$G,"Hard blocker"))</f>
        <v>0</v>
      </c>
      <c r="Q1214" s="20" t="str">
        <f>IF($B1214="","",IF($K1214&lt;&gt;"Complete","Assessment pending",IF($N1214=0,"Ready now",VLOOKUP($P1214,Lists!$D$2:$E$5,2,FALSE))))</f>
        <v>Assessment pending</v>
      </c>
    </row>
    <row r="1215" ht="15.75" customHeight="1">
      <c r="A1215" s="35" t="s">
        <v>3038</v>
      </c>
      <c r="B1215" s="35" t="s">
        <v>3039</v>
      </c>
      <c r="C1215" s="35" t="s">
        <v>1286</v>
      </c>
      <c r="D1215" s="35" t="s">
        <v>171</v>
      </c>
      <c r="E1215" s="35" t="s">
        <v>713</v>
      </c>
      <c r="F1215" s="35" t="s">
        <v>714</v>
      </c>
      <c r="G1215" s="35" t="s">
        <v>1161</v>
      </c>
      <c r="H1215" s="76">
        <v>10065.0</v>
      </c>
      <c r="I1215" s="35"/>
      <c r="M1215" s="20">
        <f>IF($B1215="","",COUNTIFS('Blocker log'!$A:$A,$B1215,'Blocker log'!$G:$G,"&lt;&gt;"))</f>
        <v>0</v>
      </c>
      <c r="N1215" s="20">
        <f>IF($B1215="","",COUNTIFS('Blocker log'!$A:$A,$B1215,'Blocker log'!$G:$G,"Hard blocker"))</f>
        <v>0</v>
      </c>
      <c r="O1215" s="20">
        <f>IF($B1215="","",COUNTIFS('Blocker log'!$A:$A,$B1215,'Blocker log'!$G:$G,"Hard blocker",'Blocker log'!$L:$L,9))</f>
        <v>0</v>
      </c>
      <c r="P1215" s="20">
        <f>IF($B1215="","",MAXIFS('Blocker log'!$L:$L,'Blocker log'!$A:$A,$B1215,'Blocker log'!$G:$G,"Hard blocker"))</f>
        <v>0</v>
      </c>
      <c r="Q1215" s="20" t="str">
        <f>IF($B1215="","",IF($K1215&lt;&gt;"Complete","Assessment pending",IF($N1215=0,"Ready now",VLOOKUP($P1215,Lists!$D$2:$E$5,2,FALSE))))</f>
        <v>Assessment pending</v>
      </c>
    </row>
    <row r="1216" ht="15.75" customHeight="1">
      <c r="A1216" s="35" t="s">
        <v>3040</v>
      </c>
      <c r="B1216" s="35" t="s">
        <v>3041</v>
      </c>
      <c r="C1216" s="35" t="s">
        <v>1286</v>
      </c>
      <c r="D1216" s="35" t="s">
        <v>171</v>
      </c>
      <c r="E1216" s="35" t="s">
        <v>542</v>
      </c>
      <c r="F1216" s="35" t="s">
        <v>543</v>
      </c>
      <c r="G1216" s="35" t="s">
        <v>1042</v>
      </c>
      <c r="H1216" s="76">
        <v>10001.0</v>
      </c>
      <c r="I1216" s="35"/>
      <c r="M1216" s="20">
        <f>IF($B1216="","",COUNTIFS('Blocker log'!$A:$A,$B1216,'Blocker log'!$G:$G,"&lt;&gt;"))</f>
        <v>0</v>
      </c>
      <c r="N1216" s="20">
        <f>IF($B1216="","",COUNTIFS('Blocker log'!$A:$A,$B1216,'Blocker log'!$G:$G,"Hard blocker"))</f>
        <v>0</v>
      </c>
      <c r="O1216" s="20">
        <f>IF($B1216="","",COUNTIFS('Blocker log'!$A:$A,$B1216,'Blocker log'!$G:$G,"Hard blocker",'Blocker log'!$L:$L,9))</f>
        <v>0</v>
      </c>
      <c r="P1216" s="20">
        <f>IF($B1216="","",MAXIFS('Blocker log'!$L:$L,'Blocker log'!$A:$A,$B1216,'Blocker log'!$G:$G,"Hard blocker"))</f>
        <v>0</v>
      </c>
      <c r="Q1216" s="20" t="str">
        <f>IF($B1216="","",IF($K1216&lt;&gt;"Complete","Assessment pending",IF($N1216=0,"Ready now",VLOOKUP($P1216,Lists!$D$2:$E$5,2,FALSE))))</f>
        <v>Assessment pending</v>
      </c>
    </row>
    <row r="1217" ht="15.75" customHeight="1">
      <c r="A1217" s="35" t="s">
        <v>3042</v>
      </c>
      <c r="B1217" s="35" t="s">
        <v>3043</v>
      </c>
      <c r="C1217" s="35" t="s">
        <v>1286</v>
      </c>
      <c r="D1217" s="35" t="s">
        <v>171</v>
      </c>
      <c r="E1217" s="35" t="s">
        <v>668</v>
      </c>
      <c r="F1217" s="35" t="s">
        <v>669</v>
      </c>
      <c r="G1217" s="35" t="s">
        <v>1161</v>
      </c>
      <c r="H1217" s="76">
        <v>10001.0</v>
      </c>
      <c r="I1217" s="35"/>
      <c r="M1217" s="20">
        <f>IF($B1217="","",COUNTIFS('Blocker log'!$A:$A,$B1217,'Blocker log'!$G:$G,"&lt;&gt;"))</f>
        <v>0</v>
      </c>
      <c r="N1217" s="20">
        <f>IF($B1217="","",COUNTIFS('Blocker log'!$A:$A,$B1217,'Blocker log'!$G:$G,"Hard blocker"))</f>
        <v>0</v>
      </c>
      <c r="O1217" s="20">
        <f>IF($B1217="","",COUNTIFS('Blocker log'!$A:$A,$B1217,'Blocker log'!$G:$G,"Hard blocker",'Blocker log'!$L:$L,9))</f>
        <v>0</v>
      </c>
      <c r="P1217" s="20">
        <f>IF($B1217="","",MAXIFS('Blocker log'!$L:$L,'Blocker log'!$A:$A,$B1217,'Blocker log'!$G:$G,"Hard blocker"))</f>
        <v>0</v>
      </c>
      <c r="Q1217" s="20" t="str">
        <f>IF($B1217="","",IF($K1217&lt;&gt;"Complete","Assessment pending",IF($N1217=0,"Ready now",VLOOKUP($P1217,Lists!$D$2:$E$5,2,FALSE))))</f>
        <v>Assessment pending</v>
      </c>
    </row>
    <row r="1218" ht="15.75" customHeight="1">
      <c r="A1218" s="35" t="s">
        <v>3044</v>
      </c>
      <c r="B1218" s="35" t="s">
        <v>3045</v>
      </c>
      <c r="C1218" s="35" t="s">
        <v>1286</v>
      </c>
      <c r="D1218" s="35" t="s">
        <v>58</v>
      </c>
      <c r="E1218" s="35" t="s">
        <v>101</v>
      </c>
      <c r="F1218" s="35" t="s">
        <v>116</v>
      </c>
      <c r="G1218" s="35" t="s">
        <v>1042</v>
      </c>
      <c r="H1218" s="76">
        <v>10000.0</v>
      </c>
      <c r="I1218" s="35"/>
      <c r="M1218" s="20">
        <f>IF($B1218="","",COUNTIFS('Blocker log'!$A:$A,$B1218,'Blocker log'!$G:$G,"&lt;&gt;"))</f>
        <v>0</v>
      </c>
      <c r="N1218" s="20">
        <f>IF($B1218="","",COUNTIFS('Blocker log'!$A:$A,$B1218,'Blocker log'!$G:$G,"Hard blocker"))</f>
        <v>0</v>
      </c>
      <c r="O1218" s="20">
        <f>IF($B1218="","",COUNTIFS('Blocker log'!$A:$A,$B1218,'Blocker log'!$G:$G,"Hard blocker",'Blocker log'!$L:$L,9))</f>
        <v>0</v>
      </c>
      <c r="P1218" s="20">
        <f>IF($B1218="","",MAXIFS('Blocker log'!$L:$L,'Blocker log'!$A:$A,$B1218,'Blocker log'!$G:$G,"Hard blocker"))</f>
        <v>0</v>
      </c>
      <c r="Q1218" s="20" t="str">
        <f>IF($B1218="","",IF($K1218&lt;&gt;"Complete","Assessment pending",IF($N1218=0,"Ready now",VLOOKUP($P1218,Lists!$D$2:$E$5,2,FALSE))))</f>
        <v>Assessment pending</v>
      </c>
    </row>
    <row r="1219" ht="15.75" customHeight="1">
      <c r="A1219" s="35" t="s">
        <v>3046</v>
      </c>
      <c r="B1219" s="35" t="s">
        <v>1848</v>
      </c>
      <c r="C1219" s="35" t="s">
        <v>57</v>
      </c>
      <c r="D1219" s="35" t="s">
        <v>260</v>
      </c>
      <c r="E1219" s="35" t="s">
        <v>530</v>
      </c>
      <c r="F1219" s="35" t="s">
        <v>1849</v>
      </c>
      <c r="G1219" s="35" t="s">
        <v>980</v>
      </c>
      <c r="H1219" s="76">
        <v>10000.0</v>
      </c>
      <c r="I1219" s="35"/>
      <c r="M1219" s="20">
        <f>IF($B1219="","",COUNTIFS('Blocker log'!$A:$A,$B1219,'Blocker log'!$G:$G,"&lt;&gt;"))</f>
        <v>0</v>
      </c>
      <c r="N1219" s="20">
        <f>IF($B1219="","",COUNTIFS('Blocker log'!$A:$A,$B1219,'Blocker log'!$G:$G,"Hard blocker"))</f>
        <v>0</v>
      </c>
      <c r="O1219" s="20">
        <f>IF($B1219="","",COUNTIFS('Blocker log'!$A:$A,$B1219,'Blocker log'!$G:$G,"Hard blocker",'Blocker log'!$L:$L,9))</f>
        <v>0</v>
      </c>
      <c r="P1219" s="20">
        <f>IF($B1219="","",MAXIFS('Blocker log'!$L:$L,'Blocker log'!$A:$A,$B1219,'Blocker log'!$G:$G,"Hard blocker"))</f>
        <v>0</v>
      </c>
      <c r="Q1219" s="20" t="str">
        <f>IF($B1219="","",IF($K1219&lt;&gt;"Complete","Assessment pending",IF($N1219=0,"Ready now",VLOOKUP($P1219,Lists!$D$2:$E$5,2,FALSE))))</f>
        <v>Assessment pending</v>
      </c>
    </row>
    <row r="1220" ht="15.75" customHeight="1">
      <c r="A1220" s="35" t="s">
        <v>3047</v>
      </c>
      <c r="B1220" s="35" t="s">
        <v>3048</v>
      </c>
      <c r="C1220" s="35" t="s">
        <v>1286</v>
      </c>
      <c r="D1220" s="35" t="s">
        <v>260</v>
      </c>
      <c r="E1220" s="35" t="s">
        <v>261</v>
      </c>
      <c r="F1220" s="35" t="s">
        <v>261</v>
      </c>
      <c r="G1220" s="35" t="s">
        <v>1161</v>
      </c>
      <c r="H1220" s="76">
        <v>9991.0</v>
      </c>
      <c r="I1220" s="35" t="s">
        <v>416</v>
      </c>
      <c r="M1220" s="20">
        <f>IF($B1220="","",COUNTIFS('Blocker log'!$A:$A,$B1220,'Blocker log'!$G:$G,"&lt;&gt;"))</f>
        <v>0</v>
      </c>
      <c r="N1220" s="20">
        <f>IF($B1220="","",COUNTIFS('Blocker log'!$A:$A,$B1220,'Blocker log'!$G:$G,"Hard blocker"))</f>
        <v>0</v>
      </c>
      <c r="O1220" s="20">
        <f>IF($B1220="","",COUNTIFS('Blocker log'!$A:$A,$B1220,'Blocker log'!$G:$G,"Hard blocker",'Blocker log'!$L:$L,9))</f>
        <v>0</v>
      </c>
      <c r="P1220" s="20">
        <f>IF($B1220="","",MAXIFS('Blocker log'!$L:$L,'Blocker log'!$A:$A,$B1220,'Blocker log'!$G:$G,"Hard blocker"))</f>
        <v>0</v>
      </c>
      <c r="Q1220" s="20" t="str">
        <f>IF($B1220="","",IF($K1220&lt;&gt;"Complete","Assessment pending",IF($N1220=0,"Ready now",VLOOKUP($P1220,Lists!$D$2:$E$5,2,FALSE))))</f>
        <v>Assessment pending</v>
      </c>
    </row>
    <row r="1221" ht="15.75" customHeight="1">
      <c r="A1221" s="35" t="s">
        <v>3049</v>
      </c>
      <c r="B1221" s="35" t="s">
        <v>3050</v>
      </c>
      <c r="C1221" s="35" t="s">
        <v>1286</v>
      </c>
      <c r="D1221" s="35" t="s">
        <v>260</v>
      </c>
      <c r="E1221" s="35" t="s">
        <v>1096</v>
      </c>
      <c r="F1221" s="35" t="s">
        <v>1650</v>
      </c>
      <c r="G1221" s="35" t="s">
        <v>1161</v>
      </c>
      <c r="H1221" s="76">
        <v>9979.0</v>
      </c>
      <c r="I1221" s="35" t="s">
        <v>416</v>
      </c>
      <c r="M1221" s="20">
        <f>IF($B1221="","",COUNTIFS('Blocker log'!$A:$A,$B1221,'Blocker log'!$G:$G,"&lt;&gt;"))</f>
        <v>0</v>
      </c>
      <c r="N1221" s="20">
        <f>IF($B1221="","",COUNTIFS('Blocker log'!$A:$A,$B1221,'Blocker log'!$G:$G,"Hard blocker"))</f>
        <v>0</v>
      </c>
      <c r="O1221" s="20">
        <f>IF($B1221="","",COUNTIFS('Blocker log'!$A:$A,$B1221,'Blocker log'!$G:$G,"Hard blocker",'Blocker log'!$L:$L,9))</f>
        <v>0</v>
      </c>
      <c r="P1221" s="20">
        <f>IF($B1221="","",MAXIFS('Blocker log'!$L:$L,'Blocker log'!$A:$A,$B1221,'Blocker log'!$G:$G,"Hard blocker"))</f>
        <v>0</v>
      </c>
      <c r="Q1221" s="20" t="str">
        <f>IF($B1221="","",IF($K1221&lt;&gt;"Complete","Assessment pending",IF($N1221=0,"Ready now",VLOOKUP($P1221,Lists!$D$2:$E$5,2,FALSE))))</f>
        <v>Assessment pending</v>
      </c>
    </row>
    <row r="1222" ht="15.75" customHeight="1">
      <c r="A1222" s="35" t="s">
        <v>3051</v>
      </c>
      <c r="B1222" s="35" t="s">
        <v>3052</v>
      </c>
      <c r="C1222" s="35" t="s">
        <v>1286</v>
      </c>
      <c r="D1222" s="35" t="s">
        <v>171</v>
      </c>
      <c r="E1222" s="35" t="s">
        <v>205</v>
      </c>
      <c r="F1222" s="35" t="s">
        <v>916</v>
      </c>
      <c r="G1222" s="35" t="s">
        <v>1161</v>
      </c>
      <c r="H1222" s="76">
        <v>9966.0</v>
      </c>
      <c r="I1222" s="35"/>
      <c r="M1222" s="20">
        <f>IF($B1222="","",COUNTIFS('Blocker log'!$A:$A,$B1222,'Blocker log'!$G:$G,"&lt;&gt;"))</f>
        <v>0</v>
      </c>
      <c r="N1222" s="20">
        <f>IF($B1222="","",COUNTIFS('Blocker log'!$A:$A,$B1222,'Blocker log'!$G:$G,"Hard blocker"))</f>
        <v>0</v>
      </c>
      <c r="O1222" s="20">
        <f>IF($B1222="","",COUNTIFS('Blocker log'!$A:$A,$B1222,'Blocker log'!$G:$G,"Hard blocker",'Blocker log'!$L:$L,9))</f>
        <v>0</v>
      </c>
      <c r="P1222" s="20">
        <f>IF($B1222="","",MAXIFS('Blocker log'!$L:$L,'Blocker log'!$A:$A,$B1222,'Blocker log'!$G:$G,"Hard blocker"))</f>
        <v>0</v>
      </c>
      <c r="Q1222" s="20" t="str">
        <f>IF($B1222="","",IF($K1222&lt;&gt;"Complete","Assessment pending",IF($N1222=0,"Ready now",VLOOKUP($P1222,Lists!$D$2:$E$5,2,FALSE))))</f>
        <v>Assessment pending</v>
      </c>
    </row>
    <row r="1223" ht="15.75" customHeight="1">
      <c r="A1223" s="35" t="s">
        <v>3053</v>
      </c>
      <c r="B1223" s="35" t="s">
        <v>3054</v>
      </c>
      <c r="C1223" s="35" t="s">
        <v>1286</v>
      </c>
      <c r="D1223" s="35" t="s">
        <v>260</v>
      </c>
      <c r="E1223" s="35" t="s">
        <v>506</v>
      </c>
      <c r="F1223" s="35" t="s">
        <v>685</v>
      </c>
      <c r="G1223" s="35" t="s">
        <v>1161</v>
      </c>
      <c r="H1223" s="76">
        <v>9932.0</v>
      </c>
      <c r="I1223" s="35" t="s">
        <v>417</v>
      </c>
      <c r="M1223" s="20">
        <f>IF($B1223="","",COUNTIFS('Blocker log'!$A:$A,$B1223,'Blocker log'!$G:$G,"&lt;&gt;"))</f>
        <v>0</v>
      </c>
      <c r="N1223" s="20">
        <f>IF($B1223="","",COUNTIFS('Blocker log'!$A:$A,$B1223,'Blocker log'!$G:$G,"Hard blocker"))</f>
        <v>0</v>
      </c>
      <c r="O1223" s="20">
        <f>IF($B1223="","",COUNTIFS('Blocker log'!$A:$A,$B1223,'Blocker log'!$G:$G,"Hard blocker",'Blocker log'!$L:$L,9))</f>
        <v>0</v>
      </c>
      <c r="P1223" s="20">
        <f>IF($B1223="","",MAXIFS('Blocker log'!$L:$L,'Blocker log'!$A:$A,$B1223,'Blocker log'!$G:$G,"Hard blocker"))</f>
        <v>0</v>
      </c>
      <c r="Q1223" s="20" t="str">
        <f>IF($B1223="","",IF($K1223&lt;&gt;"Complete","Assessment pending",IF($N1223=0,"Ready now",VLOOKUP($P1223,Lists!$D$2:$E$5,2,FALSE))))</f>
        <v>Assessment pending</v>
      </c>
    </row>
    <row r="1224" ht="15.75" customHeight="1">
      <c r="A1224" s="35" t="s">
        <v>3055</v>
      </c>
      <c r="B1224" s="35" t="s">
        <v>3056</v>
      </c>
      <c r="C1224" s="35" t="s">
        <v>1286</v>
      </c>
      <c r="D1224" s="35" t="s">
        <v>171</v>
      </c>
      <c r="E1224" s="35" t="s">
        <v>542</v>
      </c>
      <c r="F1224" s="35" t="s">
        <v>543</v>
      </c>
      <c r="G1224" s="35" t="s">
        <v>1161</v>
      </c>
      <c r="H1224" s="76">
        <v>9907.0</v>
      </c>
      <c r="I1224" s="35"/>
      <c r="M1224" s="20">
        <f>IF($B1224="","",COUNTIFS('Blocker log'!$A:$A,$B1224,'Blocker log'!$G:$G,"&lt;&gt;"))</f>
        <v>0</v>
      </c>
      <c r="N1224" s="20">
        <f>IF($B1224="","",COUNTIFS('Blocker log'!$A:$A,$B1224,'Blocker log'!$G:$G,"Hard blocker"))</f>
        <v>0</v>
      </c>
      <c r="O1224" s="20">
        <f>IF($B1224="","",COUNTIFS('Blocker log'!$A:$A,$B1224,'Blocker log'!$G:$G,"Hard blocker",'Blocker log'!$L:$L,9))</f>
        <v>0</v>
      </c>
      <c r="P1224" s="20">
        <f>IF($B1224="","",MAXIFS('Blocker log'!$L:$L,'Blocker log'!$A:$A,$B1224,'Blocker log'!$G:$G,"Hard blocker"))</f>
        <v>0</v>
      </c>
      <c r="Q1224" s="20" t="str">
        <f>IF($B1224="","",IF($K1224&lt;&gt;"Complete","Assessment pending",IF($N1224=0,"Ready now",VLOOKUP($P1224,Lists!$D$2:$E$5,2,FALSE))))</f>
        <v>Assessment pending</v>
      </c>
    </row>
    <row r="1225" ht="15.75" customHeight="1">
      <c r="A1225" s="35" t="s">
        <v>3057</v>
      </c>
      <c r="B1225" s="35" t="s">
        <v>3058</v>
      </c>
      <c r="C1225" s="35" t="s">
        <v>1286</v>
      </c>
      <c r="D1225" s="35" t="s">
        <v>260</v>
      </c>
      <c r="E1225" s="35" t="s">
        <v>1096</v>
      </c>
      <c r="F1225" s="35" t="s">
        <v>1097</v>
      </c>
      <c r="G1225" s="35" t="s">
        <v>1161</v>
      </c>
      <c r="H1225" s="76">
        <v>9900.0</v>
      </c>
      <c r="I1225" s="35"/>
      <c r="M1225" s="20">
        <f>IF($B1225="","",COUNTIFS('Blocker log'!$A:$A,$B1225,'Blocker log'!$G:$G,"&lt;&gt;"))</f>
        <v>0</v>
      </c>
      <c r="N1225" s="20">
        <f>IF($B1225="","",COUNTIFS('Blocker log'!$A:$A,$B1225,'Blocker log'!$G:$G,"Hard blocker"))</f>
        <v>0</v>
      </c>
      <c r="O1225" s="20">
        <f>IF($B1225="","",COUNTIFS('Blocker log'!$A:$A,$B1225,'Blocker log'!$G:$G,"Hard blocker",'Blocker log'!$L:$L,9))</f>
        <v>0</v>
      </c>
      <c r="P1225" s="20">
        <f>IF($B1225="","",MAXIFS('Blocker log'!$L:$L,'Blocker log'!$A:$A,$B1225,'Blocker log'!$G:$G,"Hard blocker"))</f>
        <v>0</v>
      </c>
      <c r="Q1225" s="20" t="str">
        <f>IF($B1225="","",IF($K1225&lt;&gt;"Complete","Assessment pending",IF($N1225=0,"Ready now",VLOOKUP($P1225,Lists!$D$2:$E$5,2,FALSE))))</f>
        <v>Assessment pending</v>
      </c>
    </row>
    <row r="1226" ht="15.75" customHeight="1">
      <c r="A1226" s="35" t="s">
        <v>3059</v>
      </c>
      <c r="B1226" s="35" t="s">
        <v>3060</v>
      </c>
      <c r="C1226" s="35" t="s">
        <v>1286</v>
      </c>
      <c r="D1226" s="35" t="s">
        <v>58</v>
      </c>
      <c r="E1226" s="35" t="s">
        <v>101</v>
      </c>
      <c r="F1226" s="35" t="s">
        <v>116</v>
      </c>
      <c r="G1226" s="35" t="s">
        <v>1161</v>
      </c>
      <c r="H1226" s="76">
        <v>9900.0</v>
      </c>
      <c r="I1226" s="35" t="s">
        <v>453</v>
      </c>
      <c r="M1226" s="20">
        <f>IF($B1226="","",COUNTIFS('Blocker log'!$A:$A,$B1226,'Blocker log'!$G:$G,"&lt;&gt;"))</f>
        <v>0</v>
      </c>
      <c r="N1226" s="20">
        <f>IF($B1226="","",COUNTIFS('Blocker log'!$A:$A,$B1226,'Blocker log'!$G:$G,"Hard blocker"))</f>
        <v>0</v>
      </c>
      <c r="O1226" s="20">
        <f>IF($B1226="","",COUNTIFS('Blocker log'!$A:$A,$B1226,'Blocker log'!$G:$G,"Hard blocker",'Blocker log'!$L:$L,9))</f>
        <v>0</v>
      </c>
      <c r="P1226" s="20">
        <f>IF($B1226="","",MAXIFS('Blocker log'!$L:$L,'Blocker log'!$A:$A,$B1226,'Blocker log'!$G:$G,"Hard blocker"))</f>
        <v>0</v>
      </c>
      <c r="Q1226" s="20" t="str">
        <f>IF($B1226="","",IF($K1226&lt;&gt;"Complete","Assessment pending",IF($N1226=0,"Ready now",VLOOKUP($P1226,Lists!$D$2:$E$5,2,FALSE))))</f>
        <v>Assessment pending</v>
      </c>
    </row>
    <row r="1227" ht="15.75" customHeight="1">
      <c r="A1227" s="35" t="s">
        <v>3061</v>
      </c>
      <c r="B1227" s="35" t="s">
        <v>3062</v>
      </c>
      <c r="C1227" s="35" t="s">
        <v>1286</v>
      </c>
      <c r="D1227" s="35" t="s">
        <v>58</v>
      </c>
      <c r="E1227" s="35" t="s">
        <v>140</v>
      </c>
      <c r="F1227" s="35" t="s">
        <v>246</v>
      </c>
      <c r="G1227" s="35" t="s">
        <v>1042</v>
      </c>
      <c r="H1227" s="76">
        <v>9864.0</v>
      </c>
      <c r="I1227" s="35" t="s">
        <v>426</v>
      </c>
      <c r="M1227" s="20">
        <f>IF($B1227="","",COUNTIFS('Blocker log'!$A:$A,$B1227,'Blocker log'!$G:$G,"&lt;&gt;"))</f>
        <v>0</v>
      </c>
      <c r="N1227" s="20">
        <f>IF($B1227="","",COUNTIFS('Blocker log'!$A:$A,$B1227,'Blocker log'!$G:$G,"Hard blocker"))</f>
        <v>0</v>
      </c>
      <c r="O1227" s="20">
        <f>IF($B1227="","",COUNTIFS('Blocker log'!$A:$A,$B1227,'Blocker log'!$G:$G,"Hard blocker",'Blocker log'!$L:$L,9))</f>
        <v>0</v>
      </c>
      <c r="P1227" s="20">
        <f>IF($B1227="","",MAXIFS('Blocker log'!$L:$L,'Blocker log'!$A:$A,$B1227,'Blocker log'!$G:$G,"Hard blocker"))</f>
        <v>0</v>
      </c>
      <c r="Q1227" s="20" t="str">
        <f>IF($B1227="","",IF($K1227&lt;&gt;"Complete","Assessment pending",IF($N1227=0,"Ready now",VLOOKUP($P1227,Lists!$D$2:$E$5,2,FALSE))))</f>
        <v>Assessment pending</v>
      </c>
    </row>
    <row r="1228" ht="15.75" customHeight="1">
      <c r="A1228" s="35" t="s">
        <v>3063</v>
      </c>
      <c r="B1228" s="35" t="s">
        <v>3064</v>
      </c>
      <c r="C1228" s="35" t="s">
        <v>1286</v>
      </c>
      <c r="D1228" s="35" t="s">
        <v>58</v>
      </c>
      <c r="E1228" s="35" t="s">
        <v>101</v>
      </c>
      <c r="F1228" s="35" t="s">
        <v>554</v>
      </c>
      <c r="G1228" s="35" t="s">
        <v>1161</v>
      </c>
      <c r="H1228" s="76">
        <v>9800.0</v>
      </c>
      <c r="I1228" s="35" t="s">
        <v>419</v>
      </c>
      <c r="M1228" s="20">
        <f>IF($B1228="","",COUNTIFS('Blocker log'!$A:$A,$B1228,'Blocker log'!$G:$G,"&lt;&gt;"))</f>
        <v>0</v>
      </c>
      <c r="N1228" s="20">
        <f>IF($B1228="","",COUNTIFS('Blocker log'!$A:$A,$B1228,'Blocker log'!$G:$G,"Hard blocker"))</f>
        <v>0</v>
      </c>
      <c r="O1228" s="20">
        <f>IF($B1228="","",COUNTIFS('Blocker log'!$A:$A,$B1228,'Blocker log'!$G:$G,"Hard blocker",'Blocker log'!$L:$L,9))</f>
        <v>0</v>
      </c>
      <c r="P1228" s="20">
        <f>IF($B1228="","",MAXIFS('Blocker log'!$L:$L,'Blocker log'!$A:$A,$B1228,'Blocker log'!$G:$G,"Hard blocker"))</f>
        <v>0</v>
      </c>
      <c r="Q1228" s="20" t="str">
        <f>IF($B1228="","",IF($K1228&lt;&gt;"Complete","Assessment pending",IF($N1228=0,"Ready now",VLOOKUP($P1228,Lists!$D$2:$E$5,2,FALSE))))</f>
        <v>Assessment pending</v>
      </c>
    </row>
    <row r="1229" ht="15.75" customHeight="1">
      <c r="A1229" s="35" t="s">
        <v>3065</v>
      </c>
      <c r="B1229" s="35" t="s">
        <v>3066</v>
      </c>
      <c r="C1229" s="35" t="s">
        <v>1286</v>
      </c>
      <c r="D1229" s="35" t="s">
        <v>58</v>
      </c>
      <c r="E1229" s="35" t="s">
        <v>101</v>
      </c>
      <c r="F1229" s="35" t="s">
        <v>554</v>
      </c>
      <c r="G1229" s="35" t="s">
        <v>1161</v>
      </c>
      <c r="H1229" s="76">
        <v>9783.0</v>
      </c>
      <c r="I1229" s="35"/>
      <c r="M1229" s="20">
        <f>IF($B1229="","",COUNTIFS('Blocker log'!$A:$A,$B1229,'Blocker log'!$G:$G,"&lt;&gt;"))</f>
        <v>0</v>
      </c>
      <c r="N1229" s="20">
        <f>IF($B1229="","",COUNTIFS('Blocker log'!$A:$A,$B1229,'Blocker log'!$G:$G,"Hard blocker"))</f>
        <v>0</v>
      </c>
      <c r="O1229" s="20">
        <f>IF($B1229="","",COUNTIFS('Blocker log'!$A:$A,$B1229,'Blocker log'!$G:$G,"Hard blocker",'Blocker log'!$L:$L,9))</f>
        <v>0</v>
      </c>
      <c r="P1229" s="20">
        <f>IF($B1229="","",MAXIFS('Blocker log'!$L:$L,'Blocker log'!$A:$A,$B1229,'Blocker log'!$G:$G,"Hard blocker"))</f>
        <v>0</v>
      </c>
      <c r="Q1229" s="20" t="str">
        <f>IF($B1229="","",IF($K1229&lt;&gt;"Complete","Assessment pending",IF($N1229=0,"Ready now",VLOOKUP($P1229,Lists!$D$2:$E$5,2,FALSE))))</f>
        <v>Assessment pending</v>
      </c>
    </row>
    <row r="1230" ht="15.75" customHeight="1">
      <c r="A1230" s="35" t="s">
        <v>3067</v>
      </c>
      <c r="B1230" s="35" t="s">
        <v>3068</v>
      </c>
      <c r="C1230" s="35" t="s">
        <v>1286</v>
      </c>
      <c r="D1230" s="35" t="s">
        <v>260</v>
      </c>
      <c r="E1230" s="35" t="s">
        <v>530</v>
      </c>
      <c r="F1230" s="35" t="s">
        <v>1674</v>
      </c>
      <c r="G1230" s="35" t="s">
        <v>1161</v>
      </c>
      <c r="H1230" s="76">
        <v>9775.0</v>
      </c>
      <c r="I1230" s="35"/>
      <c r="M1230" s="20">
        <f>IF($B1230="","",COUNTIFS('Blocker log'!$A:$A,$B1230,'Blocker log'!$G:$G,"&lt;&gt;"))</f>
        <v>0</v>
      </c>
      <c r="N1230" s="20">
        <f>IF($B1230="","",COUNTIFS('Blocker log'!$A:$A,$B1230,'Blocker log'!$G:$G,"Hard blocker"))</f>
        <v>0</v>
      </c>
      <c r="O1230" s="20">
        <f>IF($B1230="","",COUNTIFS('Blocker log'!$A:$A,$B1230,'Blocker log'!$G:$G,"Hard blocker",'Blocker log'!$L:$L,9))</f>
        <v>0</v>
      </c>
      <c r="P1230" s="20">
        <f>IF($B1230="","",MAXIFS('Blocker log'!$L:$L,'Blocker log'!$A:$A,$B1230,'Blocker log'!$G:$G,"Hard blocker"))</f>
        <v>0</v>
      </c>
      <c r="Q1230" s="20" t="str">
        <f>IF($B1230="","",IF($K1230&lt;&gt;"Complete","Assessment pending",IF($N1230=0,"Ready now",VLOOKUP($P1230,Lists!$D$2:$E$5,2,FALSE))))</f>
        <v>Assessment pending</v>
      </c>
    </row>
    <row r="1231" ht="15.75" customHeight="1">
      <c r="A1231" s="35" t="s">
        <v>3069</v>
      </c>
      <c r="B1231" s="35" t="s">
        <v>3070</v>
      </c>
      <c r="C1231" s="35" t="s">
        <v>1286</v>
      </c>
      <c r="D1231" s="35" t="s">
        <v>171</v>
      </c>
      <c r="E1231" s="35" t="s">
        <v>668</v>
      </c>
      <c r="F1231" s="35" t="s">
        <v>669</v>
      </c>
      <c r="G1231" s="35" t="s">
        <v>1161</v>
      </c>
      <c r="H1231" s="76">
        <v>9670.0</v>
      </c>
      <c r="I1231" s="35"/>
      <c r="M1231" s="20">
        <f>IF($B1231="","",COUNTIFS('Blocker log'!$A:$A,$B1231,'Blocker log'!$G:$G,"&lt;&gt;"))</f>
        <v>0</v>
      </c>
      <c r="N1231" s="20">
        <f>IF($B1231="","",COUNTIFS('Blocker log'!$A:$A,$B1231,'Blocker log'!$G:$G,"Hard blocker"))</f>
        <v>0</v>
      </c>
      <c r="O1231" s="20">
        <f>IF($B1231="","",COUNTIFS('Blocker log'!$A:$A,$B1231,'Blocker log'!$G:$G,"Hard blocker",'Blocker log'!$L:$L,9))</f>
        <v>0</v>
      </c>
      <c r="P1231" s="20">
        <f>IF($B1231="","",MAXIFS('Blocker log'!$L:$L,'Blocker log'!$A:$A,$B1231,'Blocker log'!$G:$G,"Hard blocker"))</f>
        <v>0</v>
      </c>
      <c r="Q1231" s="20" t="str">
        <f>IF($B1231="","",IF($K1231&lt;&gt;"Complete","Assessment pending",IF($N1231=0,"Ready now",VLOOKUP($P1231,Lists!$D$2:$E$5,2,FALSE))))</f>
        <v>Assessment pending</v>
      </c>
    </row>
    <row r="1232" ht="15.75" customHeight="1">
      <c r="A1232" s="35" t="s">
        <v>3071</v>
      </c>
      <c r="B1232" s="78" t="s">
        <v>3072</v>
      </c>
      <c r="C1232" s="35" t="s">
        <v>1286</v>
      </c>
      <c r="D1232" s="35" t="s">
        <v>58</v>
      </c>
      <c r="E1232" s="35" t="s">
        <v>101</v>
      </c>
      <c r="F1232" s="35" t="s">
        <v>554</v>
      </c>
      <c r="G1232" s="35" t="s">
        <v>1161</v>
      </c>
      <c r="H1232" s="76">
        <v>9656.0</v>
      </c>
      <c r="I1232" s="35"/>
      <c r="M1232" s="20">
        <f>IF($B1232="","",COUNTIFS('Blocker log'!$A:$A,$B1232,'Blocker log'!$G:$G,"&lt;&gt;"))</f>
        <v>0</v>
      </c>
      <c r="N1232" s="20">
        <f>IF($B1232="","",COUNTIFS('Blocker log'!$A:$A,$B1232,'Blocker log'!$G:$G,"Hard blocker"))</f>
        <v>0</v>
      </c>
      <c r="O1232" s="20">
        <f>IF($B1232="","",COUNTIFS('Blocker log'!$A:$A,$B1232,'Blocker log'!$G:$G,"Hard blocker",'Blocker log'!$L:$L,9))</f>
        <v>0</v>
      </c>
      <c r="P1232" s="20">
        <f>IF($B1232="","",MAXIFS('Blocker log'!$L:$L,'Blocker log'!$A:$A,$B1232,'Blocker log'!$G:$G,"Hard blocker"))</f>
        <v>0</v>
      </c>
      <c r="Q1232" s="20" t="str">
        <f>IF($B1232="","",IF($K1232&lt;&gt;"Complete","Assessment pending",IF($N1232=0,"Ready now",VLOOKUP($P1232,Lists!$D$2:$E$5,2,FALSE))))</f>
        <v>Assessment pending</v>
      </c>
    </row>
    <row r="1233" ht="15.75" customHeight="1">
      <c r="A1233" s="35" t="s">
        <v>3073</v>
      </c>
      <c r="B1233" s="35" t="s">
        <v>3074</v>
      </c>
      <c r="C1233" s="35" t="s">
        <v>1286</v>
      </c>
      <c r="D1233" s="35" t="s">
        <v>58</v>
      </c>
      <c r="E1233" s="35" t="s">
        <v>101</v>
      </c>
      <c r="F1233" s="35" t="s">
        <v>116</v>
      </c>
      <c r="G1233" s="35" t="s">
        <v>1161</v>
      </c>
      <c r="H1233" s="76">
        <v>9639.0</v>
      </c>
      <c r="I1233" s="35"/>
      <c r="M1233" s="20">
        <f>IF($B1233="","",COUNTIFS('Blocker log'!$A:$A,$B1233,'Blocker log'!$G:$G,"&lt;&gt;"))</f>
        <v>0</v>
      </c>
      <c r="N1233" s="20">
        <f>IF($B1233="","",COUNTIFS('Blocker log'!$A:$A,$B1233,'Blocker log'!$G:$G,"Hard blocker"))</f>
        <v>0</v>
      </c>
      <c r="O1233" s="20">
        <f>IF($B1233="","",COUNTIFS('Blocker log'!$A:$A,$B1233,'Blocker log'!$G:$G,"Hard blocker",'Blocker log'!$L:$L,9))</f>
        <v>0</v>
      </c>
      <c r="P1233" s="20">
        <f>IF($B1233="","",MAXIFS('Blocker log'!$L:$L,'Blocker log'!$A:$A,$B1233,'Blocker log'!$G:$G,"Hard blocker"))</f>
        <v>0</v>
      </c>
      <c r="Q1233" s="20" t="str">
        <f>IF($B1233="","",IF($K1233&lt;&gt;"Complete","Assessment pending",IF($N1233=0,"Ready now",VLOOKUP($P1233,Lists!$D$2:$E$5,2,FALSE))))</f>
        <v>Assessment pending</v>
      </c>
    </row>
    <row r="1234" ht="15.75" customHeight="1">
      <c r="A1234" s="35" t="s">
        <v>3075</v>
      </c>
      <c r="B1234" s="35" t="s">
        <v>3076</v>
      </c>
      <c r="C1234" s="35" t="s">
        <v>1286</v>
      </c>
      <c r="D1234" s="35" t="s">
        <v>260</v>
      </c>
      <c r="E1234" s="35" t="s">
        <v>1096</v>
      </c>
      <c r="F1234" s="35" t="s">
        <v>1650</v>
      </c>
      <c r="G1234" s="35" t="s">
        <v>1161</v>
      </c>
      <c r="H1234" s="76">
        <v>9600.0</v>
      </c>
      <c r="I1234" s="35" t="s">
        <v>416</v>
      </c>
      <c r="M1234" s="20">
        <f>IF($B1234="","",COUNTIFS('Blocker log'!$A:$A,$B1234,'Blocker log'!$G:$G,"&lt;&gt;"))</f>
        <v>0</v>
      </c>
      <c r="N1234" s="20">
        <f>IF($B1234="","",COUNTIFS('Blocker log'!$A:$A,$B1234,'Blocker log'!$G:$G,"Hard blocker"))</f>
        <v>0</v>
      </c>
      <c r="O1234" s="20">
        <f>IF($B1234="","",COUNTIFS('Blocker log'!$A:$A,$B1234,'Blocker log'!$G:$G,"Hard blocker",'Blocker log'!$L:$L,9))</f>
        <v>0</v>
      </c>
      <c r="P1234" s="20">
        <f>IF($B1234="","",MAXIFS('Blocker log'!$L:$L,'Blocker log'!$A:$A,$B1234,'Blocker log'!$G:$G,"Hard blocker"))</f>
        <v>0</v>
      </c>
      <c r="Q1234" s="20" t="str">
        <f>IF($B1234="","",IF($K1234&lt;&gt;"Complete","Assessment pending",IF($N1234=0,"Ready now",VLOOKUP($P1234,Lists!$D$2:$E$5,2,FALSE))))</f>
        <v>Assessment pending</v>
      </c>
    </row>
    <row r="1235" ht="15.75" customHeight="1">
      <c r="A1235" s="35" t="s">
        <v>3077</v>
      </c>
      <c r="B1235" s="35" t="s">
        <v>3078</v>
      </c>
      <c r="C1235" s="35" t="s">
        <v>1286</v>
      </c>
      <c r="D1235" s="35" t="s">
        <v>260</v>
      </c>
      <c r="E1235" s="35" t="s">
        <v>506</v>
      </c>
      <c r="F1235" s="35" t="s">
        <v>507</v>
      </c>
      <c r="G1235" s="35" t="s">
        <v>1161</v>
      </c>
      <c r="H1235" s="76">
        <v>9589.0</v>
      </c>
      <c r="I1235" s="35" t="s">
        <v>440</v>
      </c>
      <c r="M1235" s="20">
        <f>IF($B1235="","",COUNTIFS('Blocker log'!$A:$A,$B1235,'Blocker log'!$G:$G,"&lt;&gt;"))</f>
        <v>0</v>
      </c>
      <c r="N1235" s="20">
        <f>IF($B1235="","",COUNTIFS('Blocker log'!$A:$A,$B1235,'Blocker log'!$G:$G,"Hard blocker"))</f>
        <v>0</v>
      </c>
      <c r="O1235" s="20">
        <f>IF($B1235="","",COUNTIFS('Blocker log'!$A:$A,$B1235,'Blocker log'!$G:$G,"Hard blocker",'Blocker log'!$L:$L,9))</f>
        <v>0</v>
      </c>
      <c r="P1235" s="20">
        <f>IF($B1235="","",MAXIFS('Blocker log'!$L:$L,'Blocker log'!$A:$A,$B1235,'Blocker log'!$G:$G,"Hard blocker"))</f>
        <v>0</v>
      </c>
      <c r="Q1235" s="20" t="str">
        <f>IF($B1235="","",IF($K1235&lt;&gt;"Complete","Assessment pending",IF($N1235=0,"Ready now",VLOOKUP($P1235,Lists!$D$2:$E$5,2,FALSE))))</f>
        <v>Assessment pending</v>
      </c>
    </row>
    <row r="1236" ht="15.75" customHeight="1">
      <c r="A1236" s="35" t="s">
        <v>3079</v>
      </c>
      <c r="B1236" s="35" t="s">
        <v>3080</v>
      </c>
      <c r="C1236" s="35" t="s">
        <v>1286</v>
      </c>
      <c r="D1236" s="35" t="s">
        <v>171</v>
      </c>
      <c r="E1236" s="35" t="s">
        <v>773</v>
      </c>
      <c r="F1236" s="35" t="s">
        <v>774</v>
      </c>
      <c r="G1236" s="35" t="s">
        <v>1161</v>
      </c>
      <c r="H1236" s="76">
        <v>9520.0</v>
      </c>
      <c r="I1236" s="35" t="s">
        <v>407</v>
      </c>
      <c r="M1236" s="20">
        <f>IF($B1236="","",COUNTIFS('Blocker log'!$A:$A,$B1236,'Blocker log'!$G:$G,"&lt;&gt;"))</f>
        <v>0</v>
      </c>
      <c r="N1236" s="20">
        <f>IF($B1236="","",COUNTIFS('Blocker log'!$A:$A,$B1236,'Blocker log'!$G:$G,"Hard blocker"))</f>
        <v>0</v>
      </c>
      <c r="O1236" s="20">
        <f>IF($B1236="","",COUNTIFS('Blocker log'!$A:$A,$B1236,'Blocker log'!$G:$G,"Hard blocker",'Blocker log'!$L:$L,9))</f>
        <v>0</v>
      </c>
      <c r="P1236" s="20">
        <f>IF($B1236="","",MAXIFS('Blocker log'!$L:$L,'Blocker log'!$A:$A,$B1236,'Blocker log'!$G:$G,"Hard blocker"))</f>
        <v>0</v>
      </c>
      <c r="Q1236" s="20" t="str">
        <f>IF($B1236="","",IF($K1236&lt;&gt;"Complete","Assessment pending",IF($N1236=0,"Ready now",VLOOKUP($P1236,Lists!$D$2:$E$5,2,FALSE))))</f>
        <v>Assessment pending</v>
      </c>
    </row>
    <row r="1237" ht="15.75" customHeight="1">
      <c r="A1237" s="35" t="s">
        <v>3081</v>
      </c>
      <c r="B1237" s="35" t="s">
        <v>3082</v>
      </c>
      <c r="C1237" s="35" t="s">
        <v>1286</v>
      </c>
      <c r="D1237" s="35" t="s">
        <v>171</v>
      </c>
      <c r="E1237" s="35" t="s">
        <v>668</v>
      </c>
      <c r="F1237" s="35" t="s">
        <v>669</v>
      </c>
      <c r="G1237" s="35" t="s">
        <v>1161</v>
      </c>
      <c r="H1237" s="76">
        <v>9511.0</v>
      </c>
      <c r="I1237" s="35"/>
      <c r="M1237" s="20">
        <f>IF($B1237="","",COUNTIFS('Blocker log'!$A:$A,$B1237,'Blocker log'!$G:$G,"&lt;&gt;"))</f>
        <v>0</v>
      </c>
      <c r="N1237" s="20">
        <f>IF($B1237="","",COUNTIFS('Blocker log'!$A:$A,$B1237,'Blocker log'!$G:$G,"Hard blocker"))</f>
        <v>0</v>
      </c>
      <c r="O1237" s="20">
        <f>IF($B1237="","",COUNTIFS('Blocker log'!$A:$A,$B1237,'Blocker log'!$G:$G,"Hard blocker",'Blocker log'!$L:$L,9))</f>
        <v>0</v>
      </c>
      <c r="P1237" s="20">
        <f>IF($B1237="","",MAXIFS('Blocker log'!$L:$L,'Blocker log'!$A:$A,$B1237,'Blocker log'!$G:$G,"Hard blocker"))</f>
        <v>0</v>
      </c>
      <c r="Q1237" s="20" t="str">
        <f>IF($B1237="","",IF($K1237&lt;&gt;"Complete","Assessment pending",IF($N1237=0,"Ready now",VLOOKUP($P1237,Lists!$D$2:$E$5,2,FALSE))))</f>
        <v>Assessment pending</v>
      </c>
    </row>
    <row r="1238" ht="15.75" customHeight="1">
      <c r="A1238" s="35" t="s">
        <v>3083</v>
      </c>
      <c r="B1238" s="35" t="s">
        <v>3084</v>
      </c>
      <c r="C1238" s="35" t="s">
        <v>1286</v>
      </c>
      <c r="D1238" s="35" t="s">
        <v>260</v>
      </c>
      <c r="E1238" s="35" t="s">
        <v>506</v>
      </c>
      <c r="F1238" s="35" t="s">
        <v>507</v>
      </c>
      <c r="G1238" s="35" t="s">
        <v>1161</v>
      </c>
      <c r="H1238" s="76">
        <v>9508.0</v>
      </c>
      <c r="I1238" s="35" t="s">
        <v>417</v>
      </c>
      <c r="M1238" s="20">
        <f>IF($B1238="","",COUNTIFS('Blocker log'!$A:$A,$B1238,'Blocker log'!$G:$G,"&lt;&gt;"))</f>
        <v>0</v>
      </c>
      <c r="N1238" s="20">
        <f>IF($B1238="","",COUNTIFS('Blocker log'!$A:$A,$B1238,'Blocker log'!$G:$G,"Hard blocker"))</f>
        <v>0</v>
      </c>
      <c r="O1238" s="20">
        <f>IF($B1238="","",COUNTIFS('Blocker log'!$A:$A,$B1238,'Blocker log'!$G:$G,"Hard blocker",'Blocker log'!$L:$L,9))</f>
        <v>0</v>
      </c>
      <c r="P1238" s="20">
        <f>IF($B1238="","",MAXIFS('Blocker log'!$L:$L,'Blocker log'!$A:$A,$B1238,'Blocker log'!$G:$G,"Hard blocker"))</f>
        <v>0</v>
      </c>
      <c r="Q1238" s="20" t="str">
        <f>IF($B1238="","",IF($K1238&lt;&gt;"Complete","Assessment pending",IF($N1238=0,"Ready now",VLOOKUP($P1238,Lists!$D$2:$E$5,2,FALSE))))</f>
        <v>Assessment pending</v>
      </c>
    </row>
    <row r="1239" ht="15.75" customHeight="1">
      <c r="A1239" s="35" t="s">
        <v>3085</v>
      </c>
      <c r="B1239" s="35" t="s">
        <v>3086</v>
      </c>
      <c r="C1239" s="35" t="s">
        <v>1286</v>
      </c>
      <c r="D1239" s="35" t="s">
        <v>171</v>
      </c>
      <c r="E1239" s="35" t="s">
        <v>1465</v>
      </c>
      <c r="F1239" s="35" t="s">
        <v>1466</v>
      </c>
      <c r="G1239" s="35" t="s">
        <v>1042</v>
      </c>
      <c r="H1239" s="76">
        <v>9400.0</v>
      </c>
      <c r="I1239" s="35" t="s">
        <v>431</v>
      </c>
      <c r="M1239" s="20">
        <f>IF($B1239="","",COUNTIFS('Blocker log'!$A:$A,$B1239,'Blocker log'!$G:$G,"&lt;&gt;"))</f>
        <v>0</v>
      </c>
      <c r="N1239" s="20">
        <f>IF($B1239="","",COUNTIFS('Blocker log'!$A:$A,$B1239,'Blocker log'!$G:$G,"Hard blocker"))</f>
        <v>0</v>
      </c>
      <c r="O1239" s="20">
        <f>IF($B1239="","",COUNTIFS('Blocker log'!$A:$A,$B1239,'Blocker log'!$G:$G,"Hard blocker",'Blocker log'!$L:$L,9))</f>
        <v>0</v>
      </c>
      <c r="P1239" s="20">
        <f>IF($B1239="","",MAXIFS('Blocker log'!$L:$L,'Blocker log'!$A:$A,$B1239,'Blocker log'!$G:$G,"Hard blocker"))</f>
        <v>0</v>
      </c>
      <c r="Q1239" s="20" t="str">
        <f>IF($B1239="","",IF($K1239&lt;&gt;"Complete","Assessment pending",IF($N1239=0,"Ready now",VLOOKUP($P1239,Lists!$D$2:$E$5,2,FALSE))))</f>
        <v>Assessment pending</v>
      </c>
    </row>
    <row r="1240" ht="15.75" customHeight="1">
      <c r="A1240" s="35" t="s">
        <v>3087</v>
      </c>
      <c r="B1240" s="35" t="s">
        <v>3088</v>
      </c>
      <c r="C1240" s="35" t="s">
        <v>1286</v>
      </c>
      <c r="D1240" s="35" t="s">
        <v>260</v>
      </c>
      <c r="E1240" s="35" t="s">
        <v>1096</v>
      </c>
      <c r="F1240" s="35" t="s">
        <v>1366</v>
      </c>
      <c r="G1240" s="35" t="s">
        <v>1161</v>
      </c>
      <c r="H1240" s="76">
        <v>9360.0</v>
      </c>
      <c r="I1240" s="35"/>
      <c r="M1240" s="20">
        <f>IF($B1240="","",COUNTIFS('Blocker log'!$A:$A,$B1240,'Blocker log'!$G:$G,"&lt;&gt;"))</f>
        <v>0</v>
      </c>
      <c r="N1240" s="20">
        <f>IF($B1240="","",COUNTIFS('Blocker log'!$A:$A,$B1240,'Blocker log'!$G:$G,"Hard blocker"))</f>
        <v>0</v>
      </c>
      <c r="O1240" s="20">
        <f>IF($B1240="","",COUNTIFS('Blocker log'!$A:$A,$B1240,'Blocker log'!$G:$G,"Hard blocker",'Blocker log'!$L:$L,9))</f>
        <v>0</v>
      </c>
      <c r="P1240" s="20">
        <f>IF($B1240="","",MAXIFS('Blocker log'!$L:$L,'Blocker log'!$A:$A,$B1240,'Blocker log'!$G:$G,"Hard blocker"))</f>
        <v>0</v>
      </c>
      <c r="Q1240" s="20" t="str">
        <f>IF($B1240="","",IF($K1240&lt;&gt;"Complete","Assessment pending",IF($N1240=0,"Ready now",VLOOKUP($P1240,Lists!$D$2:$E$5,2,FALSE))))</f>
        <v>Assessment pending</v>
      </c>
    </row>
    <row r="1241" ht="15.75" customHeight="1">
      <c r="A1241" s="35" t="s">
        <v>3089</v>
      </c>
      <c r="B1241" s="35" t="s">
        <v>3090</v>
      </c>
      <c r="C1241" s="35" t="s">
        <v>1286</v>
      </c>
      <c r="D1241" s="35" t="s">
        <v>171</v>
      </c>
      <c r="E1241" s="35" t="s">
        <v>760</v>
      </c>
      <c r="F1241" s="35" t="s">
        <v>2715</v>
      </c>
      <c r="G1241" s="35" t="s">
        <v>1161</v>
      </c>
      <c r="H1241" s="76">
        <v>9351.0</v>
      </c>
      <c r="I1241" s="35"/>
      <c r="M1241" s="20">
        <f>IF($B1241="","",COUNTIFS('Blocker log'!$A:$A,$B1241,'Blocker log'!$G:$G,"&lt;&gt;"))</f>
        <v>0</v>
      </c>
      <c r="N1241" s="20">
        <f>IF($B1241="","",COUNTIFS('Blocker log'!$A:$A,$B1241,'Blocker log'!$G:$G,"Hard blocker"))</f>
        <v>0</v>
      </c>
      <c r="O1241" s="20">
        <f>IF($B1241="","",COUNTIFS('Blocker log'!$A:$A,$B1241,'Blocker log'!$G:$G,"Hard blocker",'Blocker log'!$L:$L,9))</f>
        <v>0</v>
      </c>
      <c r="P1241" s="20">
        <f>IF($B1241="","",MAXIFS('Blocker log'!$L:$L,'Blocker log'!$A:$A,$B1241,'Blocker log'!$G:$G,"Hard blocker"))</f>
        <v>0</v>
      </c>
      <c r="Q1241" s="20" t="str">
        <f>IF($B1241="","",IF($K1241&lt;&gt;"Complete","Assessment pending",IF($N1241=0,"Ready now",VLOOKUP($P1241,Lists!$D$2:$E$5,2,FALSE))))</f>
        <v>Assessment pending</v>
      </c>
    </row>
    <row r="1242" ht="15.75" customHeight="1">
      <c r="A1242" s="35" t="s">
        <v>3091</v>
      </c>
      <c r="B1242" s="35" t="s">
        <v>3092</v>
      </c>
      <c r="C1242" s="35" t="s">
        <v>1286</v>
      </c>
      <c r="D1242" s="35" t="s">
        <v>171</v>
      </c>
      <c r="E1242" s="35" t="s">
        <v>512</v>
      </c>
      <c r="F1242" s="35" t="s">
        <v>944</v>
      </c>
      <c r="G1242" s="35" t="s">
        <v>1161</v>
      </c>
      <c r="H1242" s="76">
        <v>9239.0</v>
      </c>
      <c r="I1242" s="35"/>
      <c r="M1242" s="20">
        <f>IF($B1242="","",COUNTIFS('Blocker log'!$A:$A,$B1242,'Blocker log'!$G:$G,"&lt;&gt;"))</f>
        <v>0</v>
      </c>
      <c r="N1242" s="20">
        <f>IF($B1242="","",COUNTIFS('Blocker log'!$A:$A,$B1242,'Blocker log'!$G:$G,"Hard blocker"))</f>
        <v>0</v>
      </c>
      <c r="O1242" s="20">
        <f>IF($B1242="","",COUNTIFS('Blocker log'!$A:$A,$B1242,'Blocker log'!$G:$G,"Hard blocker",'Blocker log'!$L:$L,9))</f>
        <v>0</v>
      </c>
      <c r="P1242" s="20">
        <f>IF($B1242="","",MAXIFS('Blocker log'!$L:$L,'Blocker log'!$A:$A,$B1242,'Blocker log'!$G:$G,"Hard blocker"))</f>
        <v>0</v>
      </c>
      <c r="Q1242" s="20" t="str">
        <f>IF($B1242="","",IF($K1242&lt;&gt;"Complete","Assessment pending",IF($N1242=0,"Ready now",VLOOKUP($P1242,Lists!$D$2:$E$5,2,FALSE))))</f>
        <v>Assessment pending</v>
      </c>
    </row>
    <row r="1243" ht="15.75" customHeight="1">
      <c r="A1243" s="35" t="s">
        <v>3093</v>
      </c>
      <c r="B1243" s="35" t="s">
        <v>3094</v>
      </c>
      <c r="C1243" s="35"/>
      <c r="D1243" s="35" t="s">
        <v>260</v>
      </c>
      <c r="E1243" s="35" t="s">
        <v>1096</v>
      </c>
      <c r="F1243" s="35" t="s">
        <v>1366</v>
      </c>
      <c r="G1243" s="35" t="s">
        <v>1161</v>
      </c>
      <c r="H1243" s="76">
        <v>9072.0</v>
      </c>
      <c r="I1243" s="35"/>
      <c r="M1243" s="20">
        <f>IF($B1243="","",COUNTIFS('Blocker log'!$A:$A,$B1243,'Blocker log'!$G:$G,"&lt;&gt;"))</f>
        <v>0</v>
      </c>
      <c r="N1243" s="20">
        <f>IF($B1243="","",COUNTIFS('Blocker log'!$A:$A,$B1243,'Blocker log'!$G:$G,"Hard blocker"))</f>
        <v>0</v>
      </c>
      <c r="O1243" s="20">
        <f>IF($B1243="","",COUNTIFS('Blocker log'!$A:$A,$B1243,'Blocker log'!$G:$G,"Hard blocker",'Blocker log'!$L:$L,9))</f>
        <v>0</v>
      </c>
      <c r="P1243" s="20">
        <f>IF($B1243="","",MAXIFS('Blocker log'!$L:$L,'Blocker log'!$A:$A,$B1243,'Blocker log'!$G:$G,"Hard blocker"))</f>
        <v>0</v>
      </c>
      <c r="Q1243" s="20" t="str">
        <f>IF($B1243="","",IF($K1243&lt;&gt;"Complete","Assessment pending",IF($N1243=0,"Ready now",VLOOKUP($P1243,Lists!$D$2:$E$5,2,FALSE))))</f>
        <v>Assessment pending</v>
      </c>
    </row>
    <row r="1244" ht="15.75" customHeight="1">
      <c r="A1244" s="35" t="s">
        <v>3095</v>
      </c>
      <c r="B1244" s="35" t="s">
        <v>3096</v>
      </c>
      <c r="C1244" s="35" t="s">
        <v>1286</v>
      </c>
      <c r="D1244" s="35" t="s">
        <v>171</v>
      </c>
      <c r="E1244" s="35" t="s">
        <v>755</v>
      </c>
      <c r="F1244" s="35" t="s">
        <v>3097</v>
      </c>
      <c r="G1244" s="35" t="s">
        <v>1161</v>
      </c>
      <c r="H1244" s="76">
        <v>9072.0</v>
      </c>
      <c r="I1244" s="35"/>
      <c r="M1244" s="20">
        <f>IF($B1244="","",COUNTIFS('Blocker log'!$A:$A,$B1244,'Blocker log'!$G:$G,"&lt;&gt;"))</f>
        <v>0</v>
      </c>
      <c r="N1244" s="20">
        <f>IF($B1244="","",COUNTIFS('Blocker log'!$A:$A,$B1244,'Blocker log'!$G:$G,"Hard blocker"))</f>
        <v>0</v>
      </c>
      <c r="O1244" s="20">
        <f>IF($B1244="","",COUNTIFS('Blocker log'!$A:$A,$B1244,'Blocker log'!$G:$G,"Hard blocker",'Blocker log'!$L:$L,9))</f>
        <v>0</v>
      </c>
      <c r="P1244" s="20">
        <f>IF($B1244="","",MAXIFS('Blocker log'!$L:$L,'Blocker log'!$A:$A,$B1244,'Blocker log'!$G:$G,"Hard blocker"))</f>
        <v>0</v>
      </c>
      <c r="Q1244" s="20" t="str">
        <f>IF($B1244="","",IF($K1244&lt;&gt;"Complete","Assessment pending",IF($N1244=0,"Ready now",VLOOKUP($P1244,Lists!$D$2:$E$5,2,FALSE))))</f>
        <v>Assessment pending</v>
      </c>
    </row>
    <row r="1245" ht="15.75" customHeight="1">
      <c r="A1245" s="35" t="s">
        <v>3098</v>
      </c>
      <c r="B1245" s="35" t="s">
        <v>3099</v>
      </c>
      <c r="C1245" s="35" t="s">
        <v>1286</v>
      </c>
      <c r="D1245" s="35" t="s">
        <v>260</v>
      </c>
      <c r="E1245" s="35" t="s">
        <v>1096</v>
      </c>
      <c r="F1245" s="35" t="s">
        <v>1097</v>
      </c>
      <c r="G1245" s="35" t="s">
        <v>1161</v>
      </c>
      <c r="H1245" s="76">
        <v>9007.0</v>
      </c>
      <c r="I1245" s="35" t="s">
        <v>416</v>
      </c>
      <c r="M1245" s="20">
        <f>IF($B1245="","",COUNTIFS('Blocker log'!$A:$A,$B1245,'Blocker log'!$G:$G,"&lt;&gt;"))</f>
        <v>0</v>
      </c>
      <c r="N1245" s="20">
        <f>IF($B1245="","",COUNTIFS('Blocker log'!$A:$A,$B1245,'Blocker log'!$G:$G,"Hard blocker"))</f>
        <v>0</v>
      </c>
      <c r="O1245" s="20">
        <f>IF($B1245="","",COUNTIFS('Blocker log'!$A:$A,$B1245,'Blocker log'!$G:$G,"Hard blocker",'Blocker log'!$L:$L,9))</f>
        <v>0</v>
      </c>
      <c r="P1245" s="20">
        <f>IF($B1245="","",MAXIFS('Blocker log'!$L:$L,'Blocker log'!$A:$A,$B1245,'Blocker log'!$G:$G,"Hard blocker"))</f>
        <v>0</v>
      </c>
      <c r="Q1245" s="20" t="str">
        <f>IF($B1245="","",IF($K1245&lt;&gt;"Complete","Assessment pending",IF($N1245=0,"Ready now",VLOOKUP($P1245,Lists!$D$2:$E$5,2,FALSE))))</f>
        <v>Assessment pending</v>
      </c>
    </row>
    <row r="1246" ht="15.75" customHeight="1">
      <c r="A1246" s="35" t="s">
        <v>3100</v>
      </c>
      <c r="B1246" s="35" t="s">
        <v>3101</v>
      </c>
      <c r="C1246" s="35" t="s">
        <v>1286</v>
      </c>
      <c r="D1246" s="35" t="s">
        <v>260</v>
      </c>
      <c r="E1246" s="35" t="s">
        <v>530</v>
      </c>
      <c r="F1246" s="35" t="s">
        <v>1493</v>
      </c>
      <c r="G1246" s="35" t="s">
        <v>1161</v>
      </c>
      <c r="H1246" s="76">
        <v>9000.0</v>
      </c>
      <c r="I1246" s="35" t="s">
        <v>441</v>
      </c>
      <c r="M1246" s="20">
        <f>IF($B1246="","",COUNTIFS('Blocker log'!$A:$A,$B1246,'Blocker log'!$G:$G,"&lt;&gt;"))</f>
        <v>0</v>
      </c>
      <c r="N1246" s="20">
        <f>IF($B1246="","",COUNTIFS('Blocker log'!$A:$A,$B1246,'Blocker log'!$G:$G,"Hard blocker"))</f>
        <v>0</v>
      </c>
      <c r="O1246" s="20">
        <f>IF($B1246="","",COUNTIFS('Blocker log'!$A:$A,$B1246,'Blocker log'!$G:$G,"Hard blocker",'Blocker log'!$L:$L,9))</f>
        <v>0</v>
      </c>
      <c r="P1246" s="20">
        <f>IF($B1246="","",MAXIFS('Blocker log'!$L:$L,'Blocker log'!$A:$A,$B1246,'Blocker log'!$G:$G,"Hard blocker"))</f>
        <v>0</v>
      </c>
      <c r="Q1246" s="20" t="str">
        <f>IF($B1246="","",IF($K1246&lt;&gt;"Complete","Assessment pending",IF($N1246=0,"Ready now",VLOOKUP($P1246,Lists!$D$2:$E$5,2,FALSE))))</f>
        <v>Assessment pending</v>
      </c>
    </row>
    <row r="1247" ht="15.75" customHeight="1">
      <c r="A1247" s="35" t="s">
        <v>3102</v>
      </c>
      <c r="B1247" s="35" t="s">
        <v>3103</v>
      </c>
      <c r="C1247" s="35" t="s">
        <v>1286</v>
      </c>
      <c r="D1247" s="35" t="s">
        <v>260</v>
      </c>
      <c r="E1247" s="35" t="s">
        <v>506</v>
      </c>
      <c r="F1247" s="35" t="s">
        <v>798</v>
      </c>
      <c r="G1247" s="35" t="s">
        <v>1161</v>
      </c>
      <c r="H1247" s="76">
        <v>9000.0</v>
      </c>
      <c r="I1247" s="35" t="s">
        <v>417</v>
      </c>
      <c r="M1247" s="20">
        <f>IF($B1247="","",COUNTIFS('Blocker log'!$A:$A,$B1247,'Blocker log'!$G:$G,"&lt;&gt;"))</f>
        <v>0</v>
      </c>
      <c r="N1247" s="20">
        <f>IF($B1247="","",COUNTIFS('Blocker log'!$A:$A,$B1247,'Blocker log'!$G:$G,"Hard blocker"))</f>
        <v>0</v>
      </c>
      <c r="O1247" s="20">
        <f>IF($B1247="","",COUNTIFS('Blocker log'!$A:$A,$B1247,'Blocker log'!$G:$G,"Hard blocker",'Blocker log'!$L:$L,9))</f>
        <v>0</v>
      </c>
      <c r="P1247" s="20">
        <f>IF($B1247="","",MAXIFS('Blocker log'!$L:$L,'Blocker log'!$A:$A,$B1247,'Blocker log'!$G:$G,"Hard blocker"))</f>
        <v>0</v>
      </c>
      <c r="Q1247" s="20" t="str">
        <f>IF($B1247="","",IF($K1247&lt;&gt;"Complete","Assessment pending",IF($N1247=0,"Ready now",VLOOKUP($P1247,Lists!$D$2:$E$5,2,FALSE))))</f>
        <v>Assessment pending</v>
      </c>
    </row>
    <row r="1248" ht="15.75" customHeight="1">
      <c r="A1248" s="35" t="s">
        <v>3104</v>
      </c>
      <c r="B1248" s="35" t="s">
        <v>3105</v>
      </c>
      <c r="C1248" s="35" t="s">
        <v>1286</v>
      </c>
      <c r="D1248" s="35" t="s">
        <v>58</v>
      </c>
      <c r="E1248" s="35" t="s">
        <v>101</v>
      </c>
      <c r="F1248" s="35" t="s">
        <v>1386</v>
      </c>
      <c r="G1248" s="35" t="s">
        <v>1161</v>
      </c>
      <c r="H1248" s="76">
        <v>9000.0</v>
      </c>
      <c r="I1248" s="35"/>
      <c r="M1248" s="20">
        <f>IF($B1248="","",COUNTIFS('Blocker log'!$A:$A,$B1248,'Blocker log'!$G:$G,"&lt;&gt;"))</f>
        <v>0</v>
      </c>
      <c r="N1248" s="20">
        <f>IF($B1248="","",COUNTIFS('Blocker log'!$A:$A,$B1248,'Blocker log'!$G:$G,"Hard blocker"))</f>
        <v>0</v>
      </c>
      <c r="O1248" s="20">
        <f>IF($B1248="","",COUNTIFS('Blocker log'!$A:$A,$B1248,'Blocker log'!$G:$G,"Hard blocker",'Blocker log'!$L:$L,9))</f>
        <v>0</v>
      </c>
      <c r="P1248" s="20">
        <f>IF($B1248="","",MAXIFS('Blocker log'!$L:$L,'Blocker log'!$A:$A,$B1248,'Blocker log'!$G:$G,"Hard blocker"))</f>
        <v>0</v>
      </c>
      <c r="Q1248" s="20" t="str">
        <f>IF($B1248="","",IF($K1248&lt;&gt;"Complete","Assessment pending",IF($N1248=0,"Ready now",VLOOKUP($P1248,Lists!$D$2:$E$5,2,FALSE))))</f>
        <v>Assessment pending</v>
      </c>
    </row>
    <row r="1249" ht="15.75" customHeight="1">
      <c r="A1249" s="35" t="s">
        <v>3106</v>
      </c>
      <c r="B1249" s="35" t="s">
        <v>3107</v>
      </c>
      <c r="C1249" s="35" t="s">
        <v>1286</v>
      </c>
      <c r="D1249" s="35" t="s">
        <v>260</v>
      </c>
      <c r="E1249" s="35" t="s">
        <v>576</v>
      </c>
      <c r="F1249" s="35" t="s">
        <v>1965</v>
      </c>
      <c r="G1249" s="35" t="s">
        <v>1042</v>
      </c>
      <c r="H1249" s="76">
        <v>8980.0</v>
      </c>
      <c r="I1249" s="35" t="s">
        <v>403</v>
      </c>
      <c r="M1249" s="20">
        <f>IF($B1249="","",COUNTIFS('Blocker log'!$A:$A,$B1249,'Blocker log'!$G:$G,"&lt;&gt;"))</f>
        <v>0</v>
      </c>
      <c r="N1249" s="20">
        <f>IF($B1249="","",COUNTIFS('Blocker log'!$A:$A,$B1249,'Blocker log'!$G:$G,"Hard blocker"))</f>
        <v>0</v>
      </c>
      <c r="O1249" s="20">
        <f>IF($B1249="","",COUNTIFS('Blocker log'!$A:$A,$B1249,'Blocker log'!$G:$G,"Hard blocker",'Blocker log'!$L:$L,9))</f>
        <v>0</v>
      </c>
      <c r="P1249" s="20">
        <f>IF($B1249="","",MAXIFS('Blocker log'!$L:$L,'Blocker log'!$A:$A,$B1249,'Blocker log'!$G:$G,"Hard blocker"))</f>
        <v>0</v>
      </c>
      <c r="Q1249" s="20" t="str">
        <f>IF($B1249="","",IF($K1249&lt;&gt;"Complete","Assessment pending",IF($N1249=0,"Ready now",VLOOKUP($P1249,Lists!$D$2:$E$5,2,FALSE))))</f>
        <v>Assessment pending</v>
      </c>
    </row>
    <row r="1250" ht="15.75" customHeight="1">
      <c r="A1250" s="35" t="s">
        <v>3108</v>
      </c>
      <c r="B1250" s="35" t="s">
        <v>3109</v>
      </c>
      <c r="C1250" s="35" t="s">
        <v>1286</v>
      </c>
      <c r="D1250" s="35" t="s">
        <v>58</v>
      </c>
      <c r="E1250" s="35" t="s">
        <v>140</v>
      </c>
      <c r="F1250" s="35" t="s">
        <v>370</v>
      </c>
      <c r="G1250" s="35" t="s">
        <v>1161</v>
      </c>
      <c r="H1250" s="76">
        <v>8852.0</v>
      </c>
      <c r="I1250" s="35"/>
      <c r="M1250" s="20">
        <f>IF($B1250="","",COUNTIFS('Blocker log'!$A:$A,$B1250,'Blocker log'!$G:$G,"&lt;&gt;"))</f>
        <v>0</v>
      </c>
      <c r="N1250" s="20">
        <f>IF($B1250="","",COUNTIFS('Blocker log'!$A:$A,$B1250,'Blocker log'!$G:$G,"Hard blocker"))</f>
        <v>0</v>
      </c>
      <c r="O1250" s="20">
        <f>IF($B1250="","",COUNTIFS('Blocker log'!$A:$A,$B1250,'Blocker log'!$G:$G,"Hard blocker",'Blocker log'!$L:$L,9))</f>
        <v>0</v>
      </c>
      <c r="P1250" s="20">
        <f>IF($B1250="","",MAXIFS('Blocker log'!$L:$L,'Blocker log'!$A:$A,$B1250,'Blocker log'!$G:$G,"Hard blocker"))</f>
        <v>0</v>
      </c>
      <c r="Q1250" s="20" t="str">
        <f>IF($B1250="","",IF($K1250&lt;&gt;"Complete","Assessment pending",IF($N1250=0,"Ready now",VLOOKUP($P1250,Lists!$D$2:$E$5,2,FALSE))))</f>
        <v>Assessment pending</v>
      </c>
    </row>
    <row r="1251" ht="15.75" customHeight="1">
      <c r="A1251" s="35" t="s">
        <v>3110</v>
      </c>
      <c r="B1251" s="35" t="s">
        <v>3111</v>
      </c>
      <c r="C1251" s="35" t="s">
        <v>1286</v>
      </c>
      <c r="D1251" s="35" t="s">
        <v>171</v>
      </c>
      <c r="E1251" s="35" t="s">
        <v>760</v>
      </c>
      <c r="F1251" s="35" t="s">
        <v>2715</v>
      </c>
      <c r="G1251" s="35" t="s">
        <v>1161</v>
      </c>
      <c r="H1251" s="76">
        <v>8840.0</v>
      </c>
      <c r="I1251" s="35"/>
      <c r="M1251" s="20">
        <f>IF($B1251="","",COUNTIFS('Blocker log'!$A:$A,$B1251,'Blocker log'!$G:$G,"&lt;&gt;"))</f>
        <v>0</v>
      </c>
      <c r="N1251" s="20">
        <f>IF($B1251="","",COUNTIFS('Blocker log'!$A:$A,$B1251,'Blocker log'!$G:$G,"Hard blocker"))</f>
        <v>0</v>
      </c>
      <c r="O1251" s="20">
        <f>IF($B1251="","",COUNTIFS('Blocker log'!$A:$A,$B1251,'Blocker log'!$G:$G,"Hard blocker",'Blocker log'!$L:$L,9))</f>
        <v>0</v>
      </c>
      <c r="P1251" s="20">
        <f>IF($B1251="","",MAXIFS('Blocker log'!$L:$L,'Blocker log'!$A:$A,$B1251,'Blocker log'!$G:$G,"Hard blocker"))</f>
        <v>0</v>
      </c>
      <c r="Q1251" s="20" t="str">
        <f>IF($B1251="","",IF($K1251&lt;&gt;"Complete","Assessment pending",IF($N1251=0,"Ready now",VLOOKUP($P1251,Lists!$D$2:$E$5,2,FALSE))))</f>
        <v>Assessment pending</v>
      </c>
    </row>
    <row r="1252" ht="15.75" customHeight="1">
      <c r="A1252" s="35" t="s">
        <v>3112</v>
      </c>
      <c r="B1252" s="35" t="s">
        <v>3113</v>
      </c>
      <c r="C1252" s="35" t="s">
        <v>1286</v>
      </c>
      <c r="D1252" s="35" t="s">
        <v>260</v>
      </c>
      <c r="E1252" s="35" t="s">
        <v>506</v>
      </c>
      <c r="F1252" s="35" t="s">
        <v>507</v>
      </c>
      <c r="G1252" s="35" t="s">
        <v>1161</v>
      </c>
      <c r="H1252" s="76">
        <v>8820.0</v>
      </c>
      <c r="I1252" s="35" t="s">
        <v>440</v>
      </c>
      <c r="M1252" s="20">
        <f>IF($B1252="","",COUNTIFS('Blocker log'!$A:$A,$B1252,'Blocker log'!$G:$G,"&lt;&gt;"))</f>
        <v>0</v>
      </c>
      <c r="N1252" s="20">
        <f>IF($B1252="","",COUNTIFS('Blocker log'!$A:$A,$B1252,'Blocker log'!$G:$G,"Hard blocker"))</f>
        <v>0</v>
      </c>
      <c r="O1252" s="20">
        <f>IF($B1252="","",COUNTIFS('Blocker log'!$A:$A,$B1252,'Blocker log'!$G:$G,"Hard blocker",'Blocker log'!$L:$L,9))</f>
        <v>0</v>
      </c>
      <c r="P1252" s="20">
        <f>IF($B1252="","",MAXIFS('Blocker log'!$L:$L,'Blocker log'!$A:$A,$B1252,'Blocker log'!$G:$G,"Hard blocker"))</f>
        <v>0</v>
      </c>
      <c r="Q1252" s="20" t="str">
        <f>IF($B1252="","",IF($K1252&lt;&gt;"Complete","Assessment pending",IF($N1252=0,"Ready now",VLOOKUP($P1252,Lists!$D$2:$E$5,2,FALSE))))</f>
        <v>Assessment pending</v>
      </c>
    </row>
    <row r="1253" ht="15.75" customHeight="1">
      <c r="A1253" s="35" t="s">
        <v>3114</v>
      </c>
      <c r="B1253" s="35" t="s">
        <v>3115</v>
      </c>
      <c r="C1253" s="35" t="s">
        <v>1286</v>
      </c>
      <c r="D1253" s="35" t="s">
        <v>171</v>
      </c>
      <c r="E1253" s="35" t="s">
        <v>1465</v>
      </c>
      <c r="F1253" s="35" t="s">
        <v>1466</v>
      </c>
      <c r="G1253" s="35" t="s">
        <v>1161</v>
      </c>
      <c r="H1253" s="76">
        <v>8800.0</v>
      </c>
      <c r="I1253" s="35"/>
      <c r="M1253" s="20">
        <f>IF($B1253="","",COUNTIFS('Blocker log'!$A:$A,$B1253,'Blocker log'!$G:$G,"&lt;&gt;"))</f>
        <v>0</v>
      </c>
      <c r="N1253" s="20">
        <f>IF($B1253="","",COUNTIFS('Blocker log'!$A:$A,$B1253,'Blocker log'!$G:$G,"Hard blocker"))</f>
        <v>0</v>
      </c>
      <c r="O1253" s="20">
        <f>IF($B1253="","",COUNTIFS('Blocker log'!$A:$A,$B1253,'Blocker log'!$G:$G,"Hard blocker",'Blocker log'!$L:$L,9))</f>
        <v>0</v>
      </c>
      <c r="P1253" s="20">
        <f>IF($B1253="","",MAXIFS('Blocker log'!$L:$L,'Blocker log'!$A:$A,$B1253,'Blocker log'!$G:$G,"Hard blocker"))</f>
        <v>0</v>
      </c>
      <c r="Q1253" s="20" t="str">
        <f>IF($B1253="","",IF($K1253&lt;&gt;"Complete","Assessment pending",IF($N1253=0,"Ready now",VLOOKUP($P1253,Lists!$D$2:$E$5,2,FALSE))))</f>
        <v>Assessment pending</v>
      </c>
    </row>
    <row r="1254" ht="15.75" customHeight="1">
      <c r="A1254" s="35" t="s">
        <v>3116</v>
      </c>
      <c r="B1254" s="35" t="s">
        <v>3117</v>
      </c>
      <c r="C1254" s="35"/>
      <c r="D1254" s="35" t="s">
        <v>260</v>
      </c>
      <c r="E1254" s="35" t="s">
        <v>576</v>
      </c>
      <c r="F1254" s="35" t="s">
        <v>1965</v>
      </c>
      <c r="G1254" s="35" t="s">
        <v>1161</v>
      </c>
      <c r="H1254" s="76">
        <v>8786.0</v>
      </c>
      <c r="I1254" s="35"/>
      <c r="M1254" s="20">
        <f>IF($B1254="","",COUNTIFS('Blocker log'!$A:$A,$B1254,'Blocker log'!$G:$G,"&lt;&gt;"))</f>
        <v>0</v>
      </c>
      <c r="N1254" s="20">
        <f>IF($B1254="","",COUNTIFS('Blocker log'!$A:$A,$B1254,'Blocker log'!$G:$G,"Hard blocker"))</f>
        <v>0</v>
      </c>
      <c r="O1254" s="20">
        <f>IF($B1254="","",COUNTIFS('Blocker log'!$A:$A,$B1254,'Blocker log'!$G:$G,"Hard blocker",'Blocker log'!$L:$L,9))</f>
        <v>0</v>
      </c>
      <c r="P1254" s="20">
        <f>IF($B1254="","",MAXIFS('Blocker log'!$L:$L,'Blocker log'!$A:$A,$B1254,'Blocker log'!$G:$G,"Hard blocker"))</f>
        <v>0</v>
      </c>
      <c r="Q1254" s="20" t="str">
        <f>IF($B1254="","",IF($K1254&lt;&gt;"Complete","Assessment pending",IF($N1254=0,"Ready now",VLOOKUP($P1254,Lists!$D$2:$E$5,2,FALSE))))</f>
        <v>Assessment pending</v>
      </c>
    </row>
    <row r="1255" ht="15.75" customHeight="1">
      <c r="A1255" s="35" t="s">
        <v>3118</v>
      </c>
      <c r="B1255" s="35" t="s">
        <v>3119</v>
      </c>
      <c r="C1255" s="35" t="s">
        <v>1286</v>
      </c>
      <c r="D1255" s="35" t="s">
        <v>260</v>
      </c>
      <c r="E1255" s="35" t="s">
        <v>506</v>
      </c>
      <c r="F1255" s="35" t="s">
        <v>685</v>
      </c>
      <c r="G1255" s="35" t="s">
        <v>1161</v>
      </c>
      <c r="H1255" s="76">
        <v>8767.0</v>
      </c>
      <c r="I1255" s="35" t="s">
        <v>416</v>
      </c>
      <c r="M1255" s="20">
        <f>IF($B1255="","",COUNTIFS('Blocker log'!$A:$A,$B1255,'Blocker log'!$G:$G,"&lt;&gt;"))</f>
        <v>0</v>
      </c>
      <c r="N1255" s="20">
        <f>IF($B1255="","",COUNTIFS('Blocker log'!$A:$A,$B1255,'Blocker log'!$G:$G,"Hard blocker"))</f>
        <v>0</v>
      </c>
      <c r="O1255" s="20">
        <f>IF($B1255="","",COUNTIFS('Blocker log'!$A:$A,$B1255,'Blocker log'!$G:$G,"Hard blocker",'Blocker log'!$L:$L,9))</f>
        <v>0</v>
      </c>
      <c r="P1255" s="20">
        <f>IF($B1255="","",MAXIFS('Blocker log'!$L:$L,'Blocker log'!$A:$A,$B1255,'Blocker log'!$G:$G,"Hard blocker"))</f>
        <v>0</v>
      </c>
      <c r="Q1255" s="20" t="str">
        <f>IF($B1255="","",IF($K1255&lt;&gt;"Complete","Assessment pending",IF($N1255=0,"Ready now",VLOOKUP($P1255,Lists!$D$2:$E$5,2,FALSE))))</f>
        <v>Assessment pending</v>
      </c>
    </row>
    <row r="1256" ht="15.75" customHeight="1">
      <c r="A1256" s="35" t="s">
        <v>3120</v>
      </c>
      <c r="B1256" s="35" t="s">
        <v>3121</v>
      </c>
      <c r="C1256" s="35" t="s">
        <v>1286</v>
      </c>
      <c r="D1256" s="35" t="s">
        <v>171</v>
      </c>
      <c r="E1256" s="35" t="s">
        <v>512</v>
      </c>
      <c r="F1256" s="35" t="s">
        <v>2127</v>
      </c>
      <c r="G1256" s="35" t="s">
        <v>1161</v>
      </c>
      <c r="H1256" s="76">
        <v>8748.0</v>
      </c>
      <c r="I1256" s="35"/>
      <c r="M1256" s="20">
        <f>IF($B1256="","",COUNTIFS('Blocker log'!$A:$A,$B1256,'Blocker log'!$G:$G,"&lt;&gt;"))</f>
        <v>0</v>
      </c>
      <c r="N1256" s="20">
        <f>IF($B1256="","",COUNTIFS('Blocker log'!$A:$A,$B1256,'Blocker log'!$G:$G,"Hard blocker"))</f>
        <v>0</v>
      </c>
      <c r="O1256" s="20">
        <f>IF($B1256="","",COUNTIFS('Blocker log'!$A:$A,$B1256,'Blocker log'!$G:$G,"Hard blocker",'Blocker log'!$L:$L,9))</f>
        <v>0</v>
      </c>
      <c r="P1256" s="20">
        <f>IF($B1256="","",MAXIFS('Blocker log'!$L:$L,'Blocker log'!$A:$A,$B1256,'Blocker log'!$G:$G,"Hard blocker"))</f>
        <v>0</v>
      </c>
      <c r="Q1256" s="20" t="str">
        <f>IF($B1256="","",IF($K1256&lt;&gt;"Complete","Assessment pending",IF($N1256=0,"Ready now",VLOOKUP($P1256,Lists!$D$2:$E$5,2,FALSE))))</f>
        <v>Assessment pending</v>
      </c>
    </row>
    <row r="1257" ht="15.75" customHeight="1">
      <c r="A1257" s="35" t="s">
        <v>3122</v>
      </c>
      <c r="B1257" s="35" t="s">
        <v>3123</v>
      </c>
      <c r="C1257" s="35" t="s">
        <v>1286</v>
      </c>
      <c r="D1257" s="35" t="s">
        <v>260</v>
      </c>
      <c r="E1257" s="35" t="s">
        <v>261</v>
      </c>
      <c r="F1257" s="35" t="s">
        <v>261</v>
      </c>
      <c r="G1257" s="35" t="s">
        <v>1161</v>
      </c>
      <c r="H1257" s="76">
        <v>8748.0</v>
      </c>
      <c r="I1257" s="35"/>
      <c r="M1257" s="20">
        <f>IF($B1257="","",COUNTIFS('Blocker log'!$A:$A,$B1257,'Blocker log'!$G:$G,"&lt;&gt;"))</f>
        <v>0</v>
      </c>
      <c r="N1257" s="20">
        <f>IF($B1257="","",COUNTIFS('Blocker log'!$A:$A,$B1257,'Blocker log'!$G:$G,"Hard blocker"))</f>
        <v>0</v>
      </c>
      <c r="O1257" s="20">
        <f>IF($B1257="","",COUNTIFS('Blocker log'!$A:$A,$B1257,'Blocker log'!$G:$G,"Hard blocker",'Blocker log'!$L:$L,9))</f>
        <v>0</v>
      </c>
      <c r="P1257" s="20">
        <f>IF($B1257="","",MAXIFS('Blocker log'!$L:$L,'Blocker log'!$A:$A,$B1257,'Blocker log'!$G:$G,"Hard blocker"))</f>
        <v>0</v>
      </c>
      <c r="Q1257" s="20" t="str">
        <f>IF($B1257="","",IF($K1257&lt;&gt;"Complete","Assessment pending",IF($N1257=0,"Ready now",VLOOKUP($P1257,Lists!$D$2:$E$5,2,FALSE))))</f>
        <v>Assessment pending</v>
      </c>
    </row>
    <row r="1258" ht="15.75" customHeight="1">
      <c r="A1258" s="35" t="s">
        <v>3124</v>
      </c>
      <c r="B1258" s="35" t="s">
        <v>3125</v>
      </c>
      <c r="C1258" s="35" t="s">
        <v>1286</v>
      </c>
      <c r="D1258" s="35" t="s">
        <v>58</v>
      </c>
      <c r="E1258" s="35" t="s">
        <v>132</v>
      </c>
      <c r="F1258" s="35" t="s">
        <v>559</v>
      </c>
      <c r="G1258" s="35" t="s">
        <v>1161</v>
      </c>
      <c r="H1258" s="76">
        <v>8661.0</v>
      </c>
      <c r="I1258" s="35"/>
      <c r="M1258" s="20">
        <f>IF($B1258="","",COUNTIFS('Blocker log'!$A:$A,$B1258,'Blocker log'!$G:$G,"&lt;&gt;"))</f>
        <v>0</v>
      </c>
      <c r="N1258" s="20">
        <f>IF($B1258="","",COUNTIFS('Blocker log'!$A:$A,$B1258,'Blocker log'!$G:$G,"Hard blocker"))</f>
        <v>0</v>
      </c>
      <c r="O1258" s="20">
        <f>IF($B1258="","",COUNTIFS('Blocker log'!$A:$A,$B1258,'Blocker log'!$G:$G,"Hard blocker",'Blocker log'!$L:$L,9))</f>
        <v>0</v>
      </c>
      <c r="P1258" s="20">
        <f>IF($B1258="","",MAXIFS('Blocker log'!$L:$L,'Blocker log'!$A:$A,$B1258,'Blocker log'!$G:$G,"Hard blocker"))</f>
        <v>0</v>
      </c>
      <c r="Q1258" s="20" t="str">
        <f>IF($B1258="","",IF($K1258&lt;&gt;"Complete","Assessment pending",IF($N1258=0,"Ready now",VLOOKUP($P1258,Lists!$D$2:$E$5,2,FALSE))))</f>
        <v>Assessment pending</v>
      </c>
    </row>
    <row r="1259" ht="15.75" customHeight="1">
      <c r="A1259" s="35" t="s">
        <v>3126</v>
      </c>
      <c r="B1259" s="35" t="s">
        <v>3127</v>
      </c>
      <c r="C1259" s="35" t="s">
        <v>1286</v>
      </c>
      <c r="D1259" s="35" t="s">
        <v>171</v>
      </c>
      <c r="E1259" s="35" t="s">
        <v>713</v>
      </c>
      <c r="F1259" s="35" t="s">
        <v>714</v>
      </c>
      <c r="G1259" s="35" t="s">
        <v>1161</v>
      </c>
      <c r="H1259" s="76">
        <v>8658.0</v>
      </c>
      <c r="I1259" s="35"/>
      <c r="M1259" s="20">
        <f>IF($B1259="","",COUNTIFS('Blocker log'!$A:$A,$B1259,'Blocker log'!$G:$G,"&lt;&gt;"))</f>
        <v>0</v>
      </c>
      <c r="N1259" s="20">
        <f>IF($B1259="","",COUNTIFS('Blocker log'!$A:$A,$B1259,'Blocker log'!$G:$G,"Hard blocker"))</f>
        <v>0</v>
      </c>
      <c r="O1259" s="20">
        <f>IF($B1259="","",COUNTIFS('Blocker log'!$A:$A,$B1259,'Blocker log'!$G:$G,"Hard blocker",'Blocker log'!$L:$L,9))</f>
        <v>0</v>
      </c>
      <c r="P1259" s="20">
        <f>IF($B1259="","",MAXIFS('Blocker log'!$L:$L,'Blocker log'!$A:$A,$B1259,'Blocker log'!$G:$G,"Hard blocker"))</f>
        <v>0</v>
      </c>
      <c r="Q1259" s="20" t="str">
        <f>IF($B1259="","",IF($K1259&lt;&gt;"Complete","Assessment pending",IF($N1259=0,"Ready now",VLOOKUP($P1259,Lists!$D$2:$E$5,2,FALSE))))</f>
        <v>Assessment pending</v>
      </c>
    </row>
    <row r="1260" ht="15.75" customHeight="1">
      <c r="A1260" s="35" t="s">
        <v>3128</v>
      </c>
      <c r="B1260" s="35" t="s">
        <v>3129</v>
      </c>
      <c r="C1260" s="35" t="s">
        <v>1286</v>
      </c>
      <c r="D1260" s="35" t="s">
        <v>260</v>
      </c>
      <c r="E1260" s="35" t="s">
        <v>530</v>
      </c>
      <c r="F1260" s="35" t="s">
        <v>1493</v>
      </c>
      <c r="G1260" s="35" t="s">
        <v>1161</v>
      </c>
      <c r="H1260" s="76">
        <v>8640.0</v>
      </c>
      <c r="I1260" s="35"/>
      <c r="M1260" s="20">
        <f>IF($B1260="","",COUNTIFS('Blocker log'!$A:$A,$B1260,'Blocker log'!$G:$G,"&lt;&gt;"))</f>
        <v>0</v>
      </c>
      <c r="N1260" s="20">
        <f>IF($B1260="","",COUNTIFS('Blocker log'!$A:$A,$B1260,'Blocker log'!$G:$G,"Hard blocker"))</f>
        <v>0</v>
      </c>
      <c r="O1260" s="20">
        <f>IF($B1260="","",COUNTIFS('Blocker log'!$A:$A,$B1260,'Blocker log'!$G:$G,"Hard blocker",'Blocker log'!$L:$L,9))</f>
        <v>0</v>
      </c>
      <c r="P1260" s="20">
        <f>IF($B1260="","",MAXIFS('Blocker log'!$L:$L,'Blocker log'!$A:$A,$B1260,'Blocker log'!$G:$G,"Hard blocker"))</f>
        <v>0</v>
      </c>
      <c r="Q1260" s="20" t="str">
        <f>IF($B1260="","",IF($K1260&lt;&gt;"Complete","Assessment pending",IF($N1260=0,"Ready now",VLOOKUP($P1260,Lists!$D$2:$E$5,2,FALSE))))</f>
        <v>Assessment pending</v>
      </c>
    </row>
    <row r="1261" ht="15.75" customHeight="1">
      <c r="A1261" s="35" t="s">
        <v>3130</v>
      </c>
      <c r="B1261" s="35" t="s">
        <v>3131</v>
      </c>
      <c r="C1261" s="35" t="s">
        <v>1286</v>
      </c>
      <c r="D1261" s="35" t="s">
        <v>58</v>
      </c>
      <c r="E1261" s="35" t="s">
        <v>101</v>
      </c>
      <c r="F1261" s="35" t="s">
        <v>102</v>
      </c>
      <c r="G1261" s="35" t="s">
        <v>1161</v>
      </c>
      <c r="H1261" s="76">
        <v>8496.0</v>
      </c>
      <c r="I1261" s="35" t="s">
        <v>445</v>
      </c>
      <c r="M1261" s="20">
        <f>IF($B1261="","",COUNTIFS('Blocker log'!$A:$A,$B1261,'Blocker log'!$G:$G,"&lt;&gt;"))</f>
        <v>0</v>
      </c>
      <c r="N1261" s="20">
        <f>IF($B1261="","",COUNTIFS('Blocker log'!$A:$A,$B1261,'Blocker log'!$G:$G,"Hard blocker"))</f>
        <v>0</v>
      </c>
      <c r="O1261" s="20">
        <f>IF($B1261="","",COUNTIFS('Blocker log'!$A:$A,$B1261,'Blocker log'!$G:$G,"Hard blocker",'Blocker log'!$L:$L,9))</f>
        <v>0</v>
      </c>
      <c r="P1261" s="20">
        <f>IF($B1261="","",MAXIFS('Blocker log'!$L:$L,'Blocker log'!$A:$A,$B1261,'Blocker log'!$G:$G,"Hard blocker"))</f>
        <v>0</v>
      </c>
      <c r="Q1261" s="20" t="str">
        <f>IF($B1261="","",IF($K1261&lt;&gt;"Complete","Assessment pending",IF($N1261=0,"Ready now",VLOOKUP($P1261,Lists!$D$2:$E$5,2,FALSE))))</f>
        <v>Assessment pending</v>
      </c>
    </row>
    <row r="1262" ht="15.75" customHeight="1">
      <c r="A1262" s="35" t="s">
        <v>3132</v>
      </c>
      <c r="B1262" s="35" t="s">
        <v>3133</v>
      </c>
      <c r="C1262" s="35" t="s">
        <v>76</v>
      </c>
      <c r="D1262" s="35" t="s">
        <v>171</v>
      </c>
      <c r="E1262" s="35" t="s">
        <v>542</v>
      </c>
      <c r="F1262" s="35" t="s">
        <v>549</v>
      </c>
      <c r="G1262" s="35" t="s">
        <v>1006</v>
      </c>
      <c r="H1262" s="76">
        <v>8460.0</v>
      </c>
      <c r="I1262" s="35"/>
      <c r="M1262" s="20">
        <f>IF($B1262="","",COUNTIFS('Blocker log'!$A:$A,$B1262,'Blocker log'!$G:$G,"&lt;&gt;"))</f>
        <v>0</v>
      </c>
      <c r="N1262" s="20">
        <f>IF($B1262="","",COUNTIFS('Blocker log'!$A:$A,$B1262,'Blocker log'!$G:$G,"Hard blocker"))</f>
        <v>0</v>
      </c>
      <c r="O1262" s="20">
        <f>IF($B1262="","",COUNTIFS('Blocker log'!$A:$A,$B1262,'Blocker log'!$G:$G,"Hard blocker",'Blocker log'!$L:$L,9))</f>
        <v>0</v>
      </c>
      <c r="P1262" s="20">
        <f>IF($B1262="","",MAXIFS('Blocker log'!$L:$L,'Blocker log'!$A:$A,$B1262,'Blocker log'!$G:$G,"Hard blocker"))</f>
        <v>0</v>
      </c>
      <c r="Q1262" s="20" t="str">
        <f>IF($B1262="","",IF($K1262&lt;&gt;"Complete","Assessment pending",IF($N1262=0,"Ready now",VLOOKUP($P1262,Lists!$D$2:$E$5,2,FALSE))))</f>
        <v>Assessment pending</v>
      </c>
    </row>
    <row r="1263" ht="15.75" customHeight="1">
      <c r="A1263" s="35" t="s">
        <v>3134</v>
      </c>
      <c r="B1263" s="35" t="s">
        <v>3135</v>
      </c>
      <c r="C1263" s="35" t="s">
        <v>1286</v>
      </c>
      <c r="D1263" s="35" t="s">
        <v>301</v>
      </c>
      <c r="E1263" s="35" t="s">
        <v>490</v>
      </c>
      <c r="F1263" s="35" t="s">
        <v>490</v>
      </c>
      <c r="G1263" s="35" t="s">
        <v>1042</v>
      </c>
      <c r="H1263" s="76">
        <v>8285.0</v>
      </c>
      <c r="I1263" s="35"/>
      <c r="M1263" s="20">
        <f>IF($B1263="","",COUNTIFS('Blocker log'!$A:$A,$B1263,'Blocker log'!$G:$G,"&lt;&gt;"))</f>
        <v>0</v>
      </c>
      <c r="N1263" s="20">
        <f>IF($B1263="","",COUNTIFS('Blocker log'!$A:$A,$B1263,'Blocker log'!$G:$G,"Hard blocker"))</f>
        <v>0</v>
      </c>
      <c r="O1263" s="20">
        <f>IF($B1263="","",COUNTIFS('Blocker log'!$A:$A,$B1263,'Blocker log'!$G:$G,"Hard blocker",'Blocker log'!$L:$L,9))</f>
        <v>0</v>
      </c>
      <c r="P1263" s="20">
        <f>IF($B1263="","",MAXIFS('Blocker log'!$L:$L,'Blocker log'!$A:$A,$B1263,'Blocker log'!$G:$G,"Hard blocker"))</f>
        <v>0</v>
      </c>
      <c r="Q1263" s="20" t="str">
        <f>IF($B1263="","",IF($K1263&lt;&gt;"Complete","Assessment pending",IF($N1263=0,"Ready now",VLOOKUP($P1263,Lists!$D$2:$E$5,2,FALSE))))</f>
        <v>Assessment pending</v>
      </c>
    </row>
    <row r="1264" ht="15.75" customHeight="1">
      <c r="A1264" s="35" t="s">
        <v>3136</v>
      </c>
      <c r="B1264" s="35" t="s">
        <v>3137</v>
      </c>
      <c r="C1264" s="35" t="s">
        <v>1286</v>
      </c>
      <c r="D1264" s="35" t="s">
        <v>260</v>
      </c>
      <c r="E1264" s="35" t="s">
        <v>506</v>
      </c>
      <c r="F1264" s="35" t="s">
        <v>798</v>
      </c>
      <c r="G1264" s="35" t="s">
        <v>1161</v>
      </c>
      <c r="H1264" s="76">
        <v>8280.0</v>
      </c>
      <c r="I1264" s="35" t="s">
        <v>440</v>
      </c>
      <c r="M1264" s="20">
        <f>IF($B1264="","",COUNTIFS('Blocker log'!$A:$A,$B1264,'Blocker log'!$G:$G,"&lt;&gt;"))</f>
        <v>0</v>
      </c>
      <c r="N1264" s="20">
        <f>IF($B1264="","",COUNTIFS('Blocker log'!$A:$A,$B1264,'Blocker log'!$G:$G,"Hard blocker"))</f>
        <v>0</v>
      </c>
      <c r="O1264" s="20">
        <f>IF($B1264="","",COUNTIFS('Blocker log'!$A:$A,$B1264,'Blocker log'!$G:$G,"Hard blocker",'Blocker log'!$L:$L,9))</f>
        <v>0</v>
      </c>
      <c r="P1264" s="20">
        <f>IF($B1264="","",MAXIFS('Blocker log'!$L:$L,'Blocker log'!$A:$A,$B1264,'Blocker log'!$G:$G,"Hard blocker"))</f>
        <v>0</v>
      </c>
      <c r="Q1264" s="20" t="str">
        <f>IF($B1264="","",IF($K1264&lt;&gt;"Complete","Assessment pending",IF($N1264=0,"Ready now",VLOOKUP($P1264,Lists!$D$2:$E$5,2,FALSE))))</f>
        <v>Assessment pending</v>
      </c>
    </row>
    <row r="1265" ht="15.75" customHeight="1">
      <c r="A1265" s="35" t="s">
        <v>3138</v>
      </c>
      <c r="B1265" s="35" t="s">
        <v>3139</v>
      </c>
      <c r="C1265" s="35" t="s">
        <v>1286</v>
      </c>
      <c r="D1265" s="35" t="s">
        <v>301</v>
      </c>
      <c r="E1265" s="35" t="s">
        <v>593</v>
      </c>
      <c r="F1265" s="35" t="s">
        <v>593</v>
      </c>
      <c r="G1265" s="35" t="s">
        <v>1161</v>
      </c>
      <c r="H1265" s="76">
        <v>8258.0</v>
      </c>
      <c r="I1265" s="35"/>
      <c r="M1265" s="20">
        <f>IF($B1265="","",COUNTIFS('Blocker log'!$A:$A,$B1265,'Blocker log'!$G:$G,"&lt;&gt;"))</f>
        <v>0</v>
      </c>
      <c r="N1265" s="20">
        <f>IF($B1265="","",COUNTIFS('Blocker log'!$A:$A,$B1265,'Blocker log'!$G:$G,"Hard blocker"))</f>
        <v>0</v>
      </c>
      <c r="O1265" s="20">
        <f>IF($B1265="","",COUNTIFS('Blocker log'!$A:$A,$B1265,'Blocker log'!$G:$G,"Hard blocker",'Blocker log'!$L:$L,9))</f>
        <v>0</v>
      </c>
      <c r="P1265" s="20">
        <f>IF($B1265="","",MAXIFS('Blocker log'!$L:$L,'Blocker log'!$A:$A,$B1265,'Blocker log'!$G:$G,"Hard blocker"))</f>
        <v>0</v>
      </c>
      <c r="Q1265" s="20" t="str">
        <f>IF($B1265="","",IF($K1265&lt;&gt;"Complete","Assessment pending",IF($N1265=0,"Ready now",VLOOKUP($P1265,Lists!$D$2:$E$5,2,FALSE))))</f>
        <v>Assessment pending</v>
      </c>
    </row>
    <row r="1266" ht="15.75" customHeight="1">
      <c r="A1266" s="35" t="s">
        <v>3140</v>
      </c>
      <c r="B1266" s="35" t="s">
        <v>3141</v>
      </c>
      <c r="C1266" s="35" t="s">
        <v>1286</v>
      </c>
      <c r="D1266" s="35" t="s">
        <v>260</v>
      </c>
      <c r="E1266" s="35" t="s">
        <v>1096</v>
      </c>
      <c r="F1266" s="35" t="s">
        <v>1366</v>
      </c>
      <c r="G1266" s="35" t="s">
        <v>1161</v>
      </c>
      <c r="H1266" s="76">
        <v>8208.0</v>
      </c>
      <c r="I1266" s="35" t="s">
        <v>429</v>
      </c>
      <c r="M1266" s="20">
        <f>IF($B1266="","",COUNTIFS('Blocker log'!$A:$A,$B1266,'Blocker log'!$G:$G,"&lt;&gt;"))</f>
        <v>0</v>
      </c>
      <c r="N1266" s="20">
        <f>IF($B1266="","",COUNTIFS('Blocker log'!$A:$A,$B1266,'Blocker log'!$G:$G,"Hard blocker"))</f>
        <v>0</v>
      </c>
      <c r="O1266" s="20">
        <f>IF($B1266="","",COUNTIFS('Blocker log'!$A:$A,$B1266,'Blocker log'!$G:$G,"Hard blocker",'Blocker log'!$L:$L,9))</f>
        <v>0</v>
      </c>
      <c r="P1266" s="20">
        <f>IF($B1266="","",MAXIFS('Blocker log'!$L:$L,'Blocker log'!$A:$A,$B1266,'Blocker log'!$G:$G,"Hard blocker"))</f>
        <v>0</v>
      </c>
      <c r="Q1266" s="20" t="str">
        <f>IF($B1266="","",IF($K1266&lt;&gt;"Complete","Assessment pending",IF($N1266=0,"Ready now",VLOOKUP($P1266,Lists!$D$2:$E$5,2,FALSE))))</f>
        <v>Assessment pending</v>
      </c>
    </row>
    <row r="1267" ht="15.75" customHeight="1">
      <c r="A1267" s="35" t="s">
        <v>3142</v>
      </c>
      <c r="B1267" s="35" t="s">
        <v>3143</v>
      </c>
      <c r="C1267" s="35" t="s">
        <v>1286</v>
      </c>
      <c r="D1267" s="35" t="s">
        <v>301</v>
      </c>
      <c r="E1267" s="35" t="s">
        <v>593</v>
      </c>
      <c r="F1267" s="35" t="s">
        <v>593</v>
      </c>
      <c r="G1267" s="35" t="s">
        <v>1042</v>
      </c>
      <c r="H1267" s="76">
        <v>8164.0</v>
      </c>
      <c r="I1267" s="35"/>
      <c r="M1267" s="20">
        <f>IF($B1267="","",COUNTIFS('Blocker log'!$A:$A,$B1267,'Blocker log'!$G:$G,"&lt;&gt;"))</f>
        <v>0</v>
      </c>
      <c r="N1267" s="20">
        <f>IF($B1267="","",COUNTIFS('Blocker log'!$A:$A,$B1267,'Blocker log'!$G:$G,"Hard blocker"))</f>
        <v>0</v>
      </c>
      <c r="O1267" s="20">
        <f>IF($B1267="","",COUNTIFS('Blocker log'!$A:$A,$B1267,'Blocker log'!$G:$G,"Hard blocker",'Blocker log'!$L:$L,9))</f>
        <v>0</v>
      </c>
      <c r="P1267" s="20">
        <f>IF($B1267="","",MAXIFS('Blocker log'!$L:$L,'Blocker log'!$A:$A,$B1267,'Blocker log'!$G:$G,"Hard blocker"))</f>
        <v>0</v>
      </c>
      <c r="Q1267" s="20" t="str">
        <f>IF($B1267="","",IF($K1267&lt;&gt;"Complete","Assessment pending",IF($N1267=0,"Ready now",VLOOKUP($P1267,Lists!$D$2:$E$5,2,FALSE))))</f>
        <v>Assessment pending</v>
      </c>
    </row>
    <row r="1268" ht="15.75" customHeight="1">
      <c r="A1268" s="35" t="s">
        <v>3144</v>
      </c>
      <c r="B1268" s="35" t="s">
        <v>3145</v>
      </c>
      <c r="C1268" s="35" t="s">
        <v>76</v>
      </c>
      <c r="D1268" s="35" t="s">
        <v>260</v>
      </c>
      <c r="E1268" s="35" t="s">
        <v>576</v>
      </c>
      <c r="F1268" s="35" t="s">
        <v>577</v>
      </c>
      <c r="G1268" s="35" t="s">
        <v>980</v>
      </c>
      <c r="H1268" s="76">
        <v>8158.0</v>
      </c>
      <c r="I1268" s="35"/>
      <c r="M1268" s="20">
        <f>IF($B1268="","",COUNTIFS('Blocker log'!$A:$A,$B1268,'Blocker log'!$G:$G,"&lt;&gt;"))</f>
        <v>0</v>
      </c>
      <c r="N1268" s="20">
        <f>IF($B1268="","",COUNTIFS('Blocker log'!$A:$A,$B1268,'Blocker log'!$G:$G,"Hard blocker"))</f>
        <v>0</v>
      </c>
      <c r="O1268" s="20">
        <f>IF($B1268="","",COUNTIFS('Blocker log'!$A:$A,$B1268,'Blocker log'!$G:$G,"Hard blocker",'Blocker log'!$L:$L,9))</f>
        <v>0</v>
      </c>
      <c r="P1268" s="20">
        <f>IF($B1268="","",MAXIFS('Blocker log'!$L:$L,'Blocker log'!$A:$A,$B1268,'Blocker log'!$G:$G,"Hard blocker"))</f>
        <v>0</v>
      </c>
      <c r="Q1268" s="20" t="str">
        <f>IF($B1268="","",IF($K1268&lt;&gt;"Complete","Assessment pending",IF($N1268=0,"Ready now",VLOOKUP($P1268,Lists!$D$2:$E$5,2,FALSE))))</f>
        <v>Assessment pending</v>
      </c>
    </row>
    <row r="1269" ht="15.75" customHeight="1">
      <c r="A1269" s="35" t="s">
        <v>3146</v>
      </c>
      <c r="B1269" s="35" t="s">
        <v>3147</v>
      </c>
      <c r="C1269" s="35" t="s">
        <v>1286</v>
      </c>
      <c r="D1269" s="35" t="s">
        <v>171</v>
      </c>
      <c r="E1269" s="35" t="s">
        <v>668</v>
      </c>
      <c r="F1269" s="35" t="s">
        <v>669</v>
      </c>
      <c r="G1269" s="35" t="s">
        <v>1161</v>
      </c>
      <c r="H1269" s="76">
        <v>8100.0</v>
      </c>
      <c r="I1269" s="35"/>
      <c r="M1269" s="20">
        <f>IF($B1269="","",COUNTIFS('Blocker log'!$A:$A,$B1269,'Blocker log'!$G:$G,"&lt;&gt;"))</f>
        <v>0</v>
      </c>
      <c r="N1269" s="20">
        <f>IF($B1269="","",COUNTIFS('Blocker log'!$A:$A,$B1269,'Blocker log'!$G:$G,"Hard blocker"))</f>
        <v>0</v>
      </c>
      <c r="O1269" s="20">
        <f>IF($B1269="","",COUNTIFS('Blocker log'!$A:$A,$B1269,'Blocker log'!$G:$G,"Hard blocker",'Blocker log'!$L:$L,9))</f>
        <v>0</v>
      </c>
      <c r="P1269" s="20">
        <f>IF($B1269="","",MAXIFS('Blocker log'!$L:$L,'Blocker log'!$A:$A,$B1269,'Blocker log'!$G:$G,"Hard blocker"))</f>
        <v>0</v>
      </c>
      <c r="Q1269" s="20" t="str">
        <f>IF($B1269="","",IF($K1269&lt;&gt;"Complete","Assessment pending",IF($N1269=0,"Ready now",VLOOKUP($P1269,Lists!$D$2:$E$5,2,FALSE))))</f>
        <v>Assessment pending</v>
      </c>
    </row>
    <row r="1270" ht="15.75" customHeight="1">
      <c r="A1270" s="35" t="s">
        <v>3148</v>
      </c>
      <c r="B1270" s="35" t="s">
        <v>3149</v>
      </c>
      <c r="C1270" s="35" t="s">
        <v>76</v>
      </c>
      <c r="D1270" s="35" t="s">
        <v>301</v>
      </c>
      <c r="E1270" s="35" t="s">
        <v>490</v>
      </c>
      <c r="F1270" s="35" t="s">
        <v>490</v>
      </c>
      <c r="G1270" s="35" t="s">
        <v>1042</v>
      </c>
      <c r="H1270" s="76">
        <v>8005.0</v>
      </c>
      <c r="I1270" s="35"/>
      <c r="M1270" s="20">
        <f>IF($B1270="","",COUNTIFS('Blocker log'!$A:$A,$B1270,'Blocker log'!$G:$G,"&lt;&gt;"))</f>
        <v>0</v>
      </c>
      <c r="N1270" s="20">
        <f>IF($B1270="","",COUNTIFS('Blocker log'!$A:$A,$B1270,'Blocker log'!$G:$G,"Hard blocker"))</f>
        <v>0</v>
      </c>
      <c r="O1270" s="20">
        <f>IF($B1270="","",COUNTIFS('Blocker log'!$A:$A,$B1270,'Blocker log'!$G:$G,"Hard blocker",'Blocker log'!$L:$L,9))</f>
        <v>0</v>
      </c>
      <c r="P1270" s="20">
        <f>IF($B1270="","",MAXIFS('Blocker log'!$L:$L,'Blocker log'!$A:$A,$B1270,'Blocker log'!$G:$G,"Hard blocker"))</f>
        <v>0</v>
      </c>
      <c r="Q1270" s="20" t="str">
        <f>IF($B1270="","",IF($K1270&lt;&gt;"Complete","Assessment pending",IF($N1270=0,"Ready now",VLOOKUP($P1270,Lists!$D$2:$E$5,2,FALSE))))</f>
        <v>Assessment pending</v>
      </c>
    </row>
    <row r="1271" ht="15.75" customHeight="1">
      <c r="A1271" s="35" t="s">
        <v>3150</v>
      </c>
      <c r="B1271" s="35" t="s">
        <v>3151</v>
      </c>
      <c r="C1271" s="35" t="s">
        <v>1286</v>
      </c>
      <c r="D1271" s="35" t="s">
        <v>171</v>
      </c>
      <c r="E1271" s="35" t="s">
        <v>587</v>
      </c>
      <c r="F1271" s="35" t="s">
        <v>3152</v>
      </c>
      <c r="G1271" s="35" t="s">
        <v>1161</v>
      </c>
      <c r="H1271" s="76">
        <v>8000.0</v>
      </c>
      <c r="I1271" s="35"/>
      <c r="M1271" s="20">
        <f>IF($B1271="","",COUNTIFS('Blocker log'!$A:$A,$B1271,'Blocker log'!$G:$G,"&lt;&gt;"))</f>
        <v>0</v>
      </c>
      <c r="N1271" s="20">
        <f>IF($B1271="","",COUNTIFS('Blocker log'!$A:$A,$B1271,'Blocker log'!$G:$G,"Hard blocker"))</f>
        <v>0</v>
      </c>
      <c r="O1271" s="20">
        <f>IF($B1271="","",COUNTIFS('Blocker log'!$A:$A,$B1271,'Blocker log'!$G:$G,"Hard blocker",'Blocker log'!$L:$L,9))</f>
        <v>0</v>
      </c>
      <c r="P1271" s="20">
        <f>IF($B1271="","",MAXIFS('Blocker log'!$L:$L,'Blocker log'!$A:$A,$B1271,'Blocker log'!$G:$G,"Hard blocker"))</f>
        <v>0</v>
      </c>
      <c r="Q1271" s="20" t="str">
        <f>IF($B1271="","",IF($K1271&lt;&gt;"Complete","Assessment pending",IF($N1271=0,"Ready now",VLOOKUP($P1271,Lists!$D$2:$E$5,2,FALSE))))</f>
        <v>Assessment pending</v>
      </c>
    </row>
    <row r="1272" ht="15.75" customHeight="1">
      <c r="A1272" s="35" t="s">
        <v>3153</v>
      </c>
      <c r="B1272" s="35" t="s">
        <v>3154</v>
      </c>
      <c r="C1272" s="35" t="s">
        <v>1286</v>
      </c>
      <c r="D1272" s="35" t="s">
        <v>260</v>
      </c>
      <c r="E1272" s="35" t="s">
        <v>506</v>
      </c>
      <c r="F1272" s="35" t="s">
        <v>3155</v>
      </c>
      <c r="G1272" s="35" t="s">
        <v>1161</v>
      </c>
      <c r="H1272" s="76">
        <v>8000.0</v>
      </c>
      <c r="I1272" s="35"/>
      <c r="M1272" s="20">
        <f>IF($B1272="","",COUNTIFS('Blocker log'!$A:$A,$B1272,'Blocker log'!$G:$G,"&lt;&gt;"))</f>
        <v>0</v>
      </c>
      <c r="N1272" s="20">
        <f>IF($B1272="","",COUNTIFS('Blocker log'!$A:$A,$B1272,'Blocker log'!$G:$G,"Hard blocker"))</f>
        <v>0</v>
      </c>
      <c r="O1272" s="20">
        <f>IF($B1272="","",COUNTIFS('Blocker log'!$A:$A,$B1272,'Blocker log'!$G:$G,"Hard blocker",'Blocker log'!$L:$L,9))</f>
        <v>0</v>
      </c>
      <c r="P1272" s="20">
        <f>IF($B1272="","",MAXIFS('Blocker log'!$L:$L,'Blocker log'!$A:$A,$B1272,'Blocker log'!$G:$G,"Hard blocker"))</f>
        <v>0</v>
      </c>
      <c r="Q1272" s="20" t="str">
        <f>IF($B1272="","",IF($K1272&lt;&gt;"Complete","Assessment pending",IF($N1272=0,"Ready now",VLOOKUP($P1272,Lists!$D$2:$E$5,2,FALSE))))</f>
        <v>Assessment pending</v>
      </c>
    </row>
    <row r="1273" ht="15.75" customHeight="1">
      <c r="A1273" s="35" t="s">
        <v>3156</v>
      </c>
      <c r="B1273" s="35" t="s">
        <v>3157</v>
      </c>
      <c r="C1273" s="35" t="s">
        <v>1286</v>
      </c>
      <c r="D1273" s="35" t="s">
        <v>260</v>
      </c>
      <c r="E1273" s="35" t="s">
        <v>1096</v>
      </c>
      <c r="F1273" s="35" t="s">
        <v>1097</v>
      </c>
      <c r="G1273" s="35" t="s">
        <v>1161</v>
      </c>
      <c r="H1273" s="76">
        <v>8000.0</v>
      </c>
      <c r="I1273" s="35"/>
      <c r="M1273" s="20">
        <f>IF($B1273="","",COUNTIFS('Blocker log'!$A:$A,$B1273,'Blocker log'!$G:$G,"&lt;&gt;"))</f>
        <v>0</v>
      </c>
      <c r="N1273" s="20">
        <f>IF($B1273="","",COUNTIFS('Blocker log'!$A:$A,$B1273,'Blocker log'!$G:$G,"Hard blocker"))</f>
        <v>0</v>
      </c>
      <c r="O1273" s="20">
        <f>IF($B1273="","",COUNTIFS('Blocker log'!$A:$A,$B1273,'Blocker log'!$G:$G,"Hard blocker",'Blocker log'!$L:$L,9))</f>
        <v>0</v>
      </c>
      <c r="P1273" s="20">
        <f>IF($B1273="","",MAXIFS('Blocker log'!$L:$L,'Blocker log'!$A:$A,$B1273,'Blocker log'!$G:$G,"Hard blocker"))</f>
        <v>0</v>
      </c>
      <c r="Q1273" s="20" t="str">
        <f>IF($B1273="","",IF($K1273&lt;&gt;"Complete","Assessment pending",IF($N1273=0,"Ready now",VLOOKUP($P1273,Lists!$D$2:$E$5,2,FALSE))))</f>
        <v>Assessment pending</v>
      </c>
    </row>
    <row r="1274" ht="15.75" customHeight="1">
      <c r="A1274" s="35" t="s">
        <v>3158</v>
      </c>
      <c r="B1274" s="35" t="s">
        <v>1743</v>
      </c>
      <c r="C1274" s="35" t="s">
        <v>76</v>
      </c>
      <c r="D1274" s="35" t="s">
        <v>260</v>
      </c>
      <c r="E1274" s="35" t="s">
        <v>530</v>
      </c>
      <c r="F1274" s="35" t="s">
        <v>1674</v>
      </c>
      <c r="G1274" s="35" t="s">
        <v>980</v>
      </c>
      <c r="H1274" s="76">
        <v>8000.0</v>
      </c>
      <c r="I1274" s="35"/>
      <c r="M1274" s="20">
        <f>IF($B1274="","",COUNTIFS('Blocker log'!$A:$A,$B1274,'Blocker log'!$G:$G,"&lt;&gt;"))</f>
        <v>0</v>
      </c>
      <c r="N1274" s="20">
        <f>IF($B1274="","",COUNTIFS('Blocker log'!$A:$A,$B1274,'Blocker log'!$G:$G,"Hard blocker"))</f>
        <v>0</v>
      </c>
      <c r="O1274" s="20">
        <f>IF($B1274="","",COUNTIFS('Blocker log'!$A:$A,$B1274,'Blocker log'!$G:$G,"Hard blocker",'Blocker log'!$L:$L,9))</f>
        <v>0</v>
      </c>
      <c r="P1274" s="20">
        <f>IF($B1274="","",MAXIFS('Blocker log'!$L:$L,'Blocker log'!$A:$A,$B1274,'Blocker log'!$G:$G,"Hard blocker"))</f>
        <v>0</v>
      </c>
      <c r="Q1274" s="20" t="str">
        <f>IF($B1274="","",IF($K1274&lt;&gt;"Complete","Assessment pending",IF($N1274=0,"Ready now",VLOOKUP($P1274,Lists!$D$2:$E$5,2,FALSE))))</f>
        <v>Assessment pending</v>
      </c>
    </row>
    <row r="1275" ht="15.75" customHeight="1">
      <c r="A1275" s="35" t="s">
        <v>3159</v>
      </c>
      <c r="B1275" s="35" t="s">
        <v>3160</v>
      </c>
      <c r="C1275" s="35" t="s">
        <v>1286</v>
      </c>
      <c r="D1275" s="35" t="s">
        <v>260</v>
      </c>
      <c r="E1275" s="35" t="s">
        <v>261</v>
      </c>
      <c r="F1275" s="35" t="s">
        <v>261</v>
      </c>
      <c r="G1275" s="35" t="s">
        <v>1161</v>
      </c>
      <c r="H1275" s="76">
        <v>8000.0</v>
      </c>
      <c r="I1275" s="35" t="s">
        <v>416</v>
      </c>
      <c r="M1275" s="20">
        <f>IF($B1275="","",COUNTIFS('Blocker log'!$A:$A,$B1275,'Blocker log'!$G:$G,"&lt;&gt;"))</f>
        <v>0</v>
      </c>
      <c r="N1275" s="20">
        <f>IF($B1275="","",COUNTIFS('Blocker log'!$A:$A,$B1275,'Blocker log'!$G:$G,"Hard blocker"))</f>
        <v>0</v>
      </c>
      <c r="O1275" s="20">
        <f>IF($B1275="","",COUNTIFS('Blocker log'!$A:$A,$B1275,'Blocker log'!$G:$G,"Hard blocker",'Blocker log'!$L:$L,9))</f>
        <v>0</v>
      </c>
      <c r="P1275" s="20">
        <f>IF($B1275="","",MAXIFS('Blocker log'!$L:$L,'Blocker log'!$A:$A,$B1275,'Blocker log'!$G:$G,"Hard blocker"))</f>
        <v>0</v>
      </c>
      <c r="Q1275" s="20" t="str">
        <f>IF($B1275="","",IF($K1275&lt;&gt;"Complete","Assessment pending",IF($N1275=0,"Ready now",VLOOKUP($P1275,Lists!$D$2:$E$5,2,FALSE))))</f>
        <v>Assessment pending</v>
      </c>
    </row>
    <row r="1276" ht="15.75" customHeight="1">
      <c r="A1276" s="35" t="s">
        <v>3161</v>
      </c>
      <c r="B1276" s="35" t="s">
        <v>3162</v>
      </c>
      <c r="C1276" s="35" t="s">
        <v>1286</v>
      </c>
      <c r="D1276" s="35" t="s">
        <v>58</v>
      </c>
      <c r="E1276" s="35" t="s">
        <v>101</v>
      </c>
      <c r="F1276" s="35" t="s">
        <v>554</v>
      </c>
      <c r="G1276" s="35" t="s">
        <v>1161</v>
      </c>
      <c r="H1276" s="76">
        <v>8000.0</v>
      </c>
      <c r="I1276" s="35"/>
      <c r="M1276" s="20">
        <f>IF($B1276="","",COUNTIFS('Blocker log'!$A:$A,$B1276,'Blocker log'!$G:$G,"&lt;&gt;"))</f>
        <v>0</v>
      </c>
      <c r="N1276" s="20">
        <f>IF($B1276="","",COUNTIFS('Blocker log'!$A:$A,$B1276,'Blocker log'!$G:$G,"Hard blocker"))</f>
        <v>0</v>
      </c>
      <c r="O1276" s="20">
        <f>IF($B1276="","",COUNTIFS('Blocker log'!$A:$A,$B1276,'Blocker log'!$G:$G,"Hard blocker",'Blocker log'!$L:$L,9))</f>
        <v>0</v>
      </c>
      <c r="P1276" s="20">
        <f>IF($B1276="","",MAXIFS('Blocker log'!$L:$L,'Blocker log'!$A:$A,$B1276,'Blocker log'!$G:$G,"Hard blocker"))</f>
        <v>0</v>
      </c>
      <c r="Q1276" s="20" t="str">
        <f>IF($B1276="","",IF($K1276&lt;&gt;"Complete","Assessment pending",IF($N1276=0,"Ready now",VLOOKUP($P1276,Lists!$D$2:$E$5,2,FALSE))))</f>
        <v>Assessment pending</v>
      </c>
    </row>
    <row r="1277" ht="15.75" customHeight="1">
      <c r="A1277" s="35" t="s">
        <v>3163</v>
      </c>
      <c r="B1277" s="35" t="s">
        <v>3164</v>
      </c>
      <c r="C1277" s="35" t="s">
        <v>1286</v>
      </c>
      <c r="D1277" s="35" t="s">
        <v>58</v>
      </c>
      <c r="E1277" s="35" t="s">
        <v>140</v>
      </c>
      <c r="F1277" s="35" t="s">
        <v>246</v>
      </c>
      <c r="G1277" s="35" t="s">
        <v>1161</v>
      </c>
      <c r="H1277" s="76">
        <v>8000.0</v>
      </c>
      <c r="I1277" s="35"/>
      <c r="M1277" s="20">
        <f>IF($B1277="","",COUNTIFS('Blocker log'!$A:$A,$B1277,'Blocker log'!$G:$G,"&lt;&gt;"))</f>
        <v>0</v>
      </c>
      <c r="N1277" s="20">
        <f>IF($B1277="","",COUNTIFS('Blocker log'!$A:$A,$B1277,'Blocker log'!$G:$G,"Hard blocker"))</f>
        <v>0</v>
      </c>
      <c r="O1277" s="20">
        <f>IF($B1277="","",COUNTIFS('Blocker log'!$A:$A,$B1277,'Blocker log'!$G:$G,"Hard blocker",'Blocker log'!$L:$L,9))</f>
        <v>0</v>
      </c>
      <c r="P1277" s="20">
        <f>IF($B1277="","",MAXIFS('Blocker log'!$L:$L,'Blocker log'!$A:$A,$B1277,'Blocker log'!$G:$G,"Hard blocker"))</f>
        <v>0</v>
      </c>
      <c r="Q1277" s="20" t="str">
        <f>IF($B1277="","",IF($K1277&lt;&gt;"Complete","Assessment pending",IF($N1277=0,"Ready now",VLOOKUP($P1277,Lists!$D$2:$E$5,2,FALSE))))</f>
        <v>Assessment pending</v>
      </c>
    </row>
    <row r="1278" ht="15.75" customHeight="1">
      <c r="A1278" s="35" t="s">
        <v>3165</v>
      </c>
      <c r="B1278" s="35" t="s">
        <v>3166</v>
      </c>
      <c r="C1278" s="35" t="s">
        <v>1286</v>
      </c>
      <c r="D1278" s="35" t="s">
        <v>301</v>
      </c>
      <c r="E1278" s="35" t="s">
        <v>593</v>
      </c>
      <c r="F1278" s="35" t="s">
        <v>593</v>
      </c>
      <c r="G1278" s="35" t="s">
        <v>1161</v>
      </c>
      <c r="H1278" s="76">
        <v>7997.0</v>
      </c>
      <c r="I1278" s="35"/>
      <c r="M1278" s="20">
        <f>IF($B1278="","",COUNTIFS('Blocker log'!$A:$A,$B1278,'Blocker log'!$G:$G,"&lt;&gt;"))</f>
        <v>0</v>
      </c>
      <c r="N1278" s="20">
        <f>IF($B1278="","",COUNTIFS('Blocker log'!$A:$A,$B1278,'Blocker log'!$G:$G,"Hard blocker"))</f>
        <v>0</v>
      </c>
      <c r="O1278" s="20">
        <f>IF($B1278="","",COUNTIFS('Blocker log'!$A:$A,$B1278,'Blocker log'!$G:$G,"Hard blocker",'Blocker log'!$L:$L,9))</f>
        <v>0</v>
      </c>
      <c r="P1278" s="20">
        <f>IF($B1278="","",MAXIFS('Blocker log'!$L:$L,'Blocker log'!$A:$A,$B1278,'Blocker log'!$G:$G,"Hard blocker"))</f>
        <v>0</v>
      </c>
      <c r="Q1278" s="20" t="str">
        <f>IF($B1278="","",IF($K1278&lt;&gt;"Complete","Assessment pending",IF($N1278=0,"Ready now",VLOOKUP($P1278,Lists!$D$2:$E$5,2,FALSE))))</f>
        <v>Assessment pending</v>
      </c>
    </row>
    <row r="1279" ht="15.75" customHeight="1">
      <c r="A1279" s="35" t="s">
        <v>3167</v>
      </c>
      <c r="B1279" s="35" t="s">
        <v>3168</v>
      </c>
      <c r="C1279" s="35" t="s">
        <v>1286</v>
      </c>
      <c r="D1279" s="35" t="s">
        <v>260</v>
      </c>
      <c r="E1279" s="35" t="s">
        <v>576</v>
      </c>
      <c r="F1279" s="35" t="s">
        <v>1228</v>
      </c>
      <c r="G1279" s="35" t="s">
        <v>1161</v>
      </c>
      <c r="H1279" s="76">
        <v>7988.0</v>
      </c>
      <c r="I1279" s="35" t="s">
        <v>403</v>
      </c>
      <c r="M1279" s="20">
        <f>IF($B1279="","",COUNTIFS('Blocker log'!$A:$A,$B1279,'Blocker log'!$G:$G,"&lt;&gt;"))</f>
        <v>0</v>
      </c>
      <c r="N1279" s="20">
        <f>IF($B1279="","",COUNTIFS('Blocker log'!$A:$A,$B1279,'Blocker log'!$G:$G,"Hard blocker"))</f>
        <v>0</v>
      </c>
      <c r="O1279" s="20">
        <f>IF($B1279="","",COUNTIFS('Blocker log'!$A:$A,$B1279,'Blocker log'!$G:$G,"Hard blocker",'Blocker log'!$L:$L,9))</f>
        <v>0</v>
      </c>
      <c r="P1279" s="20">
        <f>IF($B1279="","",MAXIFS('Blocker log'!$L:$L,'Blocker log'!$A:$A,$B1279,'Blocker log'!$G:$G,"Hard blocker"))</f>
        <v>0</v>
      </c>
      <c r="Q1279" s="20" t="str">
        <f>IF($B1279="","",IF($K1279&lt;&gt;"Complete","Assessment pending",IF($N1279=0,"Ready now",VLOOKUP($P1279,Lists!$D$2:$E$5,2,FALSE))))</f>
        <v>Assessment pending</v>
      </c>
    </row>
    <row r="1280" ht="15.75" customHeight="1">
      <c r="A1280" s="35" t="s">
        <v>3169</v>
      </c>
      <c r="B1280" s="35" t="s">
        <v>3170</v>
      </c>
      <c r="C1280" s="35" t="s">
        <v>76</v>
      </c>
      <c r="D1280" s="35" t="s">
        <v>171</v>
      </c>
      <c r="E1280" s="35" t="s">
        <v>713</v>
      </c>
      <c r="F1280" s="35" t="s">
        <v>714</v>
      </c>
      <c r="G1280" s="35" t="s">
        <v>980</v>
      </c>
      <c r="H1280" s="76">
        <v>7963.0</v>
      </c>
      <c r="I1280" s="35"/>
      <c r="M1280" s="20">
        <f>IF($B1280="","",COUNTIFS('Blocker log'!$A:$A,$B1280,'Blocker log'!$G:$G,"&lt;&gt;"))</f>
        <v>0</v>
      </c>
      <c r="N1280" s="20">
        <f>IF($B1280="","",COUNTIFS('Blocker log'!$A:$A,$B1280,'Blocker log'!$G:$G,"Hard blocker"))</f>
        <v>0</v>
      </c>
      <c r="O1280" s="20">
        <f>IF($B1280="","",COUNTIFS('Blocker log'!$A:$A,$B1280,'Blocker log'!$G:$G,"Hard blocker",'Blocker log'!$L:$L,9))</f>
        <v>0</v>
      </c>
      <c r="P1280" s="20">
        <f>IF($B1280="","",MAXIFS('Blocker log'!$L:$L,'Blocker log'!$A:$A,$B1280,'Blocker log'!$G:$G,"Hard blocker"))</f>
        <v>0</v>
      </c>
      <c r="Q1280" s="20" t="str">
        <f>IF($B1280="","",IF($K1280&lt;&gt;"Complete","Assessment pending",IF($N1280=0,"Ready now",VLOOKUP($P1280,Lists!$D$2:$E$5,2,FALSE))))</f>
        <v>Assessment pending</v>
      </c>
    </row>
    <row r="1281" ht="15.75" customHeight="1">
      <c r="A1281" s="35" t="s">
        <v>3171</v>
      </c>
      <c r="B1281" s="35" t="s">
        <v>3172</v>
      </c>
      <c r="C1281" s="35" t="s">
        <v>1286</v>
      </c>
      <c r="D1281" s="35" t="s">
        <v>171</v>
      </c>
      <c r="E1281" s="35" t="s">
        <v>713</v>
      </c>
      <c r="F1281" s="35" t="s">
        <v>714</v>
      </c>
      <c r="G1281" s="35" t="s">
        <v>1161</v>
      </c>
      <c r="H1281" s="76">
        <v>7886.0</v>
      </c>
      <c r="I1281" s="35"/>
      <c r="M1281" s="20">
        <f>IF($B1281="","",COUNTIFS('Blocker log'!$A:$A,$B1281,'Blocker log'!$G:$G,"&lt;&gt;"))</f>
        <v>0</v>
      </c>
      <c r="N1281" s="20">
        <f>IF($B1281="","",COUNTIFS('Blocker log'!$A:$A,$B1281,'Blocker log'!$G:$G,"Hard blocker"))</f>
        <v>0</v>
      </c>
      <c r="O1281" s="20">
        <f>IF($B1281="","",COUNTIFS('Blocker log'!$A:$A,$B1281,'Blocker log'!$G:$G,"Hard blocker",'Blocker log'!$L:$L,9))</f>
        <v>0</v>
      </c>
      <c r="P1281" s="20">
        <f>IF($B1281="","",MAXIFS('Blocker log'!$L:$L,'Blocker log'!$A:$A,$B1281,'Blocker log'!$G:$G,"Hard blocker"))</f>
        <v>0</v>
      </c>
      <c r="Q1281" s="20" t="str">
        <f>IF($B1281="","",IF($K1281&lt;&gt;"Complete","Assessment pending",IF($N1281=0,"Ready now",VLOOKUP($P1281,Lists!$D$2:$E$5,2,FALSE))))</f>
        <v>Assessment pending</v>
      </c>
    </row>
    <row r="1282" ht="15.75" customHeight="1">
      <c r="A1282" s="35" t="s">
        <v>3173</v>
      </c>
      <c r="B1282" s="35" t="s">
        <v>3174</v>
      </c>
      <c r="C1282" s="35" t="s">
        <v>1286</v>
      </c>
      <c r="D1282" s="35" t="s">
        <v>301</v>
      </c>
      <c r="E1282" s="35" t="s">
        <v>593</v>
      </c>
      <c r="F1282" s="35" t="s">
        <v>593</v>
      </c>
      <c r="G1282" s="35" t="s">
        <v>1042</v>
      </c>
      <c r="H1282" s="76">
        <v>7733.0</v>
      </c>
      <c r="I1282" s="35"/>
      <c r="M1282" s="20">
        <f>IF($B1282="","",COUNTIFS('Blocker log'!$A:$A,$B1282,'Blocker log'!$G:$G,"&lt;&gt;"))</f>
        <v>0</v>
      </c>
      <c r="N1282" s="20">
        <f>IF($B1282="","",COUNTIFS('Blocker log'!$A:$A,$B1282,'Blocker log'!$G:$G,"Hard blocker"))</f>
        <v>0</v>
      </c>
      <c r="O1282" s="20">
        <f>IF($B1282="","",COUNTIFS('Blocker log'!$A:$A,$B1282,'Blocker log'!$G:$G,"Hard blocker",'Blocker log'!$L:$L,9))</f>
        <v>0</v>
      </c>
      <c r="P1282" s="20">
        <f>IF($B1282="","",MAXIFS('Blocker log'!$L:$L,'Blocker log'!$A:$A,$B1282,'Blocker log'!$G:$G,"Hard blocker"))</f>
        <v>0</v>
      </c>
      <c r="Q1282" s="20" t="str">
        <f>IF($B1282="","",IF($K1282&lt;&gt;"Complete","Assessment pending",IF($N1282=0,"Ready now",VLOOKUP($P1282,Lists!$D$2:$E$5,2,FALSE))))</f>
        <v>Assessment pending</v>
      </c>
    </row>
    <row r="1283" ht="15.75" customHeight="1">
      <c r="A1283" s="35" t="s">
        <v>3175</v>
      </c>
      <c r="B1283" s="35" t="s">
        <v>3176</v>
      </c>
      <c r="C1283" s="35" t="s">
        <v>1286</v>
      </c>
      <c r="D1283" s="35" t="s">
        <v>301</v>
      </c>
      <c r="E1283" s="35" t="s">
        <v>1281</v>
      </c>
      <c r="F1283" s="35" t="s">
        <v>1281</v>
      </c>
      <c r="G1283" s="35" t="s">
        <v>1042</v>
      </c>
      <c r="H1283" s="76">
        <v>7722.0</v>
      </c>
      <c r="I1283" s="35"/>
      <c r="M1283" s="20">
        <f>IF($B1283="","",COUNTIFS('Blocker log'!$A:$A,$B1283,'Blocker log'!$G:$G,"&lt;&gt;"))</f>
        <v>0</v>
      </c>
      <c r="N1283" s="20">
        <f>IF($B1283="","",COUNTIFS('Blocker log'!$A:$A,$B1283,'Blocker log'!$G:$G,"Hard blocker"))</f>
        <v>0</v>
      </c>
      <c r="O1283" s="20">
        <f>IF($B1283="","",COUNTIFS('Blocker log'!$A:$A,$B1283,'Blocker log'!$G:$G,"Hard blocker",'Blocker log'!$L:$L,9))</f>
        <v>0</v>
      </c>
      <c r="P1283" s="20">
        <f>IF($B1283="","",MAXIFS('Blocker log'!$L:$L,'Blocker log'!$A:$A,$B1283,'Blocker log'!$G:$G,"Hard blocker"))</f>
        <v>0</v>
      </c>
      <c r="Q1283" s="20" t="str">
        <f>IF($B1283="","",IF($K1283&lt;&gt;"Complete","Assessment pending",IF($N1283=0,"Ready now",VLOOKUP($P1283,Lists!$D$2:$E$5,2,FALSE))))</f>
        <v>Assessment pending</v>
      </c>
    </row>
    <row r="1284" ht="15.75" customHeight="1">
      <c r="A1284" s="35" t="s">
        <v>3177</v>
      </c>
      <c r="B1284" s="35" t="s">
        <v>3178</v>
      </c>
      <c r="C1284" s="35" t="s">
        <v>1286</v>
      </c>
      <c r="D1284" s="35" t="s">
        <v>58</v>
      </c>
      <c r="E1284" s="35" t="s">
        <v>101</v>
      </c>
      <c r="F1284" s="35" t="s">
        <v>116</v>
      </c>
      <c r="G1284" s="35" t="s">
        <v>1161</v>
      </c>
      <c r="H1284" s="76">
        <v>7686.0</v>
      </c>
      <c r="I1284" s="35"/>
      <c r="M1284" s="20">
        <f>IF($B1284="","",COUNTIFS('Blocker log'!$A:$A,$B1284,'Blocker log'!$G:$G,"&lt;&gt;"))</f>
        <v>0</v>
      </c>
      <c r="N1284" s="20">
        <f>IF($B1284="","",COUNTIFS('Blocker log'!$A:$A,$B1284,'Blocker log'!$G:$G,"Hard blocker"))</f>
        <v>0</v>
      </c>
      <c r="O1284" s="20">
        <f>IF($B1284="","",COUNTIFS('Blocker log'!$A:$A,$B1284,'Blocker log'!$G:$G,"Hard blocker",'Blocker log'!$L:$L,9))</f>
        <v>0</v>
      </c>
      <c r="P1284" s="20">
        <f>IF($B1284="","",MAXIFS('Blocker log'!$L:$L,'Blocker log'!$A:$A,$B1284,'Blocker log'!$G:$G,"Hard blocker"))</f>
        <v>0</v>
      </c>
      <c r="Q1284" s="20" t="str">
        <f>IF($B1284="","",IF($K1284&lt;&gt;"Complete","Assessment pending",IF($N1284=0,"Ready now",VLOOKUP($P1284,Lists!$D$2:$E$5,2,FALSE))))</f>
        <v>Assessment pending</v>
      </c>
    </row>
    <row r="1285" ht="15.75" customHeight="1">
      <c r="A1285" s="35" t="s">
        <v>3179</v>
      </c>
      <c r="B1285" s="35" t="s">
        <v>3180</v>
      </c>
      <c r="C1285" s="35" t="s">
        <v>1286</v>
      </c>
      <c r="D1285" s="35" t="s">
        <v>260</v>
      </c>
      <c r="E1285" s="35" t="s">
        <v>1096</v>
      </c>
      <c r="F1285" s="35" t="s">
        <v>1650</v>
      </c>
      <c r="G1285" s="35" t="s">
        <v>1161</v>
      </c>
      <c r="H1285" s="76">
        <v>7600.0</v>
      </c>
      <c r="I1285" s="35" t="s">
        <v>416</v>
      </c>
      <c r="M1285" s="20">
        <f>IF($B1285="","",COUNTIFS('Blocker log'!$A:$A,$B1285,'Blocker log'!$G:$G,"&lt;&gt;"))</f>
        <v>0</v>
      </c>
      <c r="N1285" s="20">
        <f>IF($B1285="","",COUNTIFS('Blocker log'!$A:$A,$B1285,'Blocker log'!$G:$G,"Hard blocker"))</f>
        <v>0</v>
      </c>
      <c r="O1285" s="20">
        <f>IF($B1285="","",COUNTIFS('Blocker log'!$A:$A,$B1285,'Blocker log'!$G:$G,"Hard blocker",'Blocker log'!$L:$L,9))</f>
        <v>0</v>
      </c>
      <c r="P1285" s="20">
        <f>IF($B1285="","",MAXIFS('Blocker log'!$L:$L,'Blocker log'!$A:$A,$B1285,'Blocker log'!$G:$G,"Hard blocker"))</f>
        <v>0</v>
      </c>
      <c r="Q1285" s="20" t="str">
        <f>IF($B1285="","",IF($K1285&lt;&gt;"Complete","Assessment pending",IF($N1285=0,"Ready now",VLOOKUP($P1285,Lists!$D$2:$E$5,2,FALSE))))</f>
        <v>Assessment pending</v>
      </c>
    </row>
    <row r="1286" ht="15.75" customHeight="1">
      <c r="A1286" s="35" t="s">
        <v>3181</v>
      </c>
      <c r="B1286" s="35" t="s">
        <v>3182</v>
      </c>
      <c r="C1286" s="35" t="s">
        <v>1286</v>
      </c>
      <c r="D1286" s="35" t="s">
        <v>171</v>
      </c>
      <c r="E1286" s="35" t="s">
        <v>542</v>
      </c>
      <c r="F1286" s="35" t="s">
        <v>543</v>
      </c>
      <c r="G1286" s="35" t="s">
        <v>1161</v>
      </c>
      <c r="H1286" s="76">
        <v>7573.0</v>
      </c>
      <c r="I1286" s="35" t="s">
        <v>424</v>
      </c>
      <c r="M1286" s="20">
        <f>IF($B1286="","",COUNTIFS('Blocker log'!$A:$A,$B1286,'Blocker log'!$G:$G,"&lt;&gt;"))</f>
        <v>0</v>
      </c>
      <c r="N1286" s="20">
        <f>IF($B1286="","",COUNTIFS('Blocker log'!$A:$A,$B1286,'Blocker log'!$G:$G,"Hard blocker"))</f>
        <v>0</v>
      </c>
      <c r="O1286" s="20">
        <f>IF($B1286="","",COUNTIFS('Blocker log'!$A:$A,$B1286,'Blocker log'!$G:$G,"Hard blocker",'Blocker log'!$L:$L,9))</f>
        <v>0</v>
      </c>
      <c r="P1286" s="20">
        <f>IF($B1286="","",MAXIFS('Blocker log'!$L:$L,'Blocker log'!$A:$A,$B1286,'Blocker log'!$G:$G,"Hard blocker"))</f>
        <v>0</v>
      </c>
      <c r="Q1286" s="20" t="str">
        <f>IF($B1286="","",IF($K1286&lt;&gt;"Complete","Assessment pending",IF($N1286=0,"Ready now",VLOOKUP($P1286,Lists!$D$2:$E$5,2,FALSE))))</f>
        <v>Assessment pending</v>
      </c>
    </row>
    <row r="1287" ht="15.75" customHeight="1">
      <c r="A1287" s="35" t="s">
        <v>3183</v>
      </c>
      <c r="B1287" s="35" t="s">
        <v>3184</v>
      </c>
      <c r="C1287" s="35" t="s">
        <v>76</v>
      </c>
      <c r="D1287" s="35" t="s">
        <v>260</v>
      </c>
      <c r="E1287" s="35" t="s">
        <v>530</v>
      </c>
      <c r="F1287" s="35" t="s">
        <v>795</v>
      </c>
      <c r="G1287" s="35" t="s">
        <v>1042</v>
      </c>
      <c r="H1287" s="76">
        <v>7560.0</v>
      </c>
      <c r="I1287" s="35"/>
      <c r="M1287" s="20">
        <f>IF($B1287="","",COUNTIFS('Blocker log'!$A:$A,$B1287,'Blocker log'!$G:$G,"&lt;&gt;"))</f>
        <v>0</v>
      </c>
      <c r="N1287" s="20">
        <f>IF($B1287="","",COUNTIFS('Blocker log'!$A:$A,$B1287,'Blocker log'!$G:$G,"Hard blocker"))</f>
        <v>0</v>
      </c>
      <c r="O1287" s="20">
        <f>IF($B1287="","",COUNTIFS('Blocker log'!$A:$A,$B1287,'Blocker log'!$G:$G,"Hard blocker",'Blocker log'!$L:$L,9))</f>
        <v>0</v>
      </c>
      <c r="P1287" s="20">
        <f>IF($B1287="","",MAXIFS('Blocker log'!$L:$L,'Blocker log'!$A:$A,$B1287,'Blocker log'!$G:$G,"Hard blocker"))</f>
        <v>0</v>
      </c>
      <c r="Q1287" s="20" t="str">
        <f>IF($B1287="","",IF($K1287&lt;&gt;"Complete","Assessment pending",IF($N1287=0,"Ready now",VLOOKUP($P1287,Lists!$D$2:$E$5,2,FALSE))))</f>
        <v>Assessment pending</v>
      </c>
    </row>
    <row r="1288" ht="15.75" customHeight="1">
      <c r="A1288" s="35" t="s">
        <v>3185</v>
      </c>
      <c r="B1288" s="35" t="s">
        <v>3186</v>
      </c>
      <c r="C1288" s="35" t="s">
        <v>1286</v>
      </c>
      <c r="D1288" s="35" t="s">
        <v>58</v>
      </c>
      <c r="E1288" s="35" t="s">
        <v>494</v>
      </c>
      <c r="F1288" s="35" t="s">
        <v>690</v>
      </c>
      <c r="G1288" s="35" t="s">
        <v>1161</v>
      </c>
      <c r="H1288" s="76">
        <v>7511.0</v>
      </c>
      <c r="I1288" s="35"/>
      <c r="M1288" s="20">
        <f>IF($B1288="","",COUNTIFS('Blocker log'!$A:$A,$B1288,'Blocker log'!$G:$G,"&lt;&gt;"))</f>
        <v>0</v>
      </c>
      <c r="N1288" s="20">
        <f>IF($B1288="","",COUNTIFS('Blocker log'!$A:$A,$B1288,'Blocker log'!$G:$G,"Hard blocker"))</f>
        <v>0</v>
      </c>
      <c r="O1288" s="20">
        <f>IF($B1288="","",COUNTIFS('Blocker log'!$A:$A,$B1288,'Blocker log'!$G:$G,"Hard blocker",'Blocker log'!$L:$L,9))</f>
        <v>0</v>
      </c>
      <c r="P1288" s="20">
        <f>IF($B1288="","",MAXIFS('Blocker log'!$L:$L,'Blocker log'!$A:$A,$B1288,'Blocker log'!$G:$G,"Hard blocker"))</f>
        <v>0</v>
      </c>
      <c r="Q1288" s="20" t="str">
        <f>IF($B1288="","",IF($K1288&lt;&gt;"Complete","Assessment pending",IF($N1288=0,"Ready now",VLOOKUP($P1288,Lists!$D$2:$E$5,2,FALSE))))</f>
        <v>Assessment pending</v>
      </c>
    </row>
    <row r="1289" ht="15.75" customHeight="1">
      <c r="A1289" s="35" t="s">
        <v>3187</v>
      </c>
      <c r="B1289" s="35" t="s">
        <v>3188</v>
      </c>
      <c r="C1289" s="35" t="s">
        <v>1286</v>
      </c>
      <c r="D1289" s="35" t="s">
        <v>260</v>
      </c>
      <c r="E1289" s="35" t="s">
        <v>1096</v>
      </c>
      <c r="F1289" s="35" t="s">
        <v>1366</v>
      </c>
      <c r="G1289" s="35" t="s">
        <v>1161</v>
      </c>
      <c r="H1289" s="76">
        <v>7452.0</v>
      </c>
      <c r="I1289" s="35"/>
      <c r="M1289" s="20">
        <f>IF($B1289="","",COUNTIFS('Blocker log'!$A:$A,$B1289,'Blocker log'!$G:$G,"&lt;&gt;"))</f>
        <v>0</v>
      </c>
      <c r="N1289" s="20">
        <f>IF($B1289="","",COUNTIFS('Blocker log'!$A:$A,$B1289,'Blocker log'!$G:$G,"Hard blocker"))</f>
        <v>0</v>
      </c>
      <c r="O1289" s="20">
        <f>IF($B1289="","",COUNTIFS('Blocker log'!$A:$A,$B1289,'Blocker log'!$G:$G,"Hard blocker",'Blocker log'!$L:$L,9))</f>
        <v>0</v>
      </c>
      <c r="P1289" s="20">
        <f>IF($B1289="","",MAXIFS('Blocker log'!$L:$L,'Blocker log'!$A:$A,$B1289,'Blocker log'!$G:$G,"Hard blocker"))</f>
        <v>0</v>
      </c>
      <c r="Q1289" s="20" t="str">
        <f>IF($B1289="","",IF($K1289&lt;&gt;"Complete","Assessment pending",IF($N1289=0,"Ready now",VLOOKUP($P1289,Lists!$D$2:$E$5,2,FALSE))))</f>
        <v>Assessment pending</v>
      </c>
    </row>
    <row r="1290" ht="15.75" customHeight="1">
      <c r="A1290" s="35" t="s">
        <v>3189</v>
      </c>
      <c r="B1290" s="35" t="s">
        <v>3190</v>
      </c>
      <c r="C1290" s="35" t="s">
        <v>76</v>
      </c>
      <c r="D1290" s="35" t="s">
        <v>260</v>
      </c>
      <c r="E1290" s="35" t="s">
        <v>530</v>
      </c>
      <c r="F1290" s="35" t="s">
        <v>1674</v>
      </c>
      <c r="G1290" s="35" t="s">
        <v>1042</v>
      </c>
      <c r="H1290" s="76">
        <v>7380.0</v>
      </c>
      <c r="I1290" s="35"/>
      <c r="M1290" s="20">
        <f>IF($B1290="","",COUNTIFS('Blocker log'!$A:$A,$B1290,'Blocker log'!$G:$G,"&lt;&gt;"))</f>
        <v>0</v>
      </c>
      <c r="N1290" s="20">
        <f>IF($B1290="","",COUNTIFS('Blocker log'!$A:$A,$B1290,'Blocker log'!$G:$G,"Hard blocker"))</f>
        <v>0</v>
      </c>
      <c r="O1290" s="20">
        <f>IF($B1290="","",COUNTIFS('Blocker log'!$A:$A,$B1290,'Blocker log'!$G:$G,"Hard blocker",'Blocker log'!$L:$L,9))</f>
        <v>0</v>
      </c>
      <c r="P1290" s="20">
        <f>IF($B1290="","",MAXIFS('Blocker log'!$L:$L,'Blocker log'!$A:$A,$B1290,'Blocker log'!$G:$G,"Hard blocker"))</f>
        <v>0</v>
      </c>
      <c r="Q1290" s="20" t="str">
        <f>IF($B1290="","",IF($K1290&lt;&gt;"Complete","Assessment pending",IF($N1290=0,"Ready now",VLOOKUP($P1290,Lists!$D$2:$E$5,2,FALSE))))</f>
        <v>Assessment pending</v>
      </c>
    </row>
    <row r="1291" ht="15.75" customHeight="1">
      <c r="A1291" s="35" t="s">
        <v>3191</v>
      </c>
      <c r="B1291" s="35" t="s">
        <v>3192</v>
      </c>
      <c r="C1291" s="35" t="s">
        <v>1286</v>
      </c>
      <c r="D1291" s="35" t="s">
        <v>260</v>
      </c>
      <c r="E1291" s="35" t="s">
        <v>1096</v>
      </c>
      <c r="F1291" s="35" t="s">
        <v>1097</v>
      </c>
      <c r="G1291" s="35" t="s">
        <v>1161</v>
      </c>
      <c r="H1291" s="76">
        <v>7326.0</v>
      </c>
      <c r="I1291" s="35"/>
      <c r="M1291" s="20">
        <f>IF($B1291="","",COUNTIFS('Blocker log'!$A:$A,$B1291,'Blocker log'!$G:$G,"&lt;&gt;"))</f>
        <v>0</v>
      </c>
      <c r="N1291" s="20">
        <f>IF($B1291="","",COUNTIFS('Blocker log'!$A:$A,$B1291,'Blocker log'!$G:$G,"Hard blocker"))</f>
        <v>0</v>
      </c>
      <c r="O1291" s="20">
        <f>IF($B1291="","",COUNTIFS('Blocker log'!$A:$A,$B1291,'Blocker log'!$G:$G,"Hard blocker",'Blocker log'!$L:$L,9))</f>
        <v>0</v>
      </c>
      <c r="P1291" s="20">
        <f>IF($B1291="","",MAXIFS('Blocker log'!$L:$L,'Blocker log'!$A:$A,$B1291,'Blocker log'!$G:$G,"Hard blocker"))</f>
        <v>0</v>
      </c>
      <c r="Q1291" s="20" t="str">
        <f>IF($B1291="","",IF($K1291&lt;&gt;"Complete","Assessment pending",IF($N1291=0,"Ready now",VLOOKUP($P1291,Lists!$D$2:$E$5,2,FALSE))))</f>
        <v>Assessment pending</v>
      </c>
    </row>
    <row r="1292" ht="15.75" customHeight="1">
      <c r="A1292" s="35" t="s">
        <v>3193</v>
      </c>
      <c r="B1292" s="35" t="s">
        <v>3194</v>
      </c>
      <c r="C1292" s="35"/>
      <c r="D1292" s="35" t="s">
        <v>260</v>
      </c>
      <c r="E1292" s="35" t="s">
        <v>576</v>
      </c>
      <c r="F1292" s="35" t="s">
        <v>1965</v>
      </c>
      <c r="G1292" s="35" t="s">
        <v>1161</v>
      </c>
      <c r="H1292" s="76">
        <v>7272.0</v>
      </c>
      <c r="I1292" s="35"/>
      <c r="M1292" s="20">
        <f>IF($B1292="","",COUNTIFS('Blocker log'!$A:$A,$B1292,'Blocker log'!$G:$G,"&lt;&gt;"))</f>
        <v>0</v>
      </c>
      <c r="N1292" s="20">
        <f>IF($B1292="","",COUNTIFS('Blocker log'!$A:$A,$B1292,'Blocker log'!$G:$G,"Hard blocker"))</f>
        <v>0</v>
      </c>
      <c r="O1292" s="20">
        <f>IF($B1292="","",COUNTIFS('Blocker log'!$A:$A,$B1292,'Blocker log'!$G:$G,"Hard blocker",'Blocker log'!$L:$L,9))</f>
        <v>0</v>
      </c>
      <c r="P1292" s="20">
        <f>IF($B1292="","",MAXIFS('Blocker log'!$L:$L,'Blocker log'!$A:$A,$B1292,'Blocker log'!$G:$G,"Hard blocker"))</f>
        <v>0</v>
      </c>
      <c r="Q1292" s="20" t="str">
        <f>IF($B1292="","",IF($K1292&lt;&gt;"Complete","Assessment pending",IF($N1292=0,"Ready now",VLOOKUP($P1292,Lists!$D$2:$E$5,2,FALSE))))</f>
        <v>Assessment pending</v>
      </c>
    </row>
    <row r="1293" ht="15.75" customHeight="1">
      <c r="A1293" s="35" t="s">
        <v>3195</v>
      </c>
      <c r="B1293" s="35" t="s">
        <v>3196</v>
      </c>
      <c r="C1293" s="35" t="s">
        <v>1286</v>
      </c>
      <c r="D1293" s="35" t="s">
        <v>171</v>
      </c>
      <c r="E1293" s="35" t="s">
        <v>713</v>
      </c>
      <c r="F1293" s="35" t="s">
        <v>714</v>
      </c>
      <c r="G1293" s="35" t="s">
        <v>1161</v>
      </c>
      <c r="H1293" s="76">
        <v>7200.0</v>
      </c>
      <c r="I1293" s="35"/>
      <c r="M1293" s="20">
        <f>IF($B1293="","",COUNTIFS('Blocker log'!$A:$A,$B1293,'Blocker log'!$G:$G,"&lt;&gt;"))</f>
        <v>0</v>
      </c>
      <c r="N1293" s="20">
        <f>IF($B1293="","",COUNTIFS('Blocker log'!$A:$A,$B1293,'Blocker log'!$G:$G,"Hard blocker"))</f>
        <v>0</v>
      </c>
      <c r="O1293" s="20">
        <f>IF($B1293="","",COUNTIFS('Blocker log'!$A:$A,$B1293,'Blocker log'!$G:$G,"Hard blocker",'Blocker log'!$L:$L,9))</f>
        <v>0</v>
      </c>
      <c r="P1293" s="20">
        <f>IF($B1293="","",MAXIFS('Blocker log'!$L:$L,'Blocker log'!$A:$A,$B1293,'Blocker log'!$G:$G,"Hard blocker"))</f>
        <v>0</v>
      </c>
      <c r="Q1293" s="20" t="str">
        <f>IF($B1293="","",IF($K1293&lt;&gt;"Complete","Assessment pending",IF($N1293=0,"Ready now",VLOOKUP($P1293,Lists!$D$2:$E$5,2,FALSE))))</f>
        <v>Assessment pending</v>
      </c>
    </row>
    <row r="1294" ht="15.75" customHeight="1">
      <c r="A1294" s="35" t="s">
        <v>3197</v>
      </c>
      <c r="B1294" s="35" t="s">
        <v>3198</v>
      </c>
      <c r="C1294" s="35" t="s">
        <v>76</v>
      </c>
      <c r="D1294" s="35" t="s">
        <v>58</v>
      </c>
      <c r="E1294" s="35" t="s">
        <v>494</v>
      </c>
      <c r="F1294" s="35" t="s">
        <v>629</v>
      </c>
      <c r="G1294" s="35" t="s">
        <v>1006</v>
      </c>
      <c r="H1294" s="76">
        <v>7151.0</v>
      </c>
      <c r="I1294" s="35"/>
      <c r="M1294" s="20">
        <f>IF($B1294="","",COUNTIFS('Blocker log'!$A:$A,$B1294,'Blocker log'!$G:$G,"&lt;&gt;"))</f>
        <v>0</v>
      </c>
      <c r="N1294" s="20">
        <f>IF($B1294="","",COUNTIFS('Blocker log'!$A:$A,$B1294,'Blocker log'!$G:$G,"Hard blocker"))</f>
        <v>0</v>
      </c>
      <c r="O1294" s="20">
        <f>IF($B1294="","",COUNTIFS('Blocker log'!$A:$A,$B1294,'Blocker log'!$G:$G,"Hard blocker",'Blocker log'!$L:$L,9))</f>
        <v>0</v>
      </c>
      <c r="P1294" s="20">
        <f>IF($B1294="","",MAXIFS('Blocker log'!$L:$L,'Blocker log'!$A:$A,$B1294,'Blocker log'!$G:$G,"Hard blocker"))</f>
        <v>0</v>
      </c>
      <c r="Q1294" s="20" t="str">
        <f>IF($B1294="","",IF($K1294&lt;&gt;"Complete","Assessment pending",IF($N1294=0,"Ready now",VLOOKUP($P1294,Lists!$D$2:$E$5,2,FALSE))))</f>
        <v>Assessment pending</v>
      </c>
    </row>
    <row r="1295" ht="15.75" customHeight="1">
      <c r="A1295" s="35" t="s">
        <v>3199</v>
      </c>
      <c r="B1295" s="35" t="s">
        <v>3200</v>
      </c>
      <c r="C1295" s="35" t="s">
        <v>1286</v>
      </c>
      <c r="D1295" s="35" t="s">
        <v>260</v>
      </c>
      <c r="E1295" s="35" t="s">
        <v>576</v>
      </c>
      <c r="F1295" s="35" t="s">
        <v>1965</v>
      </c>
      <c r="G1295" s="35" t="s">
        <v>1161</v>
      </c>
      <c r="H1295" s="76">
        <v>7092.0</v>
      </c>
      <c r="I1295" s="35" t="s">
        <v>403</v>
      </c>
      <c r="M1295" s="20">
        <f>IF($B1295="","",COUNTIFS('Blocker log'!$A:$A,$B1295,'Blocker log'!$G:$G,"&lt;&gt;"))</f>
        <v>0</v>
      </c>
      <c r="N1295" s="20">
        <f>IF($B1295="","",COUNTIFS('Blocker log'!$A:$A,$B1295,'Blocker log'!$G:$G,"Hard blocker"))</f>
        <v>0</v>
      </c>
      <c r="O1295" s="20">
        <f>IF($B1295="","",COUNTIFS('Blocker log'!$A:$A,$B1295,'Blocker log'!$G:$G,"Hard blocker",'Blocker log'!$L:$L,9))</f>
        <v>0</v>
      </c>
      <c r="P1295" s="20">
        <f>IF($B1295="","",MAXIFS('Blocker log'!$L:$L,'Blocker log'!$A:$A,$B1295,'Blocker log'!$G:$G,"Hard blocker"))</f>
        <v>0</v>
      </c>
      <c r="Q1295" s="20" t="str">
        <f>IF($B1295="","",IF($K1295&lt;&gt;"Complete","Assessment pending",IF($N1295=0,"Ready now",VLOOKUP($P1295,Lists!$D$2:$E$5,2,FALSE))))</f>
        <v>Assessment pending</v>
      </c>
    </row>
    <row r="1296" ht="15.75" customHeight="1">
      <c r="A1296" s="35" t="s">
        <v>3201</v>
      </c>
      <c r="B1296" s="35" t="s">
        <v>3202</v>
      </c>
      <c r="C1296" s="35" t="s">
        <v>1286</v>
      </c>
      <c r="D1296" s="35" t="s">
        <v>260</v>
      </c>
      <c r="E1296" s="35" t="s">
        <v>1096</v>
      </c>
      <c r="F1296" s="35" t="s">
        <v>1366</v>
      </c>
      <c r="G1296" s="35" t="s">
        <v>1161</v>
      </c>
      <c r="H1296" s="76">
        <v>7025.0</v>
      </c>
      <c r="I1296" s="35" t="s">
        <v>429</v>
      </c>
      <c r="M1296" s="20">
        <f>IF($B1296="","",COUNTIFS('Blocker log'!$A:$A,$B1296,'Blocker log'!$G:$G,"&lt;&gt;"))</f>
        <v>0</v>
      </c>
      <c r="N1296" s="20">
        <f>IF($B1296="","",COUNTIFS('Blocker log'!$A:$A,$B1296,'Blocker log'!$G:$G,"Hard blocker"))</f>
        <v>0</v>
      </c>
      <c r="O1296" s="20">
        <f>IF($B1296="","",COUNTIFS('Blocker log'!$A:$A,$B1296,'Blocker log'!$G:$G,"Hard blocker",'Blocker log'!$L:$L,9))</f>
        <v>0</v>
      </c>
      <c r="P1296" s="20">
        <f>IF($B1296="","",MAXIFS('Blocker log'!$L:$L,'Blocker log'!$A:$A,$B1296,'Blocker log'!$G:$G,"Hard blocker"))</f>
        <v>0</v>
      </c>
      <c r="Q1296" s="20" t="str">
        <f>IF($B1296="","",IF($K1296&lt;&gt;"Complete","Assessment pending",IF($N1296=0,"Ready now",VLOOKUP($P1296,Lists!$D$2:$E$5,2,FALSE))))</f>
        <v>Assessment pending</v>
      </c>
    </row>
    <row r="1297" ht="15.75" customHeight="1">
      <c r="A1297" s="35" t="s">
        <v>3203</v>
      </c>
      <c r="B1297" s="35" t="s">
        <v>3204</v>
      </c>
      <c r="C1297" s="35" t="s">
        <v>1286</v>
      </c>
      <c r="D1297" s="35" t="s">
        <v>58</v>
      </c>
      <c r="E1297" s="35" t="s">
        <v>59</v>
      </c>
      <c r="F1297" s="35" t="s">
        <v>225</v>
      </c>
      <c r="G1297" s="35" t="s">
        <v>1161</v>
      </c>
      <c r="H1297" s="76">
        <v>7023.0</v>
      </c>
      <c r="I1297" s="35" t="s">
        <v>439</v>
      </c>
      <c r="M1297" s="20">
        <f>IF($B1297="","",COUNTIFS('Blocker log'!$A:$A,$B1297,'Blocker log'!$G:$G,"&lt;&gt;"))</f>
        <v>0</v>
      </c>
      <c r="N1297" s="20">
        <f>IF($B1297="","",COUNTIFS('Blocker log'!$A:$A,$B1297,'Blocker log'!$G:$G,"Hard blocker"))</f>
        <v>0</v>
      </c>
      <c r="O1297" s="20">
        <f>IF($B1297="","",COUNTIFS('Blocker log'!$A:$A,$B1297,'Blocker log'!$G:$G,"Hard blocker",'Blocker log'!$L:$L,9))</f>
        <v>0</v>
      </c>
      <c r="P1297" s="20">
        <f>IF($B1297="","",MAXIFS('Blocker log'!$L:$L,'Blocker log'!$A:$A,$B1297,'Blocker log'!$G:$G,"Hard blocker"))</f>
        <v>0</v>
      </c>
      <c r="Q1297" s="20" t="str">
        <f>IF($B1297="","",IF($K1297&lt;&gt;"Complete","Assessment pending",IF($N1297=0,"Ready now",VLOOKUP($P1297,Lists!$D$2:$E$5,2,FALSE))))</f>
        <v>Assessment pending</v>
      </c>
    </row>
    <row r="1298" ht="15.75" customHeight="1">
      <c r="A1298" s="35" t="s">
        <v>3205</v>
      </c>
      <c r="B1298" s="35" t="s">
        <v>3206</v>
      </c>
      <c r="C1298" s="35" t="s">
        <v>1286</v>
      </c>
      <c r="D1298" s="35" t="s">
        <v>171</v>
      </c>
      <c r="E1298" s="35" t="s">
        <v>668</v>
      </c>
      <c r="F1298" s="35" t="s">
        <v>1634</v>
      </c>
      <c r="G1298" s="35" t="s">
        <v>1161</v>
      </c>
      <c r="H1298" s="76">
        <v>6912.0</v>
      </c>
      <c r="I1298" s="35"/>
      <c r="M1298" s="20">
        <f>IF($B1298="","",COUNTIFS('Blocker log'!$A:$A,$B1298,'Blocker log'!$G:$G,"&lt;&gt;"))</f>
        <v>0</v>
      </c>
      <c r="N1298" s="20">
        <f>IF($B1298="","",COUNTIFS('Blocker log'!$A:$A,$B1298,'Blocker log'!$G:$G,"Hard blocker"))</f>
        <v>0</v>
      </c>
      <c r="O1298" s="20">
        <f>IF($B1298="","",COUNTIFS('Blocker log'!$A:$A,$B1298,'Blocker log'!$G:$G,"Hard blocker",'Blocker log'!$L:$L,9))</f>
        <v>0</v>
      </c>
      <c r="P1298" s="20">
        <f>IF($B1298="","",MAXIFS('Blocker log'!$L:$L,'Blocker log'!$A:$A,$B1298,'Blocker log'!$G:$G,"Hard blocker"))</f>
        <v>0</v>
      </c>
      <c r="Q1298" s="20" t="str">
        <f>IF($B1298="","",IF($K1298&lt;&gt;"Complete","Assessment pending",IF($N1298=0,"Ready now",VLOOKUP($P1298,Lists!$D$2:$E$5,2,FALSE))))</f>
        <v>Assessment pending</v>
      </c>
    </row>
    <row r="1299" ht="15.75" customHeight="1">
      <c r="A1299" s="35" t="s">
        <v>3207</v>
      </c>
      <c r="B1299" s="35" t="s">
        <v>3208</v>
      </c>
      <c r="C1299" s="35"/>
      <c r="D1299" s="35" t="s">
        <v>301</v>
      </c>
      <c r="E1299" s="35" t="s">
        <v>1281</v>
      </c>
      <c r="F1299" s="35" t="s">
        <v>1281</v>
      </c>
      <c r="G1299" s="35" t="s">
        <v>1161</v>
      </c>
      <c r="H1299" s="76">
        <v>6797.0</v>
      </c>
      <c r="I1299" s="35"/>
      <c r="M1299" s="20">
        <f>IF($B1299="","",COUNTIFS('Blocker log'!$A:$A,$B1299,'Blocker log'!$G:$G,"&lt;&gt;"))</f>
        <v>0</v>
      </c>
      <c r="N1299" s="20">
        <f>IF($B1299="","",COUNTIFS('Blocker log'!$A:$A,$B1299,'Blocker log'!$G:$G,"Hard blocker"))</f>
        <v>0</v>
      </c>
      <c r="O1299" s="20">
        <f>IF($B1299="","",COUNTIFS('Blocker log'!$A:$A,$B1299,'Blocker log'!$G:$G,"Hard blocker",'Blocker log'!$L:$L,9))</f>
        <v>0</v>
      </c>
      <c r="P1299" s="20">
        <f>IF($B1299="","",MAXIFS('Blocker log'!$L:$L,'Blocker log'!$A:$A,$B1299,'Blocker log'!$G:$G,"Hard blocker"))</f>
        <v>0</v>
      </c>
      <c r="Q1299" s="20" t="str">
        <f>IF($B1299="","",IF($K1299&lt;&gt;"Complete","Assessment pending",IF($N1299=0,"Ready now",VLOOKUP($P1299,Lists!$D$2:$E$5,2,FALSE))))</f>
        <v>Assessment pending</v>
      </c>
    </row>
    <row r="1300" ht="15.75" customHeight="1">
      <c r="A1300" s="35" t="s">
        <v>3209</v>
      </c>
      <c r="B1300" s="35" t="s">
        <v>3210</v>
      </c>
      <c r="C1300" s="35" t="s">
        <v>1286</v>
      </c>
      <c r="D1300" s="35" t="s">
        <v>260</v>
      </c>
      <c r="E1300" s="35" t="s">
        <v>576</v>
      </c>
      <c r="F1300" s="35" t="s">
        <v>1228</v>
      </c>
      <c r="G1300" s="35" t="s">
        <v>1161</v>
      </c>
      <c r="H1300" s="76">
        <v>6752.0</v>
      </c>
      <c r="I1300" s="35" t="s">
        <v>403</v>
      </c>
      <c r="M1300" s="20">
        <f>IF($B1300="","",COUNTIFS('Blocker log'!$A:$A,$B1300,'Blocker log'!$G:$G,"&lt;&gt;"))</f>
        <v>0</v>
      </c>
      <c r="N1300" s="20">
        <f>IF($B1300="","",COUNTIFS('Blocker log'!$A:$A,$B1300,'Blocker log'!$G:$G,"Hard blocker"))</f>
        <v>0</v>
      </c>
      <c r="O1300" s="20">
        <f>IF($B1300="","",COUNTIFS('Blocker log'!$A:$A,$B1300,'Blocker log'!$G:$G,"Hard blocker",'Blocker log'!$L:$L,9))</f>
        <v>0</v>
      </c>
      <c r="P1300" s="20">
        <f>IF($B1300="","",MAXIFS('Blocker log'!$L:$L,'Blocker log'!$A:$A,$B1300,'Blocker log'!$G:$G,"Hard blocker"))</f>
        <v>0</v>
      </c>
      <c r="Q1300" s="20" t="str">
        <f>IF($B1300="","",IF($K1300&lt;&gt;"Complete","Assessment pending",IF($N1300=0,"Ready now",VLOOKUP($P1300,Lists!$D$2:$E$5,2,FALSE))))</f>
        <v>Assessment pending</v>
      </c>
    </row>
    <row r="1301" ht="15.75" customHeight="1">
      <c r="A1301" s="35" t="s">
        <v>3211</v>
      </c>
      <c r="B1301" s="35" t="s">
        <v>3212</v>
      </c>
      <c r="C1301" s="35" t="s">
        <v>76</v>
      </c>
      <c r="D1301" s="35" t="s">
        <v>58</v>
      </c>
      <c r="E1301" s="35" t="s">
        <v>59</v>
      </c>
      <c r="F1301" s="35" t="s">
        <v>60</v>
      </c>
      <c r="G1301" s="35" t="s">
        <v>1042</v>
      </c>
      <c r="H1301" s="76">
        <v>6705.0</v>
      </c>
      <c r="I1301" s="35"/>
      <c r="M1301" s="20">
        <f>IF($B1301="","",COUNTIFS('Blocker log'!$A:$A,$B1301,'Blocker log'!$G:$G,"&lt;&gt;"))</f>
        <v>0</v>
      </c>
      <c r="N1301" s="20">
        <f>IF($B1301="","",COUNTIFS('Blocker log'!$A:$A,$B1301,'Blocker log'!$G:$G,"Hard blocker"))</f>
        <v>0</v>
      </c>
      <c r="O1301" s="20">
        <f>IF($B1301="","",COUNTIFS('Blocker log'!$A:$A,$B1301,'Blocker log'!$G:$G,"Hard blocker",'Blocker log'!$L:$L,9))</f>
        <v>0</v>
      </c>
      <c r="P1301" s="20">
        <f>IF($B1301="","",MAXIFS('Blocker log'!$L:$L,'Blocker log'!$A:$A,$B1301,'Blocker log'!$G:$G,"Hard blocker"))</f>
        <v>0</v>
      </c>
      <c r="Q1301" s="20" t="str">
        <f>IF($B1301="","",IF($K1301&lt;&gt;"Complete","Assessment pending",IF($N1301=0,"Ready now",VLOOKUP($P1301,Lists!$D$2:$E$5,2,FALSE))))</f>
        <v>Assessment pending</v>
      </c>
    </row>
    <row r="1302" ht="15.75" customHeight="1">
      <c r="A1302" s="35" t="s">
        <v>3213</v>
      </c>
      <c r="B1302" s="35" t="s">
        <v>3214</v>
      </c>
      <c r="C1302" s="35" t="s">
        <v>76</v>
      </c>
      <c r="D1302" s="35" t="s">
        <v>58</v>
      </c>
      <c r="E1302" s="35" t="s">
        <v>181</v>
      </c>
      <c r="F1302" s="35" t="s">
        <v>653</v>
      </c>
      <c r="G1302" s="35" t="s">
        <v>980</v>
      </c>
      <c r="H1302" s="76">
        <v>6609.0</v>
      </c>
      <c r="I1302" s="35"/>
      <c r="M1302" s="20">
        <f>IF($B1302="","",COUNTIFS('Blocker log'!$A:$A,$B1302,'Blocker log'!$G:$G,"&lt;&gt;"))</f>
        <v>0</v>
      </c>
      <c r="N1302" s="20">
        <f>IF($B1302="","",COUNTIFS('Blocker log'!$A:$A,$B1302,'Blocker log'!$G:$G,"Hard blocker"))</f>
        <v>0</v>
      </c>
      <c r="O1302" s="20">
        <f>IF($B1302="","",COUNTIFS('Blocker log'!$A:$A,$B1302,'Blocker log'!$G:$G,"Hard blocker",'Blocker log'!$L:$L,9))</f>
        <v>0</v>
      </c>
      <c r="P1302" s="20">
        <f>IF($B1302="","",MAXIFS('Blocker log'!$L:$L,'Blocker log'!$A:$A,$B1302,'Blocker log'!$G:$G,"Hard blocker"))</f>
        <v>0</v>
      </c>
      <c r="Q1302" s="20" t="str">
        <f>IF($B1302="","",IF($K1302&lt;&gt;"Complete","Assessment pending",IF($N1302=0,"Ready now",VLOOKUP($P1302,Lists!$D$2:$E$5,2,FALSE))))</f>
        <v>Assessment pending</v>
      </c>
    </row>
    <row r="1303" ht="15.75" customHeight="1">
      <c r="A1303" s="35" t="s">
        <v>3215</v>
      </c>
      <c r="B1303" s="35" t="s">
        <v>3216</v>
      </c>
      <c r="C1303" s="35" t="s">
        <v>1286</v>
      </c>
      <c r="D1303" s="35" t="s">
        <v>171</v>
      </c>
      <c r="E1303" s="35" t="s">
        <v>542</v>
      </c>
      <c r="F1303" s="35" t="s">
        <v>543</v>
      </c>
      <c r="G1303" s="35" t="s">
        <v>1161</v>
      </c>
      <c r="H1303" s="76">
        <v>6592.0</v>
      </c>
      <c r="I1303" s="35"/>
      <c r="M1303" s="20">
        <f>IF($B1303="","",COUNTIFS('Blocker log'!$A:$A,$B1303,'Blocker log'!$G:$G,"&lt;&gt;"))</f>
        <v>0</v>
      </c>
      <c r="N1303" s="20">
        <f>IF($B1303="","",COUNTIFS('Blocker log'!$A:$A,$B1303,'Blocker log'!$G:$G,"Hard blocker"))</f>
        <v>0</v>
      </c>
      <c r="O1303" s="20">
        <f>IF($B1303="","",COUNTIFS('Blocker log'!$A:$A,$B1303,'Blocker log'!$G:$G,"Hard blocker",'Blocker log'!$L:$L,9))</f>
        <v>0</v>
      </c>
      <c r="P1303" s="20">
        <f>IF($B1303="","",MAXIFS('Blocker log'!$L:$L,'Blocker log'!$A:$A,$B1303,'Blocker log'!$G:$G,"Hard blocker"))</f>
        <v>0</v>
      </c>
      <c r="Q1303" s="20" t="str">
        <f>IF($B1303="","",IF($K1303&lt;&gt;"Complete","Assessment pending",IF($N1303=0,"Ready now",VLOOKUP($P1303,Lists!$D$2:$E$5,2,FALSE))))</f>
        <v>Assessment pending</v>
      </c>
    </row>
    <row r="1304" ht="15.75" customHeight="1">
      <c r="A1304" s="35" t="s">
        <v>3217</v>
      </c>
      <c r="B1304" s="35" t="s">
        <v>3218</v>
      </c>
      <c r="C1304" s="35" t="s">
        <v>1286</v>
      </c>
      <c r="D1304" s="35" t="s">
        <v>171</v>
      </c>
      <c r="E1304" s="35" t="s">
        <v>542</v>
      </c>
      <c r="F1304" s="35" t="s">
        <v>543</v>
      </c>
      <c r="G1304" s="35" t="s">
        <v>1161</v>
      </c>
      <c r="H1304" s="76">
        <v>6480.0</v>
      </c>
      <c r="I1304" s="35" t="s">
        <v>406</v>
      </c>
      <c r="M1304" s="20">
        <f>IF($B1304="","",COUNTIFS('Blocker log'!$A:$A,$B1304,'Blocker log'!$G:$G,"&lt;&gt;"))</f>
        <v>0</v>
      </c>
      <c r="N1304" s="20">
        <f>IF($B1304="","",COUNTIFS('Blocker log'!$A:$A,$B1304,'Blocker log'!$G:$G,"Hard blocker"))</f>
        <v>0</v>
      </c>
      <c r="O1304" s="20">
        <f>IF($B1304="","",COUNTIFS('Blocker log'!$A:$A,$B1304,'Blocker log'!$G:$G,"Hard blocker",'Blocker log'!$L:$L,9))</f>
        <v>0</v>
      </c>
      <c r="P1304" s="20">
        <f>IF($B1304="","",MAXIFS('Blocker log'!$L:$L,'Blocker log'!$A:$A,$B1304,'Blocker log'!$G:$G,"Hard blocker"))</f>
        <v>0</v>
      </c>
      <c r="Q1304" s="20" t="str">
        <f>IF($B1304="","",IF($K1304&lt;&gt;"Complete","Assessment pending",IF($N1304=0,"Ready now",VLOOKUP($P1304,Lists!$D$2:$E$5,2,FALSE))))</f>
        <v>Assessment pending</v>
      </c>
    </row>
    <row r="1305" ht="15.75" customHeight="1">
      <c r="A1305" s="35" t="s">
        <v>3219</v>
      </c>
      <c r="B1305" s="35" t="s">
        <v>3220</v>
      </c>
      <c r="C1305" s="35" t="s">
        <v>1286</v>
      </c>
      <c r="D1305" s="35" t="s">
        <v>260</v>
      </c>
      <c r="E1305" s="35" t="s">
        <v>506</v>
      </c>
      <c r="F1305" s="35" t="s">
        <v>507</v>
      </c>
      <c r="G1305" s="35" t="s">
        <v>1161</v>
      </c>
      <c r="H1305" s="76">
        <v>6329.0</v>
      </c>
      <c r="I1305" s="35" t="s">
        <v>416</v>
      </c>
      <c r="M1305" s="20">
        <f>IF($B1305="","",COUNTIFS('Blocker log'!$A:$A,$B1305,'Blocker log'!$G:$G,"&lt;&gt;"))</f>
        <v>0</v>
      </c>
      <c r="N1305" s="20">
        <f>IF($B1305="","",COUNTIFS('Blocker log'!$A:$A,$B1305,'Blocker log'!$G:$G,"Hard blocker"))</f>
        <v>0</v>
      </c>
      <c r="O1305" s="20">
        <f>IF($B1305="","",COUNTIFS('Blocker log'!$A:$A,$B1305,'Blocker log'!$G:$G,"Hard blocker",'Blocker log'!$L:$L,9))</f>
        <v>0</v>
      </c>
      <c r="P1305" s="20">
        <f>IF($B1305="","",MAXIFS('Blocker log'!$L:$L,'Blocker log'!$A:$A,$B1305,'Blocker log'!$G:$G,"Hard blocker"))</f>
        <v>0</v>
      </c>
      <c r="Q1305" s="20" t="str">
        <f>IF($B1305="","",IF($K1305&lt;&gt;"Complete","Assessment pending",IF($N1305=0,"Ready now",VLOOKUP($P1305,Lists!$D$2:$E$5,2,FALSE))))</f>
        <v>Assessment pending</v>
      </c>
    </row>
    <row r="1306" ht="15.75" customHeight="1">
      <c r="A1306" s="35" t="s">
        <v>3221</v>
      </c>
      <c r="B1306" s="35" t="s">
        <v>3222</v>
      </c>
      <c r="C1306" s="35" t="s">
        <v>1286</v>
      </c>
      <c r="D1306" s="35" t="s">
        <v>171</v>
      </c>
      <c r="E1306" s="35" t="s">
        <v>205</v>
      </c>
      <c r="F1306" s="35" t="s">
        <v>1403</v>
      </c>
      <c r="G1306" s="35" t="s">
        <v>1161</v>
      </c>
      <c r="H1306" s="76">
        <v>6300.0</v>
      </c>
      <c r="I1306" s="35"/>
      <c r="M1306" s="20">
        <f>IF($B1306="","",COUNTIFS('Blocker log'!$A:$A,$B1306,'Blocker log'!$G:$G,"&lt;&gt;"))</f>
        <v>0</v>
      </c>
      <c r="N1306" s="20">
        <f>IF($B1306="","",COUNTIFS('Blocker log'!$A:$A,$B1306,'Blocker log'!$G:$G,"Hard blocker"))</f>
        <v>0</v>
      </c>
      <c r="O1306" s="20">
        <f>IF($B1306="","",COUNTIFS('Blocker log'!$A:$A,$B1306,'Blocker log'!$G:$G,"Hard blocker",'Blocker log'!$L:$L,9))</f>
        <v>0</v>
      </c>
      <c r="P1306" s="20">
        <f>IF($B1306="","",MAXIFS('Blocker log'!$L:$L,'Blocker log'!$A:$A,$B1306,'Blocker log'!$G:$G,"Hard blocker"))</f>
        <v>0</v>
      </c>
      <c r="Q1306" s="20" t="str">
        <f>IF($B1306="","",IF($K1306&lt;&gt;"Complete","Assessment pending",IF($N1306=0,"Ready now",VLOOKUP($P1306,Lists!$D$2:$E$5,2,FALSE))))</f>
        <v>Assessment pending</v>
      </c>
    </row>
    <row r="1307" ht="15.75" customHeight="1">
      <c r="A1307" s="35" t="s">
        <v>3223</v>
      </c>
      <c r="B1307" s="35" t="s">
        <v>3224</v>
      </c>
      <c r="C1307" s="35" t="s">
        <v>1286</v>
      </c>
      <c r="D1307" s="35" t="s">
        <v>171</v>
      </c>
      <c r="E1307" s="35" t="s">
        <v>1584</v>
      </c>
      <c r="F1307" s="35" t="s">
        <v>1585</v>
      </c>
      <c r="G1307" s="35" t="s">
        <v>1161</v>
      </c>
      <c r="H1307" s="76">
        <v>6192.0</v>
      </c>
      <c r="I1307" s="35"/>
      <c r="M1307" s="20">
        <f>IF($B1307="","",COUNTIFS('Blocker log'!$A:$A,$B1307,'Blocker log'!$G:$G,"&lt;&gt;"))</f>
        <v>0</v>
      </c>
      <c r="N1307" s="20">
        <f>IF($B1307="","",COUNTIFS('Blocker log'!$A:$A,$B1307,'Blocker log'!$G:$G,"Hard blocker"))</f>
        <v>0</v>
      </c>
      <c r="O1307" s="20">
        <f>IF($B1307="","",COUNTIFS('Blocker log'!$A:$A,$B1307,'Blocker log'!$G:$G,"Hard blocker",'Blocker log'!$L:$L,9))</f>
        <v>0</v>
      </c>
      <c r="P1307" s="20">
        <f>IF($B1307="","",MAXIFS('Blocker log'!$L:$L,'Blocker log'!$A:$A,$B1307,'Blocker log'!$G:$G,"Hard blocker"))</f>
        <v>0</v>
      </c>
      <c r="Q1307" s="20" t="str">
        <f>IF($B1307="","",IF($K1307&lt;&gt;"Complete","Assessment pending",IF($N1307=0,"Ready now",VLOOKUP($P1307,Lists!$D$2:$E$5,2,FALSE))))</f>
        <v>Assessment pending</v>
      </c>
    </row>
    <row r="1308" ht="15.75" customHeight="1">
      <c r="A1308" s="35" t="s">
        <v>3225</v>
      </c>
      <c r="B1308" s="35" t="s">
        <v>3226</v>
      </c>
      <c r="C1308" s="35" t="s">
        <v>1286</v>
      </c>
      <c r="D1308" s="35" t="s">
        <v>58</v>
      </c>
      <c r="E1308" s="35" t="s">
        <v>140</v>
      </c>
      <c r="F1308" s="35" t="s">
        <v>200</v>
      </c>
      <c r="G1308" s="35" t="s">
        <v>1161</v>
      </c>
      <c r="H1308" s="76">
        <v>5756.0</v>
      </c>
      <c r="I1308" s="35"/>
      <c r="M1308" s="20">
        <f>IF($B1308="","",COUNTIFS('Blocker log'!$A:$A,$B1308,'Blocker log'!$G:$G,"&lt;&gt;"))</f>
        <v>0</v>
      </c>
      <c r="N1308" s="20">
        <f>IF($B1308="","",COUNTIFS('Blocker log'!$A:$A,$B1308,'Blocker log'!$G:$G,"Hard blocker"))</f>
        <v>0</v>
      </c>
      <c r="O1308" s="20">
        <f>IF($B1308="","",COUNTIFS('Blocker log'!$A:$A,$B1308,'Blocker log'!$G:$G,"Hard blocker",'Blocker log'!$L:$L,9))</f>
        <v>0</v>
      </c>
      <c r="P1308" s="20">
        <f>IF($B1308="","",MAXIFS('Blocker log'!$L:$L,'Blocker log'!$A:$A,$B1308,'Blocker log'!$G:$G,"Hard blocker"))</f>
        <v>0</v>
      </c>
      <c r="Q1308" s="20" t="str">
        <f>IF($B1308="","",IF($K1308&lt;&gt;"Complete","Assessment pending",IF($N1308=0,"Ready now",VLOOKUP($P1308,Lists!$D$2:$E$5,2,FALSE))))</f>
        <v>Assessment pending</v>
      </c>
    </row>
    <row r="1309" ht="15.75" customHeight="1">
      <c r="A1309" s="35" t="s">
        <v>3227</v>
      </c>
      <c r="B1309" s="35" t="s">
        <v>3228</v>
      </c>
      <c r="C1309" s="35" t="s">
        <v>1286</v>
      </c>
      <c r="D1309" s="35" t="s">
        <v>260</v>
      </c>
      <c r="E1309" s="35" t="s">
        <v>576</v>
      </c>
      <c r="F1309" s="35" t="s">
        <v>1228</v>
      </c>
      <c r="G1309" s="35" t="s">
        <v>1161</v>
      </c>
      <c r="H1309" s="76">
        <v>5640.0</v>
      </c>
      <c r="I1309" s="35" t="s">
        <v>403</v>
      </c>
      <c r="M1309" s="20">
        <f>IF($B1309="","",COUNTIFS('Blocker log'!$A:$A,$B1309,'Blocker log'!$G:$G,"&lt;&gt;"))</f>
        <v>0</v>
      </c>
      <c r="N1309" s="20">
        <f>IF($B1309="","",COUNTIFS('Blocker log'!$A:$A,$B1309,'Blocker log'!$G:$G,"Hard blocker"))</f>
        <v>0</v>
      </c>
      <c r="O1309" s="20">
        <f>IF($B1309="","",COUNTIFS('Blocker log'!$A:$A,$B1309,'Blocker log'!$G:$G,"Hard blocker",'Blocker log'!$L:$L,9))</f>
        <v>0</v>
      </c>
      <c r="P1309" s="20">
        <f>IF($B1309="","",MAXIFS('Blocker log'!$L:$L,'Blocker log'!$A:$A,$B1309,'Blocker log'!$G:$G,"Hard blocker"))</f>
        <v>0</v>
      </c>
      <c r="Q1309" s="20" t="str">
        <f>IF($B1309="","",IF($K1309&lt;&gt;"Complete","Assessment pending",IF($N1309=0,"Ready now",VLOOKUP($P1309,Lists!$D$2:$E$5,2,FALSE))))</f>
        <v>Assessment pending</v>
      </c>
    </row>
    <row r="1310" ht="15.75" customHeight="1">
      <c r="A1310" s="35" t="s">
        <v>3229</v>
      </c>
      <c r="B1310" s="35" t="s">
        <v>3230</v>
      </c>
      <c r="C1310" s="35" t="s">
        <v>1286</v>
      </c>
      <c r="D1310" s="35" t="s">
        <v>260</v>
      </c>
      <c r="E1310" s="35" t="s">
        <v>506</v>
      </c>
      <c r="F1310" s="35" t="s">
        <v>674</v>
      </c>
      <c r="G1310" s="35" t="s">
        <v>1161</v>
      </c>
      <c r="H1310" s="76">
        <v>5569.0</v>
      </c>
      <c r="I1310" s="35" t="s">
        <v>440</v>
      </c>
      <c r="M1310" s="20">
        <f>IF($B1310="","",COUNTIFS('Blocker log'!$A:$A,$B1310,'Blocker log'!$G:$G,"&lt;&gt;"))</f>
        <v>0</v>
      </c>
      <c r="N1310" s="20">
        <f>IF($B1310="","",COUNTIFS('Blocker log'!$A:$A,$B1310,'Blocker log'!$G:$G,"Hard blocker"))</f>
        <v>0</v>
      </c>
      <c r="O1310" s="20">
        <f>IF($B1310="","",COUNTIFS('Blocker log'!$A:$A,$B1310,'Blocker log'!$G:$G,"Hard blocker",'Blocker log'!$L:$L,9))</f>
        <v>0</v>
      </c>
      <c r="P1310" s="20">
        <f>IF($B1310="","",MAXIFS('Blocker log'!$L:$L,'Blocker log'!$A:$A,$B1310,'Blocker log'!$G:$G,"Hard blocker"))</f>
        <v>0</v>
      </c>
      <c r="Q1310" s="20" t="str">
        <f>IF($B1310="","",IF($K1310&lt;&gt;"Complete","Assessment pending",IF($N1310=0,"Ready now",VLOOKUP($P1310,Lists!$D$2:$E$5,2,FALSE))))</f>
        <v>Assessment pending</v>
      </c>
    </row>
    <row r="1311" ht="15.75" customHeight="1">
      <c r="A1311" s="35" t="s">
        <v>3231</v>
      </c>
      <c r="B1311" s="35" t="s">
        <v>3232</v>
      </c>
      <c r="C1311" s="35" t="s">
        <v>1286</v>
      </c>
      <c r="D1311" s="35" t="s">
        <v>260</v>
      </c>
      <c r="E1311" s="35" t="s">
        <v>1096</v>
      </c>
      <c r="F1311" s="35" t="s">
        <v>1097</v>
      </c>
      <c r="G1311" s="35" t="s">
        <v>1161</v>
      </c>
      <c r="H1311" s="76">
        <v>5508.0</v>
      </c>
      <c r="I1311" s="35" t="s">
        <v>416</v>
      </c>
      <c r="M1311" s="20">
        <f>IF($B1311="","",COUNTIFS('Blocker log'!$A:$A,$B1311,'Blocker log'!$G:$G,"&lt;&gt;"))</f>
        <v>0</v>
      </c>
      <c r="N1311" s="20">
        <f>IF($B1311="","",COUNTIFS('Blocker log'!$A:$A,$B1311,'Blocker log'!$G:$G,"Hard blocker"))</f>
        <v>0</v>
      </c>
      <c r="O1311" s="20">
        <f>IF($B1311="","",COUNTIFS('Blocker log'!$A:$A,$B1311,'Blocker log'!$G:$G,"Hard blocker",'Blocker log'!$L:$L,9))</f>
        <v>0</v>
      </c>
      <c r="P1311" s="20">
        <f>IF($B1311="","",MAXIFS('Blocker log'!$L:$L,'Blocker log'!$A:$A,$B1311,'Blocker log'!$G:$G,"Hard blocker"))</f>
        <v>0</v>
      </c>
      <c r="Q1311" s="20" t="str">
        <f>IF($B1311="","",IF($K1311&lt;&gt;"Complete","Assessment pending",IF($N1311=0,"Ready now",VLOOKUP($P1311,Lists!$D$2:$E$5,2,FALSE))))</f>
        <v>Assessment pending</v>
      </c>
    </row>
    <row r="1312" ht="15.75" customHeight="1">
      <c r="A1312" s="35" t="s">
        <v>3233</v>
      </c>
      <c r="B1312" s="35" t="s">
        <v>3234</v>
      </c>
      <c r="C1312" s="35" t="s">
        <v>76</v>
      </c>
      <c r="D1312" s="35" t="s">
        <v>58</v>
      </c>
      <c r="E1312" s="35" t="s">
        <v>59</v>
      </c>
      <c r="F1312" s="35" t="s">
        <v>77</v>
      </c>
      <c r="G1312" s="35" t="s">
        <v>980</v>
      </c>
      <c r="H1312" s="76">
        <v>5407.0</v>
      </c>
      <c r="I1312" s="35"/>
      <c r="M1312" s="20">
        <f>IF($B1312="","",COUNTIFS('Blocker log'!$A:$A,$B1312,'Blocker log'!$G:$G,"&lt;&gt;"))</f>
        <v>0</v>
      </c>
      <c r="N1312" s="20">
        <f>IF($B1312="","",COUNTIFS('Blocker log'!$A:$A,$B1312,'Blocker log'!$G:$G,"Hard blocker"))</f>
        <v>0</v>
      </c>
      <c r="O1312" s="20">
        <f>IF($B1312="","",COUNTIFS('Blocker log'!$A:$A,$B1312,'Blocker log'!$G:$G,"Hard blocker",'Blocker log'!$L:$L,9))</f>
        <v>0</v>
      </c>
      <c r="P1312" s="20">
        <f>IF($B1312="","",MAXIFS('Blocker log'!$L:$L,'Blocker log'!$A:$A,$B1312,'Blocker log'!$G:$G,"Hard blocker"))</f>
        <v>0</v>
      </c>
      <c r="Q1312" s="20" t="str">
        <f>IF($B1312="","",IF($K1312&lt;&gt;"Complete","Assessment pending",IF($N1312=0,"Ready now",VLOOKUP($P1312,Lists!$D$2:$E$5,2,FALSE))))</f>
        <v>Assessment pending</v>
      </c>
    </row>
    <row r="1313" ht="15.75" customHeight="1">
      <c r="A1313" s="35" t="s">
        <v>3235</v>
      </c>
      <c r="B1313" s="35" t="s">
        <v>3236</v>
      </c>
      <c r="C1313" s="35" t="s">
        <v>1286</v>
      </c>
      <c r="D1313" s="35" t="s">
        <v>260</v>
      </c>
      <c r="E1313" s="35" t="s">
        <v>1096</v>
      </c>
      <c r="F1313" s="35" t="s">
        <v>1366</v>
      </c>
      <c r="G1313" s="35" t="s">
        <v>1161</v>
      </c>
      <c r="H1313" s="76">
        <v>5400.0</v>
      </c>
      <c r="I1313" s="35"/>
      <c r="M1313" s="20">
        <f>IF($B1313="","",COUNTIFS('Blocker log'!$A:$A,$B1313,'Blocker log'!$G:$G,"&lt;&gt;"))</f>
        <v>0</v>
      </c>
      <c r="N1313" s="20">
        <f>IF($B1313="","",COUNTIFS('Blocker log'!$A:$A,$B1313,'Blocker log'!$G:$G,"Hard blocker"))</f>
        <v>0</v>
      </c>
      <c r="O1313" s="20">
        <f>IF($B1313="","",COUNTIFS('Blocker log'!$A:$A,$B1313,'Blocker log'!$G:$G,"Hard blocker",'Blocker log'!$L:$L,9))</f>
        <v>0</v>
      </c>
      <c r="P1313" s="20">
        <f>IF($B1313="","",MAXIFS('Blocker log'!$L:$L,'Blocker log'!$A:$A,$B1313,'Blocker log'!$G:$G,"Hard blocker"))</f>
        <v>0</v>
      </c>
      <c r="Q1313" s="20" t="str">
        <f>IF($B1313="","",IF($K1313&lt;&gt;"Complete","Assessment pending",IF($N1313=0,"Ready now",VLOOKUP($P1313,Lists!$D$2:$E$5,2,FALSE))))</f>
        <v>Assessment pending</v>
      </c>
    </row>
    <row r="1314" ht="15.75" customHeight="1">
      <c r="A1314" s="35" t="s">
        <v>3237</v>
      </c>
      <c r="B1314" s="35" t="s">
        <v>3238</v>
      </c>
      <c r="C1314" s="35"/>
      <c r="D1314" s="35" t="s">
        <v>171</v>
      </c>
      <c r="E1314" s="35" t="s">
        <v>1584</v>
      </c>
      <c r="F1314" s="35" t="s">
        <v>1598</v>
      </c>
      <c r="G1314" s="35" t="s">
        <v>1161</v>
      </c>
      <c r="H1314" s="76">
        <v>5400.0</v>
      </c>
      <c r="I1314" s="35"/>
      <c r="M1314" s="20">
        <f>IF($B1314="","",COUNTIFS('Blocker log'!$A:$A,$B1314,'Blocker log'!$G:$G,"&lt;&gt;"))</f>
        <v>0</v>
      </c>
      <c r="N1314" s="20">
        <f>IF($B1314="","",COUNTIFS('Blocker log'!$A:$A,$B1314,'Blocker log'!$G:$G,"Hard blocker"))</f>
        <v>0</v>
      </c>
      <c r="O1314" s="20">
        <f>IF($B1314="","",COUNTIFS('Blocker log'!$A:$A,$B1314,'Blocker log'!$G:$G,"Hard blocker",'Blocker log'!$L:$L,9))</f>
        <v>0</v>
      </c>
      <c r="P1314" s="20">
        <f>IF($B1314="","",MAXIFS('Blocker log'!$L:$L,'Blocker log'!$A:$A,$B1314,'Blocker log'!$G:$G,"Hard blocker"))</f>
        <v>0</v>
      </c>
      <c r="Q1314" s="20" t="str">
        <f>IF($B1314="","",IF($K1314&lt;&gt;"Complete","Assessment pending",IF($N1314=0,"Ready now",VLOOKUP($P1314,Lists!$D$2:$E$5,2,FALSE))))</f>
        <v>Assessment pending</v>
      </c>
    </row>
    <row r="1315" ht="15.75" customHeight="1">
      <c r="A1315" s="35" t="s">
        <v>3239</v>
      </c>
      <c r="B1315" s="35" t="s">
        <v>3240</v>
      </c>
      <c r="C1315" s="35" t="s">
        <v>76</v>
      </c>
      <c r="D1315" s="35" t="s">
        <v>260</v>
      </c>
      <c r="E1315" s="35" t="s">
        <v>530</v>
      </c>
      <c r="F1315" s="35" t="s">
        <v>1674</v>
      </c>
      <c r="G1315" s="35" t="s">
        <v>1042</v>
      </c>
      <c r="H1315" s="76">
        <v>5360.0</v>
      </c>
      <c r="I1315" s="35"/>
      <c r="M1315" s="20">
        <f>IF($B1315="","",COUNTIFS('Blocker log'!$A:$A,$B1315,'Blocker log'!$G:$G,"&lt;&gt;"))</f>
        <v>0</v>
      </c>
      <c r="N1315" s="20">
        <f>IF($B1315="","",COUNTIFS('Blocker log'!$A:$A,$B1315,'Blocker log'!$G:$G,"Hard blocker"))</f>
        <v>0</v>
      </c>
      <c r="O1315" s="20">
        <f>IF($B1315="","",COUNTIFS('Blocker log'!$A:$A,$B1315,'Blocker log'!$G:$G,"Hard blocker",'Blocker log'!$L:$L,9))</f>
        <v>0</v>
      </c>
      <c r="P1315" s="20">
        <f>IF($B1315="","",MAXIFS('Blocker log'!$L:$L,'Blocker log'!$A:$A,$B1315,'Blocker log'!$G:$G,"Hard blocker"))</f>
        <v>0</v>
      </c>
      <c r="Q1315" s="20" t="str">
        <f>IF($B1315="","",IF($K1315&lt;&gt;"Complete","Assessment pending",IF($N1315=0,"Ready now",VLOOKUP($P1315,Lists!$D$2:$E$5,2,FALSE))))</f>
        <v>Assessment pending</v>
      </c>
    </row>
    <row r="1316" ht="15.75" customHeight="1">
      <c r="A1316" s="35" t="s">
        <v>3241</v>
      </c>
      <c r="B1316" s="35" t="s">
        <v>3242</v>
      </c>
      <c r="C1316" s="35" t="s">
        <v>1286</v>
      </c>
      <c r="D1316" s="35" t="s">
        <v>58</v>
      </c>
      <c r="E1316" s="35" t="s">
        <v>101</v>
      </c>
      <c r="F1316" s="35" t="s">
        <v>116</v>
      </c>
      <c r="G1316" s="35" t="s">
        <v>1042</v>
      </c>
      <c r="H1316" s="76">
        <v>5194.0</v>
      </c>
      <c r="I1316" s="35" t="s">
        <v>443</v>
      </c>
      <c r="M1316" s="20">
        <f>IF($B1316="","",COUNTIFS('Blocker log'!$A:$A,$B1316,'Blocker log'!$G:$G,"&lt;&gt;"))</f>
        <v>0</v>
      </c>
      <c r="N1316" s="20">
        <f>IF($B1316="","",COUNTIFS('Blocker log'!$A:$A,$B1316,'Blocker log'!$G:$G,"Hard blocker"))</f>
        <v>0</v>
      </c>
      <c r="O1316" s="20">
        <f>IF($B1316="","",COUNTIFS('Blocker log'!$A:$A,$B1316,'Blocker log'!$G:$G,"Hard blocker",'Blocker log'!$L:$L,9))</f>
        <v>0</v>
      </c>
      <c r="P1316" s="20">
        <f>IF($B1316="","",MAXIFS('Blocker log'!$L:$L,'Blocker log'!$A:$A,$B1316,'Blocker log'!$G:$G,"Hard blocker"))</f>
        <v>0</v>
      </c>
      <c r="Q1316" s="20" t="str">
        <f>IF($B1316="","",IF($K1316&lt;&gt;"Complete","Assessment pending",IF($N1316=0,"Ready now",VLOOKUP($P1316,Lists!$D$2:$E$5,2,FALSE))))</f>
        <v>Assessment pending</v>
      </c>
    </row>
    <row r="1317" ht="15.75" customHeight="1">
      <c r="A1317" s="35" t="s">
        <v>3243</v>
      </c>
      <c r="B1317" s="35" t="s">
        <v>3244</v>
      </c>
      <c r="C1317" s="35" t="s">
        <v>1286</v>
      </c>
      <c r="D1317" s="35" t="s">
        <v>260</v>
      </c>
      <c r="E1317" s="35" t="s">
        <v>506</v>
      </c>
      <c r="F1317" s="35" t="s">
        <v>685</v>
      </c>
      <c r="G1317" s="35" t="s">
        <v>1161</v>
      </c>
      <c r="H1317" s="76">
        <v>5184.0</v>
      </c>
      <c r="I1317" s="35" t="s">
        <v>440</v>
      </c>
      <c r="M1317" s="20">
        <f>IF($B1317="","",COUNTIFS('Blocker log'!$A:$A,$B1317,'Blocker log'!$G:$G,"&lt;&gt;"))</f>
        <v>0</v>
      </c>
      <c r="N1317" s="20">
        <f>IF($B1317="","",COUNTIFS('Blocker log'!$A:$A,$B1317,'Blocker log'!$G:$G,"Hard blocker"))</f>
        <v>0</v>
      </c>
      <c r="O1317" s="20">
        <f>IF($B1317="","",COUNTIFS('Blocker log'!$A:$A,$B1317,'Blocker log'!$G:$G,"Hard blocker",'Blocker log'!$L:$L,9))</f>
        <v>0</v>
      </c>
      <c r="P1317" s="20">
        <f>IF($B1317="","",MAXIFS('Blocker log'!$L:$L,'Blocker log'!$A:$A,$B1317,'Blocker log'!$G:$G,"Hard blocker"))</f>
        <v>0</v>
      </c>
      <c r="Q1317" s="20" t="str">
        <f>IF($B1317="","",IF($K1317&lt;&gt;"Complete","Assessment pending",IF($N1317=0,"Ready now",VLOOKUP($P1317,Lists!$D$2:$E$5,2,FALSE))))</f>
        <v>Assessment pending</v>
      </c>
    </row>
    <row r="1318" ht="15.75" customHeight="1">
      <c r="A1318" s="35" t="s">
        <v>3245</v>
      </c>
      <c r="B1318" s="35" t="s">
        <v>3246</v>
      </c>
      <c r="C1318" s="35" t="s">
        <v>1286</v>
      </c>
      <c r="D1318" s="35" t="s">
        <v>171</v>
      </c>
      <c r="E1318" s="35" t="s">
        <v>587</v>
      </c>
      <c r="F1318" s="35" t="s">
        <v>1369</v>
      </c>
      <c r="G1318" s="35" t="s">
        <v>1161</v>
      </c>
      <c r="H1318" s="76">
        <v>5097.0</v>
      </c>
      <c r="I1318" s="35"/>
      <c r="M1318" s="20">
        <f>IF($B1318="","",COUNTIFS('Blocker log'!$A:$A,$B1318,'Blocker log'!$G:$G,"&lt;&gt;"))</f>
        <v>0</v>
      </c>
      <c r="N1318" s="20">
        <f>IF($B1318="","",COUNTIFS('Blocker log'!$A:$A,$B1318,'Blocker log'!$G:$G,"Hard blocker"))</f>
        <v>0</v>
      </c>
      <c r="O1318" s="20">
        <f>IF($B1318="","",COUNTIFS('Blocker log'!$A:$A,$B1318,'Blocker log'!$G:$G,"Hard blocker",'Blocker log'!$L:$L,9))</f>
        <v>0</v>
      </c>
      <c r="P1318" s="20">
        <f>IF($B1318="","",MAXIFS('Blocker log'!$L:$L,'Blocker log'!$A:$A,$B1318,'Blocker log'!$G:$G,"Hard blocker"))</f>
        <v>0</v>
      </c>
      <c r="Q1318" s="20" t="str">
        <f>IF($B1318="","",IF($K1318&lt;&gt;"Complete","Assessment pending",IF($N1318=0,"Ready now",VLOOKUP($P1318,Lists!$D$2:$E$5,2,FALSE))))</f>
        <v>Assessment pending</v>
      </c>
    </row>
    <row r="1319" ht="15.75" customHeight="1">
      <c r="A1319" s="35" t="s">
        <v>3247</v>
      </c>
      <c r="B1319" s="35" t="s">
        <v>3248</v>
      </c>
      <c r="C1319" s="35" t="s">
        <v>1286</v>
      </c>
      <c r="D1319" s="35" t="s">
        <v>301</v>
      </c>
      <c r="E1319" s="35" t="s">
        <v>593</v>
      </c>
      <c r="F1319" s="35" t="s">
        <v>593</v>
      </c>
      <c r="G1319" s="35" t="s">
        <v>1042</v>
      </c>
      <c r="H1319" s="76">
        <v>5040.0</v>
      </c>
      <c r="I1319" s="35"/>
      <c r="M1319" s="20">
        <f>IF($B1319="","",COUNTIFS('Blocker log'!$A:$A,$B1319,'Blocker log'!$G:$G,"&lt;&gt;"))</f>
        <v>0</v>
      </c>
      <c r="N1319" s="20">
        <f>IF($B1319="","",COUNTIFS('Blocker log'!$A:$A,$B1319,'Blocker log'!$G:$G,"Hard blocker"))</f>
        <v>0</v>
      </c>
      <c r="O1319" s="20">
        <f>IF($B1319="","",COUNTIFS('Blocker log'!$A:$A,$B1319,'Blocker log'!$G:$G,"Hard blocker",'Blocker log'!$L:$L,9))</f>
        <v>0</v>
      </c>
      <c r="P1319" s="20">
        <f>IF($B1319="","",MAXIFS('Blocker log'!$L:$L,'Blocker log'!$A:$A,$B1319,'Blocker log'!$G:$G,"Hard blocker"))</f>
        <v>0</v>
      </c>
      <c r="Q1319" s="20" t="str">
        <f>IF($B1319="","",IF($K1319&lt;&gt;"Complete","Assessment pending",IF($N1319=0,"Ready now",VLOOKUP($P1319,Lists!$D$2:$E$5,2,FALSE))))</f>
        <v>Assessment pending</v>
      </c>
    </row>
    <row r="1320" ht="15.75" customHeight="1">
      <c r="A1320" s="35" t="s">
        <v>3249</v>
      </c>
      <c r="B1320" s="35" t="s">
        <v>3250</v>
      </c>
      <c r="C1320" s="35" t="s">
        <v>1286</v>
      </c>
      <c r="D1320" s="35" t="s">
        <v>301</v>
      </c>
      <c r="E1320" s="35" t="s">
        <v>2073</v>
      </c>
      <c r="F1320" s="35" t="s">
        <v>2074</v>
      </c>
      <c r="G1320" s="35" t="s">
        <v>1161</v>
      </c>
      <c r="H1320" s="76">
        <v>5000.0</v>
      </c>
      <c r="I1320" s="35"/>
      <c r="M1320" s="20">
        <f>IF($B1320="","",COUNTIFS('Blocker log'!$A:$A,$B1320,'Blocker log'!$G:$G,"&lt;&gt;"))</f>
        <v>0</v>
      </c>
      <c r="N1320" s="20">
        <f>IF($B1320="","",COUNTIFS('Blocker log'!$A:$A,$B1320,'Blocker log'!$G:$G,"Hard blocker"))</f>
        <v>0</v>
      </c>
      <c r="O1320" s="20">
        <f>IF($B1320="","",COUNTIFS('Blocker log'!$A:$A,$B1320,'Blocker log'!$G:$G,"Hard blocker",'Blocker log'!$L:$L,9))</f>
        <v>0</v>
      </c>
      <c r="P1320" s="20">
        <f>IF($B1320="","",MAXIFS('Blocker log'!$L:$L,'Blocker log'!$A:$A,$B1320,'Blocker log'!$G:$G,"Hard blocker"))</f>
        <v>0</v>
      </c>
      <c r="Q1320" s="20" t="str">
        <f>IF($B1320="","",IF($K1320&lt;&gt;"Complete","Assessment pending",IF($N1320=0,"Ready now",VLOOKUP($P1320,Lists!$D$2:$E$5,2,FALSE))))</f>
        <v>Assessment pending</v>
      </c>
    </row>
    <row r="1321" ht="15.75" customHeight="1">
      <c r="A1321" s="35" t="s">
        <v>3251</v>
      </c>
      <c r="B1321" s="35" t="s">
        <v>3252</v>
      </c>
      <c r="C1321" s="35" t="s">
        <v>1286</v>
      </c>
      <c r="D1321" s="35" t="s">
        <v>171</v>
      </c>
      <c r="E1321" s="35" t="s">
        <v>542</v>
      </c>
      <c r="F1321" s="35" t="s">
        <v>543</v>
      </c>
      <c r="G1321" s="35" t="s">
        <v>1161</v>
      </c>
      <c r="H1321" s="76">
        <v>5000.0</v>
      </c>
      <c r="I1321" s="35"/>
      <c r="M1321" s="20">
        <f>IF($B1321="","",COUNTIFS('Blocker log'!$A:$A,$B1321,'Blocker log'!$G:$G,"&lt;&gt;"))</f>
        <v>0</v>
      </c>
      <c r="N1321" s="20">
        <f>IF($B1321="","",COUNTIFS('Blocker log'!$A:$A,$B1321,'Blocker log'!$G:$G,"Hard blocker"))</f>
        <v>0</v>
      </c>
      <c r="O1321" s="20">
        <f>IF($B1321="","",COUNTIFS('Blocker log'!$A:$A,$B1321,'Blocker log'!$G:$G,"Hard blocker",'Blocker log'!$L:$L,9))</f>
        <v>0</v>
      </c>
      <c r="P1321" s="20">
        <f>IF($B1321="","",MAXIFS('Blocker log'!$L:$L,'Blocker log'!$A:$A,$B1321,'Blocker log'!$G:$G,"Hard blocker"))</f>
        <v>0</v>
      </c>
      <c r="Q1321" s="20" t="str">
        <f>IF($B1321="","",IF($K1321&lt;&gt;"Complete","Assessment pending",IF($N1321=0,"Ready now",VLOOKUP($P1321,Lists!$D$2:$E$5,2,FALSE))))</f>
        <v>Assessment pending</v>
      </c>
    </row>
    <row r="1322" ht="15.75" customHeight="1">
      <c r="A1322" s="35" t="s">
        <v>3253</v>
      </c>
      <c r="B1322" s="35" t="s">
        <v>3254</v>
      </c>
      <c r="C1322" s="35" t="s">
        <v>1286</v>
      </c>
      <c r="D1322" s="35" t="s">
        <v>301</v>
      </c>
      <c r="E1322" s="35" t="s">
        <v>484</v>
      </c>
      <c r="F1322" s="35" t="s">
        <v>484</v>
      </c>
      <c r="G1322" s="35" t="s">
        <v>1042</v>
      </c>
      <c r="H1322" s="76">
        <v>4964.0</v>
      </c>
      <c r="I1322" s="35"/>
      <c r="M1322" s="20">
        <f>IF($B1322="","",COUNTIFS('Blocker log'!$A:$A,$B1322,'Blocker log'!$G:$G,"&lt;&gt;"))</f>
        <v>0</v>
      </c>
      <c r="N1322" s="20">
        <f>IF($B1322="","",COUNTIFS('Blocker log'!$A:$A,$B1322,'Blocker log'!$G:$G,"Hard blocker"))</f>
        <v>0</v>
      </c>
      <c r="O1322" s="20">
        <f>IF($B1322="","",COUNTIFS('Blocker log'!$A:$A,$B1322,'Blocker log'!$G:$G,"Hard blocker",'Blocker log'!$L:$L,9))</f>
        <v>0</v>
      </c>
      <c r="P1322" s="20">
        <f>IF($B1322="","",MAXIFS('Blocker log'!$L:$L,'Blocker log'!$A:$A,$B1322,'Blocker log'!$G:$G,"Hard blocker"))</f>
        <v>0</v>
      </c>
      <c r="Q1322" s="20" t="str">
        <f>IF($B1322="","",IF($K1322&lt;&gt;"Complete","Assessment pending",IF($N1322=0,"Ready now",VLOOKUP($P1322,Lists!$D$2:$E$5,2,FALSE))))</f>
        <v>Assessment pending</v>
      </c>
    </row>
    <row r="1323" ht="15.75" customHeight="1">
      <c r="A1323" s="35" t="s">
        <v>3255</v>
      </c>
      <c r="B1323" s="35" t="s">
        <v>3256</v>
      </c>
      <c r="C1323" s="35" t="s">
        <v>1286</v>
      </c>
      <c r="D1323" s="35" t="s">
        <v>58</v>
      </c>
      <c r="E1323" s="35" t="s">
        <v>101</v>
      </c>
      <c r="F1323" s="35" t="s">
        <v>116</v>
      </c>
      <c r="G1323" s="35" t="s">
        <v>1161</v>
      </c>
      <c r="H1323" s="76">
        <v>4961.0</v>
      </c>
      <c r="I1323" s="35"/>
      <c r="M1323" s="20">
        <f>IF($B1323="","",COUNTIFS('Blocker log'!$A:$A,$B1323,'Blocker log'!$G:$G,"&lt;&gt;"))</f>
        <v>0</v>
      </c>
      <c r="N1323" s="20">
        <f>IF($B1323="","",COUNTIFS('Blocker log'!$A:$A,$B1323,'Blocker log'!$G:$G,"Hard blocker"))</f>
        <v>0</v>
      </c>
      <c r="O1323" s="20">
        <f>IF($B1323="","",COUNTIFS('Blocker log'!$A:$A,$B1323,'Blocker log'!$G:$G,"Hard blocker",'Blocker log'!$L:$L,9))</f>
        <v>0</v>
      </c>
      <c r="P1323" s="20">
        <f>IF($B1323="","",MAXIFS('Blocker log'!$L:$L,'Blocker log'!$A:$A,$B1323,'Blocker log'!$G:$G,"Hard blocker"))</f>
        <v>0</v>
      </c>
      <c r="Q1323" s="20" t="str">
        <f>IF($B1323="","",IF($K1323&lt;&gt;"Complete","Assessment pending",IF($N1323=0,"Ready now",VLOOKUP($P1323,Lists!$D$2:$E$5,2,FALSE))))</f>
        <v>Assessment pending</v>
      </c>
    </row>
    <row r="1324" ht="15.75" customHeight="1">
      <c r="A1324" s="35" t="s">
        <v>3257</v>
      </c>
      <c r="B1324" s="35" t="s">
        <v>3258</v>
      </c>
      <c r="C1324" s="35" t="s">
        <v>1286</v>
      </c>
      <c r="D1324" s="35" t="s">
        <v>171</v>
      </c>
      <c r="E1324" s="35" t="s">
        <v>677</v>
      </c>
      <c r="F1324" s="35" t="s">
        <v>678</v>
      </c>
      <c r="G1324" s="35" t="s">
        <v>1161</v>
      </c>
      <c r="H1324" s="76">
        <v>4889.0</v>
      </c>
      <c r="I1324" s="35" t="s">
        <v>431</v>
      </c>
      <c r="M1324" s="20">
        <f>IF($B1324="","",COUNTIFS('Blocker log'!$A:$A,$B1324,'Blocker log'!$G:$G,"&lt;&gt;"))</f>
        <v>0</v>
      </c>
      <c r="N1324" s="20">
        <f>IF($B1324="","",COUNTIFS('Blocker log'!$A:$A,$B1324,'Blocker log'!$G:$G,"Hard blocker"))</f>
        <v>0</v>
      </c>
      <c r="O1324" s="20">
        <f>IF($B1324="","",COUNTIFS('Blocker log'!$A:$A,$B1324,'Blocker log'!$G:$G,"Hard blocker",'Blocker log'!$L:$L,9))</f>
        <v>0</v>
      </c>
      <c r="P1324" s="20">
        <f>IF($B1324="","",MAXIFS('Blocker log'!$L:$L,'Blocker log'!$A:$A,$B1324,'Blocker log'!$G:$G,"Hard blocker"))</f>
        <v>0</v>
      </c>
      <c r="Q1324" s="20" t="str">
        <f>IF($B1324="","",IF($K1324&lt;&gt;"Complete","Assessment pending",IF($N1324=0,"Ready now",VLOOKUP($P1324,Lists!$D$2:$E$5,2,FALSE))))</f>
        <v>Assessment pending</v>
      </c>
    </row>
    <row r="1325" ht="15.75" customHeight="1">
      <c r="A1325" s="35" t="s">
        <v>3259</v>
      </c>
      <c r="B1325" s="35" t="s">
        <v>3260</v>
      </c>
      <c r="C1325" s="35" t="s">
        <v>1286</v>
      </c>
      <c r="D1325" s="35" t="s">
        <v>171</v>
      </c>
      <c r="E1325" s="35" t="s">
        <v>542</v>
      </c>
      <c r="F1325" s="35" t="s">
        <v>543</v>
      </c>
      <c r="G1325" s="35" t="s">
        <v>1161</v>
      </c>
      <c r="H1325" s="76">
        <v>4875.0</v>
      </c>
      <c r="I1325" s="35" t="s">
        <v>415</v>
      </c>
      <c r="M1325" s="20">
        <f>IF($B1325="","",COUNTIFS('Blocker log'!$A:$A,$B1325,'Blocker log'!$G:$G,"&lt;&gt;"))</f>
        <v>0</v>
      </c>
      <c r="N1325" s="20">
        <f>IF($B1325="","",COUNTIFS('Blocker log'!$A:$A,$B1325,'Blocker log'!$G:$G,"Hard blocker"))</f>
        <v>0</v>
      </c>
      <c r="O1325" s="20">
        <f>IF($B1325="","",COUNTIFS('Blocker log'!$A:$A,$B1325,'Blocker log'!$G:$G,"Hard blocker",'Blocker log'!$L:$L,9))</f>
        <v>0</v>
      </c>
      <c r="P1325" s="20">
        <f>IF($B1325="","",MAXIFS('Blocker log'!$L:$L,'Blocker log'!$A:$A,$B1325,'Blocker log'!$G:$G,"Hard blocker"))</f>
        <v>0</v>
      </c>
      <c r="Q1325" s="20" t="str">
        <f>IF($B1325="","",IF($K1325&lt;&gt;"Complete","Assessment pending",IF($N1325=0,"Ready now",VLOOKUP($P1325,Lists!$D$2:$E$5,2,FALSE))))</f>
        <v>Assessment pending</v>
      </c>
    </row>
    <row r="1326" ht="15.75" customHeight="1">
      <c r="A1326" s="35" t="s">
        <v>3261</v>
      </c>
      <c r="B1326" s="35" t="s">
        <v>3262</v>
      </c>
      <c r="C1326" s="35" t="s">
        <v>1286</v>
      </c>
      <c r="D1326" s="35" t="s">
        <v>171</v>
      </c>
      <c r="E1326" s="35" t="s">
        <v>1584</v>
      </c>
      <c r="F1326" s="35" t="s">
        <v>1585</v>
      </c>
      <c r="G1326" s="35" t="s">
        <v>1161</v>
      </c>
      <c r="H1326" s="76">
        <v>4840.0</v>
      </c>
      <c r="I1326" s="35"/>
      <c r="M1326" s="20">
        <f>IF($B1326="","",COUNTIFS('Blocker log'!$A:$A,$B1326,'Blocker log'!$G:$G,"&lt;&gt;"))</f>
        <v>0</v>
      </c>
      <c r="N1326" s="20">
        <f>IF($B1326="","",COUNTIFS('Blocker log'!$A:$A,$B1326,'Blocker log'!$G:$G,"Hard blocker"))</f>
        <v>0</v>
      </c>
      <c r="O1326" s="20">
        <f>IF($B1326="","",COUNTIFS('Blocker log'!$A:$A,$B1326,'Blocker log'!$G:$G,"Hard blocker",'Blocker log'!$L:$L,9))</f>
        <v>0</v>
      </c>
      <c r="P1326" s="20">
        <f>IF($B1326="","",MAXIFS('Blocker log'!$L:$L,'Blocker log'!$A:$A,$B1326,'Blocker log'!$G:$G,"Hard blocker"))</f>
        <v>0</v>
      </c>
      <c r="Q1326" s="20" t="str">
        <f>IF($B1326="","",IF($K1326&lt;&gt;"Complete","Assessment pending",IF($N1326=0,"Ready now",VLOOKUP($P1326,Lists!$D$2:$E$5,2,FALSE))))</f>
        <v>Assessment pending</v>
      </c>
    </row>
    <row r="1327" ht="15.75" customHeight="1">
      <c r="A1327" s="35" t="s">
        <v>3263</v>
      </c>
      <c r="B1327" s="35" t="s">
        <v>3264</v>
      </c>
      <c r="C1327" s="35" t="s">
        <v>76</v>
      </c>
      <c r="D1327" s="35" t="s">
        <v>171</v>
      </c>
      <c r="E1327" s="35" t="s">
        <v>542</v>
      </c>
      <c r="F1327" s="35" t="s">
        <v>543</v>
      </c>
      <c r="G1327" s="35" t="s">
        <v>980</v>
      </c>
      <c r="H1327" s="76">
        <v>4826.0</v>
      </c>
      <c r="I1327" s="35"/>
      <c r="M1327" s="20">
        <f>IF($B1327="","",COUNTIFS('Blocker log'!$A:$A,$B1327,'Blocker log'!$G:$G,"&lt;&gt;"))</f>
        <v>0</v>
      </c>
      <c r="N1327" s="20">
        <f>IF($B1327="","",COUNTIFS('Blocker log'!$A:$A,$B1327,'Blocker log'!$G:$G,"Hard blocker"))</f>
        <v>0</v>
      </c>
      <c r="O1327" s="20">
        <f>IF($B1327="","",COUNTIFS('Blocker log'!$A:$A,$B1327,'Blocker log'!$G:$G,"Hard blocker",'Blocker log'!$L:$L,9))</f>
        <v>0</v>
      </c>
      <c r="P1327" s="20">
        <f>IF($B1327="","",MAXIFS('Blocker log'!$L:$L,'Blocker log'!$A:$A,$B1327,'Blocker log'!$G:$G,"Hard blocker"))</f>
        <v>0</v>
      </c>
      <c r="Q1327" s="20" t="str">
        <f>IF($B1327="","",IF($K1327&lt;&gt;"Complete","Assessment pending",IF($N1327=0,"Ready now",VLOOKUP($P1327,Lists!$D$2:$E$5,2,FALSE))))</f>
        <v>Assessment pending</v>
      </c>
    </row>
    <row r="1328" ht="15.75" customHeight="1">
      <c r="A1328" s="35" t="s">
        <v>3265</v>
      </c>
      <c r="B1328" s="35" t="s">
        <v>3266</v>
      </c>
      <c r="C1328" s="35" t="s">
        <v>1286</v>
      </c>
      <c r="D1328" s="35" t="s">
        <v>260</v>
      </c>
      <c r="E1328" s="35" t="s">
        <v>576</v>
      </c>
      <c r="F1328" s="35" t="s">
        <v>1965</v>
      </c>
      <c r="G1328" s="35" t="s">
        <v>1161</v>
      </c>
      <c r="H1328" s="76">
        <v>4808.0</v>
      </c>
      <c r="I1328" s="35" t="s">
        <v>403</v>
      </c>
      <c r="M1328" s="20">
        <f>IF($B1328="","",COUNTIFS('Blocker log'!$A:$A,$B1328,'Blocker log'!$G:$G,"&lt;&gt;"))</f>
        <v>0</v>
      </c>
      <c r="N1328" s="20">
        <f>IF($B1328="","",COUNTIFS('Blocker log'!$A:$A,$B1328,'Blocker log'!$G:$G,"Hard blocker"))</f>
        <v>0</v>
      </c>
      <c r="O1328" s="20">
        <f>IF($B1328="","",COUNTIFS('Blocker log'!$A:$A,$B1328,'Blocker log'!$G:$G,"Hard blocker",'Blocker log'!$L:$L,9))</f>
        <v>0</v>
      </c>
      <c r="P1328" s="20">
        <f>IF($B1328="","",MAXIFS('Blocker log'!$L:$L,'Blocker log'!$A:$A,$B1328,'Blocker log'!$G:$G,"Hard blocker"))</f>
        <v>0</v>
      </c>
      <c r="Q1328" s="20" t="str">
        <f>IF($B1328="","",IF($K1328&lt;&gt;"Complete","Assessment pending",IF($N1328=0,"Ready now",VLOOKUP($P1328,Lists!$D$2:$E$5,2,FALSE))))</f>
        <v>Assessment pending</v>
      </c>
    </row>
    <row r="1329" ht="15.75" customHeight="1">
      <c r="A1329" s="35" t="s">
        <v>3267</v>
      </c>
      <c r="B1329" s="35" t="s">
        <v>3268</v>
      </c>
      <c r="C1329" s="35" t="s">
        <v>76</v>
      </c>
      <c r="D1329" s="35" t="s">
        <v>260</v>
      </c>
      <c r="E1329" s="35" t="s">
        <v>530</v>
      </c>
      <c r="F1329" s="35" t="s">
        <v>1350</v>
      </c>
      <c r="G1329" s="35" t="s">
        <v>980</v>
      </c>
      <c r="H1329" s="76">
        <v>4606.0</v>
      </c>
      <c r="I1329" s="35"/>
      <c r="M1329" s="20">
        <f>IF($B1329="","",COUNTIFS('Blocker log'!$A:$A,$B1329,'Blocker log'!$G:$G,"&lt;&gt;"))</f>
        <v>0</v>
      </c>
      <c r="N1329" s="20">
        <f>IF($B1329="","",COUNTIFS('Blocker log'!$A:$A,$B1329,'Blocker log'!$G:$G,"Hard blocker"))</f>
        <v>0</v>
      </c>
      <c r="O1329" s="20">
        <f>IF($B1329="","",COUNTIFS('Blocker log'!$A:$A,$B1329,'Blocker log'!$G:$G,"Hard blocker",'Blocker log'!$L:$L,9))</f>
        <v>0</v>
      </c>
      <c r="P1329" s="20">
        <f>IF($B1329="","",MAXIFS('Blocker log'!$L:$L,'Blocker log'!$A:$A,$B1329,'Blocker log'!$G:$G,"Hard blocker"))</f>
        <v>0</v>
      </c>
      <c r="Q1329" s="20" t="str">
        <f>IF($B1329="","",IF($K1329&lt;&gt;"Complete","Assessment pending",IF($N1329=0,"Ready now",VLOOKUP($P1329,Lists!$D$2:$E$5,2,FALSE))))</f>
        <v>Assessment pending</v>
      </c>
    </row>
    <row r="1330" ht="15.75" customHeight="1">
      <c r="A1330" s="35" t="s">
        <v>3269</v>
      </c>
      <c r="B1330" s="35" t="s">
        <v>3270</v>
      </c>
      <c r="C1330" s="35" t="s">
        <v>1286</v>
      </c>
      <c r="D1330" s="35" t="s">
        <v>260</v>
      </c>
      <c r="E1330" s="35" t="s">
        <v>530</v>
      </c>
      <c r="F1330" s="35" t="s">
        <v>1350</v>
      </c>
      <c r="G1330" s="35" t="s">
        <v>1161</v>
      </c>
      <c r="H1330" s="76">
        <v>4606.0</v>
      </c>
      <c r="I1330" s="35" t="s">
        <v>446</v>
      </c>
      <c r="M1330" s="20">
        <f>IF($B1330="","",COUNTIFS('Blocker log'!$A:$A,$B1330,'Blocker log'!$G:$G,"&lt;&gt;"))</f>
        <v>0</v>
      </c>
      <c r="N1330" s="20">
        <f>IF($B1330="","",COUNTIFS('Blocker log'!$A:$A,$B1330,'Blocker log'!$G:$G,"Hard blocker"))</f>
        <v>0</v>
      </c>
      <c r="O1330" s="20">
        <f>IF($B1330="","",COUNTIFS('Blocker log'!$A:$A,$B1330,'Blocker log'!$G:$G,"Hard blocker",'Blocker log'!$L:$L,9))</f>
        <v>0</v>
      </c>
      <c r="P1330" s="20">
        <f>IF($B1330="","",MAXIFS('Blocker log'!$L:$L,'Blocker log'!$A:$A,$B1330,'Blocker log'!$G:$G,"Hard blocker"))</f>
        <v>0</v>
      </c>
      <c r="Q1330" s="20" t="str">
        <f>IF($B1330="","",IF($K1330&lt;&gt;"Complete","Assessment pending",IF($N1330=0,"Ready now",VLOOKUP($P1330,Lists!$D$2:$E$5,2,FALSE))))</f>
        <v>Assessment pending</v>
      </c>
    </row>
    <row r="1331" ht="15.75" customHeight="1">
      <c r="A1331" s="35" t="s">
        <v>3271</v>
      </c>
      <c r="B1331" s="35" t="s">
        <v>3272</v>
      </c>
      <c r="C1331" s="35" t="s">
        <v>1286</v>
      </c>
      <c r="D1331" s="35" t="s">
        <v>260</v>
      </c>
      <c r="E1331" s="35" t="s">
        <v>506</v>
      </c>
      <c r="F1331" s="35" t="s">
        <v>708</v>
      </c>
      <c r="G1331" s="35" t="s">
        <v>1161</v>
      </c>
      <c r="H1331" s="76">
        <v>4464.0</v>
      </c>
      <c r="I1331" s="35" t="s">
        <v>440</v>
      </c>
      <c r="M1331" s="20">
        <f>IF($B1331="","",COUNTIFS('Blocker log'!$A:$A,$B1331,'Blocker log'!$G:$G,"&lt;&gt;"))</f>
        <v>0</v>
      </c>
      <c r="N1331" s="20">
        <f>IF($B1331="","",COUNTIFS('Blocker log'!$A:$A,$B1331,'Blocker log'!$G:$G,"Hard blocker"))</f>
        <v>0</v>
      </c>
      <c r="O1331" s="20">
        <f>IF($B1331="","",COUNTIFS('Blocker log'!$A:$A,$B1331,'Blocker log'!$G:$G,"Hard blocker",'Blocker log'!$L:$L,9))</f>
        <v>0</v>
      </c>
      <c r="P1331" s="20">
        <f>IF($B1331="","",MAXIFS('Blocker log'!$L:$L,'Blocker log'!$A:$A,$B1331,'Blocker log'!$G:$G,"Hard blocker"))</f>
        <v>0</v>
      </c>
      <c r="Q1331" s="20" t="str">
        <f>IF($B1331="","",IF($K1331&lt;&gt;"Complete","Assessment pending",IF($N1331=0,"Ready now",VLOOKUP($P1331,Lists!$D$2:$E$5,2,FALSE))))</f>
        <v>Assessment pending</v>
      </c>
    </row>
    <row r="1332" ht="15.75" customHeight="1">
      <c r="A1332" s="35" t="s">
        <v>3273</v>
      </c>
      <c r="B1332" s="35" t="s">
        <v>3274</v>
      </c>
      <c r="C1332" s="35" t="s">
        <v>1286</v>
      </c>
      <c r="D1332" s="35" t="s">
        <v>260</v>
      </c>
      <c r="E1332" s="35" t="s">
        <v>506</v>
      </c>
      <c r="F1332" s="35" t="s">
        <v>507</v>
      </c>
      <c r="G1332" s="35" t="s">
        <v>1161</v>
      </c>
      <c r="H1332" s="76">
        <v>4338.0</v>
      </c>
      <c r="I1332" s="35" t="s">
        <v>440</v>
      </c>
      <c r="M1332" s="20">
        <f>IF($B1332="","",COUNTIFS('Blocker log'!$A:$A,$B1332,'Blocker log'!$G:$G,"&lt;&gt;"))</f>
        <v>0</v>
      </c>
      <c r="N1332" s="20">
        <f>IF($B1332="","",COUNTIFS('Blocker log'!$A:$A,$B1332,'Blocker log'!$G:$G,"Hard blocker"))</f>
        <v>0</v>
      </c>
      <c r="O1332" s="20">
        <f>IF($B1332="","",COUNTIFS('Blocker log'!$A:$A,$B1332,'Blocker log'!$G:$G,"Hard blocker",'Blocker log'!$L:$L,9))</f>
        <v>0</v>
      </c>
      <c r="P1332" s="20">
        <f>IF($B1332="","",MAXIFS('Blocker log'!$L:$L,'Blocker log'!$A:$A,$B1332,'Blocker log'!$G:$G,"Hard blocker"))</f>
        <v>0</v>
      </c>
      <c r="Q1332" s="20" t="str">
        <f>IF($B1332="","",IF($K1332&lt;&gt;"Complete","Assessment pending",IF($N1332=0,"Ready now",VLOOKUP($P1332,Lists!$D$2:$E$5,2,FALSE))))</f>
        <v>Assessment pending</v>
      </c>
    </row>
    <row r="1333" ht="15.75" customHeight="1">
      <c r="A1333" s="35" t="s">
        <v>3275</v>
      </c>
      <c r="B1333" s="35" t="s">
        <v>3276</v>
      </c>
      <c r="C1333" s="35" t="s">
        <v>1286</v>
      </c>
      <c r="D1333" s="35" t="s">
        <v>171</v>
      </c>
      <c r="E1333" s="35" t="s">
        <v>760</v>
      </c>
      <c r="F1333" s="35" t="s">
        <v>2715</v>
      </c>
      <c r="G1333" s="35" t="s">
        <v>1161</v>
      </c>
      <c r="H1333" s="76">
        <v>3863.0</v>
      </c>
      <c r="I1333" s="35"/>
      <c r="M1333" s="20">
        <f>IF($B1333="","",COUNTIFS('Blocker log'!$A:$A,$B1333,'Blocker log'!$G:$G,"&lt;&gt;"))</f>
        <v>0</v>
      </c>
      <c r="N1333" s="20">
        <f>IF($B1333="","",COUNTIFS('Blocker log'!$A:$A,$B1333,'Blocker log'!$G:$G,"Hard blocker"))</f>
        <v>0</v>
      </c>
      <c r="O1333" s="20">
        <f>IF($B1333="","",COUNTIFS('Blocker log'!$A:$A,$B1333,'Blocker log'!$G:$G,"Hard blocker",'Blocker log'!$L:$L,9))</f>
        <v>0</v>
      </c>
      <c r="P1333" s="20">
        <f>IF($B1333="","",MAXIFS('Blocker log'!$L:$L,'Blocker log'!$A:$A,$B1333,'Blocker log'!$G:$G,"Hard blocker"))</f>
        <v>0</v>
      </c>
      <c r="Q1333" s="20" t="str">
        <f>IF($B1333="","",IF($K1333&lt;&gt;"Complete","Assessment pending",IF($N1333=0,"Ready now",VLOOKUP($P1333,Lists!$D$2:$E$5,2,FALSE))))</f>
        <v>Assessment pending</v>
      </c>
    </row>
    <row r="1334" ht="15.75" customHeight="1">
      <c r="A1334" s="35" t="s">
        <v>3277</v>
      </c>
      <c r="B1334" s="35" t="s">
        <v>3278</v>
      </c>
      <c r="C1334" s="35" t="s">
        <v>1286</v>
      </c>
      <c r="D1334" s="35" t="s">
        <v>171</v>
      </c>
      <c r="E1334" s="35" t="s">
        <v>542</v>
      </c>
      <c r="F1334" s="35" t="s">
        <v>543</v>
      </c>
      <c r="G1334" s="35" t="s">
        <v>1161</v>
      </c>
      <c r="H1334" s="76">
        <v>3750.0</v>
      </c>
      <c r="I1334" s="35"/>
      <c r="M1334" s="20">
        <f>IF($B1334="","",COUNTIFS('Blocker log'!$A:$A,$B1334,'Blocker log'!$G:$G,"&lt;&gt;"))</f>
        <v>0</v>
      </c>
      <c r="N1334" s="20">
        <f>IF($B1334="","",COUNTIFS('Blocker log'!$A:$A,$B1334,'Blocker log'!$G:$G,"Hard blocker"))</f>
        <v>0</v>
      </c>
      <c r="O1334" s="20">
        <f>IF($B1334="","",COUNTIFS('Blocker log'!$A:$A,$B1334,'Blocker log'!$G:$G,"Hard blocker",'Blocker log'!$L:$L,9))</f>
        <v>0</v>
      </c>
      <c r="P1334" s="20">
        <f>IF($B1334="","",MAXIFS('Blocker log'!$L:$L,'Blocker log'!$A:$A,$B1334,'Blocker log'!$G:$G,"Hard blocker"))</f>
        <v>0</v>
      </c>
      <c r="Q1334" s="20" t="str">
        <f>IF($B1334="","",IF($K1334&lt;&gt;"Complete","Assessment pending",IF($N1334=0,"Ready now",VLOOKUP($P1334,Lists!$D$2:$E$5,2,FALSE))))</f>
        <v>Assessment pending</v>
      </c>
    </row>
    <row r="1335" ht="15.75" customHeight="1">
      <c r="A1335" s="35" t="s">
        <v>3279</v>
      </c>
      <c r="B1335" s="35" t="s">
        <v>3280</v>
      </c>
      <c r="C1335" s="35" t="s">
        <v>1286</v>
      </c>
      <c r="D1335" s="35" t="s">
        <v>171</v>
      </c>
      <c r="E1335" s="35" t="s">
        <v>1465</v>
      </c>
      <c r="F1335" s="35" t="s">
        <v>2356</v>
      </c>
      <c r="G1335" s="35" t="s">
        <v>1161</v>
      </c>
      <c r="H1335" s="76">
        <v>3708.0</v>
      </c>
      <c r="I1335" s="35"/>
      <c r="M1335" s="20">
        <f>IF($B1335="","",COUNTIFS('Blocker log'!$A:$A,$B1335,'Blocker log'!$G:$G,"&lt;&gt;"))</f>
        <v>0</v>
      </c>
      <c r="N1335" s="20">
        <f>IF($B1335="","",COUNTIFS('Blocker log'!$A:$A,$B1335,'Blocker log'!$G:$G,"Hard blocker"))</f>
        <v>0</v>
      </c>
      <c r="O1335" s="20">
        <f>IF($B1335="","",COUNTIFS('Blocker log'!$A:$A,$B1335,'Blocker log'!$G:$G,"Hard blocker",'Blocker log'!$L:$L,9))</f>
        <v>0</v>
      </c>
      <c r="P1335" s="20">
        <f>IF($B1335="","",MAXIFS('Blocker log'!$L:$L,'Blocker log'!$A:$A,$B1335,'Blocker log'!$G:$G,"Hard blocker"))</f>
        <v>0</v>
      </c>
      <c r="Q1335" s="20" t="str">
        <f>IF($B1335="","",IF($K1335&lt;&gt;"Complete","Assessment pending",IF($N1335=0,"Ready now",VLOOKUP($P1335,Lists!$D$2:$E$5,2,FALSE))))</f>
        <v>Assessment pending</v>
      </c>
    </row>
    <row r="1336" ht="15.75" customHeight="1">
      <c r="A1336" s="35" t="s">
        <v>3281</v>
      </c>
      <c r="B1336" s="35" t="s">
        <v>3282</v>
      </c>
      <c r="C1336" s="35" t="s">
        <v>1286</v>
      </c>
      <c r="D1336" s="35" t="s">
        <v>171</v>
      </c>
      <c r="E1336" s="35" t="s">
        <v>542</v>
      </c>
      <c r="F1336" s="35" t="s">
        <v>543</v>
      </c>
      <c r="G1336" s="35" t="s">
        <v>1161</v>
      </c>
      <c r="H1336" s="76">
        <v>3599.0</v>
      </c>
      <c r="I1336" s="35"/>
      <c r="M1336" s="20">
        <f>IF($B1336="","",COUNTIFS('Blocker log'!$A:$A,$B1336,'Blocker log'!$G:$G,"&lt;&gt;"))</f>
        <v>0</v>
      </c>
      <c r="N1336" s="20">
        <f>IF($B1336="","",COUNTIFS('Blocker log'!$A:$A,$B1336,'Blocker log'!$G:$G,"Hard blocker"))</f>
        <v>0</v>
      </c>
      <c r="O1336" s="20">
        <f>IF($B1336="","",COUNTIFS('Blocker log'!$A:$A,$B1336,'Blocker log'!$G:$G,"Hard blocker",'Blocker log'!$L:$L,9))</f>
        <v>0</v>
      </c>
      <c r="P1336" s="20">
        <f>IF($B1336="","",MAXIFS('Blocker log'!$L:$L,'Blocker log'!$A:$A,$B1336,'Blocker log'!$G:$G,"Hard blocker"))</f>
        <v>0</v>
      </c>
      <c r="Q1336" s="20" t="str">
        <f>IF($B1336="","",IF($K1336&lt;&gt;"Complete","Assessment pending",IF($N1336=0,"Ready now",VLOOKUP($P1336,Lists!$D$2:$E$5,2,FALSE))))</f>
        <v>Assessment pending</v>
      </c>
    </row>
    <row r="1337" ht="15.75" customHeight="1">
      <c r="A1337" s="35" t="s">
        <v>3283</v>
      </c>
      <c r="B1337" s="35" t="s">
        <v>3284</v>
      </c>
      <c r="C1337" s="35" t="s">
        <v>1286</v>
      </c>
      <c r="D1337" s="35" t="s">
        <v>260</v>
      </c>
      <c r="E1337" s="35" t="s">
        <v>1096</v>
      </c>
      <c r="F1337" s="35" t="s">
        <v>1366</v>
      </c>
      <c r="G1337" s="35" t="s">
        <v>1161</v>
      </c>
      <c r="H1337" s="76">
        <v>3456.0</v>
      </c>
      <c r="I1337" s="35" t="s">
        <v>429</v>
      </c>
      <c r="M1337" s="20">
        <f>IF($B1337="","",COUNTIFS('Blocker log'!$A:$A,$B1337,'Blocker log'!$G:$G,"&lt;&gt;"))</f>
        <v>0</v>
      </c>
      <c r="N1337" s="20">
        <f>IF($B1337="","",COUNTIFS('Blocker log'!$A:$A,$B1337,'Blocker log'!$G:$G,"Hard blocker"))</f>
        <v>0</v>
      </c>
      <c r="O1337" s="20">
        <f>IF($B1337="","",COUNTIFS('Blocker log'!$A:$A,$B1337,'Blocker log'!$G:$G,"Hard blocker",'Blocker log'!$L:$L,9))</f>
        <v>0</v>
      </c>
      <c r="P1337" s="20">
        <f>IF($B1337="","",MAXIFS('Blocker log'!$L:$L,'Blocker log'!$A:$A,$B1337,'Blocker log'!$G:$G,"Hard blocker"))</f>
        <v>0</v>
      </c>
      <c r="Q1337" s="20" t="str">
        <f>IF($B1337="","",IF($K1337&lt;&gt;"Complete","Assessment pending",IF($N1337=0,"Ready now",VLOOKUP($P1337,Lists!$D$2:$E$5,2,FALSE))))</f>
        <v>Assessment pending</v>
      </c>
    </row>
    <row r="1338" ht="15.75" customHeight="1">
      <c r="A1338" s="35" t="s">
        <v>3285</v>
      </c>
      <c r="B1338" s="35" t="s">
        <v>3286</v>
      </c>
      <c r="C1338" s="35" t="s">
        <v>1286</v>
      </c>
      <c r="D1338" s="35" t="s">
        <v>171</v>
      </c>
      <c r="E1338" s="35" t="s">
        <v>713</v>
      </c>
      <c r="F1338" s="35" t="s">
        <v>714</v>
      </c>
      <c r="G1338" s="35" t="s">
        <v>1161</v>
      </c>
      <c r="H1338" s="76">
        <v>2920.0</v>
      </c>
      <c r="I1338" s="35" t="s">
        <v>457</v>
      </c>
      <c r="M1338" s="20">
        <f>IF($B1338="","",COUNTIFS('Blocker log'!$A:$A,$B1338,'Blocker log'!$G:$G,"&lt;&gt;"))</f>
        <v>0</v>
      </c>
      <c r="N1338" s="20">
        <f>IF($B1338="","",COUNTIFS('Blocker log'!$A:$A,$B1338,'Blocker log'!$G:$G,"Hard blocker"))</f>
        <v>0</v>
      </c>
      <c r="O1338" s="20">
        <f>IF($B1338="","",COUNTIFS('Blocker log'!$A:$A,$B1338,'Blocker log'!$G:$G,"Hard blocker",'Blocker log'!$L:$L,9))</f>
        <v>0</v>
      </c>
      <c r="P1338" s="20">
        <f>IF($B1338="","",MAXIFS('Blocker log'!$L:$L,'Blocker log'!$A:$A,$B1338,'Blocker log'!$G:$G,"Hard blocker"))</f>
        <v>0</v>
      </c>
      <c r="Q1338" s="20" t="str">
        <f>IF($B1338="","",IF($K1338&lt;&gt;"Complete","Assessment pending",IF($N1338=0,"Ready now",VLOOKUP($P1338,Lists!$D$2:$E$5,2,FALSE))))</f>
        <v>Assessment pending</v>
      </c>
    </row>
    <row r="1339" ht="15.75" customHeight="1">
      <c r="A1339" s="35" t="s">
        <v>3287</v>
      </c>
      <c r="B1339" s="35" t="s">
        <v>3288</v>
      </c>
      <c r="C1339" s="35" t="s">
        <v>1286</v>
      </c>
      <c r="D1339" s="35" t="s">
        <v>260</v>
      </c>
      <c r="E1339" s="35" t="s">
        <v>1096</v>
      </c>
      <c r="F1339" s="35" t="s">
        <v>1097</v>
      </c>
      <c r="G1339" s="35" t="s">
        <v>1161</v>
      </c>
      <c r="H1339" s="76">
        <v>2700.0</v>
      </c>
      <c r="I1339" s="35"/>
      <c r="M1339" s="20">
        <f>IF($B1339="","",COUNTIFS('Blocker log'!$A:$A,$B1339,'Blocker log'!$G:$G,"&lt;&gt;"))</f>
        <v>0</v>
      </c>
      <c r="N1339" s="20">
        <f>IF($B1339="","",COUNTIFS('Blocker log'!$A:$A,$B1339,'Blocker log'!$G:$G,"Hard blocker"))</f>
        <v>0</v>
      </c>
      <c r="O1339" s="20">
        <f>IF($B1339="","",COUNTIFS('Blocker log'!$A:$A,$B1339,'Blocker log'!$G:$G,"Hard blocker",'Blocker log'!$L:$L,9))</f>
        <v>0</v>
      </c>
      <c r="P1339" s="20">
        <f>IF($B1339="","",MAXIFS('Blocker log'!$L:$L,'Blocker log'!$A:$A,$B1339,'Blocker log'!$G:$G,"Hard blocker"))</f>
        <v>0</v>
      </c>
      <c r="Q1339" s="20" t="str">
        <f>IF($B1339="","",IF($K1339&lt;&gt;"Complete","Assessment pending",IF($N1339=0,"Ready now",VLOOKUP($P1339,Lists!$D$2:$E$5,2,FALSE))))</f>
        <v>Assessment pending</v>
      </c>
    </row>
    <row r="1340" ht="15.75" customHeight="1">
      <c r="A1340" s="35" t="s">
        <v>3289</v>
      </c>
      <c r="B1340" s="35" t="s">
        <v>3290</v>
      </c>
      <c r="C1340" s="35" t="s">
        <v>1286</v>
      </c>
      <c r="D1340" s="35" t="s">
        <v>260</v>
      </c>
      <c r="E1340" s="35" t="s">
        <v>1096</v>
      </c>
      <c r="F1340" s="35" t="s">
        <v>1366</v>
      </c>
      <c r="G1340" s="35" t="s">
        <v>1161</v>
      </c>
      <c r="H1340" s="76">
        <v>2632.0</v>
      </c>
      <c r="I1340" s="35" t="s">
        <v>429</v>
      </c>
      <c r="M1340" s="20">
        <f>IF($B1340="","",COUNTIFS('Blocker log'!$A:$A,$B1340,'Blocker log'!$G:$G,"&lt;&gt;"))</f>
        <v>0</v>
      </c>
      <c r="N1340" s="20">
        <f>IF($B1340="","",COUNTIFS('Blocker log'!$A:$A,$B1340,'Blocker log'!$G:$G,"Hard blocker"))</f>
        <v>0</v>
      </c>
      <c r="O1340" s="20">
        <f>IF($B1340="","",COUNTIFS('Blocker log'!$A:$A,$B1340,'Blocker log'!$G:$G,"Hard blocker",'Blocker log'!$L:$L,9))</f>
        <v>0</v>
      </c>
      <c r="P1340" s="20">
        <f>IF($B1340="","",MAXIFS('Blocker log'!$L:$L,'Blocker log'!$A:$A,$B1340,'Blocker log'!$G:$G,"Hard blocker"))</f>
        <v>0</v>
      </c>
      <c r="Q1340" s="20" t="str">
        <f>IF($B1340="","",IF($K1340&lt;&gt;"Complete","Assessment pending",IF($N1340=0,"Ready now",VLOOKUP($P1340,Lists!$D$2:$E$5,2,FALSE))))</f>
        <v>Assessment pending</v>
      </c>
    </row>
    <row r="1341" ht="15.75" customHeight="1">
      <c r="A1341" s="35" t="s">
        <v>3291</v>
      </c>
      <c r="B1341" s="35" t="s">
        <v>3292</v>
      </c>
      <c r="C1341" s="35" t="s">
        <v>1286</v>
      </c>
      <c r="D1341" s="35" t="s">
        <v>58</v>
      </c>
      <c r="E1341" s="35" t="s">
        <v>140</v>
      </c>
      <c r="F1341" s="35" t="s">
        <v>246</v>
      </c>
      <c r="G1341" s="35" t="s">
        <v>1161</v>
      </c>
      <c r="H1341" s="76">
        <v>2078.0</v>
      </c>
      <c r="I1341" s="35" t="s">
        <v>451</v>
      </c>
      <c r="M1341" s="20">
        <f>IF($B1341="","",COUNTIFS('Blocker log'!$A:$A,$B1341,'Blocker log'!$G:$G,"&lt;&gt;"))</f>
        <v>0</v>
      </c>
      <c r="N1341" s="20">
        <f>IF($B1341="","",COUNTIFS('Blocker log'!$A:$A,$B1341,'Blocker log'!$G:$G,"Hard blocker"))</f>
        <v>0</v>
      </c>
      <c r="O1341" s="20">
        <f>IF($B1341="","",COUNTIFS('Blocker log'!$A:$A,$B1341,'Blocker log'!$G:$G,"Hard blocker",'Blocker log'!$L:$L,9))</f>
        <v>0</v>
      </c>
      <c r="P1341" s="20">
        <f>IF($B1341="","",MAXIFS('Blocker log'!$L:$L,'Blocker log'!$A:$A,$B1341,'Blocker log'!$G:$G,"Hard blocker"))</f>
        <v>0</v>
      </c>
      <c r="Q1341" s="20" t="str">
        <f>IF($B1341="","",IF($K1341&lt;&gt;"Complete","Assessment pending",IF($N1341=0,"Ready now",VLOOKUP($P1341,Lists!$D$2:$E$5,2,FALSE))))</f>
        <v>Assessment pending</v>
      </c>
    </row>
    <row r="1342" ht="15.75" customHeight="1">
      <c r="A1342" s="35" t="s">
        <v>3293</v>
      </c>
      <c r="B1342" s="35" t="s">
        <v>3294</v>
      </c>
      <c r="C1342" s="35" t="s">
        <v>1286</v>
      </c>
      <c r="D1342" s="35" t="s">
        <v>58</v>
      </c>
      <c r="E1342" s="35" t="s">
        <v>140</v>
      </c>
      <c r="F1342" s="35" t="s">
        <v>663</v>
      </c>
      <c r="G1342" s="35" t="s">
        <v>1161</v>
      </c>
      <c r="H1342" s="76">
        <v>2000.0</v>
      </c>
      <c r="I1342" s="35"/>
      <c r="M1342" s="20">
        <f>IF($B1342="","",COUNTIFS('Blocker log'!$A:$A,$B1342,'Blocker log'!$G:$G,"&lt;&gt;"))</f>
        <v>0</v>
      </c>
      <c r="N1342" s="20">
        <f>IF($B1342="","",COUNTIFS('Blocker log'!$A:$A,$B1342,'Blocker log'!$G:$G,"Hard blocker"))</f>
        <v>0</v>
      </c>
      <c r="O1342" s="20">
        <f>IF($B1342="","",COUNTIFS('Blocker log'!$A:$A,$B1342,'Blocker log'!$G:$G,"Hard blocker",'Blocker log'!$L:$L,9))</f>
        <v>0</v>
      </c>
      <c r="P1342" s="20">
        <f>IF($B1342="","",MAXIFS('Blocker log'!$L:$L,'Blocker log'!$A:$A,$B1342,'Blocker log'!$G:$G,"Hard blocker"))</f>
        <v>0</v>
      </c>
      <c r="Q1342" s="20" t="str">
        <f>IF($B1342="","",IF($K1342&lt;&gt;"Complete","Assessment pending",IF($N1342=0,"Ready now",VLOOKUP($P1342,Lists!$D$2:$E$5,2,FALSE))))</f>
        <v>Assessment pending</v>
      </c>
    </row>
    <row r="1343" ht="15.75" customHeight="1">
      <c r="A1343" s="35" t="s">
        <v>3295</v>
      </c>
      <c r="B1343" s="35" t="s">
        <v>3296</v>
      </c>
      <c r="C1343" s="35" t="s">
        <v>1286</v>
      </c>
      <c r="D1343" s="35" t="s">
        <v>58</v>
      </c>
      <c r="E1343" s="35" t="s">
        <v>1315</v>
      </c>
      <c r="F1343" s="35" t="s">
        <v>1315</v>
      </c>
      <c r="G1343" s="35" t="s">
        <v>1161</v>
      </c>
      <c r="H1343" s="76">
        <v>1676.0</v>
      </c>
      <c r="I1343" s="35"/>
      <c r="M1343" s="20">
        <f>IF($B1343="","",COUNTIFS('Blocker log'!$A:$A,$B1343,'Blocker log'!$G:$G,"&lt;&gt;"))</f>
        <v>0</v>
      </c>
      <c r="N1343" s="20">
        <f>IF($B1343="","",COUNTIFS('Blocker log'!$A:$A,$B1343,'Blocker log'!$G:$G,"Hard blocker"))</f>
        <v>0</v>
      </c>
      <c r="O1343" s="20">
        <f>IF($B1343="","",COUNTIFS('Blocker log'!$A:$A,$B1343,'Blocker log'!$G:$G,"Hard blocker",'Blocker log'!$L:$L,9))</f>
        <v>0</v>
      </c>
      <c r="P1343" s="20">
        <f>IF($B1343="","",MAXIFS('Blocker log'!$L:$L,'Blocker log'!$A:$A,$B1343,'Blocker log'!$G:$G,"Hard blocker"))</f>
        <v>0</v>
      </c>
      <c r="Q1343" s="20" t="str">
        <f>IF($B1343="","",IF($K1343&lt;&gt;"Complete","Assessment pending",IF($N1343=0,"Ready now",VLOOKUP($P1343,Lists!$D$2:$E$5,2,FALSE))))</f>
        <v>Assessment pending</v>
      </c>
    </row>
    <row r="1344" ht="15.75" customHeight="1">
      <c r="A1344" s="35" t="s">
        <v>3297</v>
      </c>
      <c r="B1344" s="35" t="s">
        <v>1314</v>
      </c>
      <c r="C1344" s="35"/>
      <c r="D1344" s="35" t="s">
        <v>58</v>
      </c>
      <c r="E1344" s="35" t="s">
        <v>1315</v>
      </c>
      <c r="F1344" s="35" t="s">
        <v>1315</v>
      </c>
      <c r="G1344" s="35" t="s">
        <v>1161</v>
      </c>
      <c r="H1344" s="76">
        <v>1.0</v>
      </c>
      <c r="I1344" s="35"/>
      <c r="M1344" s="20">
        <f>IF($B1344="","",COUNTIFS('Blocker log'!$A:$A,$B1344,'Blocker log'!$G:$G,"&lt;&gt;"))</f>
        <v>0</v>
      </c>
      <c r="N1344" s="20">
        <f>IF($B1344="","",COUNTIFS('Blocker log'!$A:$A,$B1344,'Blocker log'!$G:$G,"Hard blocker"))</f>
        <v>0</v>
      </c>
      <c r="O1344" s="20">
        <f>IF($B1344="","",COUNTIFS('Blocker log'!$A:$A,$B1344,'Blocker log'!$G:$G,"Hard blocker",'Blocker log'!$L:$L,9))</f>
        <v>0</v>
      </c>
      <c r="P1344" s="20">
        <f>IF($B1344="","",MAXIFS('Blocker log'!$L:$L,'Blocker log'!$A:$A,$B1344,'Blocker log'!$G:$G,"Hard blocker"))</f>
        <v>0</v>
      </c>
      <c r="Q1344" s="20" t="str">
        <f>IF($B1344="","",IF($K1344&lt;&gt;"Complete","Assessment pending",IF($N1344=0,"Ready now",VLOOKUP($P1344,Lists!$D$2:$E$5,2,FALSE))))</f>
        <v>Assessment pending</v>
      </c>
    </row>
    <row r="1345" ht="15.75" customHeight="1">
      <c r="A1345" s="35" t="s">
        <v>3298</v>
      </c>
      <c r="B1345" s="35" t="s">
        <v>3299</v>
      </c>
      <c r="C1345" s="35" t="s">
        <v>76</v>
      </c>
      <c r="D1345" s="35" t="s">
        <v>58</v>
      </c>
      <c r="E1345" s="35" t="s">
        <v>181</v>
      </c>
      <c r="F1345" s="35" t="s">
        <v>182</v>
      </c>
      <c r="G1345" s="35" t="s">
        <v>999</v>
      </c>
      <c r="H1345" s="76">
        <v>-3827.0</v>
      </c>
      <c r="I1345" s="35"/>
      <c r="M1345" s="20">
        <f>IF($B1345="","",COUNTIFS('Blocker log'!$A:$A,$B1345,'Blocker log'!$G:$G,"&lt;&gt;"))</f>
        <v>0</v>
      </c>
      <c r="N1345" s="20">
        <f>IF($B1345="","",COUNTIFS('Blocker log'!$A:$A,$B1345,'Blocker log'!$G:$G,"Hard blocker"))</f>
        <v>0</v>
      </c>
      <c r="O1345" s="20">
        <f>IF($B1345="","",COUNTIFS('Blocker log'!$A:$A,$B1345,'Blocker log'!$G:$G,"Hard blocker",'Blocker log'!$L:$L,9))</f>
        <v>0</v>
      </c>
      <c r="P1345" s="20">
        <f>IF($B1345="","",MAXIFS('Blocker log'!$L:$L,'Blocker log'!$A:$A,$B1345,'Blocker log'!$G:$G,"Hard blocker"))</f>
        <v>0</v>
      </c>
      <c r="Q1345" s="20" t="str">
        <f>IF($B1345="","",IF($K1345&lt;&gt;"Complete","Assessment pending",IF($N1345=0,"Ready now",VLOOKUP($P1345,Lists!$D$2:$E$5,2,FALSE))))</f>
        <v>Assessment pending</v>
      </c>
    </row>
    <row r="1346" ht="15.75" customHeight="1">
      <c r="A1346" s="35" t="s">
        <v>3300</v>
      </c>
      <c r="B1346" s="35" t="s">
        <v>3301</v>
      </c>
      <c r="C1346" s="35" t="s">
        <v>1160</v>
      </c>
      <c r="D1346" s="35" t="s">
        <v>260</v>
      </c>
      <c r="E1346" s="35" t="s">
        <v>576</v>
      </c>
      <c r="F1346" s="35" t="s">
        <v>1228</v>
      </c>
      <c r="G1346" s="35" t="s">
        <v>1161</v>
      </c>
      <c r="H1346" s="79"/>
      <c r="I1346" s="35"/>
      <c r="M1346" s="20">
        <f>IF($B1346="","",COUNTIFS('Blocker log'!$A:$A,$B1346,'Blocker log'!$G:$G,"&lt;&gt;"))</f>
        <v>0</v>
      </c>
      <c r="N1346" s="20">
        <f>IF($B1346="","",COUNTIFS('Blocker log'!$A:$A,$B1346,'Blocker log'!$G:$G,"Hard blocker"))</f>
        <v>0</v>
      </c>
      <c r="O1346" s="20">
        <f>IF($B1346="","",COUNTIFS('Blocker log'!$A:$A,$B1346,'Blocker log'!$G:$G,"Hard blocker",'Blocker log'!$L:$L,9))</f>
        <v>0</v>
      </c>
      <c r="P1346" s="20">
        <f>IF($B1346="","",MAXIFS('Blocker log'!$L:$L,'Blocker log'!$A:$A,$B1346,'Blocker log'!$G:$G,"Hard blocker"))</f>
        <v>0</v>
      </c>
      <c r="Q1346" s="20" t="str">
        <f>IF($B1346="","",IF($K1346&lt;&gt;"Complete","Assessment pending",IF($N1346=0,"Ready now",VLOOKUP($P1346,Lists!$D$2:$E$5,2,FALSE))))</f>
        <v>Assessment pending</v>
      </c>
    </row>
    <row r="1347" ht="15.75" customHeight="1">
      <c r="A1347" s="35" t="s">
        <v>3302</v>
      </c>
      <c r="B1347" s="35" t="s">
        <v>3303</v>
      </c>
      <c r="C1347" s="35" t="s">
        <v>1286</v>
      </c>
      <c r="D1347" s="35" t="s">
        <v>260</v>
      </c>
      <c r="E1347" s="35" t="s">
        <v>576</v>
      </c>
      <c r="F1347" s="35" t="s">
        <v>1965</v>
      </c>
      <c r="G1347" s="35" t="s">
        <v>1161</v>
      </c>
      <c r="H1347" s="79"/>
      <c r="I1347" s="35"/>
      <c r="M1347" s="20">
        <f>IF($B1347="","",COUNTIFS('Blocker log'!$A:$A,$B1347,'Blocker log'!$G:$G,"&lt;&gt;"))</f>
        <v>0</v>
      </c>
      <c r="N1347" s="20">
        <f>IF($B1347="","",COUNTIFS('Blocker log'!$A:$A,$B1347,'Blocker log'!$G:$G,"Hard blocker"))</f>
        <v>0</v>
      </c>
      <c r="O1347" s="20">
        <f>IF($B1347="","",COUNTIFS('Blocker log'!$A:$A,$B1347,'Blocker log'!$G:$G,"Hard blocker",'Blocker log'!$L:$L,9))</f>
        <v>0</v>
      </c>
      <c r="P1347" s="20">
        <f>IF($B1347="","",MAXIFS('Blocker log'!$L:$L,'Blocker log'!$A:$A,$B1347,'Blocker log'!$G:$G,"Hard blocker"))</f>
        <v>0</v>
      </c>
      <c r="Q1347" s="20" t="str">
        <f>IF($B1347="","",IF($K1347&lt;&gt;"Complete","Assessment pending",IF($N1347=0,"Ready now",VLOOKUP($P1347,Lists!$D$2:$E$5,2,FALSE))))</f>
        <v>Assessment pending</v>
      </c>
    </row>
    <row r="1348" ht="15.75" customHeight="1">
      <c r="A1348" s="35" t="s">
        <v>3304</v>
      </c>
      <c r="B1348" s="35" t="s">
        <v>3305</v>
      </c>
      <c r="C1348" s="35" t="s">
        <v>1160</v>
      </c>
      <c r="D1348" s="35" t="s">
        <v>260</v>
      </c>
      <c r="E1348" s="35" t="s">
        <v>1096</v>
      </c>
      <c r="F1348" s="35" t="s">
        <v>1650</v>
      </c>
      <c r="G1348" s="35" t="s">
        <v>1161</v>
      </c>
      <c r="H1348" s="79"/>
      <c r="I1348" s="35"/>
      <c r="M1348" s="20">
        <f>IF($B1348="","",COUNTIFS('Blocker log'!$A:$A,$B1348,'Blocker log'!$G:$G,"&lt;&gt;"))</f>
        <v>0</v>
      </c>
      <c r="N1348" s="20">
        <f>IF($B1348="","",COUNTIFS('Blocker log'!$A:$A,$B1348,'Blocker log'!$G:$G,"Hard blocker"))</f>
        <v>0</v>
      </c>
      <c r="O1348" s="20">
        <f>IF($B1348="","",COUNTIFS('Blocker log'!$A:$A,$B1348,'Blocker log'!$G:$G,"Hard blocker",'Blocker log'!$L:$L,9))</f>
        <v>0</v>
      </c>
      <c r="P1348" s="20">
        <f>IF($B1348="","",MAXIFS('Blocker log'!$L:$L,'Blocker log'!$A:$A,$B1348,'Blocker log'!$G:$G,"Hard blocker"))</f>
        <v>0</v>
      </c>
      <c r="Q1348" s="20" t="str">
        <f>IF($B1348="","",IF($K1348&lt;&gt;"Complete","Assessment pending",IF($N1348=0,"Ready now",VLOOKUP($P1348,Lists!$D$2:$E$5,2,FALSE))))</f>
        <v>Assessment pending</v>
      </c>
    </row>
    <row r="1349" ht="15.75" customHeight="1">
      <c r="A1349" s="35" t="s">
        <v>3306</v>
      </c>
      <c r="B1349" s="35" t="s">
        <v>3307</v>
      </c>
      <c r="C1349" s="35" t="s">
        <v>1286</v>
      </c>
      <c r="D1349" s="35" t="s">
        <v>171</v>
      </c>
      <c r="E1349" s="35" t="s">
        <v>542</v>
      </c>
      <c r="F1349" s="35" t="s">
        <v>543</v>
      </c>
      <c r="G1349" s="35" t="s">
        <v>1161</v>
      </c>
      <c r="H1349" s="79"/>
      <c r="I1349" s="35" t="s">
        <v>424</v>
      </c>
      <c r="M1349" s="20">
        <f>IF($B1349="","",COUNTIFS('Blocker log'!$A:$A,$B1349,'Blocker log'!$G:$G,"&lt;&gt;"))</f>
        <v>0</v>
      </c>
      <c r="N1349" s="20">
        <f>IF($B1349="","",COUNTIFS('Blocker log'!$A:$A,$B1349,'Blocker log'!$G:$G,"Hard blocker"))</f>
        <v>0</v>
      </c>
      <c r="O1349" s="20">
        <f>IF($B1349="","",COUNTIFS('Blocker log'!$A:$A,$B1349,'Blocker log'!$G:$G,"Hard blocker",'Blocker log'!$L:$L,9))</f>
        <v>0</v>
      </c>
      <c r="P1349" s="20">
        <f>IF($B1349="","",MAXIFS('Blocker log'!$L:$L,'Blocker log'!$A:$A,$B1349,'Blocker log'!$G:$G,"Hard blocker"))</f>
        <v>0</v>
      </c>
      <c r="Q1349" s="20" t="str">
        <f>IF($B1349="","",IF($K1349&lt;&gt;"Complete","Assessment pending",IF($N1349=0,"Ready now",VLOOKUP($P1349,Lists!$D$2:$E$5,2,FALSE))))</f>
        <v>Assessment pending</v>
      </c>
    </row>
    <row r="1350" ht="15.75" customHeight="1">
      <c r="A1350" s="35" t="s">
        <v>3308</v>
      </c>
      <c r="B1350" s="35" t="s">
        <v>3309</v>
      </c>
      <c r="C1350" s="35" t="s">
        <v>1286</v>
      </c>
      <c r="D1350" s="35" t="s">
        <v>58</v>
      </c>
      <c r="E1350" s="35" t="s">
        <v>140</v>
      </c>
      <c r="F1350" s="35" t="s">
        <v>246</v>
      </c>
      <c r="G1350" s="35" t="s">
        <v>1161</v>
      </c>
      <c r="H1350" s="79"/>
      <c r="I1350" s="35"/>
      <c r="M1350" s="20">
        <f>IF($B1350="","",COUNTIFS('Blocker log'!$A:$A,$B1350,'Blocker log'!$G:$G,"&lt;&gt;"))</f>
        <v>0</v>
      </c>
      <c r="N1350" s="20">
        <f>IF($B1350="","",COUNTIFS('Blocker log'!$A:$A,$B1350,'Blocker log'!$G:$G,"Hard blocker"))</f>
        <v>0</v>
      </c>
      <c r="O1350" s="20">
        <f>IF($B1350="","",COUNTIFS('Blocker log'!$A:$A,$B1350,'Blocker log'!$G:$G,"Hard blocker",'Blocker log'!$L:$L,9))</f>
        <v>0</v>
      </c>
      <c r="P1350" s="20">
        <f>IF($B1350="","",MAXIFS('Blocker log'!$L:$L,'Blocker log'!$A:$A,$B1350,'Blocker log'!$G:$G,"Hard blocker"))</f>
        <v>0</v>
      </c>
      <c r="Q1350" s="20" t="str">
        <f>IF($B1350="","",IF($K1350&lt;&gt;"Complete","Assessment pending",IF($N1350=0,"Ready now",VLOOKUP($P1350,Lists!$D$2:$E$5,2,FALSE))))</f>
        <v>Assessment pending</v>
      </c>
    </row>
    <row r="1351" ht="15.75" customHeight="1">
      <c r="A1351" s="35" t="s">
        <v>3310</v>
      </c>
      <c r="B1351" s="35" t="s">
        <v>3311</v>
      </c>
      <c r="C1351" s="35" t="s">
        <v>1160</v>
      </c>
      <c r="D1351" s="35" t="s">
        <v>171</v>
      </c>
      <c r="E1351" s="35" t="s">
        <v>542</v>
      </c>
      <c r="F1351" s="35" t="s">
        <v>549</v>
      </c>
      <c r="G1351" s="35" t="s">
        <v>1161</v>
      </c>
      <c r="H1351" s="79"/>
      <c r="I1351" s="35"/>
      <c r="M1351" s="20">
        <f>IF($B1351="","",COUNTIFS('Blocker log'!$A:$A,$B1351,'Blocker log'!$G:$G,"&lt;&gt;"))</f>
        <v>0</v>
      </c>
      <c r="N1351" s="20">
        <f>IF($B1351="","",COUNTIFS('Blocker log'!$A:$A,$B1351,'Blocker log'!$G:$G,"Hard blocker"))</f>
        <v>0</v>
      </c>
      <c r="O1351" s="20">
        <f>IF($B1351="","",COUNTIFS('Blocker log'!$A:$A,$B1351,'Blocker log'!$G:$G,"Hard blocker",'Blocker log'!$L:$L,9))</f>
        <v>0</v>
      </c>
      <c r="P1351" s="20">
        <f>IF($B1351="","",MAXIFS('Blocker log'!$L:$L,'Blocker log'!$A:$A,$B1351,'Blocker log'!$G:$G,"Hard blocker"))</f>
        <v>0</v>
      </c>
      <c r="Q1351" s="20" t="str">
        <f>IF($B1351="","",IF($K1351&lt;&gt;"Complete","Assessment pending",IF($N1351=0,"Ready now",VLOOKUP($P1351,Lists!$D$2:$E$5,2,FALSE))))</f>
        <v>Assessment pending</v>
      </c>
    </row>
    <row r="1352" ht="15.75" customHeight="1">
      <c r="A1352" s="35" t="s">
        <v>3312</v>
      </c>
      <c r="B1352" s="35" t="s">
        <v>3313</v>
      </c>
      <c r="C1352" s="35" t="s">
        <v>1160</v>
      </c>
      <c r="D1352" s="35" t="s">
        <v>58</v>
      </c>
      <c r="E1352" s="35" t="s">
        <v>140</v>
      </c>
      <c r="F1352" s="35" t="s">
        <v>246</v>
      </c>
      <c r="G1352" s="35" t="s">
        <v>1161</v>
      </c>
      <c r="H1352" s="79"/>
      <c r="I1352" s="35"/>
      <c r="M1352" s="20">
        <f>IF($B1352="","",COUNTIFS('Blocker log'!$A:$A,$B1352,'Blocker log'!$G:$G,"&lt;&gt;"))</f>
        <v>0</v>
      </c>
      <c r="N1352" s="20">
        <f>IF($B1352="","",COUNTIFS('Blocker log'!$A:$A,$B1352,'Blocker log'!$G:$G,"Hard blocker"))</f>
        <v>0</v>
      </c>
      <c r="O1352" s="20">
        <f>IF($B1352="","",COUNTIFS('Blocker log'!$A:$A,$B1352,'Blocker log'!$G:$G,"Hard blocker",'Blocker log'!$L:$L,9))</f>
        <v>0</v>
      </c>
      <c r="P1352" s="20">
        <f>IF($B1352="","",MAXIFS('Blocker log'!$L:$L,'Blocker log'!$A:$A,$B1352,'Blocker log'!$G:$G,"Hard blocker"))</f>
        <v>0</v>
      </c>
      <c r="Q1352" s="20" t="str">
        <f>IF($B1352="","",IF($K1352&lt;&gt;"Complete","Assessment pending",IF($N1352=0,"Ready now",VLOOKUP($P1352,Lists!$D$2:$E$5,2,FALSE))))</f>
        <v>Assessment pending</v>
      </c>
    </row>
    <row r="1353" ht="15.75" customHeight="1">
      <c r="A1353" s="35" t="s">
        <v>3314</v>
      </c>
      <c r="B1353" s="35" t="s">
        <v>3315</v>
      </c>
      <c r="C1353" s="35"/>
      <c r="D1353" s="35" t="s">
        <v>260</v>
      </c>
      <c r="E1353" s="35" t="s">
        <v>576</v>
      </c>
      <c r="F1353" s="35" t="s">
        <v>1228</v>
      </c>
      <c r="G1353" s="35" t="s">
        <v>1161</v>
      </c>
      <c r="H1353" s="79"/>
      <c r="I1353" s="35"/>
      <c r="M1353" s="20">
        <f>IF($B1353="","",COUNTIFS('Blocker log'!$A:$A,$B1353,'Blocker log'!$G:$G,"&lt;&gt;"))</f>
        <v>0</v>
      </c>
      <c r="N1353" s="20">
        <f>IF($B1353="","",COUNTIFS('Blocker log'!$A:$A,$B1353,'Blocker log'!$G:$G,"Hard blocker"))</f>
        <v>0</v>
      </c>
      <c r="O1353" s="20">
        <f>IF($B1353="","",COUNTIFS('Blocker log'!$A:$A,$B1353,'Blocker log'!$G:$G,"Hard blocker",'Blocker log'!$L:$L,9))</f>
        <v>0</v>
      </c>
      <c r="P1353" s="20">
        <f>IF($B1353="","",MAXIFS('Blocker log'!$L:$L,'Blocker log'!$A:$A,$B1353,'Blocker log'!$G:$G,"Hard blocker"))</f>
        <v>0</v>
      </c>
      <c r="Q1353" s="20" t="str">
        <f>IF($B1353="","",IF($K1353&lt;&gt;"Complete","Assessment pending",IF($N1353=0,"Ready now",VLOOKUP($P1353,Lists!$D$2:$E$5,2,FALSE))))</f>
        <v>Assessment pending</v>
      </c>
    </row>
    <row r="1354" ht="15.75" customHeight="1">
      <c r="A1354" s="35" t="s">
        <v>3316</v>
      </c>
      <c r="B1354" s="35" t="s">
        <v>3317</v>
      </c>
      <c r="C1354" s="35"/>
      <c r="D1354" s="35" t="s">
        <v>260</v>
      </c>
      <c r="E1354" s="35" t="s">
        <v>1096</v>
      </c>
      <c r="F1354" s="35" t="s">
        <v>1366</v>
      </c>
      <c r="G1354" s="35" t="s">
        <v>1161</v>
      </c>
      <c r="H1354" s="79"/>
      <c r="I1354" s="35"/>
      <c r="M1354" s="20">
        <f>IF($B1354="","",COUNTIFS('Blocker log'!$A:$A,$B1354,'Blocker log'!$G:$G,"&lt;&gt;"))</f>
        <v>0</v>
      </c>
      <c r="N1354" s="20">
        <f>IF($B1354="","",COUNTIFS('Blocker log'!$A:$A,$B1354,'Blocker log'!$G:$G,"Hard blocker"))</f>
        <v>0</v>
      </c>
      <c r="O1354" s="20">
        <f>IF($B1354="","",COUNTIFS('Blocker log'!$A:$A,$B1354,'Blocker log'!$G:$G,"Hard blocker",'Blocker log'!$L:$L,9))</f>
        <v>0</v>
      </c>
      <c r="P1354" s="20">
        <f>IF($B1354="","",MAXIFS('Blocker log'!$L:$L,'Blocker log'!$A:$A,$B1354,'Blocker log'!$G:$G,"Hard blocker"))</f>
        <v>0</v>
      </c>
      <c r="Q1354" s="20" t="str">
        <f>IF($B1354="","",IF($K1354&lt;&gt;"Complete","Assessment pending",IF($N1354=0,"Ready now",VLOOKUP($P1354,Lists!$D$2:$E$5,2,FALSE))))</f>
        <v>Assessment pending</v>
      </c>
    </row>
    <row r="1355" ht="15.75" customHeight="1">
      <c r="A1355" s="35" t="s">
        <v>3318</v>
      </c>
      <c r="B1355" s="35" t="s">
        <v>3319</v>
      </c>
      <c r="C1355" s="35" t="s">
        <v>1160</v>
      </c>
      <c r="D1355" s="35" t="s">
        <v>260</v>
      </c>
      <c r="E1355" s="35" t="s">
        <v>1096</v>
      </c>
      <c r="F1355" s="35" t="s">
        <v>1366</v>
      </c>
      <c r="G1355" s="35" t="s">
        <v>1161</v>
      </c>
      <c r="H1355" s="79"/>
      <c r="I1355" s="35" t="s">
        <v>401</v>
      </c>
      <c r="M1355" s="20">
        <f>IF($B1355="","",COUNTIFS('Blocker log'!$A:$A,$B1355,'Blocker log'!$G:$G,"&lt;&gt;"))</f>
        <v>0</v>
      </c>
      <c r="N1355" s="20">
        <f>IF($B1355="","",COUNTIFS('Blocker log'!$A:$A,$B1355,'Blocker log'!$G:$G,"Hard blocker"))</f>
        <v>0</v>
      </c>
      <c r="O1355" s="20">
        <f>IF($B1355="","",COUNTIFS('Blocker log'!$A:$A,$B1355,'Blocker log'!$G:$G,"Hard blocker",'Blocker log'!$L:$L,9))</f>
        <v>0</v>
      </c>
      <c r="P1355" s="20">
        <f>IF($B1355="","",MAXIFS('Blocker log'!$L:$L,'Blocker log'!$A:$A,$B1355,'Blocker log'!$G:$G,"Hard blocker"))</f>
        <v>0</v>
      </c>
      <c r="Q1355" s="20" t="str">
        <f>IF($B1355="","",IF($K1355&lt;&gt;"Complete","Assessment pending",IF($N1355=0,"Ready now",VLOOKUP($P1355,Lists!$D$2:$E$5,2,FALSE))))</f>
        <v>Assessment pending</v>
      </c>
    </row>
    <row r="1356" ht="15.75" customHeight="1">
      <c r="A1356" s="35" t="s">
        <v>3320</v>
      </c>
      <c r="B1356" s="35" t="s">
        <v>3321</v>
      </c>
      <c r="C1356" s="35" t="s">
        <v>1286</v>
      </c>
      <c r="D1356" s="35" t="s">
        <v>58</v>
      </c>
      <c r="E1356" s="35" t="s">
        <v>1315</v>
      </c>
      <c r="F1356" s="35" t="s">
        <v>1315</v>
      </c>
      <c r="G1356" s="35" t="s">
        <v>1161</v>
      </c>
      <c r="H1356" s="79"/>
      <c r="I1356" s="35" t="s">
        <v>445</v>
      </c>
      <c r="M1356" s="20">
        <f>IF($B1356="","",COUNTIFS('Blocker log'!$A:$A,$B1356,'Blocker log'!$G:$G,"&lt;&gt;"))</f>
        <v>0</v>
      </c>
      <c r="N1356" s="20">
        <f>IF($B1356="","",COUNTIFS('Blocker log'!$A:$A,$B1356,'Blocker log'!$G:$G,"Hard blocker"))</f>
        <v>0</v>
      </c>
      <c r="O1356" s="20">
        <f>IF($B1356="","",COUNTIFS('Blocker log'!$A:$A,$B1356,'Blocker log'!$G:$G,"Hard blocker",'Blocker log'!$L:$L,9))</f>
        <v>0</v>
      </c>
      <c r="P1356" s="20">
        <f>IF($B1356="","",MAXIFS('Blocker log'!$L:$L,'Blocker log'!$A:$A,$B1356,'Blocker log'!$G:$G,"Hard blocker"))</f>
        <v>0</v>
      </c>
      <c r="Q1356" s="20" t="str">
        <f>IF($B1356="","",IF($K1356&lt;&gt;"Complete","Assessment pending",IF($N1356=0,"Ready now",VLOOKUP($P1356,Lists!$D$2:$E$5,2,FALSE))))</f>
        <v>Assessment pending</v>
      </c>
    </row>
    <row r="1357" ht="15.75" customHeight="1">
      <c r="A1357" s="35" t="s">
        <v>3322</v>
      </c>
      <c r="B1357" s="35" t="s">
        <v>3323</v>
      </c>
      <c r="C1357" s="35" t="s">
        <v>1286</v>
      </c>
      <c r="D1357" s="35" t="s">
        <v>58</v>
      </c>
      <c r="E1357" s="35" t="s">
        <v>140</v>
      </c>
      <c r="F1357" s="35" t="s">
        <v>156</v>
      </c>
      <c r="G1357" s="35" t="s">
        <v>1161</v>
      </c>
      <c r="H1357" s="79"/>
      <c r="I1357" s="35" t="s">
        <v>318</v>
      </c>
      <c r="M1357" s="20">
        <f>IF($B1357="","",COUNTIFS('Blocker log'!$A:$A,$B1357,'Blocker log'!$G:$G,"&lt;&gt;"))</f>
        <v>0</v>
      </c>
      <c r="N1357" s="20">
        <f>IF($B1357="","",COUNTIFS('Blocker log'!$A:$A,$B1357,'Blocker log'!$G:$G,"Hard blocker"))</f>
        <v>0</v>
      </c>
      <c r="O1357" s="20">
        <f>IF($B1357="","",COUNTIFS('Blocker log'!$A:$A,$B1357,'Blocker log'!$G:$G,"Hard blocker",'Blocker log'!$L:$L,9))</f>
        <v>0</v>
      </c>
      <c r="P1357" s="20">
        <f>IF($B1357="","",MAXIFS('Blocker log'!$L:$L,'Blocker log'!$A:$A,$B1357,'Blocker log'!$G:$G,"Hard blocker"))</f>
        <v>0</v>
      </c>
      <c r="Q1357" s="20" t="str">
        <f>IF($B1357="","",IF($K1357&lt;&gt;"Complete","Assessment pending",IF($N1357=0,"Ready now",VLOOKUP($P1357,Lists!$D$2:$E$5,2,FALSE))))</f>
        <v>Assessment pending</v>
      </c>
    </row>
    <row r="1358" ht="15.75" customHeight="1">
      <c r="A1358" s="35" t="s">
        <v>3324</v>
      </c>
      <c r="B1358" s="35" t="s">
        <v>3325</v>
      </c>
      <c r="C1358" s="35"/>
      <c r="D1358" s="35" t="s">
        <v>260</v>
      </c>
      <c r="E1358" s="35" t="s">
        <v>576</v>
      </c>
      <c r="F1358" s="35" t="s">
        <v>1228</v>
      </c>
      <c r="G1358" s="35" t="s">
        <v>1161</v>
      </c>
      <c r="H1358" s="79"/>
      <c r="I1358" s="35"/>
      <c r="M1358" s="20">
        <f>IF($B1358="","",COUNTIFS('Blocker log'!$A:$A,$B1358,'Blocker log'!$G:$G,"&lt;&gt;"))</f>
        <v>0</v>
      </c>
      <c r="N1358" s="20">
        <f>IF($B1358="","",COUNTIFS('Blocker log'!$A:$A,$B1358,'Blocker log'!$G:$G,"Hard blocker"))</f>
        <v>0</v>
      </c>
      <c r="O1358" s="20">
        <f>IF($B1358="","",COUNTIFS('Blocker log'!$A:$A,$B1358,'Blocker log'!$G:$G,"Hard blocker",'Blocker log'!$L:$L,9))</f>
        <v>0</v>
      </c>
      <c r="P1358" s="20">
        <f>IF($B1358="","",MAXIFS('Blocker log'!$L:$L,'Blocker log'!$A:$A,$B1358,'Blocker log'!$G:$G,"Hard blocker"))</f>
        <v>0</v>
      </c>
      <c r="Q1358" s="20" t="str">
        <f>IF($B1358="","",IF($K1358&lt;&gt;"Complete","Assessment pending",IF($N1358=0,"Ready now",VLOOKUP($P1358,Lists!$D$2:$E$5,2,FALSE))))</f>
        <v>Assessment pending</v>
      </c>
    </row>
    <row r="1359" ht="15.75" customHeight="1">
      <c r="A1359" s="35" t="s">
        <v>3326</v>
      </c>
      <c r="B1359" s="35" t="s">
        <v>3327</v>
      </c>
      <c r="C1359" s="35" t="s">
        <v>1286</v>
      </c>
      <c r="D1359" s="35" t="s">
        <v>58</v>
      </c>
      <c r="E1359" s="35" t="s">
        <v>101</v>
      </c>
      <c r="F1359" s="35" t="s">
        <v>102</v>
      </c>
      <c r="G1359" s="35" t="s">
        <v>1161</v>
      </c>
      <c r="H1359" s="79"/>
      <c r="I1359" s="35"/>
      <c r="M1359" s="20">
        <f>IF($B1359="","",COUNTIFS('Blocker log'!$A:$A,$B1359,'Blocker log'!$G:$G,"&lt;&gt;"))</f>
        <v>0</v>
      </c>
      <c r="N1359" s="20">
        <f>IF($B1359="","",COUNTIFS('Blocker log'!$A:$A,$B1359,'Blocker log'!$G:$G,"Hard blocker"))</f>
        <v>0</v>
      </c>
      <c r="O1359" s="20">
        <f>IF($B1359="","",COUNTIFS('Blocker log'!$A:$A,$B1359,'Blocker log'!$G:$G,"Hard blocker",'Blocker log'!$L:$L,9))</f>
        <v>0</v>
      </c>
      <c r="P1359" s="20">
        <f>IF($B1359="","",MAXIFS('Blocker log'!$L:$L,'Blocker log'!$A:$A,$B1359,'Blocker log'!$G:$G,"Hard blocker"))</f>
        <v>0</v>
      </c>
      <c r="Q1359" s="20" t="str">
        <f>IF($B1359="","",IF($K1359&lt;&gt;"Complete","Assessment pending",IF($N1359=0,"Ready now",VLOOKUP($P1359,Lists!$D$2:$E$5,2,FALSE))))</f>
        <v>Assessment pending</v>
      </c>
    </row>
    <row r="1360" ht="15.75" customHeight="1">
      <c r="A1360" s="35" t="s">
        <v>3328</v>
      </c>
      <c r="B1360" s="35" t="s">
        <v>3329</v>
      </c>
      <c r="C1360" s="35"/>
      <c r="D1360" s="35" t="s">
        <v>260</v>
      </c>
      <c r="E1360" s="35" t="s">
        <v>576</v>
      </c>
      <c r="F1360" s="35" t="s">
        <v>1965</v>
      </c>
      <c r="G1360" s="35" t="s">
        <v>1161</v>
      </c>
      <c r="H1360" s="79"/>
      <c r="I1360" s="35"/>
      <c r="M1360" s="20">
        <f>IF($B1360="","",COUNTIFS('Blocker log'!$A:$A,$B1360,'Blocker log'!$G:$G,"&lt;&gt;"))</f>
        <v>0</v>
      </c>
      <c r="N1360" s="20">
        <f>IF($B1360="","",COUNTIFS('Blocker log'!$A:$A,$B1360,'Blocker log'!$G:$G,"Hard blocker"))</f>
        <v>0</v>
      </c>
      <c r="O1360" s="20">
        <f>IF($B1360="","",COUNTIFS('Blocker log'!$A:$A,$B1360,'Blocker log'!$G:$G,"Hard blocker",'Blocker log'!$L:$L,9))</f>
        <v>0</v>
      </c>
      <c r="P1360" s="20">
        <f>IF($B1360="","",MAXIFS('Blocker log'!$L:$L,'Blocker log'!$A:$A,$B1360,'Blocker log'!$G:$G,"Hard blocker"))</f>
        <v>0</v>
      </c>
      <c r="Q1360" s="20" t="str">
        <f>IF($B1360="","",IF($K1360&lt;&gt;"Complete","Assessment pending",IF($N1360=0,"Ready now",VLOOKUP($P1360,Lists!$D$2:$E$5,2,FALSE))))</f>
        <v>Assessment pending</v>
      </c>
    </row>
    <row r="1361" ht="15.75" customHeight="1">
      <c r="A1361" s="35" t="s">
        <v>3330</v>
      </c>
      <c r="B1361" s="35" t="s">
        <v>3331</v>
      </c>
      <c r="C1361" s="35"/>
      <c r="D1361" s="35" t="s">
        <v>58</v>
      </c>
      <c r="E1361" s="35" t="s">
        <v>140</v>
      </c>
      <c r="F1361" s="35" t="s">
        <v>141</v>
      </c>
      <c r="G1361" s="35" t="s">
        <v>1161</v>
      </c>
      <c r="H1361" s="79"/>
      <c r="I1361" s="35"/>
      <c r="M1361" s="20">
        <f>IF($B1361="","",COUNTIFS('Blocker log'!$A:$A,$B1361,'Blocker log'!$G:$G,"&lt;&gt;"))</f>
        <v>0</v>
      </c>
      <c r="N1361" s="20">
        <f>IF($B1361="","",COUNTIFS('Blocker log'!$A:$A,$B1361,'Blocker log'!$G:$G,"Hard blocker"))</f>
        <v>0</v>
      </c>
      <c r="O1361" s="20">
        <f>IF($B1361="","",COUNTIFS('Blocker log'!$A:$A,$B1361,'Blocker log'!$G:$G,"Hard blocker",'Blocker log'!$L:$L,9))</f>
        <v>0</v>
      </c>
      <c r="P1361" s="20">
        <f>IF($B1361="","",MAXIFS('Blocker log'!$L:$L,'Blocker log'!$A:$A,$B1361,'Blocker log'!$G:$G,"Hard blocker"))</f>
        <v>0</v>
      </c>
      <c r="Q1361" s="20" t="str">
        <f>IF($B1361="","",IF($K1361&lt;&gt;"Complete","Assessment pending",IF($N1361=0,"Ready now",VLOOKUP($P1361,Lists!$D$2:$E$5,2,FALSE))))</f>
        <v>Assessment pending</v>
      </c>
    </row>
    <row r="1362" ht="15.75" customHeight="1">
      <c r="A1362" s="35" t="s">
        <v>3332</v>
      </c>
      <c r="B1362" s="35" t="s">
        <v>3333</v>
      </c>
      <c r="C1362" s="35" t="s">
        <v>1286</v>
      </c>
      <c r="D1362" s="35" t="s">
        <v>58</v>
      </c>
      <c r="E1362" s="35" t="s">
        <v>494</v>
      </c>
      <c r="F1362" s="35" t="s">
        <v>690</v>
      </c>
      <c r="G1362" s="35" t="s">
        <v>1161</v>
      </c>
      <c r="H1362" s="79"/>
      <c r="I1362" s="35"/>
      <c r="M1362" s="20">
        <f>IF($B1362="","",COUNTIFS('Blocker log'!$A:$A,$B1362,'Blocker log'!$G:$G,"&lt;&gt;"))</f>
        <v>0</v>
      </c>
      <c r="N1362" s="20">
        <f>IF($B1362="","",COUNTIFS('Blocker log'!$A:$A,$B1362,'Blocker log'!$G:$G,"Hard blocker"))</f>
        <v>0</v>
      </c>
      <c r="O1362" s="20">
        <f>IF($B1362="","",COUNTIFS('Blocker log'!$A:$A,$B1362,'Blocker log'!$G:$G,"Hard blocker",'Blocker log'!$L:$L,9))</f>
        <v>0</v>
      </c>
      <c r="P1362" s="20">
        <f>IF($B1362="","",MAXIFS('Blocker log'!$L:$L,'Blocker log'!$A:$A,$B1362,'Blocker log'!$G:$G,"Hard blocker"))</f>
        <v>0</v>
      </c>
      <c r="Q1362" s="20" t="str">
        <f>IF($B1362="","",IF($K1362&lt;&gt;"Complete","Assessment pending",IF($N1362=0,"Ready now",VLOOKUP($P1362,Lists!$D$2:$E$5,2,FALSE))))</f>
        <v>Assessment pending</v>
      </c>
    </row>
    <row r="1363" ht="15.75" customHeight="1">
      <c r="A1363" s="35" t="s">
        <v>3334</v>
      </c>
      <c r="B1363" s="35" t="s">
        <v>3335</v>
      </c>
      <c r="C1363" s="35" t="s">
        <v>1160</v>
      </c>
      <c r="D1363" s="35" t="s">
        <v>260</v>
      </c>
      <c r="E1363" s="35" t="s">
        <v>1096</v>
      </c>
      <c r="F1363" s="35" t="s">
        <v>1366</v>
      </c>
      <c r="G1363" s="35" t="s">
        <v>1161</v>
      </c>
      <c r="H1363" s="79"/>
      <c r="I1363" s="35"/>
      <c r="M1363" s="20">
        <f>IF($B1363="","",COUNTIFS('Blocker log'!$A:$A,$B1363,'Blocker log'!$G:$G,"&lt;&gt;"))</f>
        <v>0</v>
      </c>
      <c r="N1363" s="20">
        <f>IF($B1363="","",COUNTIFS('Blocker log'!$A:$A,$B1363,'Blocker log'!$G:$G,"Hard blocker"))</f>
        <v>0</v>
      </c>
      <c r="O1363" s="20">
        <f>IF($B1363="","",COUNTIFS('Blocker log'!$A:$A,$B1363,'Blocker log'!$G:$G,"Hard blocker",'Blocker log'!$L:$L,9))</f>
        <v>0</v>
      </c>
      <c r="P1363" s="20">
        <f>IF($B1363="","",MAXIFS('Blocker log'!$L:$L,'Blocker log'!$A:$A,$B1363,'Blocker log'!$G:$G,"Hard blocker"))</f>
        <v>0</v>
      </c>
      <c r="Q1363" s="20" t="str">
        <f>IF($B1363="","",IF($K1363&lt;&gt;"Complete","Assessment pending",IF($N1363=0,"Ready now",VLOOKUP($P1363,Lists!$D$2:$E$5,2,FALSE))))</f>
        <v>Assessment pending</v>
      </c>
    </row>
    <row r="1364" ht="15.75" customHeight="1">
      <c r="A1364" s="35" t="s">
        <v>3336</v>
      </c>
      <c r="B1364" s="35" t="s">
        <v>3337</v>
      </c>
      <c r="C1364" s="35"/>
      <c r="D1364" s="35" t="s">
        <v>171</v>
      </c>
      <c r="E1364" s="35" t="s">
        <v>172</v>
      </c>
      <c r="F1364" s="35" t="s">
        <v>1437</v>
      </c>
      <c r="G1364" s="35" t="s">
        <v>1161</v>
      </c>
      <c r="H1364" s="79"/>
      <c r="I1364" s="35"/>
      <c r="M1364" s="20">
        <f>IF($B1364="","",COUNTIFS('Blocker log'!$A:$A,$B1364,'Blocker log'!$G:$G,"&lt;&gt;"))</f>
        <v>0</v>
      </c>
      <c r="N1364" s="20">
        <f>IF($B1364="","",COUNTIFS('Blocker log'!$A:$A,$B1364,'Blocker log'!$G:$G,"Hard blocker"))</f>
        <v>0</v>
      </c>
      <c r="O1364" s="20">
        <f>IF($B1364="","",COUNTIFS('Blocker log'!$A:$A,$B1364,'Blocker log'!$G:$G,"Hard blocker",'Blocker log'!$L:$L,9))</f>
        <v>0</v>
      </c>
      <c r="P1364" s="20">
        <f>IF($B1364="","",MAXIFS('Blocker log'!$L:$L,'Blocker log'!$A:$A,$B1364,'Blocker log'!$G:$G,"Hard blocker"))</f>
        <v>0</v>
      </c>
      <c r="Q1364" s="20" t="str">
        <f>IF($B1364="","",IF($K1364&lt;&gt;"Complete","Assessment pending",IF($N1364=0,"Ready now",VLOOKUP($P1364,Lists!$D$2:$E$5,2,FALSE))))</f>
        <v>Assessment pending</v>
      </c>
    </row>
    <row r="1365" ht="15.75" customHeight="1">
      <c r="A1365" s="35" t="s">
        <v>3338</v>
      </c>
      <c r="B1365" s="35" t="s">
        <v>3339</v>
      </c>
      <c r="C1365" s="35" t="s">
        <v>1160</v>
      </c>
      <c r="D1365" s="35" t="s">
        <v>260</v>
      </c>
      <c r="E1365" s="35" t="s">
        <v>576</v>
      </c>
      <c r="F1365" s="35" t="s">
        <v>1965</v>
      </c>
      <c r="G1365" s="35" t="s">
        <v>1161</v>
      </c>
      <c r="H1365" s="79"/>
      <c r="I1365" s="35"/>
      <c r="M1365" s="20">
        <f>IF($B1365="","",COUNTIFS('Blocker log'!$A:$A,$B1365,'Blocker log'!$G:$G,"&lt;&gt;"))</f>
        <v>0</v>
      </c>
      <c r="N1365" s="20">
        <f>IF($B1365="","",COUNTIFS('Blocker log'!$A:$A,$B1365,'Blocker log'!$G:$G,"Hard blocker"))</f>
        <v>0</v>
      </c>
      <c r="O1365" s="20">
        <f>IF($B1365="","",COUNTIFS('Blocker log'!$A:$A,$B1365,'Blocker log'!$G:$G,"Hard blocker",'Blocker log'!$L:$L,9))</f>
        <v>0</v>
      </c>
      <c r="P1365" s="20">
        <f>IF($B1365="","",MAXIFS('Blocker log'!$L:$L,'Blocker log'!$A:$A,$B1365,'Blocker log'!$G:$G,"Hard blocker"))</f>
        <v>0</v>
      </c>
      <c r="Q1365" s="20" t="str">
        <f>IF($B1365="","",IF($K1365&lt;&gt;"Complete","Assessment pending",IF($N1365=0,"Ready now",VLOOKUP($P1365,Lists!$D$2:$E$5,2,FALSE))))</f>
        <v>Assessment pending</v>
      </c>
    </row>
    <row r="1366" ht="15.75" customHeight="1">
      <c r="A1366" s="35" t="s">
        <v>3340</v>
      </c>
      <c r="B1366" s="35" t="s">
        <v>3341</v>
      </c>
      <c r="C1366" s="35" t="s">
        <v>76</v>
      </c>
      <c r="D1366" s="35" t="s">
        <v>260</v>
      </c>
      <c r="E1366" s="35" t="s">
        <v>576</v>
      </c>
      <c r="F1366" s="35" t="s">
        <v>1965</v>
      </c>
      <c r="G1366" s="35" t="s">
        <v>999</v>
      </c>
      <c r="H1366" s="79"/>
      <c r="I1366" s="35"/>
      <c r="M1366" s="20">
        <f>IF($B1366="","",COUNTIFS('Blocker log'!$A:$A,$B1366,'Blocker log'!$G:$G,"&lt;&gt;"))</f>
        <v>0</v>
      </c>
      <c r="N1366" s="20">
        <f>IF($B1366="","",COUNTIFS('Blocker log'!$A:$A,$B1366,'Blocker log'!$G:$G,"Hard blocker"))</f>
        <v>0</v>
      </c>
      <c r="O1366" s="20">
        <f>IF($B1366="","",COUNTIFS('Blocker log'!$A:$A,$B1366,'Blocker log'!$G:$G,"Hard blocker",'Blocker log'!$L:$L,9))</f>
        <v>0</v>
      </c>
      <c r="P1366" s="20">
        <f>IF($B1366="","",MAXIFS('Blocker log'!$L:$L,'Blocker log'!$A:$A,$B1366,'Blocker log'!$G:$G,"Hard blocker"))</f>
        <v>0</v>
      </c>
      <c r="Q1366" s="20" t="str">
        <f>IF($B1366="","",IF($K1366&lt;&gt;"Complete","Assessment pending",IF($N1366=0,"Ready now",VLOOKUP($P1366,Lists!$D$2:$E$5,2,FALSE))))</f>
        <v>Assessment pending</v>
      </c>
    </row>
    <row r="1367" ht="15.75" customHeight="1">
      <c r="A1367" s="35" t="s">
        <v>3342</v>
      </c>
      <c r="B1367" s="35" t="s">
        <v>3343</v>
      </c>
      <c r="C1367" s="35" t="s">
        <v>1286</v>
      </c>
      <c r="D1367" s="35" t="s">
        <v>260</v>
      </c>
      <c r="E1367" s="35" t="s">
        <v>576</v>
      </c>
      <c r="F1367" s="35" t="s">
        <v>1965</v>
      </c>
      <c r="G1367" s="35" t="s">
        <v>1161</v>
      </c>
      <c r="H1367" s="79"/>
      <c r="I1367" s="35"/>
      <c r="M1367" s="20">
        <f>IF($B1367="","",COUNTIFS('Blocker log'!$A:$A,$B1367,'Blocker log'!$G:$G,"&lt;&gt;"))</f>
        <v>0</v>
      </c>
      <c r="N1367" s="20">
        <f>IF($B1367="","",COUNTIFS('Blocker log'!$A:$A,$B1367,'Blocker log'!$G:$G,"Hard blocker"))</f>
        <v>0</v>
      </c>
      <c r="O1367" s="20">
        <f>IF($B1367="","",COUNTIFS('Blocker log'!$A:$A,$B1367,'Blocker log'!$G:$G,"Hard blocker",'Blocker log'!$L:$L,9))</f>
        <v>0</v>
      </c>
      <c r="P1367" s="20">
        <f>IF($B1367="","",MAXIFS('Blocker log'!$L:$L,'Blocker log'!$A:$A,$B1367,'Blocker log'!$G:$G,"Hard blocker"))</f>
        <v>0</v>
      </c>
      <c r="Q1367" s="20" t="str">
        <f>IF($B1367="","",IF($K1367&lt;&gt;"Complete","Assessment pending",IF($N1367=0,"Ready now",VLOOKUP($P1367,Lists!$D$2:$E$5,2,FALSE))))</f>
        <v>Assessment pending</v>
      </c>
    </row>
    <row r="1368" ht="15.75" customHeight="1">
      <c r="A1368" s="35" t="s">
        <v>3344</v>
      </c>
      <c r="B1368" s="35" t="s">
        <v>3345</v>
      </c>
      <c r="C1368" s="35" t="s">
        <v>1286</v>
      </c>
      <c r="D1368" s="35" t="s">
        <v>58</v>
      </c>
      <c r="E1368" s="35" t="s">
        <v>494</v>
      </c>
      <c r="F1368" s="35" t="s">
        <v>629</v>
      </c>
      <c r="G1368" s="35" t="s">
        <v>1161</v>
      </c>
      <c r="H1368" s="79"/>
      <c r="I1368" s="35" t="s">
        <v>425</v>
      </c>
      <c r="M1368" s="20">
        <f>IF($B1368="","",COUNTIFS('Blocker log'!$A:$A,$B1368,'Blocker log'!$G:$G,"&lt;&gt;"))</f>
        <v>0</v>
      </c>
      <c r="N1368" s="20">
        <f>IF($B1368="","",COUNTIFS('Blocker log'!$A:$A,$B1368,'Blocker log'!$G:$G,"Hard blocker"))</f>
        <v>0</v>
      </c>
      <c r="O1368" s="20">
        <f>IF($B1368="","",COUNTIFS('Blocker log'!$A:$A,$B1368,'Blocker log'!$G:$G,"Hard blocker",'Blocker log'!$L:$L,9))</f>
        <v>0</v>
      </c>
      <c r="P1368" s="20">
        <f>IF($B1368="","",MAXIFS('Blocker log'!$L:$L,'Blocker log'!$A:$A,$B1368,'Blocker log'!$G:$G,"Hard blocker"))</f>
        <v>0</v>
      </c>
      <c r="Q1368" s="20" t="str">
        <f>IF($B1368="","",IF($K1368&lt;&gt;"Complete","Assessment pending",IF($N1368=0,"Ready now",VLOOKUP($P1368,Lists!$D$2:$E$5,2,FALSE))))</f>
        <v>Assessment pending</v>
      </c>
    </row>
  </sheetData>
  <autoFilter ref="$A$1:$AC$1368"/>
  <customSheetViews>
    <customSheetView guid="{C915C2CD-9B94-4561-AA84-AAD643356AF4}" filter="1" showAutoFilter="1">
      <autoFilter ref="$A$1:$U$1368">
        <filterColumn colId="8">
          <filters>
            <filter val="Adam Hamilton"/>
            <filter val="Kiran Kaukuntla"/>
            <filter val="Alan Gomez"/>
            <filter val="Somesh Patil"/>
            <filter val="Miguel Lopez-Henriquez"/>
            <filter val="RD Singh"/>
            <filter val="Sebastian Straube"/>
            <filter val="Luis Ponce"/>
            <filter val="Kashan Naqvi"/>
            <filter val="Pushkar Kakkar"/>
            <filter val="Harold Rodriguez"/>
            <filter val="Chinmoy Roy"/>
            <filter val="Tommy Song"/>
            <filter val="Akihiro Yamamoto"/>
            <filter val="Pranav Jha"/>
            <filter val="Carlos Martins Jr."/>
            <filter val="Zoheb Sarwar"/>
            <filter val="Oluranti Omotayo"/>
            <filter val="Filip Ves"/>
            <filter val="Daniel Reyes"/>
            <filter val="Tetsushi Shimada"/>
            <filter val="Sophie Wang"/>
            <filter val="Madhu Palukuri"/>
            <filter val="Mathieu Dalbes"/>
            <filter val="Chad Cazzato"/>
            <filter val="Gary Ho"/>
            <filter val="Manuel Angel De Miguel Moreno"/>
            <filter val="Tunde Adenugba"/>
            <filter val="Ivani Aviles"/>
            <filter val="Priyank Patel"/>
            <filter val="Yash Boravelli"/>
            <filter val="Akanchha Singh"/>
            <filter val="Kishwar Firdaus"/>
            <filter val="Sriram Choudary Nimmagadda"/>
            <filter val="Sugathri Tumiki"/>
            <filter val="Bella Dosovitsky"/>
            <filter val="Amjad Jabali"/>
            <filter val="Nikhil Ahuja"/>
            <filter val="Stefan Mandl"/>
            <filter val="Akeim Findlay"/>
            <filter val="Akira Uenoyama"/>
            <filter val="Tomi Fajulugbe"/>
            <filter val="Prateek Pawar"/>
            <filter val="Wikenson Lejulus"/>
            <filter val="Akash Singh"/>
            <filter val="Dele Adewumi"/>
            <filter val="Nik Perez"/>
            <filter val="Ayesha Yege"/>
            <filter val="Andrew Curran"/>
            <filter val="Mike Labadie"/>
            <filter val="Shijin Varghese"/>
            <filter val="Jonathan Brox"/>
            <filter val="Mikhail Bakhmetiev"/>
            <filter val="Manish Kabra"/>
            <filter val="Terrell Carter"/>
            <filter val="Joel Jean-Claude"/>
            <filter val="omoniyi Jabaru"/>
            <filter val="Sveta Poluektova"/>
            <filter val="Simeon Finch"/>
            <filter val="Akintayo Akinbade"/>
            <filter val="Meral Abu-jaser"/>
          </filters>
        </filterColumn>
      </autoFilter>
    </customSheetView>
  </customSheetViews>
  <conditionalFormatting sqref="Q2:Q1368">
    <cfRule type="expression" dxfId="0" priority="1">
      <formula>$Q2="No date"</formula>
    </cfRule>
  </conditionalFormatting>
  <conditionalFormatting sqref="Q2:Q1368">
    <cfRule type="expression" dxfId="1" priority="2">
      <formula>$Q2="Ready now"</formula>
    </cfRule>
  </conditionalFormatting>
  <hyperlinks>
    <hyperlink r:id="rId1" ref="B883"/>
    <hyperlink r:id="rId2" ref="B1042"/>
    <hyperlink r:id="rId3" ref="B1090"/>
    <hyperlink r:id="rId4" ref="B1232"/>
  </hyperlinks>
  <printOptions/>
  <pageMargins bottom="1.0" footer="0.0" header="0.0" left="0.75" right="0.75" top="1.0"/>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3.71"/>
    <col customWidth="1" min="2" max="2" width="34.0"/>
    <col customWidth="1" min="3" max="3" width="16.0"/>
    <col customWidth="1" min="4" max="5" width="18.0"/>
    <col customWidth="1" min="6" max="6" width="14.0"/>
    <col customWidth="1" min="7" max="7" width="18.0"/>
    <col customWidth="1" min="8" max="8" width="60.29"/>
    <col customWidth="1" min="9" max="9" width="30.0"/>
    <col customWidth="1" min="10" max="11" width="22.0"/>
    <col customWidth="1" min="12" max="12" width="15.86"/>
    <col customWidth="1" min="13" max="13" width="15.71"/>
    <col customWidth="1" min="14" max="14" width="50.43"/>
    <col customWidth="1" min="15" max="15" width="30.0"/>
  </cols>
  <sheetData>
    <row r="1" ht="30.0" customHeight="1">
      <c r="A1" s="4" t="s">
        <v>2</v>
      </c>
      <c r="B1" s="9" t="s">
        <v>7</v>
      </c>
      <c r="C1" s="4" t="s">
        <v>13</v>
      </c>
      <c r="D1" s="4" t="s">
        <v>15</v>
      </c>
      <c r="E1" s="4" t="s">
        <v>16</v>
      </c>
      <c r="F1" s="4" t="s">
        <v>17</v>
      </c>
      <c r="G1" s="4" t="s">
        <v>18</v>
      </c>
      <c r="H1" s="4" t="s">
        <v>20</v>
      </c>
      <c r="I1" s="4" t="s">
        <v>21</v>
      </c>
      <c r="J1" s="4" t="s">
        <v>23</v>
      </c>
      <c r="K1" s="4" t="s">
        <v>25</v>
      </c>
      <c r="L1" s="4" t="s">
        <v>27</v>
      </c>
      <c r="M1" s="4" t="s">
        <v>29</v>
      </c>
      <c r="N1" s="4" t="s">
        <v>31</v>
      </c>
      <c r="O1" s="4" t="s">
        <v>33</v>
      </c>
    </row>
    <row r="2">
      <c r="A2" s="12" t="s">
        <v>36</v>
      </c>
      <c r="B2" s="12" t="s">
        <v>43</v>
      </c>
      <c r="C2" s="26" t="str">
        <f t="array" ref="C2">IF($B2="","",INDEX('Gap reference'!$C$2:$C$60,MATCH($B2,'Gap reference'!$A$2:$A$60,0)))</f>
        <v>#N/A</v>
      </c>
      <c r="D2" s="26" t="str">
        <f t="array" ref="D2">IF($B2="","",INDEX('Gap reference'!$D$2:$D$60,MATCH($B2,'Gap reference'!$A$2:$A$60,0)))</f>
        <v>#N/A</v>
      </c>
      <c r="E2" s="26" t="str">
        <f t="array" ref="E2">IF($B2="","",INDEX('Gap reference'!$G$2:$G$60,MATCH($B2,'Gap reference'!$A$2:$A$60,0)))</f>
        <v>#N/A</v>
      </c>
      <c r="F2" s="27" t="s">
        <v>109</v>
      </c>
      <c r="G2" s="27" t="s">
        <v>111</v>
      </c>
      <c r="H2" s="27" t="s">
        <v>112</v>
      </c>
      <c r="I2" s="27"/>
      <c r="J2" s="27" t="s">
        <v>113</v>
      </c>
      <c r="K2" s="27"/>
      <c r="L2" s="26" t="str">
        <f>IF($B2="","",VLOOKUP($C2,Lists!$A$2:$B$10,2,FALSE))</f>
        <v>#N/A</v>
      </c>
      <c r="M2" s="26" t="str">
        <f t="shared" ref="M2:M5" si="1">IF(AND($G2="Hard blocker",$L2=9),"Yes","")</f>
        <v>#N/A</v>
      </c>
      <c r="N2" s="28">
        <v>46303.0</v>
      </c>
      <c r="O2" s="27"/>
    </row>
    <row r="3">
      <c r="A3" s="12" t="s">
        <v>36</v>
      </c>
      <c r="B3" s="27" t="s">
        <v>126</v>
      </c>
      <c r="C3" s="26" t="str">
        <f t="array" ref="C3">IF($B3="","",INDEX('Gap reference'!$C$2:$C$60,MATCH($B3,'Gap reference'!$A$2:$A$60,0)))</f>
        <v>Oct 2026 to Jan 2027</v>
      </c>
      <c r="D3" s="26" t="str">
        <f t="array" ref="D3">IF($B3="","",INDEX('Gap reference'!$D$2:$D$60,MATCH($B3,'Gap reference'!$A$2:$A$60,0)))</f>
        <v>Major blocker</v>
      </c>
      <c r="E3" s="26" t="str">
        <f t="array" ref="E3">IF($B3="","",INDEX('Gap reference'!$G$2:$G$60,MATCH($B3,'Gap reference'!$A$2:$A$60,0)))</f>
        <v>Ashwin Manekar</v>
      </c>
      <c r="F3" s="27" t="s">
        <v>109</v>
      </c>
      <c r="G3" s="27" t="s">
        <v>148</v>
      </c>
      <c r="H3" s="27" t="s">
        <v>149</v>
      </c>
      <c r="I3" s="27" t="s">
        <v>150</v>
      </c>
      <c r="J3" s="27" t="s">
        <v>113</v>
      </c>
      <c r="K3" s="27"/>
      <c r="L3" s="26">
        <f>IF($B3="","",VLOOKUP($C3,Lists!$A$2:$B$10,2,FALSE))</f>
        <v>2</v>
      </c>
      <c r="M3" s="26" t="str">
        <f t="shared" si="1"/>
        <v/>
      </c>
      <c r="N3" s="28">
        <v>46303.0</v>
      </c>
      <c r="O3" s="27"/>
    </row>
    <row r="4">
      <c r="A4" s="12" t="s">
        <v>36</v>
      </c>
      <c r="B4" s="27" t="s">
        <v>155</v>
      </c>
      <c r="C4" s="26" t="str">
        <f t="array" ref="C4">IF($B4="","",INDEX('Gap reference'!$C$2:$C$60,MATCH($B4,'Gap reference'!$A$2:$A$60,0)))</f>
        <v>Jan 2027</v>
      </c>
      <c r="D4" s="26" t="str">
        <f t="array" ref="D4">IF($B4="","",INDEX('Gap reference'!$D$2:$D$60,MATCH($B4,'Gap reference'!$A$2:$A$60,0)))</f>
        <v>Validate in discovery</v>
      </c>
      <c r="E4" s="26" t="str">
        <f t="array" ref="E4">IF($B4="","",INDEX('Gap reference'!$G$2:$G$60,MATCH($B4,'Gap reference'!$A$2:$A$60,0)))</f>
        <v>Elad Shuster</v>
      </c>
      <c r="F4" s="27" t="s">
        <v>109</v>
      </c>
      <c r="G4" s="27" t="s">
        <v>191</v>
      </c>
      <c r="H4" s="27" t="s">
        <v>192</v>
      </c>
      <c r="I4" s="27"/>
      <c r="J4" s="27" t="s">
        <v>193</v>
      </c>
      <c r="K4" s="27"/>
      <c r="L4" s="26">
        <f>IF($B4="","",VLOOKUP($C4,Lists!$A$2:$B$10,2,FALSE))</f>
        <v>2</v>
      </c>
      <c r="M4" s="26" t="str">
        <f t="shared" si="1"/>
        <v/>
      </c>
      <c r="N4" s="28">
        <v>46303.0</v>
      </c>
      <c r="O4" s="27"/>
    </row>
    <row r="5">
      <c r="A5" s="30" t="s">
        <v>197</v>
      </c>
      <c r="B5" s="31" t="s">
        <v>126</v>
      </c>
      <c r="C5" s="26" t="str">
        <f t="array" ref="C5">IF($B5="","",INDEX('Gap reference'!$C$2:$C$60,MATCH($B5,'Gap reference'!$A$2:$A$60,0)))</f>
        <v>Oct 2026 to Jan 2027</v>
      </c>
      <c r="D5" s="26" t="str">
        <f t="array" ref="D5">IF($B5="","",INDEX('Gap reference'!$D$2:$D$60,MATCH($B5,'Gap reference'!$A$2:$A$60,0)))</f>
        <v>Major blocker</v>
      </c>
      <c r="E5" s="26" t="str">
        <f t="array" ref="E5">IF($B5="","",INDEX('Gap reference'!$G$2:$G$60,MATCH($B5,'Gap reference'!$A$2:$A$60,0)))</f>
        <v>Ashwin Manekar</v>
      </c>
      <c r="F5" s="31" t="s">
        <v>109</v>
      </c>
      <c r="G5" s="31" t="s">
        <v>148</v>
      </c>
      <c r="H5" s="31" t="s">
        <v>219</v>
      </c>
      <c r="I5" s="31" t="s">
        <v>220</v>
      </c>
      <c r="J5" s="31" t="s">
        <v>113</v>
      </c>
      <c r="K5" s="32"/>
      <c r="L5" s="26">
        <f>IF($B5="","",VLOOKUP($C5,Lists!$A$2:$B$10,2,FALSE))</f>
        <v>2</v>
      </c>
      <c r="M5" s="26" t="str">
        <f t="shared" si="1"/>
        <v/>
      </c>
      <c r="N5" s="33">
        <v>46317.0</v>
      </c>
      <c r="O5" s="34" t="s">
        <v>226</v>
      </c>
      <c r="P5" s="35"/>
      <c r="Q5" s="35"/>
      <c r="R5" s="35"/>
      <c r="S5" s="35"/>
      <c r="T5" s="35"/>
      <c r="U5" s="35"/>
      <c r="V5" s="35"/>
      <c r="W5" s="35"/>
      <c r="X5" s="35"/>
      <c r="Y5" s="35"/>
      <c r="Z5" s="35"/>
    </row>
    <row r="6">
      <c r="A6" s="30" t="s">
        <v>197</v>
      </c>
      <c r="B6" s="31" t="s">
        <v>227</v>
      </c>
      <c r="C6" s="26" t="str">
        <f t="array" ref="C6">IF($B6="","",INDEX('Gap reference'!$C$2:$C$60,MATCH($B6,'Gap reference'!$A$2:$A$60,0)))</f>
        <v>Jan 2027</v>
      </c>
      <c r="D6" s="26" t="str">
        <f t="array" ref="D6">IF($B6="","",INDEX('Gap reference'!$D$2:$D$60,MATCH($B6,'Gap reference'!$A$2:$A$60,0)))</f>
        <v>Major blocker</v>
      </c>
      <c r="E6" s="26" t="str">
        <f t="array" ref="E6">IF($B6="","",INDEX('Gap reference'!$G$2:$G$60,MATCH($B6,'Gap reference'!$A$2:$A$60,0)))</f>
        <v>Ashwin Manekar</v>
      </c>
      <c r="F6" s="31" t="s">
        <v>242</v>
      </c>
      <c r="G6" s="31" t="s">
        <v>111</v>
      </c>
      <c r="H6" s="31" t="s">
        <v>243</v>
      </c>
      <c r="I6" s="32"/>
      <c r="J6" s="31" t="s">
        <v>242</v>
      </c>
      <c r="K6" s="32"/>
      <c r="L6" s="26">
        <f>IF($B6="","",VLOOKUP($C6,Lists!$A$2:$B$10,2,FALSE))</f>
        <v>2</v>
      </c>
      <c r="M6" s="26"/>
      <c r="N6" s="33">
        <v>46314.0</v>
      </c>
      <c r="O6" s="36" t="s">
        <v>251</v>
      </c>
      <c r="P6" s="35"/>
      <c r="Q6" s="35"/>
      <c r="R6" s="35"/>
      <c r="S6" s="35"/>
      <c r="T6" s="35"/>
      <c r="U6" s="35"/>
      <c r="V6" s="35"/>
      <c r="W6" s="35"/>
      <c r="X6" s="35"/>
      <c r="Y6" s="35"/>
      <c r="Z6" s="35"/>
    </row>
    <row r="7">
      <c r="A7" s="30" t="s">
        <v>197</v>
      </c>
      <c r="B7" s="31" t="s">
        <v>252</v>
      </c>
      <c r="C7" s="26" t="str">
        <f t="array" ref="C7">IF($B7="","",INDEX('Gap reference'!$C$2:$C$60,MATCH($B7,'Gap reference'!$A$2:$A$60,0)))</f>
        <v>H1 CY2027 (Internal)</v>
      </c>
      <c r="D7" s="26" t="str">
        <f t="array" ref="D7">IF($B7="","",INDEX('Gap reference'!$D$2:$D$60,MATCH($B7,'Gap reference'!$A$2:$A$60,0)))</f>
        <v>Major blocker</v>
      </c>
      <c r="E7" s="26" t="str">
        <f t="array" ref="E7">IF($B7="","",INDEX('Gap reference'!$G$2:$G$60,MATCH($B7,'Gap reference'!$A$2:$A$60,0)))</f>
        <v>Guy Liberman</v>
      </c>
      <c r="F7" s="31" t="s">
        <v>109</v>
      </c>
      <c r="G7" s="30" t="s">
        <v>274</v>
      </c>
      <c r="H7" s="31" t="s">
        <v>275</v>
      </c>
      <c r="I7" s="32"/>
      <c r="J7" s="32"/>
      <c r="K7" s="32"/>
      <c r="L7" s="26" t="str">
        <f>IF($B7="","",VLOOKUP($C7,Lists!$A$2:$B$10,2,FALSE))</f>
        <v>#N/A</v>
      </c>
      <c r="M7" s="26"/>
      <c r="N7" s="32"/>
      <c r="O7" s="36" t="s">
        <v>281</v>
      </c>
      <c r="P7" s="35"/>
      <c r="Q7" s="35"/>
      <c r="R7" s="35"/>
      <c r="S7" s="35"/>
      <c r="T7" s="35"/>
      <c r="U7" s="35"/>
      <c r="V7" s="35"/>
      <c r="W7" s="35"/>
      <c r="X7" s="35"/>
      <c r="Y7" s="35"/>
      <c r="Z7" s="35"/>
    </row>
    <row r="8">
      <c r="A8" s="30" t="s">
        <v>197</v>
      </c>
      <c r="B8" s="31" t="s">
        <v>151</v>
      </c>
      <c r="C8" s="26" t="str">
        <f t="array" ref="C8">IF($B8="","",INDEX('Gap reference'!$C$2:$C$60,MATCH($B8,'Gap reference'!$A$2:$A$60,0)))</f>
        <v>Oct 2026</v>
      </c>
      <c r="D8" s="26" t="str">
        <f t="array" ref="D8">IF($B8="","",INDEX('Gap reference'!$D$2:$D$60,MATCH($B8,'Gap reference'!$A$2:$A$60,0)))</f>
        <v>Major blocker</v>
      </c>
      <c r="E8" s="26" t="str">
        <f t="array" ref="E8">IF($B8="","",INDEX('Gap reference'!$G$2:$G$60,MATCH($B8,'Gap reference'!$A$2:$A$60,0)))</f>
        <v>Ashwin Manekar</v>
      </c>
      <c r="F8" s="31" t="s">
        <v>242</v>
      </c>
      <c r="G8" s="30" t="s">
        <v>274</v>
      </c>
      <c r="H8" s="31" t="s">
        <v>319</v>
      </c>
      <c r="I8" s="31" t="s">
        <v>320</v>
      </c>
      <c r="J8" s="31" t="s">
        <v>242</v>
      </c>
      <c r="K8" s="32"/>
      <c r="L8" s="26">
        <f>IF($B8="","",VLOOKUP($C8,Lists!$A$2:$B$10,2,FALSE))</f>
        <v>1</v>
      </c>
      <c r="M8" s="26"/>
      <c r="N8" s="32"/>
      <c r="O8" s="38"/>
      <c r="P8" s="35"/>
      <c r="Q8" s="35"/>
      <c r="R8" s="35"/>
      <c r="S8" s="35"/>
      <c r="T8" s="35"/>
      <c r="U8" s="35"/>
      <c r="V8" s="35"/>
      <c r="W8" s="35"/>
      <c r="X8" s="35"/>
      <c r="Y8" s="35"/>
      <c r="Z8" s="35"/>
    </row>
    <row r="9">
      <c r="A9" s="31" t="s">
        <v>197</v>
      </c>
      <c r="B9" s="31" t="s">
        <v>324</v>
      </c>
      <c r="C9" s="26" t="str">
        <f t="array" ref="C9">IF($B9="","",INDEX('Gap reference'!$C$2:$C$60,MATCH($B9,'Gap reference'!$A$2:$A$60,0)))</f>
        <v>#N/A</v>
      </c>
      <c r="D9" s="26" t="str">
        <f t="array" ref="D9">IF($B9="","",INDEX('Gap reference'!$D$2:$D$60,MATCH($B9,'Gap reference'!$A$2:$A$60,0)))</f>
        <v>#N/A</v>
      </c>
      <c r="E9" s="26" t="str">
        <f t="array" ref="E9">IF($B9="","",INDEX('Gap reference'!$G$2:$G$60,MATCH($B9,'Gap reference'!$A$2:$A$60,0)))</f>
        <v>#N/A</v>
      </c>
      <c r="F9" s="31" t="s">
        <v>242</v>
      </c>
      <c r="G9" s="31" t="s">
        <v>111</v>
      </c>
      <c r="H9" s="31" t="s">
        <v>343</v>
      </c>
      <c r="I9" s="32"/>
      <c r="J9" s="31" t="s">
        <v>242</v>
      </c>
      <c r="K9" s="32"/>
      <c r="L9" s="26" t="str">
        <f>IF($B9="","",VLOOKUP($C9,Lists!$A$2:$B$10,2,FALSE))</f>
        <v>#N/A</v>
      </c>
      <c r="M9" s="26"/>
      <c r="N9" s="33">
        <v>46311.0</v>
      </c>
      <c r="O9" s="36" t="s">
        <v>344</v>
      </c>
      <c r="P9" s="35"/>
      <c r="Q9" s="35"/>
      <c r="R9" s="35"/>
      <c r="S9" s="35"/>
      <c r="T9" s="35"/>
      <c r="U9" s="35"/>
      <c r="V9" s="35"/>
      <c r="W9" s="35"/>
      <c r="X9" s="35"/>
      <c r="Y9" s="35"/>
      <c r="Z9" s="35"/>
    </row>
    <row r="10">
      <c r="A10" s="31" t="s">
        <v>197</v>
      </c>
      <c r="B10" s="31" t="s">
        <v>345</v>
      </c>
      <c r="C10" s="26" t="str">
        <f t="array" ref="C10">IF($B10="","",INDEX('Gap reference'!$C$2:$C$60,MATCH($B10,'Gap reference'!$A$2:$A$60,0)))</f>
        <v>#N/A</v>
      </c>
      <c r="D10" s="26" t="str">
        <f t="array" ref="D10">IF($B10="","",INDEX('Gap reference'!$D$2:$D$60,MATCH($B10,'Gap reference'!$A$2:$A$60,0)))</f>
        <v>#N/A</v>
      </c>
      <c r="E10" s="26" t="str">
        <f t="array" ref="E10">IF($B10="","",INDEX('Gap reference'!$G$2:$G$60,MATCH($B10,'Gap reference'!$A$2:$A$60,0)))</f>
        <v>#N/A</v>
      </c>
      <c r="F10" s="31" t="s">
        <v>242</v>
      </c>
      <c r="G10" s="31" t="s">
        <v>111</v>
      </c>
      <c r="H10" s="31" t="s">
        <v>371</v>
      </c>
      <c r="I10" s="32"/>
      <c r="J10" s="31" t="s">
        <v>242</v>
      </c>
      <c r="K10" s="32"/>
      <c r="L10" s="26" t="str">
        <f>IF($B10="","",VLOOKUP($C10,Lists!$A$2:$B$10,2,FALSE))</f>
        <v>#N/A</v>
      </c>
      <c r="M10" s="26"/>
      <c r="N10" s="33">
        <v>46267.0</v>
      </c>
      <c r="O10" s="36" t="s">
        <v>374</v>
      </c>
      <c r="P10" s="35"/>
      <c r="Q10" s="35"/>
      <c r="R10" s="35"/>
      <c r="S10" s="35"/>
      <c r="T10" s="35"/>
      <c r="U10" s="35"/>
      <c r="V10" s="35"/>
      <c r="W10" s="35"/>
      <c r="X10" s="35"/>
      <c r="Y10" s="35"/>
      <c r="Z10" s="35"/>
    </row>
    <row r="11">
      <c r="A11" s="31" t="s">
        <v>197</v>
      </c>
      <c r="B11" s="31" t="s">
        <v>375</v>
      </c>
      <c r="C11" s="26" t="str">
        <f t="array" ref="C11">IF($B11="","",INDEX('Gap reference'!$C$2:$C$60,MATCH($B11,'Gap reference'!$A$2:$A$60,0)))</f>
        <v>#N/A</v>
      </c>
      <c r="D11" s="26" t="str">
        <f t="array" ref="D11">IF($B11="","",INDEX('Gap reference'!$D$2:$D$60,MATCH($B11,'Gap reference'!$A$2:$A$60,0)))</f>
        <v>#N/A</v>
      </c>
      <c r="E11" s="26" t="str">
        <f t="array" ref="E11">IF($B11="","",INDEX('Gap reference'!$G$2:$G$60,MATCH($B11,'Gap reference'!$A$2:$A$60,0)))</f>
        <v>#N/A</v>
      </c>
      <c r="F11" s="31" t="s">
        <v>242</v>
      </c>
      <c r="G11" s="31" t="s">
        <v>148</v>
      </c>
      <c r="H11" s="31" t="s">
        <v>456</v>
      </c>
      <c r="I11" s="31" t="s">
        <v>458</v>
      </c>
      <c r="J11" s="31" t="s">
        <v>242</v>
      </c>
      <c r="K11" s="32"/>
      <c r="L11" s="26" t="str">
        <f>IF($B11="","",VLOOKUP($C11,Lists!$A$2:$B$10,2,FALSE))</f>
        <v>#N/A</v>
      </c>
      <c r="M11" s="26"/>
      <c r="N11" s="33">
        <v>46315.0</v>
      </c>
      <c r="O11" s="38"/>
      <c r="P11" s="35"/>
      <c r="Q11" s="35"/>
      <c r="R11" s="35"/>
      <c r="S11" s="35"/>
      <c r="T11" s="35"/>
      <c r="U11" s="35"/>
      <c r="V11" s="35"/>
      <c r="W11" s="35"/>
      <c r="X11" s="35"/>
      <c r="Y11" s="35"/>
      <c r="Z11" s="35"/>
    </row>
    <row r="12">
      <c r="A12" s="31" t="s">
        <v>197</v>
      </c>
      <c r="B12" s="31" t="s">
        <v>462</v>
      </c>
      <c r="C12" s="26" t="str">
        <f t="array" ref="C12">IF($B12="","",INDEX('Gap reference'!$C$2:$C$60,MATCH($B12,'Gap reference'!$A$2:$A$60,0)))</f>
        <v>#N/A</v>
      </c>
      <c r="D12" s="26" t="str">
        <f t="array" ref="D12">IF($B12="","",INDEX('Gap reference'!$D$2:$D$60,MATCH($B12,'Gap reference'!$A$2:$A$60,0)))</f>
        <v>#N/A</v>
      </c>
      <c r="E12" s="26" t="str">
        <f t="array" ref="E12">IF($B12="","",INDEX('Gap reference'!$G$2:$G$60,MATCH($B12,'Gap reference'!$A$2:$A$60,0)))</f>
        <v>#N/A</v>
      </c>
      <c r="F12" s="31" t="s">
        <v>242</v>
      </c>
      <c r="G12" s="31" t="s">
        <v>148</v>
      </c>
      <c r="H12" s="31" t="s">
        <v>473</v>
      </c>
      <c r="I12" s="31" t="s">
        <v>474</v>
      </c>
      <c r="J12" s="31" t="s">
        <v>242</v>
      </c>
      <c r="K12" s="32"/>
      <c r="L12" s="26" t="str">
        <f>IF($B12="","",VLOOKUP($C12,Lists!$A$2:$B$10,2,FALSE))</f>
        <v>#N/A</v>
      </c>
      <c r="M12" s="26"/>
      <c r="N12" s="33">
        <v>46311.0</v>
      </c>
      <c r="O12" s="36" t="s">
        <v>480</v>
      </c>
      <c r="P12" s="35"/>
      <c r="Q12" s="35"/>
      <c r="R12" s="35"/>
      <c r="S12" s="35"/>
      <c r="T12" s="35"/>
      <c r="U12" s="35"/>
      <c r="V12" s="35"/>
      <c r="W12" s="35"/>
      <c r="X12" s="35"/>
      <c r="Y12" s="35"/>
      <c r="Z12" s="35"/>
    </row>
    <row r="13">
      <c r="A13" s="31" t="s">
        <v>197</v>
      </c>
      <c r="B13" s="31" t="s">
        <v>481</v>
      </c>
      <c r="C13" s="26" t="str">
        <f t="array" ref="C13">IF($B13="","",INDEX('Gap reference'!$C$2:$C$60,MATCH($B13,'Gap reference'!$A$2:$A$60,0)))</f>
        <v>#N/A</v>
      </c>
      <c r="D13" s="26" t="str">
        <f t="array" ref="D13">IF($B13="","",INDEX('Gap reference'!$D$2:$D$60,MATCH($B13,'Gap reference'!$A$2:$A$60,0)))</f>
        <v>#N/A</v>
      </c>
      <c r="E13" s="26" t="str">
        <f t="array" ref="E13">IF($B13="","",INDEX('Gap reference'!$G$2:$G$60,MATCH($B13,'Gap reference'!$A$2:$A$60,0)))</f>
        <v>#N/A</v>
      </c>
      <c r="F13" s="31" t="s">
        <v>242</v>
      </c>
      <c r="G13" s="30" t="s">
        <v>274</v>
      </c>
      <c r="H13" s="31" t="s">
        <v>491</v>
      </c>
      <c r="I13" s="32"/>
      <c r="J13" s="31" t="s">
        <v>242</v>
      </c>
      <c r="K13" s="32"/>
      <c r="L13" s="26" t="str">
        <f>IF($B13="","",VLOOKUP($C13,Lists!$A$2:$B$10,2,FALSE))</f>
        <v>#N/A</v>
      </c>
      <c r="M13" s="26"/>
      <c r="N13" s="32"/>
      <c r="O13" s="36" t="s">
        <v>497</v>
      </c>
      <c r="P13" s="35"/>
      <c r="Q13" s="35"/>
      <c r="R13" s="35"/>
      <c r="S13" s="35"/>
      <c r="T13" s="35"/>
      <c r="U13" s="35"/>
      <c r="V13" s="35"/>
      <c r="W13" s="35"/>
      <c r="X13" s="35"/>
      <c r="Y13" s="35"/>
      <c r="Z13" s="35"/>
    </row>
    <row r="14">
      <c r="A14" s="31" t="s">
        <v>197</v>
      </c>
      <c r="B14" s="31" t="s">
        <v>499</v>
      </c>
      <c r="C14" s="26" t="str">
        <f t="array" ref="C14">IF($B14="","",INDEX('Gap reference'!$C$2:$C$60,MATCH($B14,'Gap reference'!$A$2:$A$60,0)))</f>
        <v>#N/A</v>
      </c>
      <c r="D14" s="26" t="str">
        <f t="array" ref="D14">IF($B14="","",INDEX('Gap reference'!$D$2:$D$60,MATCH($B14,'Gap reference'!$A$2:$A$60,0)))</f>
        <v>#N/A</v>
      </c>
      <c r="E14" s="26" t="str">
        <f t="array" ref="E14">IF($B14="","",INDEX('Gap reference'!$G$2:$G$60,MATCH($B14,'Gap reference'!$A$2:$A$60,0)))</f>
        <v>#N/A</v>
      </c>
      <c r="F14" s="31" t="s">
        <v>242</v>
      </c>
      <c r="G14" s="30" t="s">
        <v>274</v>
      </c>
      <c r="H14" s="31" t="s">
        <v>514</v>
      </c>
      <c r="I14" s="31" t="s">
        <v>517</v>
      </c>
      <c r="J14" s="31" t="s">
        <v>242</v>
      </c>
      <c r="K14" s="32"/>
      <c r="L14" s="26" t="str">
        <f>IF($B14="","",VLOOKUP($C14,Lists!$A$2:$B$10,2,FALSE))</f>
        <v>#N/A</v>
      </c>
      <c r="M14" s="26"/>
      <c r="N14" s="32"/>
      <c r="O14" s="36" t="s">
        <v>520</v>
      </c>
      <c r="P14" s="35"/>
      <c r="Q14" s="35"/>
      <c r="R14" s="35"/>
      <c r="S14" s="35"/>
      <c r="T14" s="35"/>
      <c r="U14" s="35"/>
      <c r="V14" s="35"/>
      <c r="W14" s="35"/>
      <c r="X14" s="35"/>
      <c r="Y14" s="35"/>
      <c r="Z14" s="35"/>
    </row>
    <row r="15">
      <c r="A15" s="31" t="s">
        <v>197</v>
      </c>
      <c r="B15" s="31" t="s">
        <v>521</v>
      </c>
      <c r="C15" s="26" t="str">
        <f t="array" ref="C15">IF($B15="","",INDEX('Gap reference'!$C$2:$C$60,MATCH($B15,'Gap reference'!$A$2:$A$60,0)))</f>
        <v>#N/A</v>
      </c>
      <c r="D15" s="26" t="str">
        <f t="array" ref="D15">IF($B15="","",INDEX('Gap reference'!$D$2:$D$60,MATCH($B15,'Gap reference'!$A$2:$A$60,0)))</f>
        <v>#N/A</v>
      </c>
      <c r="E15" s="26" t="str">
        <f t="array" ref="E15">IF($B15="","",INDEX('Gap reference'!$G$2:$G$60,MATCH($B15,'Gap reference'!$A$2:$A$60,0)))</f>
        <v>#N/A</v>
      </c>
      <c r="F15" s="31" t="s">
        <v>242</v>
      </c>
      <c r="G15" s="30" t="s">
        <v>274</v>
      </c>
      <c r="H15" s="31" t="s">
        <v>538</v>
      </c>
      <c r="I15" s="32"/>
      <c r="J15" s="31" t="s">
        <v>242</v>
      </c>
      <c r="K15" s="32"/>
      <c r="L15" s="26" t="str">
        <f>IF($B15="","",VLOOKUP($C15,Lists!$A$2:$B$10,2,FALSE))</f>
        <v>#N/A</v>
      </c>
      <c r="M15" s="26"/>
      <c r="N15" s="32"/>
      <c r="O15" s="38"/>
      <c r="P15" s="35"/>
      <c r="Q15" s="35"/>
      <c r="R15" s="35"/>
      <c r="S15" s="35"/>
      <c r="T15" s="35"/>
      <c r="U15" s="35"/>
      <c r="V15" s="35"/>
      <c r="W15" s="35"/>
      <c r="X15" s="35"/>
      <c r="Y15" s="35"/>
      <c r="Z15" s="35"/>
    </row>
    <row r="16">
      <c r="A16" s="31" t="s">
        <v>197</v>
      </c>
      <c r="B16" s="31" t="s">
        <v>539</v>
      </c>
      <c r="C16" s="26" t="str">
        <f t="array" ref="C16">IF($B16="","",INDEX('Gap reference'!$C$2:$C$60,MATCH($B16,'Gap reference'!$A$2:$A$60,0)))</f>
        <v>#N/A</v>
      </c>
      <c r="D16" s="26" t="str">
        <f t="array" ref="D16">IF($B16="","",INDEX('Gap reference'!$D$2:$D$60,MATCH($B16,'Gap reference'!$A$2:$A$60,0)))</f>
        <v>#N/A</v>
      </c>
      <c r="E16" s="26" t="str">
        <f t="array" ref="E16">IF($B16="","",INDEX('Gap reference'!$G$2:$G$60,MATCH($B16,'Gap reference'!$A$2:$A$60,0)))</f>
        <v>#N/A</v>
      </c>
      <c r="F16" s="31" t="s">
        <v>242</v>
      </c>
      <c r="G16" s="30" t="s">
        <v>274</v>
      </c>
      <c r="H16" s="31" t="s">
        <v>560</v>
      </c>
      <c r="I16" s="32"/>
      <c r="J16" s="31" t="s">
        <v>242</v>
      </c>
      <c r="K16" s="32"/>
      <c r="L16" s="26" t="str">
        <f>IF($B16="","",VLOOKUP($C16,Lists!$A$2:$B$10,2,FALSE))</f>
        <v>#N/A</v>
      </c>
      <c r="M16" s="26"/>
      <c r="N16" s="32"/>
      <c r="O16" s="36" t="s">
        <v>561</v>
      </c>
      <c r="P16" s="35"/>
      <c r="Q16" s="35"/>
      <c r="R16" s="35"/>
      <c r="S16" s="35"/>
      <c r="T16" s="35"/>
      <c r="U16" s="35"/>
      <c r="V16" s="35"/>
      <c r="W16" s="35"/>
      <c r="X16" s="35"/>
      <c r="Y16" s="35"/>
      <c r="Z16" s="35"/>
    </row>
    <row r="17">
      <c r="A17" s="31" t="s">
        <v>197</v>
      </c>
      <c r="B17" s="31" t="s">
        <v>562</v>
      </c>
      <c r="C17" s="26" t="str">
        <f t="array" ref="C17">IF($B17="","",INDEX('Gap reference'!$C$2:$C$60,MATCH($B17,'Gap reference'!$A$2:$A$60,0)))</f>
        <v>#N/A</v>
      </c>
      <c r="D17" s="26" t="str">
        <f t="array" ref="D17">IF($B17="","",INDEX('Gap reference'!$D$2:$D$60,MATCH($B17,'Gap reference'!$A$2:$A$60,0)))</f>
        <v>#N/A</v>
      </c>
      <c r="E17" s="26" t="str">
        <f t="array" ref="E17">IF($B17="","",INDEX('Gap reference'!$G$2:$G$60,MATCH($B17,'Gap reference'!$A$2:$A$60,0)))</f>
        <v>#N/A</v>
      </c>
      <c r="F17" s="31" t="s">
        <v>242</v>
      </c>
      <c r="G17" s="30" t="s">
        <v>274</v>
      </c>
      <c r="H17" s="31" t="s">
        <v>580</v>
      </c>
      <c r="I17" s="32"/>
      <c r="J17" s="31" t="s">
        <v>242</v>
      </c>
      <c r="K17" s="32"/>
      <c r="L17" s="26" t="str">
        <f>IF($B17="","",VLOOKUP($C17,Lists!$A$2:$B$10,2,FALSE))</f>
        <v>#N/A</v>
      </c>
      <c r="M17" s="26"/>
      <c r="N17" s="32"/>
      <c r="O17" s="38"/>
      <c r="P17" s="35"/>
      <c r="Q17" s="35"/>
      <c r="R17" s="35"/>
      <c r="S17" s="35"/>
      <c r="T17" s="35"/>
      <c r="U17" s="35"/>
      <c r="V17" s="35"/>
      <c r="W17" s="35"/>
      <c r="X17" s="35"/>
      <c r="Y17" s="35"/>
      <c r="Z17" s="35"/>
    </row>
    <row r="18">
      <c r="A18" s="31" t="s">
        <v>197</v>
      </c>
      <c r="B18" s="31" t="s">
        <v>581</v>
      </c>
      <c r="C18" s="26" t="str">
        <f t="array" ref="C18">IF($B18="","",INDEX('Gap reference'!$C$2:$C$60,MATCH($B18,'Gap reference'!$A$2:$A$60,0)))</f>
        <v>#N/A</v>
      </c>
      <c r="D18" s="26" t="str">
        <f t="array" ref="D18">IF($B18="","",INDEX('Gap reference'!$D$2:$D$60,MATCH($B18,'Gap reference'!$A$2:$A$60,0)))</f>
        <v>#N/A</v>
      </c>
      <c r="E18" s="26" t="str">
        <f t="array" ref="E18">IF($B18="","",INDEX('Gap reference'!$G$2:$G$60,MATCH($B18,'Gap reference'!$A$2:$A$60,0)))</f>
        <v>#N/A</v>
      </c>
      <c r="F18" s="31" t="s">
        <v>242</v>
      </c>
      <c r="G18" s="30" t="s">
        <v>274</v>
      </c>
      <c r="H18" s="31" t="s">
        <v>614</v>
      </c>
      <c r="I18" s="32"/>
      <c r="J18" s="31" t="s">
        <v>242</v>
      </c>
      <c r="K18" s="32"/>
      <c r="L18" s="26" t="str">
        <f>IF($B18="","",VLOOKUP($C18,Lists!$A$2:$B$10,2,FALSE))</f>
        <v>#N/A</v>
      </c>
      <c r="M18" s="26"/>
      <c r="N18" s="32"/>
      <c r="O18" s="38"/>
      <c r="P18" s="35"/>
      <c r="Q18" s="35"/>
      <c r="R18" s="35"/>
      <c r="S18" s="35"/>
      <c r="T18" s="35"/>
      <c r="U18" s="35"/>
      <c r="V18" s="35"/>
      <c r="W18" s="35"/>
      <c r="X18" s="35"/>
      <c r="Y18" s="35"/>
      <c r="Z18" s="35"/>
    </row>
    <row r="19">
      <c r="A19" s="46" t="s">
        <v>123</v>
      </c>
      <c r="B19" s="47" t="s">
        <v>622</v>
      </c>
      <c r="C19" s="26" t="str">
        <f t="array" ref="C19">IF($B19="","",INDEX('Gap reference'!$C$2:$C$60,MATCH($B19,'Gap reference'!$A$2:$A$60,0)))</f>
        <v>#N/A</v>
      </c>
      <c r="D19" s="26" t="str">
        <f t="array" ref="D19">IF($B19="","",INDEX('Gap reference'!$D$2:$D$60,MATCH($B19,'Gap reference'!$A$2:$A$60,0)))</f>
        <v>#N/A</v>
      </c>
      <c r="E19" s="26" t="str">
        <f t="array" ref="E19">IF($B19="","",INDEX('Gap reference'!$G$2:$G$60,MATCH($B19,'Gap reference'!$A$2:$A$60,0)))</f>
        <v>#N/A</v>
      </c>
      <c r="F19" s="52"/>
      <c r="G19" s="52"/>
      <c r="H19" s="53" t="s">
        <v>643</v>
      </c>
      <c r="I19" s="52"/>
      <c r="J19" s="52"/>
      <c r="K19" s="52"/>
      <c r="L19" s="26"/>
      <c r="M19" s="26"/>
      <c r="N19" s="52"/>
      <c r="O19" s="54"/>
      <c r="P19" s="55"/>
      <c r="Q19" s="55"/>
      <c r="R19" s="55"/>
      <c r="S19" s="55"/>
      <c r="T19" s="55"/>
      <c r="U19" s="55"/>
      <c r="V19" s="55"/>
      <c r="W19" s="55"/>
      <c r="X19" s="55"/>
      <c r="Y19" s="55"/>
      <c r="Z19" s="55"/>
      <c r="AA19" s="56"/>
    </row>
    <row r="20">
      <c r="A20" s="53" t="s">
        <v>139</v>
      </c>
      <c r="B20" s="57" t="s">
        <v>633</v>
      </c>
      <c r="C20" s="26" t="str">
        <f t="array" ref="C20">IF($B20="","",INDEX('Gap reference'!$C$2:$C$60,MATCH($B20,'Gap reference'!$A$2:$A$60,0)))</f>
        <v>#N/A</v>
      </c>
      <c r="D20" s="26" t="str">
        <f t="array" ref="D20">IF($B20="","",INDEX('Gap reference'!$D$2:$D$60,MATCH($B20,'Gap reference'!$A$2:$A$60,0)))</f>
        <v>#N/A</v>
      </c>
      <c r="E20" s="26" t="str">
        <f t="array" ref="E20">IF($B20="","",INDEX('Gap reference'!$G$2:$G$60,MATCH($B20,'Gap reference'!$A$2:$A$60,0)))</f>
        <v>#N/A</v>
      </c>
      <c r="F20" s="52"/>
      <c r="G20" s="52"/>
      <c r="H20" s="53" t="s">
        <v>650</v>
      </c>
      <c r="I20" s="52"/>
      <c r="J20" s="52"/>
      <c r="K20" s="52"/>
      <c r="L20" s="26"/>
      <c r="M20" s="26"/>
      <c r="N20" s="54"/>
      <c r="O20" s="52"/>
      <c r="P20" s="55"/>
      <c r="Q20" s="55"/>
      <c r="R20" s="55"/>
      <c r="S20" s="55"/>
      <c r="T20" s="55"/>
      <c r="U20" s="55"/>
      <c r="V20" s="55"/>
      <c r="W20" s="55"/>
      <c r="X20" s="55"/>
      <c r="Y20" s="55"/>
      <c r="Z20" s="55"/>
      <c r="AA20" s="56"/>
    </row>
    <row r="21" ht="15.75" customHeight="1">
      <c r="A21" s="58" t="s">
        <v>654</v>
      </c>
      <c r="B21" s="58" t="s">
        <v>655</v>
      </c>
      <c r="C21" s="26" t="str">
        <f t="array" ref="C21">IF($B21="","",INDEX('Gap reference'!$C$2:$C$60,MATCH($B21,'Gap reference'!$A$2:$A$60,0)))</f>
        <v>#N/A</v>
      </c>
      <c r="D21" s="26" t="str">
        <f t="array" ref="D21">IF($B21="","",INDEX('Gap reference'!$D$2:$D$60,MATCH($B21,'Gap reference'!$A$2:$A$60,0)))</f>
        <v>#N/A</v>
      </c>
      <c r="E21" s="26" t="str">
        <f t="array" ref="E21">IF($B21="","",INDEX('Gap reference'!$G$2:$G$60,MATCH($B21,'Gap reference'!$A$2:$A$60,0)))</f>
        <v>#N/A</v>
      </c>
      <c r="F21" s="59" t="s">
        <v>242</v>
      </c>
      <c r="G21" s="59" t="s">
        <v>111</v>
      </c>
      <c r="H21" s="59" t="s">
        <v>664</v>
      </c>
      <c r="I21" s="59" t="s">
        <v>665</v>
      </c>
      <c r="J21" s="59" t="s">
        <v>242</v>
      </c>
      <c r="K21" s="60"/>
      <c r="L21" s="26" t="str">
        <f>IF($B21="","",VLOOKUP($C21,Lists!$A$2:$B$10,2,FALSE))</f>
        <v>#N/A</v>
      </c>
      <c r="M21" s="26" t="str">
        <f t="shared" ref="M21:M43" si="2">IF(AND($G21="Hard blocker",$L21=9),"Yes","")</f>
        <v>#N/A</v>
      </c>
      <c r="N21" s="61">
        <v>46316.0</v>
      </c>
      <c r="O21" s="59" t="s">
        <v>670</v>
      </c>
      <c r="P21" s="35"/>
      <c r="Q21" s="35"/>
      <c r="R21" s="35"/>
      <c r="S21" s="35"/>
      <c r="T21" s="35"/>
      <c r="U21" s="35"/>
      <c r="V21" s="35"/>
      <c r="W21" s="35"/>
      <c r="X21" s="35"/>
      <c r="Y21" s="35"/>
      <c r="Z21" s="35"/>
    </row>
    <row r="22" ht="15.75" customHeight="1">
      <c r="A22" s="59" t="s">
        <v>654</v>
      </c>
      <c r="B22" s="59" t="s">
        <v>671</v>
      </c>
      <c r="C22" s="26" t="str">
        <f t="array" ref="C22">IF($B22="","",INDEX('Gap reference'!$C$2:$C$60,MATCH($B22,'Gap reference'!$A$2:$A$60,0)))</f>
        <v>#N/A</v>
      </c>
      <c r="D22" s="26" t="str">
        <f t="array" ref="D22">IF($B22="","",INDEX('Gap reference'!$D$2:$D$60,MATCH($B22,'Gap reference'!$A$2:$A$60,0)))</f>
        <v>#N/A</v>
      </c>
      <c r="E22" s="26" t="str">
        <f t="array" ref="E22">IF($B22="","",INDEX('Gap reference'!$G$2:$G$60,MATCH($B22,'Gap reference'!$A$2:$A$60,0)))</f>
        <v>#N/A</v>
      </c>
      <c r="F22" s="59" t="s">
        <v>242</v>
      </c>
      <c r="G22" s="59" t="s">
        <v>111</v>
      </c>
      <c r="H22" s="59" t="s">
        <v>681</v>
      </c>
      <c r="I22" s="59" t="s">
        <v>682</v>
      </c>
      <c r="J22" s="59" t="s">
        <v>242</v>
      </c>
      <c r="K22" s="60"/>
      <c r="L22" s="26" t="str">
        <f>IF($B22="","",VLOOKUP($C22,Lists!$A$2:$B$10,2,FALSE))</f>
        <v>#N/A</v>
      </c>
      <c r="M22" s="26" t="str">
        <f t="shared" si="2"/>
        <v>#N/A</v>
      </c>
      <c r="N22" s="61">
        <v>46316.0</v>
      </c>
      <c r="O22" s="59" t="s">
        <v>686</v>
      </c>
      <c r="P22" s="35"/>
      <c r="Q22" s="35"/>
      <c r="R22" s="35"/>
      <c r="S22" s="35"/>
      <c r="T22" s="35"/>
      <c r="U22" s="35"/>
      <c r="V22" s="35"/>
      <c r="W22" s="35"/>
      <c r="X22" s="35"/>
      <c r="Y22" s="35"/>
      <c r="Z22" s="35"/>
    </row>
    <row r="23" ht="15.75" customHeight="1">
      <c r="A23" s="59" t="s">
        <v>654</v>
      </c>
      <c r="B23" s="59" t="s">
        <v>687</v>
      </c>
      <c r="C23" s="26" t="str">
        <f t="array" ref="C23">IF($B23="","",INDEX('Gap reference'!$C$2:$C$60,MATCH($B23,'Gap reference'!$A$2:$A$60,0)))</f>
        <v>#N/A</v>
      </c>
      <c r="D23" s="26" t="str">
        <f t="array" ref="D23">IF($B23="","",INDEX('Gap reference'!$D$2:$D$60,MATCH($B23,'Gap reference'!$A$2:$A$60,0)))</f>
        <v>#N/A</v>
      </c>
      <c r="E23" s="26" t="str">
        <f t="array" ref="E23">IF($B23="","",INDEX('Gap reference'!$G$2:$G$60,MATCH($B23,'Gap reference'!$A$2:$A$60,0)))</f>
        <v>#N/A</v>
      </c>
      <c r="F23" s="59" t="s">
        <v>242</v>
      </c>
      <c r="G23" s="59" t="s">
        <v>111</v>
      </c>
      <c r="H23" s="59" t="s">
        <v>696</v>
      </c>
      <c r="I23" s="59" t="s">
        <v>697</v>
      </c>
      <c r="J23" s="59" t="s">
        <v>242</v>
      </c>
      <c r="K23" s="60"/>
      <c r="L23" s="26" t="str">
        <f>IF($B23="","",VLOOKUP($C23,Lists!$A$2:$B$10,2,FALSE))</f>
        <v>#N/A</v>
      </c>
      <c r="M23" s="26" t="str">
        <f t="shared" si="2"/>
        <v>#N/A</v>
      </c>
      <c r="N23" s="61">
        <v>46316.0</v>
      </c>
      <c r="O23" s="59" t="s">
        <v>700</v>
      </c>
      <c r="P23" s="35"/>
      <c r="Q23" s="35"/>
      <c r="R23" s="35"/>
      <c r="S23" s="35"/>
      <c r="T23" s="35"/>
      <c r="U23" s="35"/>
      <c r="V23" s="35"/>
      <c r="W23" s="35"/>
      <c r="X23" s="35"/>
      <c r="Y23" s="35"/>
      <c r="Z23" s="35"/>
    </row>
    <row r="24" ht="15.75" customHeight="1">
      <c r="A24" s="59" t="s">
        <v>654</v>
      </c>
      <c r="B24" s="59" t="s">
        <v>496</v>
      </c>
      <c r="C24" s="26" t="str">
        <f t="array" ref="C24">IF($B24="","",INDEX('Gap reference'!$C$2:$C$60,MATCH($B24,'Gap reference'!$A$2:$A$60,0)))</f>
        <v>TBC</v>
      </c>
      <c r="D24" s="26" t="str">
        <f t="array" ref="D24">IF($B24="","",INDEX('Gap reference'!$D$2:$D$60,MATCH($B24,'Gap reference'!$A$2:$A$60,0)))</f>
        <v>Major blocker</v>
      </c>
      <c r="E24" s="26" t="str">
        <f t="array" ref="E24">IF($B24="","",INDEX('Gap reference'!$G$2:$G$60,MATCH($B24,'Gap reference'!$A$2:$A$60,0)))</f>
        <v>Eyal Rotberg</v>
      </c>
      <c r="F24" s="59" t="s">
        <v>242</v>
      </c>
      <c r="G24" s="59" t="s">
        <v>148</v>
      </c>
      <c r="H24" s="59" t="s">
        <v>709</v>
      </c>
      <c r="I24" s="59" t="s">
        <v>710</v>
      </c>
      <c r="J24" s="59" t="s">
        <v>242</v>
      </c>
      <c r="K24" s="60"/>
      <c r="L24" s="26">
        <f>IF($B24="","",VLOOKUP($C24,Lists!$A$2:$B$10,2,FALSE))</f>
        <v>9</v>
      </c>
      <c r="M24" s="26" t="str">
        <f t="shared" si="2"/>
        <v/>
      </c>
      <c r="N24" s="61">
        <v>46316.0</v>
      </c>
      <c r="O24" s="59" t="s">
        <v>715</v>
      </c>
      <c r="P24" s="35"/>
      <c r="Q24" s="35"/>
      <c r="R24" s="35"/>
      <c r="S24" s="35"/>
      <c r="T24" s="35"/>
      <c r="U24" s="35"/>
      <c r="V24" s="35"/>
      <c r="W24" s="35"/>
      <c r="X24" s="35"/>
      <c r="Y24" s="35"/>
      <c r="Z24" s="35"/>
    </row>
    <row r="25" ht="15.75" customHeight="1">
      <c r="A25" s="59" t="s">
        <v>654</v>
      </c>
      <c r="B25" s="59" t="s">
        <v>104</v>
      </c>
      <c r="C25" s="26" t="str">
        <f t="array" ref="C25">IF($B25="","",INDEX('Gap reference'!$C$2:$C$60,MATCH($B25,'Gap reference'!$A$2:$A$60,0)))</f>
        <v>Oct 2026</v>
      </c>
      <c r="D25" s="26" t="str">
        <f t="array" ref="D25">IF($B25="","",INDEX('Gap reference'!$D$2:$D$60,MATCH($B25,'Gap reference'!$A$2:$A$60,0)))</f>
        <v>Major blocker</v>
      </c>
      <c r="E25" s="26" t="str">
        <f t="array" ref="E25">IF($B25="","",INDEX('Gap reference'!$G$2:$G$60,MATCH($B25,'Gap reference'!$A$2:$A$60,0)))</f>
        <v>Ashwin Manekar</v>
      </c>
      <c r="F25" s="59" t="s">
        <v>299</v>
      </c>
      <c r="G25" s="59" t="s">
        <v>274</v>
      </c>
      <c r="H25" s="59" t="s">
        <v>724</v>
      </c>
      <c r="I25" s="60"/>
      <c r="J25" s="59" t="s">
        <v>303</v>
      </c>
      <c r="K25" s="60"/>
      <c r="L25" s="26">
        <f>IF($B25="","",VLOOKUP($C25,Lists!$A$2:$B$10,2,FALSE))</f>
        <v>1</v>
      </c>
      <c r="M25" s="26" t="str">
        <f t="shared" si="2"/>
        <v/>
      </c>
      <c r="N25" s="61">
        <v>46316.0</v>
      </c>
      <c r="O25" s="59" t="s">
        <v>727</v>
      </c>
      <c r="P25" s="35"/>
      <c r="Q25" s="35"/>
      <c r="R25" s="35"/>
      <c r="S25" s="35"/>
      <c r="T25" s="35"/>
      <c r="U25" s="35"/>
      <c r="V25" s="35"/>
      <c r="W25" s="35"/>
      <c r="X25" s="35"/>
      <c r="Y25" s="35"/>
      <c r="Z25" s="35"/>
    </row>
    <row r="26" ht="15.75" customHeight="1">
      <c r="A26" s="59" t="s">
        <v>654</v>
      </c>
      <c r="B26" s="59" t="s">
        <v>134</v>
      </c>
      <c r="C26" s="26" t="str">
        <f t="array" ref="C26">IF($B26="","",INDEX('Gap reference'!$C$2:$C$60,MATCH($B26,'Gap reference'!$A$2:$A$60,0)))</f>
        <v>Oct 2026</v>
      </c>
      <c r="D26" s="26" t="str">
        <f t="array" ref="D26">IF($B26="","",INDEX('Gap reference'!$D$2:$D$60,MATCH($B26,'Gap reference'!$A$2:$A$60,0)))</f>
        <v>Major blocker</v>
      </c>
      <c r="E26" s="26" t="str">
        <f t="array" ref="E26">IF($B26="","",INDEX('Gap reference'!$G$2:$G$60,MATCH($B26,'Gap reference'!$A$2:$A$60,0)))</f>
        <v>Daphna Shemesh</v>
      </c>
      <c r="F26" s="59" t="s">
        <v>242</v>
      </c>
      <c r="G26" s="59" t="s">
        <v>274</v>
      </c>
      <c r="H26" s="59" t="s">
        <v>732</v>
      </c>
      <c r="I26" s="60"/>
      <c r="J26" s="59" t="s">
        <v>242</v>
      </c>
      <c r="K26" s="60"/>
      <c r="L26" s="26">
        <f>IF($B26="","",VLOOKUP($C26,Lists!$A$2:$B$10,2,FALSE))</f>
        <v>1</v>
      </c>
      <c r="M26" s="26" t="str">
        <f t="shared" si="2"/>
        <v/>
      </c>
      <c r="N26" s="61">
        <v>46316.0</v>
      </c>
      <c r="O26" s="59" t="s">
        <v>735</v>
      </c>
      <c r="P26" s="35"/>
      <c r="Q26" s="35"/>
      <c r="R26" s="35"/>
      <c r="S26" s="35"/>
      <c r="T26" s="35"/>
      <c r="U26" s="35"/>
      <c r="V26" s="35"/>
      <c r="W26" s="35"/>
      <c r="X26" s="35"/>
      <c r="Y26" s="35"/>
      <c r="Z26" s="35"/>
    </row>
    <row r="27" ht="15.75" customHeight="1">
      <c r="A27" s="59" t="s">
        <v>654</v>
      </c>
      <c r="B27" s="59" t="s">
        <v>736</v>
      </c>
      <c r="C27" s="26" t="str">
        <f t="array" ref="C27">IF($B27="","",INDEX('Gap reference'!$C$2:$C$60,MATCH($B27,'Gap reference'!$A$2:$A$60,0)))</f>
        <v>#N/A</v>
      </c>
      <c r="D27" s="26" t="str">
        <f t="array" ref="D27">IF($B27="","",INDEX('Gap reference'!$D$2:$D$60,MATCH($B27,'Gap reference'!$A$2:$A$60,0)))</f>
        <v>#N/A</v>
      </c>
      <c r="E27" s="26" t="str">
        <f t="array" ref="E27">IF($B27="","",INDEX('Gap reference'!$G$2:$G$60,MATCH($B27,'Gap reference'!$A$2:$A$60,0)))</f>
        <v>#N/A</v>
      </c>
      <c r="F27" s="59" t="s">
        <v>242</v>
      </c>
      <c r="G27" s="59" t="s">
        <v>274</v>
      </c>
      <c r="H27" s="59" t="s">
        <v>745</v>
      </c>
      <c r="I27" s="60"/>
      <c r="J27" s="59" t="s">
        <v>242</v>
      </c>
      <c r="K27" s="60"/>
      <c r="L27" s="26" t="str">
        <f>IF($B27="","",VLOOKUP($C27,Lists!$A$2:$B$10,2,FALSE))</f>
        <v>#N/A</v>
      </c>
      <c r="M27" s="26" t="str">
        <f t="shared" si="2"/>
        <v>#N/A</v>
      </c>
      <c r="N27" s="61">
        <v>46316.0</v>
      </c>
      <c r="O27" s="59" t="s">
        <v>746</v>
      </c>
      <c r="P27" s="35"/>
      <c r="Q27" s="35"/>
      <c r="R27" s="35"/>
      <c r="S27" s="35"/>
      <c r="T27" s="35"/>
      <c r="U27" s="35"/>
      <c r="V27" s="35"/>
      <c r="W27" s="35"/>
      <c r="X27" s="35"/>
      <c r="Y27" s="35"/>
      <c r="Z27" s="35"/>
    </row>
    <row r="28" ht="15.75" customHeight="1">
      <c r="A28" s="59" t="s">
        <v>654</v>
      </c>
      <c r="B28" s="59" t="s">
        <v>736</v>
      </c>
      <c r="C28" s="26" t="str">
        <f t="array" ref="C28">IF($B28="","",INDEX('Gap reference'!$C$2:$C$60,MATCH($B28,'Gap reference'!$A$2:$A$60,0)))</f>
        <v>#N/A</v>
      </c>
      <c r="D28" s="26" t="str">
        <f t="array" ref="D28">IF($B28="","",INDEX('Gap reference'!$D$2:$D$60,MATCH($B28,'Gap reference'!$A$2:$A$60,0)))</f>
        <v>#N/A</v>
      </c>
      <c r="E28" s="26" t="str">
        <f t="array" ref="E28">IF($B28="","",INDEX('Gap reference'!$G$2:$G$60,MATCH($B28,'Gap reference'!$A$2:$A$60,0)))</f>
        <v>#N/A</v>
      </c>
      <c r="F28" s="59" t="s">
        <v>242</v>
      </c>
      <c r="G28" s="59" t="s">
        <v>274</v>
      </c>
      <c r="H28" s="59" t="s">
        <v>757</v>
      </c>
      <c r="I28" s="60"/>
      <c r="J28" s="59" t="s">
        <v>242</v>
      </c>
      <c r="K28" s="60"/>
      <c r="L28" s="26" t="str">
        <f>IF($B28="","",VLOOKUP($C28,Lists!$A$2:$B$10,2,FALSE))</f>
        <v>#N/A</v>
      </c>
      <c r="M28" s="26" t="str">
        <f t="shared" si="2"/>
        <v>#N/A</v>
      </c>
      <c r="N28" s="61">
        <v>46316.0</v>
      </c>
      <c r="O28" s="59" t="s">
        <v>762</v>
      </c>
      <c r="P28" s="35"/>
      <c r="Q28" s="35"/>
      <c r="R28" s="35"/>
      <c r="S28" s="35"/>
      <c r="T28" s="35"/>
      <c r="U28" s="35"/>
      <c r="V28" s="35"/>
      <c r="W28" s="35"/>
      <c r="X28" s="35"/>
      <c r="Y28" s="35"/>
      <c r="Z28" s="35"/>
    </row>
    <row r="29" ht="15.75" customHeight="1">
      <c r="A29" s="59" t="s">
        <v>654</v>
      </c>
      <c r="B29" s="59" t="s">
        <v>372</v>
      </c>
      <c r="C29" s="26" t="str">
        <f t="array" ref="C29">IF($B29="","",INDEX('Gap reference'!$C$2:$C$60,MATCH($B29,'Gap reference'!$A$2:$A$60,0)))</f>
        <v>Jan 2027</v>
      </c>
      <c r="D29" s="26" t="str">
        <f t="array" ref="D29">IF($B29="","",INDEX('Gap reference'!$D$2:$D$60,MATCH($B29,'Gap reference'!$A$2:$A$60,0)))</f>
        <v>Validate in discovery</v>
      </c>
      <c r="E29" s="26" t="str">
        <f t="array" ref="E29">IF($B29="","",INDEX('Gap reference'!$G$2:$G$60,MATCH($B29,'Gap reference'!$A$2:$A$60,0)))</f>
        <v>Elad Shuster</v>
      </c>
      <c r="F29" s="59" t="s">
        <v>242</v>
      </c>
      <c r="G29" s="59" t="s">
        <v>274</v>
      </c>
      <c r="H29" s="59" t="s">
        <v>769</v>
      </c>
      <c r="I29" s="60"/>
      <c r="J29" s="59" t="s">
        <v>242</v>
      </c>
      <c r="K29" s="60"/>
      <c r="L29" s="26">
        <f>IF($B29="","",VLOOKUP($C29,Lists!$A$2:$B$10,2,FALSE))</f>
        <v>2</v>
      </c>
      <c r="M29" s="26" t="str">
        <f t="shared" si="2"/>
        <v/>
      </c>
      <c r="N29" s="61">
        <v>46316.0</v>
      </c>
      <c r="O29" s="59" t="s">
        <v>770</v>
      </c>
      <c r="P29" s="35"/>
      <c r="Q29" s="35"/>
      <c r="R29" s="35"/>
      <c r="S29" s="35"/>
      <c r="T29" s="35"/>
      <c r="U29" s="35"/>
      <c r="V29" s="35"/>
      <c r="W29" s="35"/>
      <c r="X29" s="35"/>
      <c r="Y29" s="35"/>
      <c r="Z29" s="35"/>
    </row>
    <row r="30" ht="15.75" customHeight="1">
      <c r="A30" s="59" t="s">
        <v>654</v>
      </c>
      <c r="B30" s="59" t="s">
        <v>736</v>
      </c>
      <c r="C30" s="26" t="str">
        <f t="array" ref="C30">IF($B30="","",INDEX('Gap reference'!$C$2:$C$60,MATCH($B30,'Gap reference'!$A$2:$A$60,0)))</f>
        <v>#N/A</v>
      </c>
      <c r="D30" s="26" t="str">
        <f t="array" ref="D30">IF($B30="","",INDEX('Gap reference'!$D$2:$D$60,MATCH($B30,'Gap reference'!$A$2:$A$60,0)))</f>
        <v>#N/A</v>
      </c>
      <c r="E30" s="26" t="str">
        <f t="array" ref="E30">IF($B30="","",INDEX('Gap reference'!$G$2:$G$60,MATCH($B30,'Gap reference'!$A$2:$A$60,0)))</f>
        <v>#N/A</v>
      </c>
      <c r="F30" s="59" t="s">
        <v>242</v>
      </c>
      <c r="G30" s="59" t="s">
        <v>274</v>
      </c>
      <c r="H30" s="59" t="s">
        <v>779</v>
      </c>
      <c r="I30" s="60"/>
      <c r="J30" s="59" t="s">
        <v>242</v>
      </c>
      <c r="K30" s="60"/>
      <c r="L30" s="26" t="str">
        <f>IF($B30="","",VLOOKUP($C30,Lists!$A$2:$B$10,2,FALSE))</f>
        <v>#N/A</v>
      </c>
      <c r="M30" s="26" t="str">
        <f t="shared" si="2"/>
        <v>#N/A</v>
      </c>
      <c r="N30" s="62"/>
      <c r="O30" s="59" t="s">
        <v>783</v>
      </c>
      <c r="P30" s="35"/>
      <c r="Q30" s="35"/>
      <c r="R30" s="35"/>
      <c r="S30" s="35"/>
      <c r="T30" s="35"/>
      <c r="U30" s="35"/>
      <c r="V30" s="35"/>
      <c r="W30" s="35"/>
      <c r="X30" s="35"/>
      <c r="Y30" s="35"/>
      <c r="Z30" s="35"/>
    </row>
    <row r="31" ht="15.75" customHeight="1">
      <c r="A31" s="59" t="s">
        <v>654</v>
      </c>
      <c r="B31" s="59" t="s">
        <v>736</v>
      </c>
      <c r="C31" s="26" t="str">
        <f t="array" ref="C31">IF($B31="","",INDEX('Gap reference'!$C$2:$C$60,MATCH($B31,'Gap reference'!$A$2:$A$60,0)))</f>
        <v>#N/A</v>
      </c>
      <c r="D31" s="26" t="str">
        <f t="array" ref="D31">IF($B31="","",INDEX('Gap reference'!$D$2:$D$60,MATCH($B31,'Gap reference'!$A$2:$A$60,0)))</f>
        <v>#N/A</v>
      </c>
      <c r="E31" s="26" t="str">
        <f t="array" ref="E31">IF($B31="","",INDEX('Gap reference'!$G$2:$G$60,MATCH($B31,'Gap reference'!$A$2:$A$60,0)))</f>
        <v>#N/A</v>
      </c>
      <c r="F31" s="59" t="s">
        <v>242</v>
      </c>
      <c r="G31" s="59" t="s">
        <v>274</v>
      </c>
      <c r="H31" s="59" t="s">
        <v>790</v>
      </c>
      <c r="I31" s="60"/>
      <c r="J31" s="59" t="s">
        <v>242</v>
      </c>
      <c r="K31" s="60"/>
      <c r="L31" s="26" t="str">
        <f>IF($B31="","",VLOOKUP($C31,Lists!$A$2:$B$10,2,FALSE))</f>
        <v>#N/A</v>
      </c>
      <c r="M31" s="26" t="str">
        <f t="shared" si="2"/>
        <v>#N/A</v>
      </c>
      <c r="N31" s="62"/>
      <c r="O31" s="59" t="s">
        <v>783</v>
      </c>
      <c r="P31" s="35"/>
      <c r="Q31" s="35"/>
      <c r="R31" s="35"/>
      <c r="S31" s="35"/>
      <c r="T31" s="35"/>
      <c r="U31" s="35"/>
      <c r="V31" s="35"/>
      <c r="W31" s="35"/>
      <c r="X31" s="35"/>
      <c r="Y31" s="35"/>
      <c r="Z31" s="35"/>
    </row>
    <row r="32" ht="15.75" customHeight="1">
      <c r="A32" s="59" t="s">
        <v>654</v>
      </c>
      <c r="B32" s="59" t="s">
        <v>736</v>
      </c>
      <c r="C32" s="26" t="str">
        <f t="array" ref="C32">IF($B32="","",INDEX('Gap reference'!$C$2:$C$60,MATCH($B32,'Gap reference'!$A$2:$A$60,0)))</f>
        <v>#N/A</v>
      </c>
      <c r="D32" s="26" t="str">
        <f t="array" ref="D32">IF($B32="","",INDEX('Gap reference'!$D$2:$D$60,MATCH($B32,'Gap reference'!$A$2:$A$60,0)))</f>
        <v>#N/A</v>
      </c>
      <c r="E32" s="26" t="str">
        <f t="array" ref="E32">IF($B32="","",INDEX('Gap reference'!$G$2:$G$60,MATCH($B32,'Gap reference'!$A$2:$A$60,0)))</f>
        <v>#N/A</v>
      </c>
      <c r="F32" s="59" t="s">
        <v>242</v>
      </c>
      <c r="G32" s="59" t="s">
        <v>274</v>
      </c>
      <c r="H32" s="59" t="s">
        <v>801</v>
      </c>
      <c r="I32" s="60"/>
      <c r="J32" s="59" t="s">
        <v>242</v>
      </c>
      <c r="K32" s="60"/>
      <c r="L32" s="26" t="str">
        <f>IF($B32="","",VLOOKUP($C32,Lists!$A$2:$B$10,2,FALSE))</f>
        <v>#N/A</v>
      </c>
      <c r="M32" s="26" t="str">
        <f t="shared" si="2"/>
        <v>#N/A</v>
      </c>
      <c r="N32" s="62"/>
      <c r="O32" s="59" t="s">
        <v>805</v>
      </c>
      <c r="P32" s="35"/>
      <c r="Q32" s="35"/>
      <c r="R32" s="35"/>
      <c r="S32" s="35"/>
      <c r="T32" s="35"/>
      <c r="U32" s="35"/>
      <c r="V32" s="35"/>
      <c r="W32" s="35"/>
      <c r="X32" s="35"/>
      <c r="Y32" s="35"/>
      <c r="Z32" s="35"/>
    </row>
    <row r="33" ht="15.75" customHeight="1">
      <c r="A33" s="59" t="s">
        <v>654</v>
      </c>
      <c r="B33" s="59" t="s">
        <v>736</v>
      </c>
      <c r="C33" s="26" t="str">
        <f t="array" ref="C33">IF($B33="","",INDEX('Gap reference'!$C$2:$C$60,MATCH($B33,'Gap reference'!$A$2:$A$60,0)))</f>
        <v>#N/A</v>
      </c>
      <c r="D33" s="26" t="str">
        <f t="array" ref="D33">IF($B33="","",INDEX('Gap reference'!$D$2:$D$60,MATCH($B33,'Gap reference'!$A$2:$A$60,0)))</f>
        <v>#N/A</v>
      </c>
      <c r="E33" s="26" t="str">
        <f t="array" ref="E33">IF($B33="","",INDEX('Gap reference'!$G$2:$G$60,MATCH($B33,'Gap reference'!$A$2:$A$60,0)))</f>
        <v>#N/A</v>
      </c>
      <c r="F33" s="59" t="s">
        <v>242</v>
      </c>
      <c r="G33" s="59" t="s">
        <v>274</v>
      </c>
      <c r="H33" s="59" t="s">
        <v>812</v>
      </c>
      <c r="I33" s="60"/>
      <c r="J33" s="59" t="s">
        <v>242</v>
      </c>
      <c r="K33" s="60"/>
      <c r="L33" s="26" t="str">
        <f>IF($B33="","",VLOOKUP($C33,Lists!$A$2:$B$10,2,FALSE))</f>
        <v>#N/A</v>
      </c>
      <c r="M33" s="26" t="str">
        <f t="shared" si="2"/>
        <v>#N/A</v>
      </c>
      <c r="N33" s="62"/>
      <c r="O33" s="59" t="s">
        <v>805</v>
      </c>
      <c r="P33" s="35"/>
      <c r="Q33" s="35"/>
      <c r="R33" s="35"/>
      <c r="S33" s="35"/>
      <c r="T33" s="35"/>
      <c r="U33" s="35"/>
      <c r="V33" s="35"/>
      <c r="W33" s="35"/>
      <c r="X33" s="35"/>
      <c r="Y33" s="35"/>
      <c r="Z33" s="35"/>
    </row>
    <row r="34" ht="15.75" customHeight="1">
      <c r="A34" s="59" t="s">
        <v>654</v>
      </c>
      <c r="B34" s="59" t="s">
        <v>736</v>
      </c>
      <c r="C34" s="26" t="str">
        <f t="array" ref="C34">IF($B34="","",INDEX('Gap reference'!$C$2:$C$60,MATCH($B34,'Gap reference'!$A$2:$A$60,0)))</f>
        <v>#N/A</v>
      </c>
      <c r="D34" s="26" t="str">
        <f t="array" ref="D34">IF($B34="","",INDEX('Gap reference'!$D$2:$D$60,MATCH($B34,'Gap reference'!$A$2:$A$60,0)))</f>
        <v>#N/A</v>
      </c>
      <c r="E34" s="26" t="str">
        <f t="array" ref="E34">IF($B34="","",INDEX('Gap reference'!$G$2:$G$60,MATCH($B34,'Gap reference'!$A$2:$A$60,0)))</f>
        <v>#N/A</v>
      </c>
      <c r="F34" s="59" t="s">
        <v>242</v>
      </c>
      <c r="G34" s="59" t="s">
        <v>274</v>
      </c>
      <c r="H34" s="59" t="s">
        <v>818</v>
      </c>
      <c r="I34" s="60"/>
      <c r="J34" s="59" t="s">
        <v>242</v>
      </c>
      <c r="K34" s="60"/>
      <c r="L34" s="26" t="str">
        <f>IF($B34="","",VLOOKUP($C34,Lists!$A$2:$B$10,2,FALSE))</f>
        <v>#N/A</v>
      </c>
      <c r="M34" s="26" t="str">
        <f t="shared" si="2"/>
        <v>#N/A</v>
      </c>
      <c r="N34" s="62"/>
      <c r="O34" s="59" t="s">
        <v>805</v>
      </c>
      <c r="P34" s="35"/>
      <c r="Q34" s="35"/>
      <c r="R34" s="35"/>
      <c r="S34" s="35"/>
      <c r="T34" s="35"/>
      <c r="U34" s="35"/>
      <c r="V34" s="35"/>
      <c r="W34" s="35"/>
      <c r="X34" s="35"/>
      <c r="Y34" s="35"/>
      <c r="Z34" s="35"/>
    </row>
    <row r="35" ht="15.75" customHeight="1">
      <c r="A35" s="59" t="s">
        <v>654</v>
      </c>
      <c r="B35" s="59" t="s">
        <v>736</v>
      </c>
      <c r="C35" s="26" t="str">
        <f t="array" ref="C35">IF($B35="","",INDEX('Gap reference'!$C$2:$C$60,MATCH($B35,'Gap reference'!$A$2:$A$60,0)))</f>
        <v>#N/A</v>
      </c>
      <c r="D35" s="26" t="str">
        <f t="array" ref="D35">IF($B35="","",INDEX('Gap reference'!$D$2:$D$60,MATCH($B35,'Gap reference'!$A$2:$A$60,0)))</f>
        <v>#N/A</v>
      </c>
      <c r="E35" s="26" t="str">
        <f t="array" ref="E35">IF($B35="","",INDEX('Gap reference'!$G$2:$G$60,MATCH($B35,'Gap reference'!$A$2:$A$60,0)))</f>
        <v>#N/A</v>
      </c>
      <c r="F35" s="59" t="s">
        <v>242</v>
      </c>
      <c r="G35" s="59" t="s">
        <v>191</v>
      </c>
      <c r="H35" s="59" t="s">
        <v>824</v>
      </c>
      <c r="I35" s="60"/>
      <c r="J35" s="59" t="s">
        <v>242</v>
      </c>
      <c r="K35" s="60"/>
      <c r="L35" s="26" t="str">
        <f>IF($B35="","",VLOOKUP($C35,Lists!$A$2:$B$10,2,FALSE))</f>
        <v>#N/A</v>
      </c>
      <c r="M35" s="26" t="str">
        <f t="shared" si="2"/>
        <v>#N/A</v>
      </c>
      <c r="N35" s="61">
        <v>46316.0</v>
      </c>
      <c r="O35" s="59" t="s">
        <v>825</v>
      </c>
      <c r="P35" s="35"/>
      <c r="Q35" s="35"/>
      <c r="R35" s="35"/>
      <c r="S35" s="35"/>
      <c r="T35" s="35"/>
      <c r="U35" s="35"/>
      <c r="V35" s="35"/>
      <c r="W35" s="35"/>
      <c r="X35" s="35"/>
      <c r="Y35" s="35"/>
      <c r="Z35" s="35"/>
    </row>
    <row r="36" ht="15.75" customHeight="1">
      <c r="A36" s="59" t="s">
        <v>654</v>
      </c>
      <c r="B36" s="59" t="s">
        <v>238</v>
      </c>
      <c r="C36" s="26" t="str">
        <f t="array" ref="C36">IF($B36="","",INDEX('Gap reference'!$C$2:$C$60,MATCH($B36,'Gap reference'!$A$2:$A$60,0)))</f>
        <v>Jan 2027</v>
      </c>
      <c r="D36" s="26" t="str">
        <f t="array" ref="D36">IF($B36="","",INDEX('Gap reference'!$D$2:$D$60,MATCH($B36,'Gap reference'!$A$2:$A$60,0)))</f>
        <v>Major blocker</v>
      </c>
      <c r="E36" s="26" t="str">
        <f t="array" ref="E36">IF($B36="","",INDEX('Gap reference'!$G$2:$G$60,MATCH($B36,'Gap reference'!$A$2:$A$60,0)))</f>
        <v>Elad Shuster</v>
      </c>
      <c r="F36" s="59" t="s">
        <v>109</v>
      </c>
      <c r="G36" s="59" t="s">
        <v>274</v>
      </c>
      <c r="H36" s="59" t="s">
        <v>830</v>
      </c>
      <c r="I36" s="60"/>
      <c r="J36" s="60"/>
      <c r="K36" s="60"/>
      <c r="L36" s="26">
        <f>IF($B36="","",VLOOKUP($C36,Lists!$A$2:$B$10,2,FALSE))</f>
        <v>2</v>
      </c>
      <c r="M36" s="26" t="str">
        <f t="shared" si="2"/>
        <v/>
      </c>
      <c r="N36" s="62"/>
      <c r="O36" s="59" t="s">
        <v>831</v>
      </c>
      <c r="P36" s="35"/>
      <c r="Q36" s="35"/>
      <c r="R36" s="35"/>
      <c r="S36" s="35"/>
      <c r="T36" s="35"/>
      <c r="U36" s="35"/>
      <c r="V36" s="35"/>
      <c r="W36" s="35"/>
      <c r="X36" s="35"/>
      <c r="Y36" s="35"/>
      <c r="Z36" s="35"/>
    </row>
    <row r="37" ht="15.75" customHeight="1">
      <c r="A37" s="59" t="s">
        <v>654</v>
      </c>
      <c r="B37" s="59" t="s">
        <v>263</v>
      </c>
      <c r="C37" s="26" t="str">
        <f t="array" ref="C37">IF($B37="","",INDEX('Gap reference'!$C$2:$C$60,MATCH($B37,'Gap reference'!$A$2:$A$60,0)))</f>
        <v>Jan 2027</v>
      </c>
      <c r="D37" s="26" t="str">
        <f t="array" ref="D37">IF($B37="","",INDEX('Gap reference'!$D$2:$D$60,MATCH($B37,'Gap reference'!$A$2:$A$60,0)))</f>
        <v>Major blocker</v>
      </c>
      <c r="E37" s="26" t="str">
        <f t="array" ref="E37">IF($B37="","",INDEX('Gap reference'!$G$2:$G$60,MATCH($B37,'Gap reference'!$A$2:$A$60,0)))</f>
        <v>Ashwin Manekar</v>
      </c>
      <c r="F37" s="59" t="s">
        <v>109</v>
      </c>
      <c r="G37" s="59" t="s">
        <v>274</v>
      </c>
      <c r="H37" s="59" t="s">
        <v>836</v>
      </c>
      <c r="I37" s="60"/>
      <c r="J37" s="60"/>
      <c r="K37" s="60"/>
      <c r="L37" s="26">
        <f>IF($B37="","",VLOOKUP($C37,Lists!$A$2:$B$10,2,FALSE))</f>
        <v>2</v>
      </c>
      <c r="M37" s="26" t="str">
        <f t="shared" si="2"/>
        <v/>
      </c>
      <c r="N37" s="62"/>
      <c r="O37" s="59" t="s">
        <v>831</v>
      </c>
      <c r="P37" s="35"/>
      <c r="Q37" s="35"/>
      <c r="R37" s="35"/>
      <c r="S37" s="35"/>
      <c r="T37" s="35"/>
      <c r="U37" s="35"/>
      <c r="V37" s="35"/>
      <c r="W37" s="35"/>
      <c r="X37" s="35"/>
      <c r="Y37" s="35"/>
      <c r="Z37" s="35"/>
    </row>
    <row r="38" ht="15.75" customHeight="1">
      <c r="A38" s="59" t="s">
        <v>654</v>
      </c>
      <c r="B38" s="59" t="s">
        <v>252</v>
      </c>
      <c r="C38" s="26" t="str">
        <f t="array" ref="C38">IF($B38="","",INDEX('Gap reference'!$C$2:$C$60,MATCH($B38,'Gap reference'!$A$2:$A$60,0)))</f>
        <v>H1 CY2027 (Internal)</v>
      </c>
      <c r="D38" s="26" t="str">
        <f t="array" ref="D38">IF($B38="","",INDEX('Gap reference'!$D$2:$D$60,MATCH($B38,'Gap reference'!$A$2:$A$60,0)))</f>
        <v>Major blocker</v>
      </c>
      <c r="E38" s="26" t="str">
        <f t="array" ref="E38">IF($B38="","",INDEX('Gap reference'!$G$2:$G$60,MATCH($B38,'Gap reference'!$A$2:$A$60,0)))</f>
        <v>Guy Liberman</v>
      </c>
      <c r="F38" s="59" t="s">
        <v>109</v>
      </c>
      <c r="G38" s="59" t="s">
        <v>274</v>
      </c>
      <c r="H38" s="59" t="s">
        <v>841</v>
      </c>
      <c r="I38" s="60"/>
      <c r="J38" s="60"/>
      <c r="K38" s="60"/>
      <c r="L38" s="26" t="str">
        <f>IF($B38="","",VLOOKUP($C38,Lists!$A$2:$B$10,2,FALSE))</f>
        <v>#N/A</v>
      </c>
      <c r="M38" s="26" t="str">
        <f t="shared" si="2"/>
        <v>#N/A</v>
      </c>
      <c r="N38" s="62"/>
      <c r="O38" s="59" t="s">
        <v>831</v>
      </c>
      <c r="P38" s="35"/>
      <c r="Q38" s="35"/>
      <c r="R38" s="35"/>
      <c r="S38" s="35"/>
      <c r="T38" s="35"/>
      <c r="U38" s="35"/>
      <c r="V38" s="35"/>
      <c r="W38" s="35"/>
      <c r="X38" s="35"/>
      <c r="Y38" s="35"/>
      <c r="Z38" s="35"/>
    </row>
    <row r="39" ht="15.75" customHeight="1">
      <c r="A39" s="59" t="s">
        <v>654</v>
      </c>
      <c r="B39" s="59" t="s">
        <v>321</v>
      </c>
      <c r="C39" s="26" t="str">
        <f t="array" ref="C39">IF($B39="","",INDEX('Gap reference'!$C$2:$C$60,MATCH($B39,'Gap reference'!$A$2:$A$60,0)))</f>
        <v>Jan 2027</v>
      </c>
      <c r="D39" s="26" t="str">
        <f t="array" ref="D39">IF($B39="","",INDEX('Gap reference'!$D$2:$D$60,MATCH($B39,'Gap reference'!$A$2:$A$60,0)))</f>
        <v>Major blocker</v>
      </c>
      <c r="E39" s="26" t="str">
        <f t="array" ref="E39">IF($B39="","",INDEX('Gap reference'!$G$2:$G$60,MATCH($B39,'Gap reference'!$A$2:$A$60,0)))</f>
        <v>Ashwin Manekar</v>
      </c>
      <c r="F39" s="59" t="s">
        <v>109</v>
      </c>
      <c r="G39" s="59" t="s">
        <v>274</v>
      </c>
      <c r="H39" s="59" t="s">
        <v>848</v>
      </c>
      <c r="I39" s="60"/>
      <c r="J39" s="60"/>
      <c r="K39" s="60"/>
      <c r="L39" s="26">
        <f>IF($B39="","",VLOOKUP($C39,Lists!$A$2:$B$10,2,FALSE))</f>
        <v>2</v>
      </c>
      <c r="M39" s="26" t="str">
        <f t="shared" si="2"/>
        <v/>
      </c>
      <c r="N39" s="62"/>
      <c r="O39" s="59" t="s">
        <v>831</v>
      </c>
      <c r="P39" s="35"/>
      <c r="Q39" s="35"/>
      <c r="R39" s="35"/>
      <c r="S39" s="35"/>
      <c r="T39" s="35"/>
      <c r="U39" s="35"/>
      <c r="V39" s="35"/>
      <c r="W39" s="35"/>
      <c r="X39" s="35"/>
      <c r="Y39" s="35"/>
      <c r="Z39" s="35"/>
    </row>
    <row r="40" ht="15.75" customHeight="1">
      <c r="A40" s="59" t="s">
        <v>654</v>
      </c>
      <c r="B40" s="59" t="s">
        <v>127</v>
      </c>
      <c r="C40" s="26" t="str">
        <f t="array" ref="C40">IF($B40="","",INDEX('Gap reference'!$C$2:$C$60,MATCH($B40,'Gap reference'!$A$2:$A$60,0)))</f>
        <v>Oct 2026</v>
      </c>
      <c r="D40" s="26" t="str">
        <f t="array" ref="D40">IF($B40="","",INDEX('Gap reference'!$D$2:$D$60,MATCH($B40,'Gap reference'!$A$2:$A$60,0)))</f>
        <v>Major blocker</v>
      </c>
      <c r="E40" s="26" t="str">
        <f t="array" ref="E40">IF($B40="","",INDEX('Gap reference'!$G$2:$G$60,MATCH($B40,'Gap reference'!$A$2:$A$60,0)))</f>
        <v>Ashwin Manekar</v>
      </c>
      <c r="F40" s="59" t="s">
        <v>109</v>
      </c>
      <c r="G40" s="59" t="s">
        <v>274</v>
      </c>
      <c r="H40" s="59" t="s">
        <v>851</v>
      </c>
      <c r="I40" s="60"/>
      <c r="J40" s="60"/>
      <c r="K40" s="60"/>
      <c r="L40" s="26">
        <f>IF($B40="","",VLOOKUP($C40,Lists!$A$2:$B$10,2,FALSE))</f>
        <v>1</v>
      </c>
      <c r="M40" s="26" t="str">
        <f t="shared" si="2"/>
        <v/>
      </c>
      <c r="N40" s="62"/>
      <c r="O40" s="59" t="s">
        <v>831</v>
      </c>
      <c r="P40" s="35"/>
      <c r="Q40" s="35"/>
      <c r="R40" s="35"/>
      <c r="S40" s="35"/>
      <c r="T40" s="35"/>
      <c r="U40" s="35"/>
      <c r="V40" s="35"/>
      <c r="W40" s="35"/>
      <c r="X40" s="35"/>
      <c r="Y40" s="35"/>
      <c r="Z40" s="35"/>
    </row>
    <row r="41" ht="15.75" customHeight="1">
      <c r="A41" s="59" t="s">
        <v>654</v>
      </c>
      <c r="B41" s="59" t="s">
        <v>532</v>
      </c>
      <c r="C41" s="26" t="str">
        <f t="array" ref="C41">IF($B41="","",INDEX('Gap reference'!$C$2:$C$60,MATCH($B41,'Gap reference'!$A$2:$A$60,0)))</f>
        <v>No date</v>
      </c>
      <c r="D41" s="26" t="str">
        <f t="array" ref="D41">IF($B41="","",INDEX('Gap reference'!$D$2:$D$60,MATCH($B41,'Gap reference'!$A$2:$A$60,0)))</f>
        <v>Major blocker</v>
      </c>
      <c r="E41" s="26" t="str">
        <f t="array" ref="E41">IF($B41="","",INDEX('Gap reference'!$G$2:$G$60,MATCH($B41,'Gap reference'!$A$2:$A$60,0)))</f>
        <v>Chen Segelman</v>
      </c>
      <c r="F41" s="59" t="s">
        <v>109</v>
      </c>
      <c r="G41" s="59" t="s">
        <v>274</v>
      </c>
      <c r="H41" s="59" t="s">
        <v>860</v>
      </c>
      <c r="I41" s="60"/>
      <c r="J41" s="60"/>
      <c r="K41" s="60"/>
      <c r="L41" s="26">
        <f>IF($B41="","",VLOOKUP($C41,Lists!$A$2:$B$10,2,FALSE))</f>
        <v>9</v>
      </c>
      <c r="M41" s="26" t="str">
        <f t="shared" si="2"/>
        <v/>
      </c>
      <c r="N41" s="62"/>
      <c r="O41" s="59" t="s">
        <v>861</v>
      </c>
      <c r="P41" s="35"/>
      <c r="Q41" s="35"/>
      <c r="R41" s="35"/>
      <c r="S41" s="35"/>
      <c r="T41" s="35"/>
      <c r="U41" s="35"/>
      <c r="V41" s="35"/>
      <c r="W41" s="35"/>
      <c r="X41" s="35"/>
      <c r="Y41" s="35"/>
      <c r="Z41" s="35"/>
    </row>
    <row r="42" ht="15.75" customHeight="1">
      <c r="A42" s="59" t="s">
        <v>654</v>
      </c>
      <c r="B42" s="59" t="s">
        <v>126</v>
      </c>
      <c r="C42" s="26" t="str">
        <f t="array" ref="C42">IF($B42="","",INDEX('Gap reference'!$C$2:$C$60,MATCH($B42,'Gap reference'!$A$2:$A$60,0)))</f>
        <v>Oct 2026 to Jan 2027</v>
      </c>
      <c r="D42" s="26" t="str">
        <f t="array" ref="D42">IF($B42="","",INDEX('Gap reference'!$D$2:$D$60,MATCH($B42,'Gap reference'!$A$2:$A$60,0)))</f>
        <v>Major blocker</v>
      </c>
      <c r="E42" s="26" t="str">
        <f t="array" ref="E42">IF($B42="","",INDEX('Gap reference'!$G$2:$G$60,MATCH($B42,'Gap reference'!$A$2:$A$60,0)))</f>
        <v>Ashwin Manekar</v>
      </c>
      <c r="F42" s="59" t="s">
        <v>109</v>
      </c>
      <c r="G42" s="59" t="s">
        <v>274</v>
      </c>
      <c r="H42" s="59" t="s">
        <v>868</v>
      </c>
      <c r="I42" s="60"/>
      <c r="J42" s="60"/>
      <c r="K42" s="60"/>
      <c r="L42" s="26">
        <f>IF($B42="","",VLOOKUP($C42,Lists!$A$2:$B$10,2,FALSE))</f>
        <v>2</v>
      </c>
      <c r="M42" s="26" t="str">
        <f t="shared" si="2"/>
        <v/>
      </c>
      <c r="N42" s="62"/>
      <c r="O42" s="59" t="s">
        <v>871</v>
      </c>
      <c r="P42" s="35"/>
      <c r="Q42" s="35"/>
      <c r="R42" s="35"/>
      <c r="S42" s="35"/>
      <c r="T42" s="35"/>
      <c r="U42" s="35"/>
      <c r="V42" s="35"/>
      <c r="W42" s="35"/>
      <c r="X42" s="35"/>
      <c r="Y42" s="35"/>
      <c r="Z42" s="35"/>
    </row>
    <row r="43" ht="15.75" customHeight="1">
      <c r="A43" s="59" t="s">
        <v>654</v>
      </c>
      <c r="B43" s="59" t="s">
        <v>357</v>
      </c>
      <c r="C43" s="26" t="str">
        <f t="array" ref="C43">IF($B43="","",INDEX('Gap reference'!$C$2:$C$60,MATCH($B43,'Gap reference'!$A$2:$A$60,0)))</f>
        <v>Jan 2027</v>
      </c>
      <c r="D43" s="26" t="str">
        <f t="array" ref="D43">IF($B43="","",INDEX('Gap reference'!$D$2:$D$60,MATCH($B43,'Gap reference'!$A$2:$A$60,0)))</f>
        <v>Validate in discovery</v>
      </c>
      <c r="E43" s="26" t="str">
        <f t="array" ref="E43">IF($B43="","",INDEX('Gap reference'!$G$2:$G$60,MATCH($B43,'Gap reference'!$A$2:$A$60,0)))</f>
        <v>Ashwin Manekar</v>
      </c>
      <c r="F43" s="59" t="s">
        <v>109</v>
      </c>
      <c r="G43" s="59" t="s">
        <v>274</v>
      </c>
      <c r="H43" s="59" t="s">
        <v>881</v>
      </c>
      <c r="I43" s="60"/>
      <c r="J43" s="60"/>
      <c r="K43" s="60"/>
      <c r="L43" s="26">
        <f>IF($B43="","",VLOOKUP($C43,Lists!$A$2:$B$10,2,FALSE))</f>
        <v>2</v>
      </c>
      <c r="M43" s="26" t="str">
        <f t="shared" si="2"/>
        <v/>
      </c>
      <c r="N43" s="62"/>
      <c r="O43" s="59" t="s">
        <v>831</v>
      </c>
      <c r="P43" s="35"/>
      <c r="Q43" s="35"/>
      <c r="R43" s="35"/>
      <c r="S43" s="35"/>
      <c r="T43" s="35"/>
      <c r="U43" s="35"/>
      <c r="V43" s="35"/>
      <c r="W43" s="35"/>
      <c r="X43" s="35"/>
      <c r="Y43" s="35"/>
      <c r="Z43" s="35"/>
    </row>
    <row r="44" ht="15.75" customHeight="1">
      <c r="A44" s="47" t="s">
        <v>377</v>
      </c>
      <c r="B44" s="47" t="s">
        <v>630</v>
      </c>
      <c r="C44" s="26" t="str">
        <f t="array" ref="C44">IF($B44="","",INDEX('Gap reference'!$C$2:$C$60,MATCH($B44,'Gap reference'!$A$2:$A$60,0)))</f>
        <v>#N/A</v>
      </c>
      <c r="D44" s="26" t="str">
        <f t="array" ref="D44">IF($B44="","",INDEX('Gap reference'!$D$2:$D$60,MATCH($B44,'Gap reference'!$A$2:$A$60,0)))</f>
        <v>#N/A</v>
      </c>
      <c r="E44" s="26" t="str">
        <f t="array" ref="E44">IF($B44="","",INDEX('Gap reference'!$G$2:$G$60,MATCH($B44,'Gap reference'!$A$2:$A$60,0)))</f>
        <v>#N/A</v>
      </c>
      <c r="F44" s="47" t="s">
        <v>109</v>
      </c>
      <c r="G44" s="48" t="s">
        <v>111</v>
      </c>
      <c r="H44" s="47" t="s">
        <v>893</v>
      </c>
      <c r="I44" s="48"/>
      <c r="J44" s="48"/>
      <c r="K44" s="48" t="s">
        <v>894</v>
      </c>
      <c r="L44" s="26"/>
      <c r="M44" s="26"/>
      <c r="N44" s="73">
        <v>46316.0</v>
      </c>
      <c r="O44" s="47" t="s">
        <v>895</v>
      </c>
      <c r="P44" s="35"/>
      <c r="Q44" s="35"/>
      <c r="R44" s="35"/>
      <c r="S44" s="35"/>
      <c r="T44" s="35"/>
      <c r="U44" s="35"/>
      <c r="V44" s="35"/>
      <c r="W44" s="35"/>
      <c r="X44" s="35"/>
      <c r="Y44" s="35"/>
      <c r="Z44" s="35"/>
    </row>
    <row r="45" ht="15.75" customHeight="1">
      <c r="A45" s="47" t="s">
        <v>377</v>
      </c>
      <c r="B45" s="48" t="s">
        <v>134</v>
      </c>
      <c r="C45" s="26" t="str">
        <f t="array" ref="C45">IF($B45="","",INDEX('Gap reference'!$C$2:$C$60,MATCH($B45,'Gap reference'!$A$2:$A$60,0)))</f>
        <v>Oct 2026</v>
      </c>
      <c r="D45" s="26" t="str">
        <f t="array" ref="D45">IF($B45="","",INDEX('Gap reference'!$D$2:$D$60,MATCH($B45,'Gap reference'!$A$2:$A$60,0)))</f>
        <v>Major blocker</v>
      </c>
      <c r="E45" s="26" t="str">
        <f t="array" ref="E45">IF($B45="","",INDEX('Gap reference'!$G$2:$G$60,MATCH($B45,'Gap reference'!$A$2:$A$60,0)))</f>
        <v>Daphna Shemesh</v>
      </c>
      <c r="F45" s="47" t="s">
        <v>109</v>
      </c>
      <c r="G45" s="47" t="s">
        <v>902</v>
      </c>
      <c r="H45" s="47" t="s">
        <v>903</v>
      </c>
      <c r="I45" s="48"/>
      <c r="J45" s="48"/>
      <c r="K45" s="48" t="s">
        <v>894</v>
      </c>
      <c r="L45" s="26"/>
      <c r="M45" s="26"/>
      <c r="N45" s="73">
        <v>46316.0</v>
      </c>
      <c r="O45" s="47" t="s">
        <v>895</v>
      </c>
      <c r="P45" s="35"/>
      <c r="Q45" s="35"/>
      <c r="R45" s="35"/>
      <c r="S45" s="35"/>
      <c r="T45" s="35"/>
      <c r="U45" s="35"/>
      <c r="V45" s="35"/>
      <c r="W45" s="35"/>
      <c r="X45" s="35"/>
      <c r="Y45" s="35"/>
      <c r="Z45" s="35"/>
    </row>
    <row r="46" ht="15.75" customHeight="1">
      <c r="A46" s="47" t="s">
        <v>377</v>
      </c>
      <c r="B46" s="47" t="s">
        <v>636</v>
      </c>
      <c r="C46" s="26" t="str">
        <f t="array" ref="C46">IF($B46="","",INDEX('Gap reference'!$C$2:$C$60,MATCH($B46,'Gap reference'!$A$2:$A$60,0)))</f>
        <v>#N/A</v>
      </c>
      <c r="D46" s="26" t="str">
        <f t="array" ref="D46">IF($B46="","",INDEX('Gap reference'!$D$2:$D$60,MATCH($B46,'Gap reference'!$A$2:$A$60,0)))</f>
        <v>#N/A</v>
      </c>
      <c r="E46" s="26" t="str">
        <f t="array" ref="E46">IF($B46="","",INDEX('Gap reference'!$G$2:$G$60,MATCH($B46,'Gap reference'!$A$2:$A$60,0)))</f>
        <v>#N/A</v>
      </c>
      <c r="F46" s="47" t="s">
        <v>109</v>
      </c>
      <c r="G46" s="47" t="s">
        <v>902</v>
      </c>
      <c r="H46" s="47" t="s">
        <v>910</v>
      </c>
      <c r="I46" s="48"/>
      <c r="J46" s="48"/>
      <c r="K46" s="48" t="s">
        <v>894</v>
      </c>
      <c r="L46" s="26"/>
      <c r="M46" s="26"/>
      <c r="N46" s="73">
        <v>46316.0</v>
      </c>
      <c r="O46" s="47" t="s">
        <v>895</v>
      </c>
      <c r="P46" s="35"/>
      <c r="Q46" s="35"/>
      <c r="R46" s="35"/>
      <c r="S46" s="35"/>
      <c r="T46" s="35"/>
      <c r="U46" s="35"/>
      <c r="V46" s="35"/>
      <c r="W46" s="35"/>
      <c r="X46" s="35"/>
      <c r="Y46" s="35"/>
      <c r="Z46" s="35"/>
    </row>
    <row r="47" ht="15.75" customHeight="1">
      <c r="A47" s="58" t="s">
        <v>654</v>
      </c>
      <c r="B47" s="59" t="s">
        <v>913</v>
      </c>
      <c r="C47" s="59"/>
      <c r="D47" s="59"/>
      <c r="E47" s="26" t="str">
        <f t="array" ref="E47">IF($B47="","",INDEX('Gap reference'!$G$2:$G$60,MATCH($B47,'Gap reference'!$A$2:$A$60,0)))</f>
        <v>#N/A</v>
      </c>
      <c r="F47" s="59" t="s">
        <v>242</v>
      </c>
      <c r="G47" s="59" t="s">
        <v>111</v>
      </c>
      <c r="H47" s="59" t="s">
        <v>917</v>
      </c>
      <c r="I47" s="59" t="s">
        <v>665</v>
      </c>
      <c r="J47" s="59" t="s">
        <v>242</v>
      </c>
      <c r="K47" s="60"/>
      <c r="L47" s="26"/>
      <c r="M47" s="26"/>
      <c r="N47" s="61">
        <v>46316.0</v>
      </c>
      <c r="O47" s="59" t="s">
        <v>918</v>
      </c>
      <c r="P47" s="35"/>
      <c r="Q47" s="35"/>
      <c r="R47" s="35"/>
      <c r="S47" s="35"/>
      <c r="T47" s="35"/>
      <c r="U47" s="35"/>
      <c r="V47" s="35"/>
      <c r="W47" s="35"/>
      <c r="X47" s="35"/>
      <c r="Y47" s="35"/>
      <c r="Z47" s="35"/>
    </row>
    <row r="48" ht="15.75" customHeight="1">
      <c r="A48" s="59" t="s">
        <v>654</v>
      </c>
      <c r="B48" s="59" t="s">
        <v>919</v>
      </c>
      <c r="C48" s="59"/>
      <c r="D48" s="26" t="str">
        <f t="array" ref="D48">IF($B48="","",INDEX('Gap reference'!$D$2:$D$60,MATCH($B48,'Gap reference'!$A$2:$A$60,0)))</f>
        <v>#N/A</v>
      </c>
      <c r="E48" s="26" t="str">
        <f t="array" ref="E48">IF($B48="","",INDEX('Gap reference'!$G$2:$G$60,MATCH($B48,'Gap reference'!$A$2:$A$60,0)))</f>
        <v>#N/A</v>
      </c>
      <c r="F48" s="59" t="s">
        <v>242</v>
      </c>
      <c r="G48" s="59" t="s">
        <v>111</v>
      </c>
      <c r="H48" s="59" t="s">
        <v>922</v>
      </c>
      <c r="I48" s="59" t="s">
        <v>665</v>
      </c>
      <c r="J48" s="59" t="s">
        <v>242</v>
      </c>
      <c r="K48" s="60"/>
      <c r="L48" s="26"/>
      <c r="M48" s="26"/>
      <c r="N48" s="61">
        <v>46316.0</v>
      </c>
      <c r="O48" s="59" t="s">
        <v>918</v>
      </c>
      <c r="P48" s="35"/>
      <c r="Q48" s="35"/>
      <c r="R48" s="35"/>
      <c r="S48" s="35"/>
      <c r="T48" s="35"/>
      <c r="U48" s="35"/>
      <c r="V48" s="35"/>
      <c r="W48" s="35"/>
      <c r="X48" s="35"/>
      <c r="Y48" s="35"/>
      <c r="Z48" s="35"/>
    </row>
    <row r="49" ht="15.75" customHeight="1">
      <c r="A49" s="47" t="s">
        <v>923</v>
      </c>
      <c r="B49" s="47" t="s">
        <v>469</v>
      </c>
      <c r="C49" s="26" t="str">
        <f t="array" ref="C49">IF($B49="","",INDEX('Gap reference'!$C$2:$C$60,MATCH($B49,'Gap reference'!$A$2:$A$60,0)))</f>
        <v>Jan 2027</v>
      </c>
      <c r="D49" s="26" t="str">
        <f t="array" ref="D49">IF($B49="","",INDEX('Gap reference'!$D$2:$D$60,MATCH($B49,'Gap reference'!$A$2:$A$60,0)))</f>
        <v>Validate in discovery</v>
      </c>
      <c r="E49" s="26" t="str">
        <f t="array" ref="E49">IF($B49="","",INDEX('Gap reference'!$G$2:$G$60,MATCH($B49,'Gap reference'!$A$2:$A$60,0)))</f>
        <v>Elad Shuster</v>
      </c>
      <c r="F49" s="59" t="s">
        <v>242</v>
      </c>
      <c r="G49" s="59" t="s">
        <v>111</v>
      </c>
      <c r="H49" s="48"/>
      <c r="I49" s="48"/>
      <c r="J49" s="59" t="s">
        <v>242</v>
      </c>
      <c r="K49" s="48"/>
      <c r="L49" s="26"/>
      <c r="M49" s="26"/>
      <c r="N49" s="74">
        <v>46321.0</v>
      </c>
      <c r="O49" s="48"/>
      <c r="P49" s="35"/>
      <c r="Q49" s="35"/>
      <c r="R49" s="35"/>
      <c r="S49" s="35"/>
      <c r="T49" s="35"/>
      <c r="U49" s="35"/>
      <c r="V49" s="35"/>
      <c r="W49" s="35"/>
      <c r="X49" s="35"/>
      <c r="Y49" s="35"/>
      <c r="Z49" s="35"/>
    </row>
    <row r="50" ht="15.75" customHeight="1">
      <c r="A50" s="47" t="s">
        <v>923</v>
      </c>
      <c r="B50" s="47" t="s">
        <v>555</v>
      </c>
      <c r="C50" s="26" t="str">
        <f t="array" ref="C50">IF($B50="","",INDEX('Gap reference'!$C$2:$C$60,MATCH($B50,'Gap reference'!$A$2:$A$60,0)))</f>
        <v>No date</v>
      </c>
      <c r="D50" s="26" t="str">
        <f t="array" ref="D50">IF($B50="","",INDEX('Gap reference'!$D$2:$D$60,MATCH($B50,'Gap reference'!$A$2:$A$60,0)))</f>
        <v>Validate in discovery</v>
      </c>
      <c r="E50" s="26" t="str">
        <f t="array" ref="E50">IF($B50="","",INDEX('Gap reference'!$G$2:$G$60,MATCH($B50,'Gap reference'!$A$2:$A$60,0)))</f>
        <v>Daphna Shemesh</v>
      </c>
      <c r="F50" s="59" t="s">
        <v>242</v>
      </c>
      <c r="G50" s="59" t="s">
        <v>111</v>
      </c>
      <c r="H50" s="48"/>
      <c r="I50" s="48"/>
      <c r="J50" s="59" t="s">
        <v>242</v>
      </c>
      <c r="K50" s="48"/>
      <c r="L50" s="26"/>
      <c r="M50" s="26"/>
      <c r="N50" s="74">
        <v>46321.0</v>
      </c>
      <c r="O50" s="48"/>
      <c r="P50" s="35"/>
      <c r="Q50" s="35"/>
      <c r="R50" s="35"/>
      <c r="S50" s="35"/>
      <c r="T50" s="35"/>
      <c r="U50" s="35"/>
      <c r="V50" s="35"/>
      <c r="W50" s="35"/>
      <c r="X50" s="35"/>
      <c r="Y50" s="35"/>
      <c r="Z50" s="35"/>
    </row>
    <row r="51" ht="15.75" customHeight="1">
      <c r="A51" s="48"/>
      <c r="B51" s="48"/>
      <c r="C51" s="26" t="str">
        <f t="array" ref="C51">IF($B51="","",INDEX('Gap reference'!$C$2:$C$60,MATCH($B51,'Gap reference'!$A$2:$A$60,0)))</f>
        <v/>
      </c>
      <c r="D51" s="26" t="str">
        <f t="array" ref="D51">IF($B51="","",INDEX('Gap reference'!$D$2:$D$60,MATCH($B51,'Gap reference'!$A$2:$A$60,0)))</f>
        <v/>
      </c>
      <c r="E51" s="26" t="str">
        <f t="array" ref="E51">IF($B51="","",INDEX('Gap reference'!$G$2:$G$60,MATCH($B51,'Gap reference'!$A$2:$A$60,0)))</f>
        <v/>
      </c>
      <c r="F51" s="48"/>
      <c r="G51" s="48"/>
      <c r="H51" s="48"/>
      <c r="I51" s="48"/>
      <c r="J51" s="48"/>
      <c r="K51" s="48"/>
      <c r="L51" s="26"/>
      <c r="M51" s="26"/>
      <c r="N51" s="75"/>
      <c r="O51" s="48"/>
      <c r="P51" s="35"/>
      <c r="Q51" s="35"/>
      <c r="R51" s="35"/>
      <c r="S51" s="35"/>
      <c r="T51" s="35"/>
      <c r="U51" s="35"/>
      <c r="V51" s="35"/>
      <c r="W51" s="35"/>
      <c r="X51" s="35"/>
      <c r="Y51" s="35"/>
      <c r="Z51" s="35"/>
    </row>
    <row r="52" ht="15.75" customHeight="1">
      <c r="A52" s="48"/>
      <c r="B52" s="48"/>
      <c r="C52" s="26" t="str">
        <f t="array" ref="C52">IF($B52="","",INDEX('Gap reference'!$C$2:$C$60,MATCH($B52,'Gap reference'!$A$2:$A$60,0)))</f>
        <v/>
      </c>
      <c r="D52" s="26" t="str">
        <f t="array" ref="D52">IF($B52="","",INDEX('Gap reference'!$D$2:$D$60,MATCH($B52,'Gap reference'!$A$2:$A$60,0)))</f>
        <v/>
      </c>
      <c r="E52" s="26" t="str">
        <f t="array" ref="E52">IF($B52="","",INDEX('Gap reference'!$G$2:$G$60,MATCH($B52,'Gap reference'!$A$2:$A$60,0)))</f>
        <v/>
      </c>
      <c r="F52" s="48"/>
      <c r="G52" s="48"/>
      <c r="H52" s="48"/>
      <c r="I52" s="48"/>
      <c r="J52" s="48"/>
      <c r="K52" s="48"/>
      <c r="L52" s="26"/>
      <c r="M52" s="26"/>
      <c r="N52" s="75"/>
      <c r="O52" s="48"/>
      <c r="P52" s="35"/>
      <c r="Q52" s="35"/>
      <c r="R52" s="35"/>
      <c r="S52" s="35"/>
      <c r="T52" s="35"/>
      <c r="U52" s="35"/>
      <c r="V52" s="35"/>
      <c r="W52" s="35"/>
      <c r="X52" s="35"/>
      <c r="Y52" s="35"/>
      <c r="Z52" s="35"/>
    </row>
    <row r="53" ht="15.75" customHeight="1">
      <c r="A53" s="48"/>
      <c r="B53" s="48"/>
      <c r="C53" s="26" t="str">
        <f t="array" ref="C53">IF($B53="","",INDEX('Gap reference'!$C$2:$C$60,MATCH($B53,'Gap reference'!$A$2:$A$60,0)))</f>
        <v/>
      </c>
      <c r="D53" s="26" t="str">
        <f t="array" ref="D53">IF($B53="","",INDEX('Gap reference'!$D$2:$D$60,MATCH($B53,'Gap reference'!$A$2:$A$60,0)))</f>
        <v/>
      </c>
      <c r="E53" s="26" t="str">
        <f t="array" ref="E53">IF($B53="","",INDEX('Gap reference'!$G$2:$G$60,MATCH($B53,'Gap reference'!$A$2:$A$60,0)))</f>
        <v/>
      </c>
      <c r="F53" s="48"/>
      <c r="G53" s="48"/>
      <c r="H53" s="48"/>
      <c r="I53" s="48"/>
      <c r="J53" s="48"/>
      <c r="K53" s="48"/>
      <c r="L53" s="26"/>
      <c r="M53" s="26"/>
      <c r="N53" s="75"/>
      <c r="O53" s="48"/>
      <c r="P53" s="35"/>
      <c r="Q53" s="35"/>
      <c r="R53" s="35"/>
      <c r="S53" s="35"/>
      <c r="T53" s="35"/>
      <c r="U53" s="35"/>
      <c r="V53" s="35"/>
      <c r="W53" s="35"/>
      <c r="X53" s="35"/>
      <c r="Y53" s="35"/>
      <c r="Z53" s="35"/>
    </row>
    <row r="54" ht="15.75" customHeight="1">
      <c r="A54" s="48"/>
      <c r="B54" s="48"/>
      <c r="C54" s="26" t="str">
        <f t="array" ref="C54">IF($B54="","",INDEX('Gap reference'!$C$2:$C$60,MATCH($B54,'Gap reference'!$A$2:$A$60,0)))</f>
        <v/>
      </c>
      <c r="D54" s="26" t="str">
        <f t="array" ref="D54">IF($B54="","",INDEX('Gap reference'!$D$2:$D$60,MATCH($B54,'Gap reference'!$A$2:$A$60,0)))</f>
        <v/>
      </c>
      <c r="E54" s="26" t="str">
        <f t="array" ref="E54">IF($B54="","",INDEX('Gap reference'!$G$2:$G$60,MATCH($B54,'Gap reference'!$A$2:$A$60,0)))</f>
        <v/>
      </c>
      <c r="F54" s="48"/>
      <c r="G54" s="48"/>
      <c r="H54" s="48"/>
      <c r="I54" s="48"/>
      <c r="J54" s="48"/>
      <c r="K54" s="48"/>
      <c r="L54" s="26"/>
      <c r="M54" s="26"/>
      <c r="N54" s="75"/>
      <c r="O54" s="48"/>
      <c r="P54" s="35"/>
      <c r="Q54" s="35"/>
      <c r="R54" s="35"/>
      <c r="S54" s="35"/>
      <c r="T54" s="35"/>
      <c r="U54" s="35"/>
      <c r="V54" s="35"/>
      <c r="W54" s="35"/>
      <c r="X54" s="35"/>
      <c r="Y54" s="35"/>
      <c r="Z54" s="35"/>
    </row>
    <row r="55" ht="15.75" customHeight="1">
      <c r="A55" s="48"/>
      <c r="B55" s="48"/>
      <c r="C55" s="26" t="str">
        <f t="array" ref="C55">IF($B55="","",INDEX('Gap reference'!$C$2:$C$60,MATCH($B55,'Gap reference'!$A$2:$A$60,0)))</f>
        <v/>
      </c>
      <c r="D55" s="26" t="str">
        <f t="array" ref="D55">IF($B55="","",INDEX('Gap reference'!$D$2:$D$60,MATCH($B55,'Gap reference'!$A$2:$A$60,0)))</f>
        <v/>
      </c>
      <c r="E55" s="26" t="str">
        <f t="array" ref="E55">IF($B55="","",INDEX('Gap reference'!$G$2:$G$60,MATCH($B55,'Gap reference'!$A$2:$A$60,0)))</f>
        <v/>
      </c>
      <c r="F55" s="48"/>
      <c r="G55" s="48"/>
      <c r="H55" s="48"/>
      <c r="I55" s="48"/>
      <c r="J55" s="48"/>
      <c r="K55" s="48"/>
      <c r="L55" s="26"/>
      <c r="M55" s="26"/>
      <c r="N55" s="75"/>
      <c r="O55" s="48"/>
      <c r="P55" s="35"/>
      <c r="Q55" s="35"/>
      <c r="R55" s="35"/>
      <c r="S55" s="35"/>
      <c r="T55" s="35"/>
      <c r="U55" s="35"/>
      <c r="V55" s="35"/>
      <c r="W55" s="35"/>
      <c r="X55" s="35"/>
      <c r="Y55" s="35"/>
      <c r="Z55" s="35"/>
    </row>
    <row r="56" ht="15.75" customHeight="1">
      <c r="A56" s="48"/>
      <c r="B56" s="48"/>
      <c r="C56" s="26" t="str">
        <f t="array" ref="C56">IF($B56="","",INDEX('Gap reference'!$C$2:$C$60,MATCH($B56,'Gap reference'!$A$2:$A$60,0)))</f>
        <v/>
      </c>
      <c r="D56" s="26" t="str">
        <f t="array" ref="D56">IF($B56="","",INDEX('Gap reference'!$D$2:$D$60,MATCH($B56,'Gap reference'!$A$2:$A$60,0)))</f>
        <v/>
      </c>
      <c r="E56" s="26" t="str">
        <f t="array" ref="E56">IF($B56="","",INDEX('Gap reference'!$G$2:$G$60,MATCH($B56,'Gap reference'!$A$2:$A$60,0)))</f>
        <v/>
      </c>
      <c r="F56" s="48"/>
      <c r="G56" s="48"/>
      <c r="H56" s="48"/>
      <c r="I56" s="48"/>
      <c r="J56" s="48"/>
      <c r="K56" s="48"/>
      <c r="L56" s="26"/>
      <c r="M56" s="26"/>
      <c r="N56" s="75"/>
      <c r="O56" s="48"/>
      <c r="P56" s="35"/>
      <c r="Q56" s="35"/>
      <c r="R56" s="35"/>
      <c r="S56" s="35"/>
      <c r="T56" s="35"/>
      <c r="U56" s="35"/>
      <c r="V56" s="35"/>
      <c r="W56" s="35"/>
      <c r="X56" s="35"/>
      <c r="Y56" s="35"/>
      <c r="Z56" s="35"/>
    </row>
    <row r="57" ht="15.75" customHeight="1">
      <c r="A57" s="48"/>
      <c r="B57" s="48"/>
      <c r="C57" s="26" t="str">
        <f t="array" ref="C57">IF($B57="","",INDEX('Gap reference'!$C$2:$C$60,MATCH($B57,'Gap reference'!$A$2:$A$60,0)))</f>
        <v/>
      </c>
      <c r="D57" s="26" t="str">
        <f t="array" ref="D57">IF($B57="","",INDEX('Gap reference'!$D$2:$D$60,MATCH($B57,'Gap reference'!$A$2:$A$60,0)))</f>
        <v/>
      </c>
      <c r="E57" s="26" t="str">
        <f t="array" ref="E57">IF($B57="","",INDEX('Gap reference'!$G$2:$G$60,MATCH($B57,'Gap reference'!$A$2:$A$60,0)))</f>
        <v/>
      </c>
      <c r="F57" s="48"/>
      <c r="G57" s="48"/>
      <c r="H57" s="48"/>
      <c r="I57" s="48"/>
      <c r="J57" s="48"/>
      <c r="K57" s="48"/>
      <c r="L57" s="26"/>
      <c r="M57" s="26"/>
      <c r="N57" s="75"/>
      <c r="O57" s="48"/>
      <c r="P57" s="35"/>
      <c r="Q57" s="35"/>
      <c r="R57" s="35"/>
      <c r="S57" s="35"/>
      <c r="T57" s="35"/>
      <c r="U57" s="35"/>
      <c r="V57" s="35"/>
      <c r="W57" s="35"/>
      <c r="X57" s="35"/>
      <c r="Y57" s="35"/>
      <c r="Z57" s="35"/>
    </row>
    <row r="58" ht="15.75" customHeight="1">
      <c r="A58" s="48"/>
      <c r="B58" s="48"/>
      <c r="C58" s="26" t="str">
        <f t="array" ref="C58">IF($B58="","",INDEX('Gap reference'!$C$2:$C$60,MATCH($B58,'Gap reference'!$A$2:$A$60,0)))</f>
        <v/>
      </c>
      <c r="D58" s="26" t="str">
        <f t="array" ref="D58">IF($B58="","",INDEX('Gap reference'!$D$2:$D$60,MATCH($B58,'Gap reference'!$A$2:$A$60,0)))</f>
        <v/>
      </c>
      <c r="E58" s="26" t="str">
        <f t="array" ref="E58">IF($B58="","",INDEX('Gap reference'!$G$2:$G$60,MATCH($B58,'Gap reference'!$A$2:$A$60,0)))</f>
        <v/>
      </c>
      <c r="F58" s="48"/>
      <c r="G58" s="48"/>
      <c r="H58" s="48"/>
      <c r="I58" s="48"/>
      <c r="J58" s="48"/>
      <c r="K58" s="48"/>
      <c r="L58" s="26"/>
      <c r="M58" s="26"/>
      <c r="N58" s="75"/>
      <c r="O58" s="48"/>
      <c r="P58" s="35"/>
      <c r="Q58" s="35"/>
      <c r="R58" s="35"/>
      <c r="S58" s="35"/>
      <c r="T58" s="35"/>
      <c r="U58" s="35"/>
      <c r="V58" s="35"/>
      <c r="W58" s="35"/>
      <c r="X58" s="35"/>
      <c r="Y58" s="35"/>
      <c r="Z58" s="35"/>
    </row>
    <row r="59" ht="15.75" customHeight="1">
      <c r="A59" s="48"/>
      <c r="B59" s="48"/>
      <c r="C59" s="26" t="str">
        <f t="array" ref="C59">IF($B59="","",INDEX('Gap reference'!$C$2:$C$60,MATCH($B59,'Gap reference'!$A$2:$A$60,0)))</f>
        <v/>
      </c>
      <c r="D59" s="26" t="str">
        <f t="array" ref="D59">IF($B59="","",INDEX('Gap reference'!$D$2:$D$60,MATCH($B59,'Gap reference'!$A$2:$A$60,0)))</f>
        <v/>
      </c>
      <c r="E59" s="26" t="str">
        <f t="array" ref="E59">IF($B59="","",INDEX('Gap reference'!$G$2:$G$60,MATCH($B59,'Gap reference'!$A$2:$A$60,0)))</f>
        <v/>
      </c>
      <c r="F59" s="48"/>
      <c r="G59" s="48"/>
      <c r="H59" s="48"/>
      <c r="I59" s="48"/>
      <c r="J59" s="48"/>
      <c r="K59" s="48"/>
      <c r="L59" s="26"/>
      <c r="M59" s="26"/>
      <c r="N59" s="75"/>
      <c r="O59" s="48"/>
      <c r="P59" s="35"/>
      <c r="Q59" s="35"/>
      <c r="R59" s="35"/>
      <c r="S59" s="35"/>
      <c r="T59" s="35"/>
      <c r="U59" s="35"/>
      <c r="V59" s="35"/>
      <c r="W59" s="35"/>
      <c r="X59" s="35"/>
      <c r="Y59" s="35"/>
      <c r="Z59" s="35"/>
    </row>
    <row r="60" ht="15.75" customHeight="1">
      <c r="A60" s="48"/>
      <c r="B60" s="48"/>
      <c r="C60" s="26" t="str">
        <f t="array" ref="C60">IF($B60="","",INDEX('Gap reference'!$C$2:$C$60,MATCH($B60,'Gap reference'!$A$2:$A$60,0)))</f>
        <v/>
      </c>
      <c r="D60" s="26" t="str">
        <f t="array" ref="D60">IF($B60="","",INDEX('Gap reference'!$D$2:$D$60,MATCH($B60,'Gap reference'!$A$2:$A$60,0)))</f>
        <v/>
      </c>
      <c r="E60" s="26" t="str">
        <f t="array" ref="E60">IF($B60="","",INDEX('Gap reference'!$G$2:$G$60,MATCH($B60,'Gap reference'!$A$2:$A$60,0)))</f>
        <v/>
      </c>
      <c r="F60" s="48"/>
      <c r="G60" s="48"/>
      <c r="H60" s="48"/>
      <c r="I60" s="48"/>
      <c r="J60" s="48"/>
      <c r="K60" s="48"/>
      <c r="L60" s="26"/>
      <c r="M60" s="26"/>
      <c r="N60" s="75"/>
      <c r="O60" s="48"/>
      <c r="P60" s="35"/>
      <c r="Q60" s="35"/>
      <c r="R60" s="35"/>
      <c r="S60" s="35"/>
      <c r="T60" s="35"/>
      <c r="U60" s="35"/>
      <c r="V60" s="35"/>
      <c r="W60" s="35"/>
      <c r="X60" s="35"/>
      <c r="Y60" s="35"/>
      <c r="Z60" s="35"/>
    </row>
    <row r="61" ht="15.75" customHeight="1">
      <c r="A61" s="48"/>
      <c r="B61" s="48"/>
      <c r="C61" s="26" t="str">
        <f t="array" ref="C61">IF($B61="","",INDEX('Gap reference'!$C$2:$C$60,MATCH($B61,'Gap reference'!$A$2:$A$60,0)))</f>
        <v/>
      </c>
      <c r="D61" s="26" t="str">
        <f t="array" ref="D61">IF($B61="","",INDEX('Gap reference'!$D$2:$D$60,MATCH($B61,'Gap reference'!$A$2:$A$60,0)))</f>
        <v/>
      </c>
      <c r="E61" s="26" t="str">
        <f t="array" ref="E61">IF($B61="","",INDEX('Gap reference'!$G$2:$G$60,MATCH($B61,'Gap reference'!$A$2:$A$60,0)))</f>
        <v/>
      </c>
      <c r="F61" s="48"/>
      <c r="G61" s="48"/>
      <c r="H61" s="48"/>
      <c r="I61" s="48"/>
      <c r="J61" s="48"/>
      <c r="K61" s="48"/>
      <c r="L61" s="26"/>
      <c r="M61" s="26"/>
      <c r="N61" s="75"/>
      <c r="O61" s="48"/>
      <c r="P61" s="35"/>
      <c r="Q61" s="35"/>
      <c r="R61" s="35"/>
      <c r="S61" s="35"/>
      <c r="T61" s="35"/>
      <c r="U61" s="35"/>
      <c r="V61" s="35"/>
      <c r="W61" s="35"/>
      <c r="X61" s="35"/>
      <c r="Y61" s="35"/>
      <c r="Z61" s="35"/>
    </row>
    <row r="62" ht="15.75" customHeight="1">
      <c r="A62" s="48"/>
      <c r="B62" s="48"/>
      <c r="C62" s="26" t="str">
        <f t="array" ref="C62">IF($B62="","",INDEX('Gap reference'!$C$2:$C$60,MATCH($B62,'Gap reference'!$A$2:$A$60,0)))</f>
        <v/>
      </c>
      <c r="D62" s="26" t="str">
        <f t="array" ref="D62">IF($B62="","",INDEX('Gap reference'!$D$2:$D$60,MATCH($B62,'Gap reference'!$A$2:$A$60,0)))</f>
        <v/>
      </c>
      <c r="E62" s="26" t="str">
        <f t="array" ref="E62">IF($B62="","",INDEX('Gap reference'!$G$2:$G$60,MATCH($B62,'Gap reference'!$A$2:$A$60,0)))</f>
        <v/>
      </c>
      <c r="F62" s="48"/>
      <c r="G62" s="48"/>
      <c r="H62" s="48"/>
      <c r="I62" s="48"/>
      <c r="J62" s="48"/>
      <c r="K62" s="48"/>
      <c r="L62" s="26"/>
      <c r="M62" s="26"/>
      <c r="N62" s="75"/>
      <c r="O62" s="48"/>
      <c r="P62" s="35"/>
      <c r="Q62" s="35"/>
      <c r="R62" s="35"/>
      <c r="S62" s="35"/>
      <c r="T62" s="35"/>
      <c r="U62" s="35"/>
      <c r="V62" s="35"/>
      <c r="W62" s="35"/>
      <c r="X62" s="35"/>
      <c r="Y62" s="35"/>
      <c r="Z62" s="35"/>
    </row>
    <row r="63" ht="15.75" customHeight="1">
      <c r="A63" s="48"/>
      <c r="B63" s="48"/>
      <c r="C63" s="26" t="str">
        <f t="array" ref="C63">IF($B63="","",INDEX('Gap reference'!$C$2:$C$60,MATCH($B63,'Gap reference'!$A$2:$A$60,0)))</f>
        <v/>
      </c>
      <c r="D63" s="26" t="str">
        <f t="array" ref="D63">IF($B63="","",INDEX('Gap reference'!$D$2:$D$60,MATCH($B63,'Gap reference'!$A$2:$A$60,0)))</f>
        <v/>
      </c>
      <c r="E63" s="26" t="str">
        <f t="array" ref="E63">IF($B63="","",INDEX('Gap reference'!$G$2:$G$60,MATCH($B63,'Gap reference'!$A$2:$A$60,0)))</f>
        <v/>
      </c>
      <c r="F63" s="48"/>
      <c r="G63" s="48"/>
      <c r="H63" s="48"/>
      <c r="I63" s="48"/>
      <c r="J63" s="48"/>
      <c r="K63" s="48"/>
      <c r="L63" s="26"/>
      <c r="M63" s="26"/>
      <c r="N63" s="75"/>
      <c r="O63" s="48"/>
      <c r="P63" s="35"/>
      <c r="Q63" s="35"/>
      <c r="R63" s="35"/>
      <c r="S63" s="35"/>
      <c r="T63" s="35"/>
      <c r="U63" s="35"/>
      <c r="V63" s="35"/>
      <c r="W63" s="35"/>
      <c r="X63" s="35"/>
      <c r="Y63" s="35"/>
      <c r="Z63" s="35"/>
    </row>
    <row r="64" ht="15.75" customHeight="1">
      <c r="A64" s="48"/>
      <c r="B64" s="48"/>
      <c r="C64" s="26" t="str">
        <f t="array" ref="C64">IF($B64="","",INDEX('Gap reference'!$C$2:$C$60,MATCH($B64,'Gap reference'!$A$2:$A$60,0)))</f>
        <v/>
      </c>
      <c r="D64" s="26" t="str">
        <f t="array" ref="D64">IF($B64="","",INDEX('Gap reference'!$D$2:$D$60,MATCH($B64,'Gap reference'!$A$2:$A$60,0)))</f>
        <v/>
      </c>
      <c r="E64" s="26" t="str">
        <f t="array" ref="E64">IF($B64="","",INDEX('Gap reference'!$G$2:$G$60,MATCH($B64,'Gap reference'!$A$2:$A$60,0)))</f>
        <v/>
      </c>
      <c r="F64" s="48"/>
      <c r="G64" s="48"/>
      <c r="H64" s="48"/>
      <c r="I64" s="48"/>
      <c r="J64" s="48"/>
      <c r="K64" s="48"/>
      <c r="L64" s="26"/>
      <c r="M64" s="26"/>
      <c r="N64" s="75"/>
      <c r="O64" s="48"/>
      <c r="P64" s="35"/>
      <c r="Q64" s="35"/>
      <c r="R64" s="35"/>
      <c r="S64" s="35"/>
      <c r="T64" s="35"/>
      <c r="U64" s="35"/>
      <c r="V64" s="35"/>
      <c r="W64" s="35"/>
      <c r="X64" s="35"/>
      <c r="Y64" s="35"/>
      <c r="Z64" s="35"/>
    </row>
    <row r="65" ht="15.75" customHeight="1">
      <c r="A65" s="48"/>
      <c r="B65" s="48"/>
      <c r="C65" s="26" t="str">
        <f t="array" ref="C65">IF($B65="","",INDEX('Gap reference'!$C$2:$C$60,MATCH($B65,'Gap reference'!$A$2:$A$60,0)))</f>
        <v/>
      </c>
      <c r="D65" s="26" t="str">
        <f t="array" ref="D65">IF($B65="","",INDEX('Gap reference'!$D$2:$D$60,MATCH($B65,'Gap reference'!$A$2:$A$60,0)))</f>
        <v/>
      </c>
      <c r="E65" s="26" t="str">
        <f t="array" ref="E65">IF($B65="","",INDEX('Gap reference'!$G$2:$G$60,MATCH($B65,'Gap reference'!$A$2:$A$60,0)))</f>
        <v/>
      </c>
      <c r="F65" s="48"/>
      <c r="G65" s="48"/>
      <c r="H65" s="48"/>
      <c r="I65" s="48"/>
      <c r="J65" s="48"/>
      <c r="K65" s="48"/>
      <c r="L65" s="26"/>
      <c r="M65" s="26"/>
      <c r="N65" s="75"/>
      <c r="O65" s="48"/>
      <c r="P65" s="35"/>
      <c r="Q65" s="35"/>
      <c r="R65" s="35"/>
      <c r="S65" s="35"/>
      <c r="T65" s="35"/>
      <c r="U65" s="35"/>
      <c r="V65" s="35"/>
      <c r="W65" s="35"/>
      <c r="X65" s="35"/>
      <c r="Y65" s="35"/>
      <c r="Z65" s="35"/>
    </row>
    <row r="66" ht="15.75" customHeight="1">
      <c r="A66" s="48"/>
      <c r="B66" s="48"/>
      <c r="C66" s="26" t="str">
        <f t="array" ref="C66">IF($B66="","",INDEX('Gap reference'!$C$2:$C$60,MATCH($B66,'Gap reference'!$A$2:$A$60,0)))</f>
        <v/>
      </c>
      <c r="D66" s="26" t="str">
        <f t="array" ref="D66">IF($B66="","",INDEX('Gap reference'!$D$2:$D$60,MATCH($B66,'Gap reference'!$A$2:$A$60,0)))</f>
        <v/>
      </c>
      <c r="E66" s="26" t="str">
        <f t="array" ref="E66">IF($B66="","",INDEX('Gap reference'!$G$2:$G$60,MATCH($B66,'Gap reference'!$A$2:$A$60,0)))</f>
        <v/>
      </c>
      <c r="F66" s="48"/>
      <c r="G66" s="48"/>
      <c r="H66" s="48"/>
      <c r="I66" s="48"/>
      <c r="J66" s="48"/>
      <c r="K66" s="48"/>
      <c r="L66" s="26"/>
      <c r="M66" s="26"/>
      <c r="N66" s="75"/>
      <c r="O66" s="48"/>
      <c r="P66" s="35"/>
      <c r="Q66" s="35"/>
      <c r="R66" s="35"/>
      <c r="S66" s="35"/>
      <c r="T66" s="35"/>
      <c r="U66" s="35"/>
      <c r="V66" s="35"/>
      <c r="W66" s="35"/>
      <c r="X66" s="35"/>
      <c r="Y66" s="35"/>
      <c r="Z66" s="35"/>
    </row>
    <row r="67" ht="15.75" customHeight="1">
      <c r="A67" s="48"/>
      <c r="B67" s="48"/>
      <c r="C67" s="26" t="str">
        <f t="array" ref="C67">IF($B67="","",INDEX('Gap reference'!$C$2:$C$60,MATCH($B67,'Gap reference'!$A$2:$A$60,0)))</f>
        <v/>
      </c>
      <c r="D67" s="26" t="str">
        <f t="array" ref="D67">IF($B67="","",INDEX('Gap reference'!$D$2:$D$60,MATCH($B67,'Gap reference'!$A$2:$A$60,0)))</f>
        <v/>
      </c>
      <c r="E67" s="26" t="str">
        <f t="array" ref="E67">IF($B67="","",INDEX('Gap reference'!$G$2:$G$60,MATCH($B67,'Gap reference'!$A$2:$A$60,0)))</f>
        <v/>
      </c>
      <c r="F67" s="48"/>
      <c r="G67" s="48"/>
      <c r="H67" s="48"/>
      <c r="I67" s="48"/>
      <c r="J67" s="48"/>
      <c r="K67" s="48"/>
      <c r="L67" s="26"/>
      <c r="M67" s="26"/>
      <c r="N67" s="75"/>
      <c r="O67" s="48"/>
      <c r="P67" s="35"/>
      <c r="Q67" s="35"/>
      <c r="R67" s="35"/>
      <c r="S67" s="35"/>
      <c r="T67" s="35"/>
      <c r="U67" s="35"/>
      <c r="V67" s="35"/>
      <c r="W67" s="35"/>
      <c r="X67" s="35"/>
      <c r="Y67" s="35"/>
      <c r="Z67" s="35"/>
    </row>
    <row r="68" ht="15.75" customHeight="1">
      <c r="A68" s="48"/>
      <c r="B68" s="48"/>
      <c r="C68" s="26" t="str">
        <f t="array" ref="C68">IF($B68="","",INDEX('Gap reference'!$C$2:$C$60,MATCH($B68,'Gap reference'!$A$2:$A$60,0)))</f>
        <v/>
      </c>
      <c r="D68" s="26" t="str">
        <f t="array" ref="D68">IF($B68="","",INDEX('Gap reference'!$D$2:$D$60,MATCH($B68,'Gap reference'!$A$2:$A$60,0)))</f>
        <v/>
      </c>
      <c r="E68" s="26" t="str">
        <f t="array" ref="E68">IF($B68="","",INDEX('Gap reference'!$G$2:$G$60,MATCH($B68,'Gap reference'!$A$2:$A$60,0)))</f>
        <v/>
      </c>
      <c r="F68" s="48"/>
      <c r="G68" s="48"/>
      <c r="H68" s="48"/>
      <c r="I68" s="48"/>
      <c r="J68" s="48"/>
      <c r="K68" s="48"/>
      <c r="L68" s="26"/>
      <c r="M68" s="26"/>
      <c r="N68" s="75"/>
      <c r="O68" s="48"/>
      <c r="P68" s="35"/>
      <c r="Q68" s="35"/>
      <c r="R68" s="35"/>
      <c r="S68" s="35"/>
      <c r="T68" s="35"/>
      <c r="U68" s="35"/>
      <c r="V68" s="35"/>
      <c r="W68" s="35"/>
      <c r="X68" s="35"/>
      <c r="Y68" s="35"/>
      <c r="Z68" s="35"/>
    </row>
    <row r="69" ht="15.75" customHeight="1">
      <c r="A69" s="48"/>
      <c r="B69" s="48"/>
      <c r="C69" s="26" t="str">
        <f t="array" ref="C69">IF($B69="","",INDEX('Gap reference'!$C$2:$C$60,MATCH($B69,'Gap reference'!$A$2:$A$60,0)))</f>
        <v/>
      </c>
      <c r="D69" s="26" t="str">
        <f t="array" ref="D69">IF($B69="","",INDEX('Gap reference'!$D$2:$D$60,MATCH($B69,'Gap reference'!$A$2:$A$60,0)))</f>
        <v/>
      </c>
      <c r="E69" s="26" t="str">
        <f t="array" ref="E69">IF($B69="","",INDEX('Gap reference'!$G$2:$G$60,MATCH($B69,'Gap reference'!$A$2:$A$60,0)))</f>
        <v/>
      </c>
      <c r="F69" s="48"/>
      <c r="G69" s="48"/>
      <c r="H69" s="48"/>
      <c r="I69" s="48"/>
      <c r="J69" s="48"/>
      <c r="K69" s="48"/>
      <c r="L69" s="26"/>
      <c r="M69" s="26"/>
      <c r="N69" s="75"/>
      <c r="O69" s="48"/>
      <c r="P69" s="35"/>
      <c r="Q69" s="35"/>
      <c r="R69" s="35"/>
      <c r="S69" s="35"/>
      <c r="T69" s="35"/>
      <c r="U69" s="35"/>
      <c r="V69" s="35"/>
      <c r="W69" s="35"/>
      <c r="X69" s="35"/>
      <c r="Y69" s="35"/>
      <c r="Z69" s="35"/>
    </row>
    <row r="70" ht="15.75" customHeight="1">
      <c r="A70" s="48"/>
      <c r="B70" s="48"/>
      <c r="C70" s="26" t="str">
        <f t="array" ref="C70">IF($B70="","",INDEX('Gap reference'!$C$2:$C$60,MATCH($B70,'Gap reference'!$A$2:$A$60,0)))</f>
        <v/>
      </c>
      <c r="D70" s="26" t="str">
        <f t="array" ref="D70">IF($B70="","",INDEX('Gap reference'!$D$2:$D$60,MATCH($B70,'Gap reference'!$A$2:$A$60,0)))</f>
        <v/>
      </c>
      <c r="E70" s="26" t="str">
        <f t="array" ref="E70">IF($B70="","",INDEX('Gap reference'!$G$2:$G$60,MATCH($B70,'Gap reference'!$A$2:$A$60,0)))</f>
        <v/>
      </c>
      <c r="F70" s="48"/>
      <c r="G70" s="48"/>
      <c r="H70" s="48"/>
      <c r="I70" s="48"/>
      <c r="J70" s="48"/>
      <c r="K70" s="48"/>
      <c r="L70" s="26"/>
      <c r="M70" s="26"/>
      <c r="N70" s="75"/>
      <c r="O70" s="48"/>
      <c r="P70" s="35"/>
      <c r="Q70" s="35"/>
      <c r="R70" s="35"/>
      <c r="S70" s="35"/>
      <c r="T70" s="35"/>
      <c r="U70" s="35"/>
      <c r="V70" s="35"/>
      <c r="W70" s="35"/>
      <c r="X70" s="35"/>
      <c r="Y70" s="35"/>
      <c r="Z70" s="35"/>
    </row>
    <row r="71" ht="15.75" customHeight="1">
      <c r="A71" s="48"/>
      <c r="B71" s="48"/>
      <c r="C71" s="26" t="str">
        <f t="array" ref="C71">IF($B71="","",INDEX('Gap reference'!$C$2:$C$60,MATCH($B71,'Gap reference'!$A$2:$A$60,0)))</f>
        <v/>
      </c>
      <c r="D71" s="26" t="str">
        <f t="array" ref="D71">IF($B71="","",INDEX('Gap reference'!$D$2:$D$60,MATCH($B71,'Gap reference'!$A$2:$A$60,0)))</f>
        <v/>
      </c>
      <c r="E71" s="26" t="str">
        <f t="array" ref="E71">IF($B71="","",INDEX('Gap reference'!$G$2:$G$60,MATCH($B71,'Gap reference'!$A$2:$A$60,0)))</f>
        <v/>
      </c>
      <c r="F71" s="48"/>
      <c r="G71" s="48"/>
      <c r="H71" s="48"/>
      <c r="I71" s="48"/>
      <c r="J71" s="48"/>
      <c r="K71" s="48"/>
      <c r="L71" s="26"/>
      <c r="M71" s="26"/>
      <c r="N71" s="75"/>
      <c r="O71" s="48"/>
      <c r="P71" s="35"/>
      <c r="Q71" s="35"/>
      <c r="R71" s="35"/>
      <c r="S71" s="35"/>
      <c r="T71" s="35"/>
      <c r="U71" s="35"/>
      <c r="V71" s="35"/>
      <c r="W71" s="35"/>
      <c r="X71" s="35"/>
      <c r="Y71" s="35"/>
      <c r="Z71" s="35"/>
    </row>
    <row r="72" ht="15.75" customHeight="1">
      <c r="A72" s="48"/>
      <c r="B72" s="48"/>
      <c r="C72" s="26" t="str">
        <f t="array" ref="C72">IF($B72="","",INDEX('Gap reference'!$C$2:$C$60,MATCH($B72,'Gap reference'!$A$2:$A$60,0)))</f>
        <v/>
      </c>
      <c r="D72" s="26" t="str">
        <f t="array" ref="D72">IF($B72="","",INDEX('Gap reference'!$D$2:$D$60,MATCH($B72,'Gap reference'!$A$2:$A$60,0)))</f>
        <v/>
      </c>
      <c r="E72" s="26" t="str">
        <f t="array" ref="E72">IF($B72="","",INDEX('Gap reference'!$G$2:$G$60,MATCH($B72,'Gap reference'!$A$2:$A$60,0)))</f>
        <v/>
      </c>
      <c r="F72" s="48"/>
      <c r="G72" s="48"/>
      <c r="H72" s="48"/>
      <c r="I72" s="48"/>
      <c r="J72" s="48"/>
      <c r="K72" s="48"/>
      <c r="L72" s="26"/>
      <c r="M72" s="26"/>
      <c r="N72" s="75"/>
      <c r="O72" s="48"/>
      <c r="P72" s="35"/>
      <c r="Q72" s="35"/>
      <c r="R72" s="35"/>
      <c r="S72" s="35"/>
      <c r="T72" s="35"/>
      <c r="U72" s="35"/>
      <c r="V72" s="35"/>
      <c r="W72" s="35"/>
      <c r="X72" s="35"/>
      <c r="Y72" s="35"/>
      <c r="Z72" s="35"/>
    </row>
    <row r="73" ht="15.75" customHeight="1">
      <c r="A73" s="48"/>
      <c r="B73" s="48"/>
      <c r="C73" s="26" t="str">
        <f t="array" ref="C73">IF($B73="","",INDEX('Gap reference'!$C$2:$C$60,MATCH($B73,'Gap reference'!$A$2:$A$60,0)))</f>
        <v/>
      </c>
      <c r="D73" s="26" t="str">
        <f t="array" ref="D73">IF($B73="","",INDEX('Gap reference'!$D$2:$D$60,MATCH($B73,'Gap reference'!$A$2:$A$60,0)))</f>
        <v/>
      </c>
      <c r="E73" s="26" t="str">
        <f t="array" ref="E73">IF($B73="","",INDEX('Gap reference'!$G$2:$G$60,MATCH($B73,'Gap reference'!$A$2:$A$60,0)))</f>
        <v/>
      </c>
      <c r="F73" s="48"/>
      <c r="G73" s="48"/>
      <c r="H73" s="48"/>
      <c r="I73" s="48"/>
      <c r="J73" s="48"/>
      <c r="K73" s="48"/>
      <c r="L73" s="26"/>
      <c r="M73" s="26"/>
      <c r="N73" s="75"/>
      <c r="O73" s="48"/>
      <c r="P73" s="35"/>
      <c r="Q73" s="35"/>
      <c r="R73" s="35"/>
      <c r="S73" s="35"/>
      <c r="T73" s="35"/>
      <c r="U73" s="35"/>
      <c r="V73" s="35"/>
      <c r="W73" s="35"/>
      <c r="X73" s="35"/>
      <c r="Y73" s="35"/>
      <c r="Z73" s="35"/>
    </row>
    <row r="74" ht="15.75" customHeight="1">
      <c r="A74" s="48"/>
      <c r="B74" s="48"/>
      <c r="C74" s="26" t="str">
        <f t="array" ref="C74">IF($B74="","",INDEX('Gap reference'!$C$2:$C$60,MATCH($B74,'Gap reference'!$A$2:$A$60,0)))</f>
        <v/>
      </c>
      <c r="D74" s="26" t="str">
        <f t="array" ref="D74">IF($B74="","",INDEX('Gap reference'!$D$2:$D$60,MATCH($B74,'Gap reference'!$A$2:$A$60,0)))</f>
        <v/>
      </c>
      <c r="E74" s="26" t="str">
        <f t="array" ref="E74">IF($B74="","",INDEX('Gap reference'!$G$2:$G$60,MATCH($B74,'Gap reference'!$A$2:$A$60,0)))</f>
        <v/>
      </c>
      <c r="F74" s="48"/>
      <c r="G74" s="48"/>
      <c r="H74" s="48"/>
      <c r="I74" s="48"/>
      <c r="J74" s="48"/>
      <c r="K74" s="48"/>
      <c r="L74" s="26"/>
      <c r="M74" s="26"/>
      <c r="N74" s="75"/>
      <c r="O74" s="48"/>
      <c r="P74" s="35"/>
      <c r="Q74" s="35"/>
      <c r="R74" s="35"/>
      <c r="S74" s="35"/>
      <c r="T74" s="35"/>
      <c r="U74" s="35"/>
      <c r="V74" s="35"/>
      <c r="W74" s="35"/>
      <c r="X74" s="35"/>
      <c r="Y74" s="35"/>
      <c r="Z74" s="35"/>
    </row>
    <row r="75" ht="15.75" customHeight="1">
      <c r="A75" s="48"/>
      <c r="B75" s="48"/>
      <c r="C75" s="26" t="str">
        <f t="array" ref="C75">IF($B75="","",INDEX('Gap reference'!$C$2:$C$60,MATCH($B75,'Gap reference'!$A$2:$A$60,0)))</f>
        <v/>
      </c>
      <c r="D75" s="26" t="str">
        <f t="array" ref="D75">IF($B75="","",INDEX('Gap reference'!$D$2:$D$60,MATCH($B75,'Gap reference'!$A$2:$A$60,0)))</f>
        <v/>
      </c>
      <c r="E75" s="26" t="str">
        <f t="array" ref="E75">IF($B75="","",INDEX('Gap reference'!$G$2:$G$60,MATCH($B75,'Gap reference'!$A$2:$A$60,0)))</f>
        <v/>
      </c>
      <c r="F75" s="48"/>
      <c r="G75" s="48"/>
      <c r="H75" s="48"/>
      <c r="I75" s="48"/>
      <c r="J75" s="48"/>
      <c r="K75" s="48"/>
      <c r="L75" s="26"/>
      <c r="M75" s="26"/>
      <c r="N75" s="75"/>
      <c r="O75" s="48"/>
      <c r="P75" s="35"/>
      <c r="Q75" s="35"/>
      <c r="R75" s="35"/>
      <c r="S75" s="35"/>
      <c r="T75" s="35"/>
      <c r="U75" s="35"/>
      <c r="V75" s="35"/>
      <c r="W75" s="35"/>
      <c r="X75" s="35"/>
      <c r="Y75" s="35"/>
      <c r="Z75" s="35"/>
    </row>
    <row r="76" ht="15.75" customHeight="1">
      <c r="A76" s="48"/>
      <c r="B76" s="48"/>
      <c r="C76" s="26" t="str">
        <f t="array" ref="C76">IF($B76="","",INDEX('Gap reference'!$C$2:$C$60,MATCH($B76,'Gap reference'!$A$2:$A$60,0)))</f>
        <v/>
      </c>
      <c r="D76" s="26" t="str">
        <f t="array" ref="D76">IF($B76="","",INDEX('Gap reference'!$D$2:$D$60,MATCH($B76,'Gap reference'!$A$2:$A$60,0)))</f>
        <v/>
      </c>
      <c r="E76" s="26" t="str">
        <f t="array" ref="E76">IF($B76="","",INDEX('Gap reference'!$G$2:$G$60,MATCH($B76,'Gap reference'!$A$2:$A$60,0)))</f>
        <v/>
      </c>
      <c r="F76" s="48"/>
      <c r="G76" s="48"/>
      <c r="H76" s="48"/>
      <c r="I76" s="48"/>
      <c r="J76" s="48"/>
      <c r="K76" s="48"/>
      <c r="L76" s="26"/>
      <c r="M76" s="26"/>
      <c r="N76" s="75"/>
      <c r="O76" s="48"/>
      <c r="P76" s="35"/>
      <c r="Q76" s="35"/>
      <c r="R76" s="35"/>
      <c r="S76" s="35"/>
      <c r="T76" s="35"/>
      <c r="U76" s="35"/>
      <c r="V76" s="35"/>
      <c r="W76" s="35"/>
      <c r="X76" s="35"/>
      <c r="Y76" s="35"/>
      <c r="Z76" s="35"/>
    </row>
    <row r="77" ht="15.75" customHeight="1">
      <c r="A77" s="48"/>
      <c r="B77" s="48"/>
      <c r="C77" s="26" t="str">
        <f t="array" ref="C77">IF($B77="","",INDEX('Gap reference'!$C$2:$C$60,MATCH($B77,'Gap reference'!$A$2:$A$60,0)))</f>
        <v/>
      </c>
      <c r="D77" s="26" t="str">
        <f t="array" ref="D77">IF($B77="","",INDEX('Gap reference'!$D$2:$D$60,MATCH($B77,'Gap reference'!$A$2:$A$60,0)))</f>
        <v/>
      </c>
      <c r="E77" s="26" t="str">
        <f t="array" ref="E77">IF($B77="","",INDEX('Gap reference'!$G$2:$G$60,MATCH($B77,'Gap reference'!$A$2:$A$60,0)))</f>
        <v/>
      </c>
      <c r="F77" s="48"/>
      <c r="G77" s="48"/>
      <c r="H77" s="48"/>
      <c r="I77" s="48"/>
      <c r="J77" s="48"/>
      <c r="K77" s="48"/>
      <c r="L77" s="26"/>
      <c r="M77" s="26"/>
      <c r="N77" s="75"/>
      <c r="O77" s="48"/>
      <c r="P77" s="35"/>
      <c r="Q77" s="35"/>
      <c r="R77" s="35"/>
      <c r="S77" s="35"/>
      <c r="T77" s="35"/>
      <c r="U77" s="35"/>
      <c r="V77" s="35"/>
      <c r="W77" s="35"/>
      <c r="X77" s="35"/>
      <c r="Y77" s="35"/>
      <c r="Z77" s="35"/>
    </row>
    <row r="78" ht="15.75" customHeight="1">
      <c r="A78" s="48"/>
      <c r="B78" s="48"/>
      <c r="C78" s="26" t="str">
        <f t="array" ref="C78">IF($B78="","",INDEX('Gap reference'!$C$2:$C$60,MATCH($B78,'Gap reference'!$A$2:$A$60,0)))</f>
        <v/>
      </c>
      <c r="D78" s="26" t="str">
        <f t="array" ref="D78">IF($B78="","",INDEX('Gap reference'!$D$2:$D$60,MATCH($B78,'Gap reference'!$A$2:$A$60,0)))</f>
        <v/>
      </c>
      <c r="E78" s="26" t="str">
        <f t="array" ref="E78">IF($B78="","",INDEX('Gap reference'!$G$2:$G$60,MATCH($B78,'Gap reference'!$A$2:$A$60,0)))</f>
        <v/>
      </c>
      <c r="F78" s="48"/>
      <c r="G78" s="48"/>
      <c r="H78" s="48"/>
      <c r="I78" s="48"/>
      <c r="J78" s="48"/>
      <c r="K78" s="48"/>
      <c r="L78" s="26"/>
      <c r="M78" s="26"/>
      <c r="N78" s="75"/>
      <c r="O78" s="48"/>
      <c r="P78" s="35"/>
      <c r="Q78" s="35"/>
      <c r="R78" s="35"/>
      <c r="S78" s="35"/>
      <c r="T78" s="35"/>
      <c r="U78" s="35"/>
      <c r="V78" s="35"/>
      <c r="W78" s="35"/>
      <c r="X78" s="35"/>
      <c r="Y78" s="35"/>
      <c r="Z78" s="35"/>
    </row>
    <row r="79" ht="15.75" customHeight="1">
      <c r="A79" s="48"/>
      <c r="B79" s="48"/>
      <c r="C79" s="26" t="str">
        <f t="array" ref="C79">IF($B79="","",INDEX('Gap reference'!$C$2:$C$60,MATCH($B79,'Gap reference'!$A$2:$A$60,0)))</f>
        <v/>
      </c>
      <c r="D79" s="26" t="str">
        <f t="array" ref="D79">IF($B79="","",INDEX('Gap reference'!$D$2:$D$60,MATCH($B79,'Gap reference'!$A$2:$A$60,0)))</f>
        <v/>
      </c>
      <c r="E79" s="26" t="str">
        <f t="array" ref="E79">IF($B79="","",INDEX('Gap reference'!$G$2:$G$60,MATCH($B79,'Gap reference'!$A$2:$A$60,0)))</f>
        <v/>
      </c>
      <c r="F79" s="48"/>
      <c r="G79" s="48"/>
      <c r="H79" s="48"/>
      <c r="I79" s="48"/>
      <c r="J79" s="48"/>
      <c r="K79" s="48"/>
      <c r="L79" s="26"/>
      <c r="M79" s="26"/>
      <c r="N79" s="75"/>
      <c r="O79" s="48"/>
      <c r="P79" s="35"/>
      <c r="Q79" s="35"/>
      <c r="R79" s="35"/>
      <c r="S79" s="35"/>
      <c r="T79" s="35"/>
      <c r="U79" s="35"/>
      <c r="V79" s="35"/>
      <c r="W79" s="35"/>
      <c r="X79" s="35"/>
      <c r="Y79" s="35"/>
      <c r="Z79" s="35"/>
    </row>
    <row r="80" ht="15.75" customHeight="1">
      <c r="A80" s="48"/>
      <c r="B80" s="48"/>
      <c r="C80" s="26" t="str">
        <f t="array" ref="C80">IF($B80="","",INDEX('Gap reference'!$C$2:$C$60,MATCH($B80,'Gap reference'!$A$2:$A$60,0)))</f>
        <v/>
      </c>
      <c r="D80" s="26" t="str">
        <f t="array" ref="D80">IF($B80="","",INDEX('Gap reference'!$D$2:$D$60,MATCH($B80,'Gap reference'!$A$2:$A$60,0)))</f>
        <v/>
      </c>
      <c r="E80" s="26" t="str">
        <f t="array" ref="E80">IF($B80="","",INDEX('Gap reference'!$G$2:$G$60,MATCH($B80,'Gap reference'!$A$2:$A$60,0)))</f>
        <v/>
      </c>
      <c r="F80" s="48"/>
      <c r="G80" s="48"/>
      <c r="H80" s="48"/>
      <c r="I80" s="48"/>
      <c r="J80" s="48"/>
      <c r="K80" s="48"/>
      <c r="L80" s="26"/>
      <c r="M80" s="26"/>
      <c r="N80" s="75"/>
      <c r="O80" s="48"/>
      <c r="P80" s="35"/>
      <c r="Q80" s="35"/>
      <c r="R80" s="35"/>
      <c r="S80" s="35"/>
      <c r="T80" s="35"/>
      <c r="U80" s="35"/>
      <c r="V80" s="35"/>
      <c r="W80" s="35"/>
      <c r="X80" s="35"/>
      <c r="Y80" s="35"/>
      <c r="Z80" s="35"/>
    </row>
    <row r="81" ht="15.75" customHeight="1">
      <c r="A81" s="48"/>
      <c r="B81" s="48"/>
      <c r="C81" s="26" t="str">
        <f t="array" ref="C81">IF($B81="","",INDEX('Gap reference'!$C$2:$C$60,MATCH($B81,'Gap reference'!$A$2:$A$60,0)))</f>
        <v/>
      </c>
      <c r="D81" s="26" t="str">
        <f t="array" ref="D81">IF($B81="","",INDEX('Gap reference'!$D$2:$D$60,MATCH($B81,'Gap reference'!$A$2:$A$60,0)))</f>
        <v/>
      </c>
      <c r="E81" s="26" t="str">
        <f t="array" ref="E81">IF($B81="","",INDEX('Gap reference'!$G$2:$G$60,MATCH($B81,'Gap reference'!$A$2:$A$60,0)))</f>
        <v/>
      </c>
      <c r="F81" s="48"/>
      <c r="G81" s="48"/>
      <c r="H81" s="48"/>
      <c r="I81" s="48"/>
      <c r="J81" s="48"/>
      <c r="K81" s="48"/>
      <c r="L81" s="26"/>
      <c r="M81" s="26"/>
      <c r="N81" s="75"/>
      <c r="O81" s="48"/>
      <c r="P81" s="35"/>
      <c r="Q81" s="35"/>
      <c r="R81" s="35"/>
      <c r="S81" s="35"/>
      <c r="T81" s="35"/>
      <c r="U81" s="35"/>
      <c r="V81" s="35"/>
      <c r="W81" s="35"/>
      <c r="X81" s="35"/>
      <c r="Y81" s="35"/>
      <c r="Z81" s="35"/>
    </row>
    <row r="82" ht="15.75" customHeight="1">
      <c r="A82" s="48"/>
      <c r="B82" s="48"/>
      <c r="C82" s="26" t="str">
        <f t="array" ref="C82">IF($B82="","",INDEX('Gap reference'!$C$2:$C$60,MATCH($B82,'Gap reference'!$A$2:$A$60,0)))</f>
        <v/>
      </c>
      <c r="D82" s="26" t="str">
        <f t="array" ref="D82">IF($B82="","",INDEX('Gap reference'!$D$2:$D$60,MATCH($B82,'Gap reference'!$A$2:$A$60,0)))</f>
        <v/>
      </c>
      <c r="E82" s="26" t="str">
        <f t="array" ref="E82">IF($B82="","",INDEX('Gap reference'!$G$2:$G$60,MATCH($B82,'Gap reference'!$A$2:$A$60,0)))</f>
        <v/>
      </c>
      <c r="F82" s="48"/>
      <c r="G82" s="48"/>
      <c r="H82" s="48"/>
      <c r="I82" s="48"/>
      <c r="J82" s="48"/>
      <c r="K82" s="48"/>
      <c r="L82" s="26"/>
      <c r="M82" s="26"/>
      <c r="N82" s="75"/>
      <c r="O82" s="48"/>
      <c r="P82" s="35"/>
      <c r="Q82" s="35"/>
      <c r="R82" s="35"/>
      <c r="S82" s="35"/>
      <c r="T82" s="35"/>
      <c r="U82" s="35"/>
      <c r="V82" s="35"/>
      <c r="W82" s="35"/>
      <c r="X82" s="35"/>
      <c r="Y82" s="35"/>
      <c r="Z82" s="35"/>
    </row>
    <row r="83" ht="15.75" customHeight="1">
      <c r="A83" s="48"/>
      <c r="B83" s="48"/>
      <c r="C83" s="26" t="str">
        <f t="array" ref="C83">IF($B83="","",INDEX('Gap reference'!$C$2:$C$60,MATCH($B83,'Gap reference'!$A$2:$A$60,0)))</f>
        <v/>
      </c>
      <c r="D83" s="26" t="str">
        <f t="array" ref="D83">IF($B83="","",INDEX('Gap reference'!$D$2:$D$60,MATCH($B83,'Gap reference'!$A$2:$A$60,0)))</f>
        <v/>
      </c>
      <c r="E83" s="26" t="str">
        <f t="array" ref="E83">IF($B83="","",INDEX('Gap reference'!$G$2:$G$60,MATCH($B83,'Gap reference'!$A$2:$A$60,0)))</f>
        <v/>
      </c>
      <c r="F83" s="48"/>
      <c r="G83" s="48"/>
      <c r="H83" s="48"/>
      <c r="I83" s="48"/>
      <c r="J83" s="48"/>
      <c r="K83" s="48"/>
      <c r="L83" s="26"/>
      <c r="M83" s="26"/>
      <c r="N83" s="75"/>
      <c r="O83" s="48"/>
      <c r="P83" s="35"/>
      <c r="Q83" s="35"/>
      <c r="R83" s="35"/>
      <c r="S83" s="35"/>
      <c r="T83" s="35"/>
      <c r="U83" s="35"/>
      <c r="V83" s="35"/>
      <c r="W83" s="35"/>
      <c r="X83" s="35"/>
      <c r="Y83" s="35"/>
      <c r="Z83" s="35"/>
    </row>
    <row r="84" ht="15.75" customHeight="1">
      <c r="A84" s="48"/>
      <c r="B84" s="48"/>
      <c r="C84" s="26" t="str">
        <f t="array" ref="C84">IF($B84="","",INDEX('Gap reference'!$C$2:$C$60,MATCH($B84,'Gap reference'!$A$2:$A$60,0)))</f>
        <v/>
      </c>
      <c r="D84" s="26" t="str">
        <f t="array" ref="D84">IF($B84="","",INDEX('Gap reference'!$D$2:$D$60,MATCH($B84,'Gap reference'!$A$2:$A$60,0)))</f>
        <v/>
      </c>
      <c r="E84" s="26" t="str">
        <f t="array" ref="E84">IF($B84="","",INDEX('Gap reference'!$G$2:$G$60,MATCH($B84,'Gap reference'!$A$2:$A$60,0)))</f>
        <v/>
      </c>
      <c r="F84" s="48"/>
      <c r="G84" s="48"/>
      <c r="H84" s="48"/>
      <c r="I84" s="48"/>
      <c r="J84" s="48"/>
      <c r="K84" s="48"/>
      <c r="L84" s="26"/>
      <c r="M84" s="26"/>
      <c r="N84" s="75"/>
      <c r="O84" s="48"/>
      <c r="P84" s="35"/>
      <c r="Q84" s="35"/>
      <c r="R84" s="35"/>
      <c r="S84" s="35"/>
      <c r="T84" s="35"/>
      <c r="U84" s="35"/>
      <c r="V84" s="35"/>
      <c r="W84" s="35"/>
      <c r="X84" s="35"/>
      <c r="Y84" s="35"/>
      <c r="Z84" s="35"/>
    </row>
    <row r="85" ht="15.75" customHeight="1">
      <c r="A85" s="48"/>
      <c r="B85" s="48"/>
      <c r="C85" s="26" t="str">
        <f t="array" ref="C85">IF($B85="","",INDEX('Gap reference'!$C$2:$C$60,MATCH($B85,'Gap reference'!$A$2:$A$60,0)))</f>
        <v/>
      </c>
      <c r="D85" s="26" t="str">
        <f t="array" ref="D85">IF($B85="","",INDEX('Gap reference'!$D$2:$D$60,MATCH($B85,'Gap reference'!$A$2:$A$60,0)))</f>
        <v/>
      </c>
      <c r="E85" s="26" t="str">
        <f t="array" ref="E85">IF($B85="","",INDEX('Gap reference'!$G$2:$G$60,MATCH($B85,'Gap reference'!$A$2:$A$60,0)))</f>
        <v/>
      </c>
      <c r="F85" s="48"/>
      <c r="G85" s="48"/>
      <c r="H85" s="48"/>
      <c r="I85" s="48"/>
      <c r="J85" s="48"/>
      <c r="K85" s="48"/>
      <c r="L85" s="26"/>
      <c r="M85" s="26"/>
      <c r="N85" s="75"/>
      <c r="O85" s="48"/>
      <c r="P85" s="35"/>
      <c r="Q85" s="35"/>
      <c r="R85" s="35"/>
      <c r="S85" s="35"/>
      <c r="T85" s="35"/>
      <c r="U85" s="35"/>
      <c r="V85" s="35"/>
      <c r="W85" s="35"/>
      <c r="X85" s="35"/>
      <c r="Y85" s="35"/>
      <c r="Z85" s="35"/>
    </row>
    <row r="86" ht="15.75" customHeight="1">
      <c r="A86" s="48"/>
      <c r="B86" s="48"/>
      <c r="C86" s="26" t="str">
        <f t="array" ref="C86">IF($B86="","",INDEX('Gap reference'!$C$2:$C$60,MATCH($B86,'Gap reference'!$A$2:$A$60,0)))</f>
        <v/>
      </c>
      <c r="D86" s="26" t="str">
        <f t="array" ref="D86">IF($B86="","",INDEX('Gap reference'!$D$2:$D$60,MATCH($B86,'Gap reference'!$A$2:$A$60,0)))</f>
        <v/>
      </c>
      <c r="E86" s="26" t="str">
        <f t="array" ref="E86">IF($B86="","",INDEX('Gap reference'!$G$2:$G$60,MATCH($B86,'Gap reference'!$A$2:$A$60,0)))</f>
        <v/>
      </c>
      <c r="F86" s="48"/>
      <c r="G86" s="48"/>
      <c r="H86" s="48"/>
      <c r="I86" s="48"/>
      <c r="J86" s="48"/>
      <c r="K86" s="48"/>
      <c r="L86" s="26"/>
      <c r="M86" s="26"/>
      <c r="N86" s="75"/>
      <c r="O86" s="48"/>
      <c r="P86" s="35"/>
      <c r="Q86" s="35"/>
      <c r="R86" s="35"/>
      <c r="S86" s="35"/>
      <c r="T86" s="35"/>
      <c r="U86" s="35"/>
      <c r="V86" s="35"/>
      <c r="W86" s="35"/>
      <c r="X86" s="35"/>
      <c r="Y86" s="35"/>
      <c r="Z86" s="35"/>
    </row>
    <row r="87" ht="15.75" customHeight="1">
      <c r="A87" s="48"/>
      <c r="B87" s="48"/>
      <c r="C87" s="26" t="str">
        <f t="array" ref="C87">IF($B87="","",INDEX('Gap reference'!$C$2:$C$60,MATCH($B87,'Gap reference'!$A$2:$A$60,0)))</f>
        <v/>
      </c>
      <c r="D87" s="26" t="str">
        <f t="array" ref="D87">IF($B87="","",INDEX('Gap reference'!$D$2:$D$60,MATCH($B87,'Gap reference'!$A$2:$A$60,0)))</f>
        <v/>
      </c>
      <c r="E87" s="26" t="str">
        <f t="array" ref="E87">IF($B87="","",INDEX('Gap reference'!$G$2:$G$60,MATCH($B87,'Gap reference'!$A$2:$A$60,0)))</f>
        <v/>
      </c>
      <c r="F87" s="48"/>
      <c r="G87" s="48"/>
      <c r="H87" s="48"/>
      <c r="I87" s="48"/>
      <c r="J87" s="48"/>
      <c r="K87" s="48"/>
      <c r="L87" s="26"/>
      <c r="M87" s="26"/>
      <c r="N87" s="75"/>
      <c r="O87" s="48"/>
      <c r="P87" s="35"/>
      <c r="Q87" s="35"/>
      <c r="R87" s="35"/>
      <c r="S87" s="35"/>
      <c r="T87" s="35"/>
      <c r="U87" s="35"/>
      <c r="V87" s="35"/>
      <c r="W87" s="35"/>
      <c r="X87" s="35"/>
      <c r="Y87" s="35"/>
      <c r="Z87" s="35"/>
    </row>
    <row r="88" ht="15.75" customHeight="1">
      <c r="A88" s="48"/>
      <c r="B88" s="48"/>
      <c r="C88" s="26" t="str">
        <f t="array" ref="C88">IF($B88="","",INDEX('Gap reference'!$C$2:$C$60,MATCH($B88,'Gap reference'!$A$2:$A$60,0)))</f>
        <v/>
      </c>
      <c r="D88" s="26" t="str">
        <f t="array" ref="D88">IF($B88="","",INDEX('Gap reference'!$D$2:$D$60,MATCH($B88,'Gap reference'!$A$2:$A$60,0)))</f>
        <v/>
      </c>
      <c r="E88" s="26" t="str">
        <f t="array" ref="E88">IF($B88="","",INDEX('Gap reference'!$G$2:$G$60,MATCH($B88,'Gap reference'!$A$2:$A$60,0)))</f>
        <v/>
      </c>
      <c r="F88" s="48"/>
      <c r="G88" s="48"/>
      <c r="H88" s="48"/>
      <c r="I88" s="48"/>
      <c r="J88" s="48"/>
      <c r="K88" s="48"/>
      <c r="L88" s="26"/>
      <c r="M88" s="26"/>
      <c r="N88" s="75"/>
      <c r="O88" s="48"/>
      <c r="P88" s="35"/>
      <c r="Q88" s="35"/>
      <c r="R88" s="35"/>
      <c r="S88" s="35"/>
      <c r="T88" s="35"/>
      <c r="U88" s="35"/>
      <c r="V88" s="35"/>
      <c r="W88" s="35"/>
      <c r="X88" s="35"/>
      <c r="Y88" s="35"/>
      <c r="Z88" s="35"/>
    </row>
    <row r="89" ht="15.75" customHeight="1">
      <c r="A89" s="48"/>
      <c r="B89" s="48"/>
      <c r="C89" s="26" t="str">
        <f t="array" ref="C89">IF($B89="","",INDEX('Gap reference'!$C$2:$C$60,MATCH($B89,'Gap reference'!$A$2:$A$60,0)))</f>
        <v/>
      </c>
      <c r="D89" s="26" t="str">
        <f t="array" ref="D89">IF($B89="","",INDEX('Gap reference'!$D$2:$D$60,MATCH($B89,'Gap reference'!$A$2:$A$60,0)))</f>
        <v/>
      </c>
      <c r="E89" s="26" t="str">
        <f t="array" ref="E89">IF($B89="","",INDEX('Gap reference'!$G$2:$G$60,MATCH($B89,'Gap reference'!$A$2:$A$60,0)))</f>
        <v/>
      </c>
      <c r="F89" s="48"/>
      <c r="G89" s="48"/>
      <c r="H89" s="48"/>
      <c r="I89" s="48"/>
      <c r="J89" s="48"/>
      <c r="K89" s="48"/>
      <c r="L89" s="26"/>
      <c r="M89" s="26"/>
      <c r="N89" s="75"/>
      <c r="O89" s="48"/>
      <c r="P89" s="35"/>
      <c r="Q89" s="35"/>
      <c r="R89" s="35"/>
      <c r="S89" s="35"/>
      <c r="T89" s="35"/>
      <c r="U89" s="35"/>
      <c r="V89" s="35"/>
      <c r="W89" s="35"/>
      <c r="X89" s="35"/>
      <c r="Y89" s="35"/>
      <c r="Z89" s="35"/>
    </row>
    <row r="90" ht="15.75" customHeight="1">
      <c r="A90" s="48"/>
      <c r="B90" s="48"/>
      <c r="C90" s="26" t="str">
        <f t="array" ref="C90">IF($B90="","",INDEX('Gap reference'!$C$2:$C$60,MATCH($B90,'Gap reference'!$A$2:$A$60,0)))</f>
        <v/>
      </c>
      <c r="D90" s="26" t="str">
        <f t="array" ref="D90">IF($B90="","",INDEX('Gap reference'!$D$2:$D$60,MATCH($B90,'Gap reference'!$A$2:$A$60,0)))</f>
        <v/>
      </c>
      <c r="E90" s="26" t="str">
        <f t="array" ref="E90">IF($B90="","",INDEX('Gap reference'!$G$2:$G$60,MATCH($B90,'Gap reference'!$A$2:$A$60,0)))</f>
        <v/>
      </c>
      <c r="F90" s="48"/>
      <c r="G90" s="48"/>
      <c r="H90" s="48"/>
      <c r="I90" s="48"/>
      <c r="J90" s="48"/>
      <c r="K90" s="48"/>
      <c r="L90" s="26"/>
      <c r="M90" s="26"/>
      <c r="N90" s="75"/>
      <c r="O90" s="48"/>
      <c r="P90" s="35"/>
      <c r="Q90" s="35"/>
      <c r="R90" s="35"/>
      <c r="S90" s="35"/>
      <c r="T90" s="35"/>
      <c r="U90" s="35"/>
      <c r="V90" s="35"/>
      <c r="W90" s="35"/>
      <c r="X90" s="35"/>
      <c r="Y90" s="35"/>
      <c r="Z90" s="35"/>
    </row>
    <row r="91" ht="15.75" customHeight="1">
      <c r="A91" s="48"/>
      <c r="B91" s="48"/>
      <c r="C91" s="26" t="str">
        <f t="array" ref="C91">IF($B91="","",INDEX('Gap reference'!$C$2:$C$60,MATCH($B91,'Gap reference'!$A$2:$A$60,0)))</f>
        <v/>
      </c>
      <c r="D91" s="26" t="str">
        <f t="array" ref="D91">IF($B91="","",INDEX('Gap reference'!$D$2:$D$60,MATCH($B91,'Gap reference'!$A$2:$A$60,0)))</f>
        <v/>
      </c>
      <c r="E91" s="26" t="str">
        <f t="array" ref="E91">IF($B91="","",INDEX('Gap reference'!$G$2:$G$60,MATCH($B91,'Gap reference'!$A$2:$A$60,0)))</f>
        <v/>
      </c>
      <c r="F91" s="48"/>
      <c r="G91" s="48"/>
      <c r="H91" s="48"/>
      <c r="I91" s="48"/>
      <c r="J91" s="48"/>
      <c r="K91" s="48"/>
      <c r="L91" s="26"/>
      <c r="M91" s="26"/>
      <c r="N91" s="75"/>
      <c r="O91" s="48"/>
      <c r="P91" s="35"/>
      <c r="Q91" s="35"/>
      <c r="R91" s="35"/>
      <c r="S91" s="35"/>
      <c r="T91" s="35"/>
      <c r="U91" s="35"/>
      <c r="V91" s="35"/>
      <c r="W91" s="35"/>
      <c r="X91" s="35"/>
      <c r="Y91" s="35"/>
      <c r="Z91" s="35"/>
    </row>
    <row r="92" ht="15.75" customHeight="1">
      <c r="A92" s="48"/>
      <c r="B92" s="48"/>
      <c r="C92" s="26" t="str">
        <f t="array" ref="C92">IF($B92="","",INDEX('Gap reference'!$C$2:$C$60,MATCH($B92,'Gap reference'!$A$2:$A$60,0)))</f>
        <v/>
      </c>
      <c r="D92" s="26" t="str">
        <f t="array" ref="D92">IF($B92="","",INDEX('Gap reference'!$D$2:$D$60,MATCH($B92,'Gap reference'!$A$2:$A$60,0)))</f>
        <v/>
      </c>
      <c r="E92" s="26" t="str">
        <f t="array" ref="E92">IF($B92="","",INDEX('Gap reference'!$G$2:$G$60,MATCH($B92,'Gap reference'!$A$2:$A$60,0)))</f>
        <v/>
      </c>
      <c r="F92" s="48"/>
      <c r="G92" s="48"/>
      <c r="H92" s="48"/>
      <c r="I92" s="48"/>
      <c r="J92" s="48"/>
      <c r="K92" s="48"/>
      <c r="L92" s="26"/>
      <c r="M92" s="26"/>
      <c r="N92" s="75"/>
      <c r="O92" s="48"/>
      <c r="P92" s="35"/>
      <c r="Q92" s="35"/>
      <c r="R92" s="35"/>
      <c r="S92" s="35"/>
      <c r="T92" s="35"/>
      <c r="U92" s="35"/>
      <c r="V92" s="35"/>
      <c r="W92" s="35"/>
      <c r="X92" s="35"/>
      <c r="Y92" s="35"/>
      <c r="Z92" s="35"/>
    </row>
    <row r="93" ht="15.75" customHeight="1">
      <c r="A93" s="48"/>
      <c r="B93" s="48"/>
      <c r="C93" s="26" t="str">
        <f t="array" ref="C93">IF($B93="","",INDEX('Gap reference'!$C$2:$C$60,MATCH($B93,'Gap reference'!$A$2:$A$60,0)))</f>
        <v/>
      </c>
      <c r="D93" s="26" t="str">
        <f t="array" ref="D93">IF($B93="","",INDEX('Gap reference'!$D$2:$D$60,MATCH($B93,'Gap reference'!$A$2:$A$60,0)))</f>
        <v/>
      </c>
      <c r="E93" s="26" t="str">
        <f t="array" ref="E93">IF($B93="","",INDEX('Gap reference'!$G$2:$G$60,MATCH($B93,'Gap reference'!$A$2:$A$60,0)))</f>
        <v/>
      </c>
      <c r="F93" s="48"/>
      <c r="G93" s="48"/>
      <c r="H93" s="48"/>
      <c r="I93" s="48"/>
      <c r="J93" s="48"/>
      <c r="K93" s="48"/>
      <c r="L93" s="48"/>
      <c r="M93" s="48"/>
      <c r="N93" s="75"/>
      <c r="O93" s="48"/>
      <c r="P93" s="35"/>
      <c r="Q93" s="35"/>
      <c r="R93" s="35"/>
      <c r="S93" s="35"/>
      <c r="T93" s="35"/>
      <c r="U93" s="35"/>
      <c r="V93" s="35"/>
      <c r="W93" s="35"/>
      <c r="X93" s="35"/>
      <c r="Y93" s="35"/>
      <c r="Z93" s="35"/>
    </row>
    <row r="94" ht="15.75" customHeight="1">
      <c r="A94" s="48"/>
      <c r="B94" s="48"/>
      <c r="C94" s="26" t="str">
        <f t="array" ref="C94">IF($B94="","",INDEX('Gap reference'!$C$2:$C$60,MATCH($B94,'Gap reference'!$A$2:$A$60,0)))</f>
        <v/>
      </c>
      <c r="D94" s="26" t="str">
        <f t="array" ref="D94">IF($B94="","",INDEX('Gap reference'!$D$2:$D$60,MATCH($B94,'Gap reference'!$A$2:$A$60,0)))</f>
        <v/>
      </c>
      <c r="E94" s="26" t="str">
        <f t="array" ref="E94">IF($B94="","",INDEX('Gap reference'!$G$2:$G$60,MATCH($B94,'Gap reference'!$A$2:$A$60,0)))</f>
        <v/>
      </c>
      <c r="F94" s="48"/>
      <c r="G94" s="48"/>
      <c r="H94" s="48"/>
      <c r="I94" s="48"/>
      <c r="J94" s="48"/>
      <c r="K94" s="48"/>
      <c r="L94" s="48"/>
      <c r="M94" s="48"/>
      <c r="N94" s="75"/>
      <c r="O94" s="48"/>
      <c r="P94" s="35"/>
      <c r="Q94" s="35"/>
      <c r="R94" s="35"/>
      <c r="S94" s="35"/>
      <c r="T94" s="35"/>
      <c r="U94" s="35"/>
      <c r="V94" s="35"/>
      <c r="W94" s="35"/>
      <c r="X94" s="35"/>
      <c r="Y94" s="35"/>
      <c r="Z94" s="35"/>
    </row>
    <row r="95" ht="15.75" customHeight="1">
      <c r="A95" s="48"/>
      <c r="B95" s="48"/>
      <c r="C95" s="26" t="str">
        <f t="array" ref="C95">IF($B95="","",INDEX('Gap reference'!$C$2:$C$60,MATCH($B95,'Gap reference'!$A$2:$A$60,0)))</f>
        <v/>
      </c>
      <c r="D95" s="26" t="str">
        <f t="array" ref="D95">IF($B95="","",INDEX('Gap reference'!$D$2:$D$60,MATCH($B95,'Gap reference'!$A$2:$A$60,0)))</f>
        <v/>
      </c>
      <c r="E95" s="26" t="str">
        <f t="array" ref="E95">IF($B95="","",INDEX('Gap reference'!$G$2:$G$60,MATCH($B95,'Gap reference'!$A$2:$A$60,0)))</f>
        <v/>
      </c>
      <c r="F95" s="48"/>
      <c r="G95" s="48"/>
      <c r="H95" s="48"/>
      <c r="I95" s="48"/>
      <c r="J95" s="48"/>
      <c r="K95" s="48"/>
      <c r="L95" s="48"/>
      <c r="M95" s="48"/>
      <c r="N95" s="75"/>
      <c r="O95" s="48"/>
      <c r="P95" s="35"/>
      <c r="Q95" s="35"/>
      <c r="R95" s="35"/>
      <c r="S95" s="35"/>
      <c r="T95" s="35"/>
      <c r="U95" s="35"/>
      <c r="V95" s="35"/>
      <c r="W95" s="35"/>
      <c r="X95" s="35"/>
      <c r="Y95" s="35"/>
      <c r="Z95" s="35"/>
    </row>
    <row r="96" ht="15.75" customHeight="1">
      <c r="A96" s="48"/>
      <c r="B96" s="48"/>
      <c r="C96" s="26" t="str">
        <f t="array" ref="C96">IF($B96="","",INDEX('Gap reference'!$C$2:$C$60,MATCH($B96,'Gap reference'!$A$2:$A$60,0)))</f>
        <v/>
      </c>
      <c r="D96" s="26" t="str">
        <f t="array" ref="D96">IF($B96="","",INDEX('Gap reference'!$D$2:$D$60,MATCH($B96,'Gap reference'!$A$2:$A$60,0)))</f>
        <v/>
      </c>
      <c r="E96" s="26" t="str">
        <f t="array" ref="E96">IF($B96="","",INDEX('Gap reference'!$G$2:$G$60,MATCH($B96,'Gap reference'!$A$2:$A$60,0)))</f>
        <v/>
      </c>
      <c r="F96" s="48"/>
      <c r="G96" s="48"/>
      <c r="H96" s="48"/>
      <c r="I96" s="48"/>
      <c r="J96" s="48"/>
      <c r="K96" s="48"/>
      <c r="L96" s="48"/>
      <c r="M96" s="48"/>
      <c r="N96" s="75"/>
      <c r="O96" s="48"/>
      <c r="P96" s="35"/>
      <c r="Q96" s="35"/>
      <c r="R96" s="35"/>
      <c r="S96" s="35"/>
      <c r="T96" s="35"/>
      <c r="U96" s="35"/>
      <c r="V96" s="35"/>
      <c r="W96" s="35"/>
      <c r="X96" s="35"/>
      <c r="Y96" s="35"/>
      <c r="Z96" s="35"/>
    </row>
    <row r="97" ht="15.75" customHeight="1">
      <c r="A97" s="48"/>
      <c r="B97" s="48"/>
      <c r="C97" s="26" t="str">
        <f t="array" ref="C97">IF($B97="","",INDEX('Gap reference'!$C$2:$C$60,MATCH($B97,'Gap reference'!$A$2:$A$60,0)))</f>
        <v/>
      </c>
      <c r="D97" s="26" t="str">
        <f t="array" ref="D97">IF($B97="","",INDEX('Gap reference'!$D$2:$D$60,MATCH($B97,'Gap reference'!$A$2:$A$60,0)))</f>
        <v/>
      </c>
      <c r="E97" s="26" t="str">
        <f t="array" ref="E97">IF($B97="","",INDEX('Gap reference'!$G$2:$G$60,MATCH($B97,'Gap reference'!$A$2:$A$60,0)))</f>
        <v/>
      </c>
      <c r="F97" s="48"/>
      <c r="G97" s="48"/>
      <c r="H97" s="48"/>
      <c r="I97" s="48"/>
      <c r="J97" s="48"/>
      <c r="K97" s="48"/>
      <c r="L97" s="48"/>
      <c r="M97" s="48"/>
      <c r="N97" s="75"/>
      <c r="O97" s="48"/>
      <c r="P97" s="35"/>
      <c r="Q97" s="35"/>
      <c r="R97" s="35"/>
      <c r="S97" s="35"/>
      <c r="T97" s="35"/>
      <c r="U97" s="35"/>
      <c r="V97" s="35"/>
      <c r="W97" s="35"/>
      <c r="X97" s="35"/>
      <c r="Y97" s="35"/>
      <c r="Z97" s="35"/>
    </row>
    <row r="98" ht="15.75" customHeight="1">
      <c r="A98" s="48"/>
      <c r="B98" s="48"/>
      <c r="C98" s="26" t="str">
        <f t="array" ref="C98">IF($B98="","",INDEX('Gap reference'!$C$2:$C$60,MATCH($B98,'Gap reference'!$A$2:$A$60,0)))</f>
        <v/>
      </c>
      <c r="D98" s="26" t="str">
        <f t="array" ref="D98">IF($B98="","",INDEX('Gap reference'!$D$2:$D$60,MATCH($B98,'Gap reference'!$A$2:$A$60,0)))</f>
        <v/>
      </c>
      <c r="E98" s="26" t="str">
        <f t="array" ref="E98">IF($B98="","",INDEX('Gap reference'!$G$2:$G$60,MATCH($B98,'Gap reference'!$A$2:$A$60,0)))</f>
        <v/>
      </c>
      <c r="F98" s="48"/>
      <c r="G98" s="48"/>
      <c r="H98" s="48"/>
      <c r="I98" s="48"/>
      <c r="J98" s="48"/>
      <c r="K98" s="48"/>
      <c r="L98" s="48"/>
      <c r="M98" s="48"/>
      <c r="N98" s="75"/>
      <c r="O98" s="48"/>
      <c r="P98" s="35"/>
      <c r="Q98" s="35"/>
      <c r="R98" s="35"/>
      <c r="S98" s="35"/>
      <c r="T98" s="35"/>
      <c r="U98" s="35"/>
      <c r="V98" s="35"/>
      <c r="W98" s="35"/>
      <c r="X98" s="35"/>
      <c r="Y98" s="35"/>
      <c r="Z98" s="35"/>
    </row>
    <row r="99" ht="15.75" customHeight="1">
      <c r="A99" s="48"/>
      <c r="B99" s="48"/>
      <c r="C99" s="26" t="str">
        <f t="array" ref="C99">IF($B99="","",INDEX('Gap reference'!$C$2:$C$60,MATCH($B99,'Gap reference'!$A$2:$A$60,0)))</f>
        <v/>
      </c>
      <c r="D99" s="26" t="str">
        <f t="array" ref="D99">IF($B99="","",INDEX('Gap reference'!$D$2:$D$60,MATCH($B99,'Gap reference'!$A$2:$A$60,0)))</f>
        <v/>
      </c>
      <c r="E99" s="26" t="str">
        <f t="array" ref="E99">IF($B99="","",INDEX('Gap reference'!$G$2:$G$60,MATCH($B99,'Gap reference'!$A$2:$A$60,0)))</f>
        <v/>
      </c>
      <c r="F99" s="48"/>
      <c r="G99" s="48"/>
      <c r="H99" s="48"/>
      <c r="I99" s="48"/>
      <c r="J99" s="48"/>
      <c r="K99" s="48"/>
      <c r="L99" s="48"/>
      <c r="M99" s="48"/>
      <c r="N99" s="75"/>
      <c r="O99" s="48"/>
      <c r="P99" s="35"/>
      <c r="Q99" s="35"/>
      <c r="R99" s="35"/>
      <c r="S99" s="35"/>
      <c r="T99" s="35"/>
      <c r="U99" s="35"/>
      <c r="V99" s="35"/>
      <c r="W99" s="35"/>
      <c r="X99" s="35"/>
      <c r="Y99" s="35"/>
      <c r="Z99" s="35"/>
    </row>
    <row r="100" ht="15.75" customHeight="1">
      <c r="A100" s="48"/>
      <c r="B100" s="48"/>
      <c r="C100" s="26" t="str">
        <f t="array" ref="C100">IF($B100="","",INDEX('Gap reference'!$C$2:$C$60,MATCH($B100,'Gap reference'!$A$2:$A$60,0)))</f>
        <v/>
      </c>
      <c r="D100" s="26" t="str">
        <f t="array" ref="D100">IF($B100="","",INDEX('Gap reference'!$D$2:$D$60,MATCH($B100,'Gap reference'!$A$2:$A$60,0)))</f>
        <v/>
      </c>
      <c r="E100" s="26" t="str">
        <f t="array" ref="E100">IF($B100="","",INDEX('Gap reference'!$G$2:$G$60,MATCH($B100,'Gap reference'!$A$2:$A$60,0)))</f>
        <v/>
      </c>
      <c r="F100" s="48"/>
      <c r="G100" s="48"/>
      <c r="H100" s="48"/>
      <c r="I100" s="48"/>
      <c r="J100" s="48"/>
      <c r="K100" s="48"/>
      <c r="L100" s="48"/>
      <c r="M100" s="48"/>
      <c r="N100" s="75"/>
      <c r="O100" s="48"/>
      <c r="P100" s="35"/>
      <c r="Q100" s="35"/>
      <c r="R100" s="35"/>
      <c r="S100" s="35"/>
      <c r="T100" s="35"/>
      <c r="U100" s="35"/>
      <c r="V100" s="35"/>
      <c r="W100" s="35"/>
      <c r="X100" s="35"/>
      <c r="Y100" s="35"/>
      <c r="Z100" s="35"/>
    </row>
    <row r="101" ht="15.75" customHeight="1">
      <c r="A101" s="48"/>
      <c r="B101" s="48"/>
      <c r="C101" s="26" t="str">
        <f t="array" ref="C101">IF($B101="","",INDEX('Gap reference'!$C$2:$C$60,MATCH($B101,'Gap reference'!$A$2:$A$60,0)))</f>
        <v/>
      </c>
      <c r="D101" s="26" t="str">
        <f t="array" ref="D101">IF($B101="","",INDEX('Gap reference'!$D$2:$D$60,MATCH($B101,'Gap reference'!$A$2:$A$60,0)))</f>
        <v/>
      </c>
      <c r="E101" s="26" t="str">
        <f t="array" ref="E101">IF($B101="","",INDEX('Gap reference'!$G$2:$G$60,MATCH($B101,'Gap reference'!$A$2:$A$60,0)))</f>
        <v/>
      </c>
      <c r="F101" s="48"/>
      <c r="G101" s="48"/>
      <c r="H101" s="48"/>
      <c r="I101" s="48"/>
      <c r="J101" s="48"/>
      <c r="K101" s="48"/>
      <c r="L101" s="48"/>
      <c r="M101" s="48"/>
      <c r="N101" s="75"/>
      <c r="O101" s="48"/>
      <c r="P101" s="35"/>
      <c r="Q101" s="35"/>
      <c r="R101" s="35"/>
      <c r="S101" s="35"/>
      <c r="T101" s="35"/>
      <c r="U101" s="35"/>
      <c r="V101" s="35"/>
      <c r="W101" s="35"/>
      <c r="X101" s="35"/>
      <c r="Y101" s="35"/>
      <c r="Z101" s="35"/>
    </row>
    <row r="102" ht="15.75" customHeight="1">
      <c r="A102" s="48"/>
      <c r="B102" s="48"/>
      <c r="C102" s="26" t="str">
        <f t="array" ref="C102">IF($B102="","",INDEX('Gap reference'!$C$2:$C$60,MATCH($B102,'Gap reference'!$A$2:$A$60,0)))</f>
        <v/>
      </c>
      <c r="D102" s="26" t="str">
        <f t="array" ref="D102">IF($B102="","",INDEX('Gap reference'!$D$2:$D$60,MATCH($B102,'Gap reference'!$A$2:$A$60,0)))</f>
        <v/>
      </c>
      <c r="E102" s="26" t="str">
        <f t="array" ref="E102">IF($B102="","",INDEX('Gap reference'!$G$2:$G$60,MATCH($B102,'Gap reference'!$A$2:$A$60,0)))</f>
        <v/>
      </c>
      <c r="F102" s="48"/>
      <c r="G102" s="48"/>
      <c r="H102" s="48"/>
      <c r="I102" s="48"/>
      <c r="J102" s="48"/>
      <c r="K102" s="48"/>
      <c r="L102" s="48"/>
      <c r="M102" s="48"/>
      <c r="N102" s="75"/>
      <c r="O102" s="48"/>
      <c r="P102" s="35"/>
      <c r="Q102" s="35"/>
      <c r="R102" s="35"/>
      <c r="S102" s="35"/>
      <c r="T102" s="35"/>
      <c r="U102" s="35"/>
      <c r="V102" s="35"/>
      <c r="W102" s="35"/>
      <c r="X102" s="35"/>
      <c r="Y102" s="35"/>
      <c r="Z102" s="35"/>
    </row>
    <row r="103" ht="15.75" customHeight="1">
      <c r="A103" s="48"/>
      <c r="B103" s="48"/>
      <c r="C103" s="26" t="str">
        <f t="array" ref="C103">IF($B103="","",INDEX('Gap reference'!$C$2:$C$60,MATCH($B103,'Gap reference'!$A$2:$A$60,0)))</f>
        <v/>
      </c>
      <c r="D103" s="26" t="str">
        <f t="array" ref="D103">IF($B103="","",INDEX('Gap reference'!$D$2:$D$60,MATCH($B103,'Gap reference'!$A$2:$A$60,0)))</f>
        <v/>
      </c>
      <c r="E103" s="26" t="str">
        <f t="array" ref="E103">IF($B103="","",INDEX('Gap reference'!$G$2:$G$60,MATCH($B103,'Gap reference'!$A$2:$A$60,0)))</f>
        <v/>
      </c>
      <c r="F103" s="48"/>
      <c r="G103" s="48"/>
      <c r="H103" s="48"/>
      <c r="I103" s="48"/>
      <c r="J103" s="48"/>
      <c r="K103" s="48"/>
      <c r="L103" s="48"/>
      <c r="M103" s="48"/>
      <c r="N103" s="75"/>
      <c r="O103" s="48"/>
      <c r="P103" s="35"/>
      <c r="Q103" s="35"/>
      <c r="R103" s="35"/>
      <c r="S103" s="35"/>
      <c r="T103" s="35"/>
      <c r="U103" s="35"/>
      <c r="V103" s="35"/>
      <c r="W103" s="35"/>
      <c r="X103" s="35"/>
      <c r="Y103" s="35"/>
      <c r="Z103" s="35"/>
    </row>
    <row r="104" ht="15.75" customHeight="1">
      <c r="A104" s="48"/>
      <c r="B104" s="48"/>
      <c r="C104" s="26" t="str">
        <f t="array" ref="C104">IF($B104="","",INDEX('Gap reference'!$C$2:$C$60,MATCH($B104,'Gap reference'!$A$2:$A$60,0)))</f>
        <v/>
      </c>
      <c r="D104" s="26" t="str">
        <f t="array" ref="D104">IF($B104="","",INDEX('Gap reference'!$D$2:$D$60,MATCH($B104,'Gap reference'!$A$2:$A$60,0)))</f>
        <v/>
      </c>
      <c r="E104" s="26" t="str">
        <f t="array" ref="E104">IF($B104="","",INDEX('Gap reference'!$G$2:$G$60,MATCH($B104,'Gap reference'!$A$2:$A$60,0)))</f>
        <v/>
      </c>
      <c r="F104" s="48"/>
      <c r="G104" s="48"/>
      <c r="H104" s="48"/>
      <c r="I104" s="48"/>
      <c r="J104" s="48"/>
      <c r="K104" s="48"/>
      <c r="L104" s="48"/>
      <c r="M104" s="48"/>
      <c r="N104" s="75"/>
      <c r="O104" s="48"/>
      <c r="P104" s="35"/>
      <c r="Q104" s="35"/>
      <c r="R104" s="35"/>
      <c r="S104" s="35"/>
      <c r="T104" s="35"/>
      <c r="U104" s="35"/>
      <c r="V104" s="35"/>
      <c r="W104" s="35"/>
      <c r="X104" s="35"/>
      <c r="Y104" s="35"/>
      <c r="Z104" s="35"/>
    </row>
    <row r="105" ht="15.75" customHeight="1">
      <c r="A105" s="48"/>
      <c r="B105" s="48"/>
      <c r="C105" s="26" t="str">
        <f t="array" ref="C105">IF($B105="","",INDEX('Gap reference'!$C$2:$C$60,MATCH($B105,'Gap reference'!$A$2:$A$60,0)))</f>
        <v/>
      </c>
      <c r="D105" s="26" t="str">
        <f t="array" ref="D105">IF($B105="","",INDEX('Gap reference'!$D$2:$D$60,MATCH($B105,'Gap reference'!$A$2:$A$60,0)))</f>
        <v/>
      </c>
      <c r="E105" s="26" t="str">
        <f t="array" ref="E105">IF($B105="","",INDEX('Gap reference'!$G$2:$G$60,MATCH($B105,'Gap reference'!$A$2:$A$60,0)))</f>
        <v/>
      </c>
      <c r="F105" s="48"/>
      <c r="G105" s="48"/>
      <c r="H105" s="48"/>
      <c r="I105" s="48"/>
      <c r="J105" s="48"/>
      <c r="K105" s="48"/>
      <c r="L105" s="48"/>
      <c r="M105" s="48"/>
      <c r="N105" s="75"/>
      <c r="O105" s="48"/>
      <c r="P105" s="35"/>
      <c r="Q105" s="35"/>
      <c r="R105" s="35"/>
      <c r="S105" s="35"/>
      <c r="T105" s="35"/>
      <c r="U105" s="35"/>
      <c r="V105" s="35"/>
      <c r="W105" s="35"/>
      <c r="X105" s="35"/>
      <c r="Y105" s="35"/>
      <c r="Z105" s="35"/>
    </row>
    <row r="106" ht="15.75" customHeight="1">
      <c r="A106" s="48"/>
      <c r="B106" s="48"/>
      <c r="C106" s="26" t="str">
        <f t="array" ref="C106">IF($B106="","",INDEX('Gap reference'!$C$2:$C$60,MATCH($B106,'Gap reference'!$A$2:$A$60,0)))</f>
        <v/>
      </c>
      <c r="D106" s="26" t="str">
        <f t="array" ref="D106">IF($B106="","",INDEX('Gap reference'!$D$2:$D$60,MATCH($B106,'Gap reference'!$A$2:$A$60,0)))</f>
        <v/>
      </c>
      <c r="E106" s="26" t="str">
        <f t="array" ref="E106">IF($B106="","",INDEX('Gap reference'!$G$2:$G$60,MATCH($B106,'Gap reference'!$A$2:$A$60,0)))</f>
        <v/>
      </c>
      <c r="F106" s="48"/>
      <c r="G106" s="48"/>
      <c r="H106" s="48"/>
      <c r="I106" s="48"/>
      <c r="J106" s="48"/>
      <c r="K106" s="48"/>
      <c r="L106" s="48"/>
      <c r="M106" s="48"/>
      <c r="N106" s="75"/>
      <c r="O106" s="48"/>
      <c r="P106" s="35"/>
      <c r="Q106" s="35"/>
      <c r="R106" s="35"/>
      <c r="S106" s="35"/>
      <c r="T106" s="35"/>
      <c r="U106" s="35"/>
      <c r="V106" s="35"/>
      <c r="W106" s="35"/>
      <c r="X106" s="35"/>
      <c r="Y106" s="35"/>
      <c r="Z106" s="35"/>
    </row>
    <row r="107" ht="15.75" customHeight="1">
      <c r="A107" s="48"/>
      <c r="B107" s="48"/>
      <c r="C107" s="26" t="str">
        <f t="array" ref="C107">IF($B107="","",INDEX('Gap reference'!$C$2:$C$60,MATCH($B107,'Gap reference'!$A$2:$A$60,0)))</f>
        <v/>
      </c>
      <c r="D107" s="26" t="str">
        <f t="array" ref="D107">IF($B107="","",INDEX('Gap reference'!$D$2:$D$60,MATCH($B107,'Gap reference'!$A$2:$A$60,0)))</f>
        <v/>
      </c>
      <c r="E107" s="26" t="str">
        <f t="array" ref="E107">IF($B107="","",INDEX('Gap reference'!$G$2:$G$60,MATCH($B107,'Gap reference'!$A$2:$A$60,0)))</f>
        <v/>
      </c>
      <c r="F107" s="48"/>
      <c r="G107" s="48"/>
      <c r="H107" s="48"/>
      <c r="I107" s="48"/>
      <c r="J107" s="48"/>
      <c r="K107" s="48"/>
      <c r="L107" s="48"/>
      <c r="M107" s="48"/>
      <c r="N107" s="75"/>
      <c r="O107" s="48"/>
      <c r="P107" s="35"/>
      <c r="Q107" s="35"/>
      <c r="R107" s="35"/>
      <c r="S107" s="35"/>
      <c r="T107" s="35"/>
      <c r="U107" s="35"/>
      <c r="V107" s="35"/>
      <c r="W107" s="35"/>
      <c r="X107" s="35"/>
      <c r="Y107" s="35"/>
      <c r="Z107" s="35"/>
    </row>
    <row r="108" ht="15.75" customHeight="1">
      <c r="A108" s="48"/>
      <c r="B108" s="48"/>
      <c r="C108" s="26" t="str">
        <f t="array" ref="C108">IF($B108="","",INDEX('Gap reference'!$C$2:$C$60,MATCH($B108,'Gap reference'!$A$2:$A$60,0)))</f>
        <v/>
      </c>
      <c r="D108" s="26" t="str">
        <f t="array" ref="D108">IF($B108="","",INDEX('Gap reference'!$D$2:$D$60,MATCH($B108,'Gap reference'!$A$2:$A$60,0)))</f>
        <v/>
      </c>
      <c r="E108" s="26" t="str">
        <f t="array" ref="E108">IF($B108="","",INDEX('Gap reference'!$G$2:$G$60,MATCH($B108,'Gap reference'!$A$2:$A$60,0)))</f>
        <v/>
      </c>
      <c r="F108" s="48"/>
      <c r="G108" s="48"/>
      <c r="H108" s="48"/>
      <c r="I108" s="48"/>
      <c r="J108" s="48"/>
      <c r="K108" s="48"/>
      <c r="L108" s="48"/>
      <c r="M108" s="48"/>
      <c r="N108" s="75"/>
      <c r="O108" s="48"/>
      <c r="P108" s="35"/>
      <c r="Q108" s="35"/>
      <c r="R108" s="35"/>
      <c r="S108" s="35"/>
      <c r="T108" s="35"/>
      <c r="U108" s="35"/>
      <c r="V108" s="35"/>
      <c r="W108" s="35"/>
      <c r="X108" s="35"/>
      <c r="Y108" s="35"/>
      <c r="Z108" s="35"/>
    </row>
    <row r="109" ht="15.75" customHeight="1">
      <c r="A109" s="48"/>
      <c r="B109" s="48"/>
      <c r="C109" s="26" t="str">
        <f t="array" ref="C109">IF($B109="","",INDEX('Gap reference'!$C$2:$C$60,MATCH($B109,'Gap reference'!$A$2:$A$60,0)))</f>
        <v/>
      </c>
      <c r="D109" s="26" t="str">
        <f t="array" ref="D109">IF($B109="","",INDEX('Gap reference'!$D$2:$D$60,MATCH($B109,'Gap reference'!$A$2:$A$60,0)))</f>
        <v/>
      </c>
      <c r="E109" s="26" t="str">
        <f t="array" ref="E109">IF($B109="","",INDEX('Gap reference'!$G$2:$G$60,MATCH($B109,'Gap reference'!$A$2:$A$60,0)))</f>
        <v/>
      </c>
      <c r="F109" s="48"/>
      <c r="G109" s="48"/>
      <c r="H109" s="48"/>
      <c r="I109" s="48"/>
      <c r="J109" s="48"/>
      <c r="K109" s="48"/>
      <c r="L109" s="48"/>
      <c r="M109" s="48"/>
      <c r="N109" s="75"/>
      <c r="O109" s="48"/>
      <c r="P109" s="35"/>
      <c r="Q109" s="35"/>
      <c r="R109" s="35"/>
      <c r="S109" s="35"/>
      <c r="T109" s="35"/>
      <c r="U109" s="35"/>
      <c r="V109" s="35"/>
      <c r="W109" s="35"/>
      <c r="X109" s="35"/>
      <c r="Y109" s="35"/>
      <c r="Z109" s="35"/>
    </row>
    <row r="110" ht="15.75" customHeight="1">
      <c r="A110" s="48"/>
      <c r="B110" s="48"/>
      <c r="C110" s="26" t="str">
        <f t="array" ref="C110">IF($B110="","",INDEX('Gap reference'!$C$2:$C$60,MATCH($B110,'Gap reference'!$A$2:$A$60,0)))</f>
        <v/>
      </c>
      <c r="D110" s="26" t="str">
        <f t="array" ref="D110">IF($B110="","",INDEX('Gap reference'!$D$2:$D$60,MATCH($B110,'Gap reference'!$A$2:$A$60,0)))</f>
        <v/>
      </c>
      <c r="E110" s="26" t="str">
        <f t="array" ref="E110">IF($B110="","",INDEX('Gap reference'!$G$2:$G$60,MATCH($B110,'Gap reference'!$A$2:$A$60,0)))</f>
        <v/>
      </c>
      <c r="F110" s="48"/>
      <c r="G110" s="48"/>
      <c r="H110" s="48"/>
      <c r="I110" s="48"/>
      <c r="J110" s="48"/>
      <c r="K110" s="48"/>
      <c r="L110" s="48"/>
      <c r="M110" s="48"/>
      <c r="N110" s="75"/>
      <c r="O110" s="48"/>
      <c r="P110" s="35"/>
      <c r="Q110" s="35"/>
      <c r="R110" s="35"/>
      <c r="S110" s="35"/>
      <c r="T110" s="35"/>
      <c r="U110" s="35"/>
      <c r="V110" s="35"/>
      <c r="W110" s="35"/>
      <c r="X110" s="35"/>
      <c r="Y110" s="35"/>
      <c r="Z110" s="35"/>
    </row>
    <row r="111" ht="15.75" customHeight="1">
      <c r="A111" s="48"/>
      <c r="B111" s="48"/>
      <c r="C111" s="26" t="str">
        <f t="array" ref="C111">IF($B111="","",INDEX('Gap reference'!$C$2:$C$60,MATCH($B111,'Gap reference'!$A$2:$A$60,0)))</f>
        <v/>
      </c>
      <c r="D111" s="26" t="str">
        <f t="array" ref="D111">IF($B111="","",INDEX('Gap reference'!$D$2:$D$60,MATCH($B111,'Gap reference'!$A$2:$A$60,0)))</f>
        <v/>
      </c>
      <c r="E111" s="26" t="str">
        <f t="array" ref="E111">IF($B111="","",INDEX('Gap reference'!$G$2:$G$60,MATCH($B111,'Gap reference'!$A$2:$A$60,0)))</f>
        <v/>
      </c>
      <c r="F111" s="48"/>
      <c r="G111" s="48"/>
      <c r="H111" s="48"/>
      <c r="I111" s="48"/>
      <c r="J111" s="48"/>
      <c r="K111" s="48"/>
      <c r="L111" s="48"/>
      <c r="M111" s="48"/>
      <c r="N111" s="75"/>
      <c r="O111" s="48"/>
      <c r="P111" s="35"/>
      <c r="Q111" s="35"/>
      <c r="R111" s="35"/>
      <c r="S111" s="35"/>
      <c r="T111" s="35"/>
      <c r="U111" s="35"/>
      <c r="V111" s="35"/>
      <c r="W111" s="35"/>
      <c r="X111" s="35"/>
      <c r="Y111" s="35"/>
      <c r="Z111" s="35"/>
    </row>
    <row r="112" ht="15.75" customHeight="1">
      <c r="A112" s="48"/>
      <c r="B112" s="48"/>
      <c r="C112" s="26" t="str">
        <f t="array" ref="C112">IF($B112="","",INDEX('Gap reference'!$C$2:$C$60,MATCH($B112,'Gap reference'!$A$2:$A$60,0)))</f>
        <v/>
      </c>
      <c r="D112" s="26" t="str">
        <f t="array" ref="D112">IF($B112="","",INDEX('Gap reference'!$D$2:$D$60,MATCH($B112,'Gap reference'!$A$2:$A$60,0)))</f>
        <v/>
      </c>
      <c r="E112" s="26" t="str">
        <f t="array" ref="E112">IF($B112="","",INDEX('Gap reference'!$G$2:$G$60,MATCH($B112,'Gap reference'!$A$2:$A$60,0)))</f>
        <v/>
      </c>
      <c r="F112" s="48"/>
      <c r="G112" s="48"/>
      <c r="H112" s="48"/>
      <c r="I112" s="48"/>
      <c r="J112" s="48"/>
      <c r="K112" s="48"/>
      <c r="L112" s="48"/>
      <c r="M112" s="48"/>
      <c r="N112" s="75"/>
      <c r="O112" s="48"/>
      <c r="P112" s="35"/>
      <c r="Q112" s="35"/>
      <c r="R112" s="35"/>
      <c r="S112" s="35"/>
      <c r="T112" s="35"/>
      <c r="U112" s="35"/>
      <c r="V112" s="35"/>
      <c r="W112" s="35"/>
      <c r="X112" s="35"/>
      <c r="Y112" s="35"/>
      <c r="Z112" s="35"/>
    </row>
    <row r="113" ht="15.75" customHeight="1">
      <c r="A113" s="48"/>
      <c r="B113" s="48"/>
      <c r="C113" s="26" t="str">
        <f t="array" ref="C113">IF($B113="","",INDEX('Gap reference'!$C$2:$C$60,MATCH($B113,'Gap reference'!$A$2:$A$60,0)))</f>
        <v/>
      </c>
      <c r="D113" s="26" t="str">
        <f t="array" ref="D113">IF($B113="","",INDEX('Gap reference'!$D$2:$D$60,MATCH($B113,'Gap reference'!$A$2:$A$60,0)))</f>
        <v/>
      </c>
      <c r="E113" s="26" t="str">
        <f t="array" ref="E113">IF($B113="","",INDEX('Gap reference'!$G$2:$G$60,MATCH($B113,'Gap reference'!$A$2:$A$60,0)))</f>
        <v/>
      </c>
      <c r="F113" s="48"/>
      <c r="G113" s="48"/>
      <c r="H113" s="48"/>
      <c r="I113" s="48"/>
      <c r="J113" s="48"/>
      <c r="K113" s="48"/>
      <c r="L113" s="48"/>
      <c r="M113" s="48"/>
      <c r="N113" s="75"/>
      <c r="O113" s="48"/>
      <c r="P113" s="35"/>
      <c r="Q113" s="35"/>
      <c r="R113" s="35"/>
      <c r="S113" s="35"/>
      <c r="T113" s="35"/>
      <c r="U113" s="35"/>
      <c r="V113" s="35"/>
      <c r="W113" s="35"/>
      <c r="X113" s="35"/>
      <c r="Y113" s="35"/>
      <c r="Z113" s="35"/>
    </row>
    <row r="114" ht="15.75" customHeight="1">
      <c r="A114" s="48"/>
      <c r="B114" s="48"/>
      <c r="C114" s="26" t="str">
        <f t="array" ref="C114">IF($B114="","",INDEX('Gap reference'!$C$2:$C$60,MATCH($B114,'Gap reference'!$A$2:$A$60,0)))</f>
        <v/>
      </c>
      <c r="D114" s="26" t="str">
        <f t="array" ref="D114">IF($B114="","",INDEX('Gap reference'!$D$2:$D$60,MATCH($B114,'Gap reference'!$A$2:$A$60,0)))</f>
        <v/>
      </c>
      <c r="E114" s="26" t="str">
        <f t="array" ref="E114">IF($B114="","",INDEX('Gap reference'!$G$2:$G$60,MATCH($B114,'Gap reference'!$A$2:$A$60,0)))</f>
        <v/>
      </c>
      <c r="F114" s="48"/>
      <c r="G114" s="48"/>
      <c r="H114" s="48"/>
      <c r="I114" s="48"/>
      <c r="J114" s="48"/>
      <c r="K114" s="48"/>
      <c r="L114" s="48"/>
      <c r="M114" s="48"/>
      <c r="N114" s="75"/>
      <c r="O114" s="48"/>
      <c r="P114" s="35"/>
      <c r="Q114" s="35"/>
      <c r="R114" s="35"/>
      <c r="S114" s="35"/>
      <c r="T114" s="35"/>
      <c r="U114" s="35"/>
      <c r="V114" s="35"/>
      <c r="W114" s="35"/>
      <c r="X114" s="35"/>
      <c r="Y114" s="35"/>
      <c r="Z114" s="35"/>
    </row>
    <row r="115" ht="15.75" customHeight="1">
      <c r="A115" s="48"/>
      <c r="B115" s="48"/>
      <c r="C115" s="26" t="str">
        <f t="array" ref="C115">IF($B115="","",INDEX('Gap reference'!$C$2:$C$60,MATCH($B115,'Gap reference'!$A$2:$A$60,0)))</f>
        <v/>
      </c>
      <c r="D115" s="26" t="str">
        <f t="array" ref="D115">IF($B115="","",INDEX('Gap reference'!$D$2:$D$60,MATCH($B115,'Gap reference'!$A$2:$A$60,0)))</f>
        <v/>
      </c>
      <c r="E115" s="26" t="str">
        <f t="array" ref="E115">IF($B115="","",INDEX('Gap reference'!$G$2:$G$60,MATCH($B115,'Gap reference'!$A$2:$A$60,0)))</f>
        <v/>
      </c>
      <c r="F115" s="48"/>
      <c r="G115" s="48"/>
      <c r="H115" s="48"/>
      <c r="I115" s="48"/>
      <c r="J115" s="48"/>
      <c r="K115" s="48"/>
      <c r="L115" s="48"/>
      <c r="M115" s="48"/>
      <c r="N115" s="75"/>
      <c r="O115" s="48"/>
      <c r="P115" s="35"/>
      <c r="Q115" s="35"/>
      <c r="R115" s="35"/>
      <c r="S115" s="35"/>
      <c r="T115" s="35"/>
      <c r="U115" s="35"/>
      <c r="V115" s="35"/>
      <c r="W115" s="35"/>
      <c r="X115" s="35"/>
      <c r="Y115" s="35"/>
      <c r="Z115" s="35"/>
    </row>
    <row r="116" ht="15.75" customHeight="1">
      <c r="A116" s="48"/>
      <c r="B116" s="48"/>
      <c r="C116" s="26" t="str">
        <f t="array" ref="C116">IF($B116="","",INDEX('Gap reference'!$C$2:$C$60,MATCH($B116,'Gap reference'!$A$2:$A$60,0)))</f>
        <v/>
      </c>
      <c r="D116" s="26" t="str">
        <f t="array" ref="D116">IF($B116="","",INDEX('Gap reference'!$D$2:$D$60,MATCH($B116,'Gap reference'!$A$2:$A$60,0)))</f>
        <v/>
      </c>
      <c r="E116" s="26" t="str">
        <f t="array" ref="E116">IF($B116="","",INDEX('Gap reference'!$G$2:$G$60,MATCH($B116,'Gap reference'!$A$2:$A$60,0)))</f>
        <v/>
      </c>
      <c r="F116" s="48"/>
      <c r="G116" s="48"/>
      <c r="H116" s="48"/>
      <c r="I116" s="48"/>
      <c r="J116" s="48"/>
      <c r="K116" s="48"/>
      <c r="L116" s="48"/>
      <c r="M116" s="48"/>
      <c r="N116" s="75"/>
      <c r="O116" s="48"/>
      <c r="P116" s="35"/>
      <c r="Q116" s="35"/>
      <c r="R116" s="35"/>
      <c r="S116" s="35"/>
      <c r="T116" s="35"/>
      <c r="U116" s="35"/>
      <c r="V116" s="35"/>
      <c r="W116" s="35"/>
      <c r="X116" s="35"/>
      <c r="Y116" s="35"/>
      <c r="Z116" s="35"/>
    </row>
    <row r="117" ht="15.75" customHeight="1">
      <c r="A117" s="48"/>
      <c r="B117" s="48"/>
      <c r="C117" s="26" t="str">
        <f t="array" ref="C117">IF($B117="","",INDEX('Gap reference'!$C$2:$C$60,MATCH($B117,'Gap reference'!$A$2:$A$60,0)))</f>
        <v/>
      </c>
      <c r="D117" s="26" t="str">
        <f t="array" ref="D117">IF($B117="","",INDEX('Gap reference'!$D$2:$D$60,MATCH($B117,'Gap reference'!$A$2:$A$60,0)))</f>
        <v/>
      </c>
      <c r="E117" s="26" t="str">
        <f t="array" ref="E117">IF($B117="","",INDEX('Gap reference'!$G$2:$G$60,MATCH($B117,'Gap reference'!$A$2:$A$60,0)))</f>
        <v/>
      </c>
      <c r="F117" s="48"/>
      <c r="G117" s="48"/>
      <c r="H117" s="48"/>
      <c r="I117" s="48"/>
      <c r="J117" s="48"/>
      <c r="K117" s="48"/>
      <c r="L117" s="48"/>
      <c r="M117" s="48"/>
      <c r="N117" s="75"/>
      <c r="O117" s="48"/>
      <c r="P117" s="35"/>
      <c r="Q117" s="35"/>
      <c r="R117" s="35"/>
      <c r="S117" s="35"/>
      <c r="T117" s="35"/>
      <c r="U117" s="35"/>
      <c r="V117" s="35"/>
      <c r="W117" s="35"/>
      <c r="X117" s="35"/>
      <c r="Y117" s="35"/>
      <c r="Z117" s="35"/>
    </row>
    <row r="118" ht="15.75" customHeight="1">
      <c r="A118" s="48"/>
      <c r="B118" s="48"/>
      <c r="C118" s="26" t="str">
        <f t="array" ref="C118">IF($B118="","",INDEX('Gap reference'!$C$2:$C$60,MATCH($B118,'Gap reference'!$A$2:$A$60,0)))</f>
        <v/>
      </c>
      <c r="D118" s="26" t="str">
        <f t="array" ref="D118">IF($B118="","",INDEX('Gap reference'!$D$2:$D$60,MATCH($B118,'Gap reference'!$A$2:$A$60,0)))</f>
        <v/>
      </c>
      <c r="E118" s="26" t="str">
        <f t="array" ref="E118">IF($B118="","",INDEX('Gap reference'!$G$2:$G$60,MATCH($B118,'Gap reference'!$A$2:$A$60,0)))</f>
        <v/>
      </c>
      <c r="F118" s="48"/>
      <c r="G118" s="48"/>
      <c r="H118" s="48"/>
      <c r="I118" s="48"/>
      <c r="J118" s="48"/>
      <c r="K118" s="48"/>
      <c r="L118" s="48"/>
      <c r="M118" s="48"/>
      <c r="N118" s="75"/>
      <c r="O118" s="48"/>
      <c r="P118" s="35"/>
      <c r="Q118" s="35"/>
      <c r="R118" s="35"/>
      <c r="S118" s="35"/>
      <c r="T118" s="35"/>
      <c r="U118" s="35"/>
      <c r="V118" s="35"/>
      <c r="W118" s="35"/>
      <c r="X118" s="35"/>
      <c r="Y118" s="35"/>
      <c r="Z118" s="35"/>
    </row>
    <row r="119" ht="15.75" customHeight="1">
      <c r="A119" s="48"/>
      <c r="B119" s="48"/>
      <c r="C119" s="26" t="str">
        <f t="array" ref="C119">IF($B119="","",INDEX('Gap reference'!$C$2:$C$60,MATCH($B119,'Gap reference'!$A$2:$A$60,0)))</f>
        <v/>
      </c>
      <c r="D119" s="26" t="str">
        <f t="array" ref="D119">IF($B119="","",INDEX('Gap reference'!$D$2:$D$60,MATCH($B119,'Gap reference'!$A$2:$A$60,0)))</f>
        <v/>
      </c>
      <c r="E119" s="26" t="str">
        <f t="array" ref="E119">IF($B119="","",INDEX('Gap reference'!$G$2:$G$60,MATCH($B119,'Gap reference'!$A$2:$A$60,0)))</f>
        <v/>
      </c>
      <c r="F119" s="48"/>
      <c r="G119" s="48"/>
      <c r="H119" s="48"/>
      <c r="I119" s="48"/>
      <c r="J119" s="48"/>
      <c r="K119" s="48"/>
      <c r="L119" s="48"/>
      <c r="M119" s="48"/>
      <c r="N119" s="75"/>
      <c r="O119" s="48"/>
      <c r="P119" s="35"/>
      <c r="Q119" s="35"/>
      <c r="R119" s="35"/>
      <c r="S119" s="35"/>
      <c r="T119" s="35"/>
      <c r="U119" s="35"/>
      <c r="V119" s="35"/>
      <c r="W119" s="35"/>
      <c r="X119" s="35"/>
      <c r="Y119" s="35"/>
      <c r="Z119" s="35"/>
    </row>
    <row r="120" ht="15.75" customHeight="1">
      <c r="A120" s="48"/>
      <c r="B120" s="48"/>
      <c r="C120" s="26" t="str">
        <f t="array" ref="C120">IF($B120="","",INDEX('Gap reference'!$C$2:$C$60,MATCH($B120,'Gap reference'!$A$2:$A$60,0)))</f>
        <v/>
      </c>
      <c r="D120" s="26" t="str">
        <f t="array" ref="D120">IF($B120="","",INDEX('Gap reference'!$D$2:$D$60,MATCH($B120,'Gap reference'!$A$2:$A$60,0)))</f>
        <v/>
      </c>
      <c r="E120" s="26" t="str">
        <f t="array" ref="E120">IF($B120="","",INDEX('Gap reference'!$G$2:$G$60,MATCH($B120,'Gap reference'!$A$2:$A$60,0)))</f>
        <v/>
      </c>
      <c r="F120" s="48"/>
      <c r="G120" s="48"/>
      <c r="H120" s="48"/>
      <c r="I120" s="48"/>
      <c r="J120" s="48"/>
      <c r="K120" s="48"/>
      <c r="L120" s="48"/>
      <c r="M120" s="48"/>
      <c r="N120" s="75"/>
      <c r="O120" s="48"/>
      <c r="P120" s="35"/>
      <c r="Q120" s="35"/>
      <c r="R120" s="35"/>
      <c r="S120" s="35"/>
      <c r="T120" s="35"/>
      <c r="U120" s="35"/>
      <c r="V120" s="35"/>
      <c r="W120" s="35"/>
      <c r="X120" s="35"/>
      <c r="Y120" s="35"/>
      <c r="Z120" s="35"/>
    </row>
    <row r="121" ht="15.75" customHeight="1">
      <c r="A121" s="48"/>
      <c r="B121" s="48"/>
      <c r="C121" s="26" t="str">
        <f t="array" ref="C121">IF($B121="","",INDEX('Gap reference'!$C$2:$C$60,MATCH($B121,'Gap reference'!$A$2:$A$60,0)))</f>
        <v/>
      </c>
      <c r="D121" s="26" t="str">
        <f t="array" ref="D121">IF($B121="","",INDEX('Gap reference'!$D$2:$D$60,MATCH($B121,'Gap reference'!$A$2:$A$60,0)))</f>
        <v/>
      </c>
      <c r="E121" s="26" t="str">
        <f t="array" ref="E121">IF($B121="","",INDEX('Gap reference'!$G$2:$G$60,MATCH($B121,'Gap reference'!$A$2:$A$60,0)))</f>
        <v/>
      </c>
      <c r="F121" s="48"/>
      <c r="G121" s="48"/>
      <c r="H121" s="48"/>
      <c r="I121" s="48"/>
      <c r="J121" s="48"/>
      <c r="K121" s="48"/>
      <c r="L121" s="48"/>
      <c r="M121" s="48"/>
      <c r="N121" s="75"/>
      <c r="O121" s="48"/>
      <c r="P121" s="35"/>
      <c r="Q121" s="35"/>
      <c r="R121" s="35"/>
      <c r="S121" s="35"/>
      <c r="T121" s="35"/>
      <c r="U121" s="35"/>
      <c r="V121" s="35"/>
      <c r="W121" s="35"/>
      <c r="X121" s="35"/>
      <c r="Y121" s="35"/>
      <c r="Z121" s="35"/>
    </row>
    <row r="122" ht="15.75" customHeight="1">
      <c r="A122" s="48"/>
      <c r="B122" s="48"/>
      <c r="C122" s="26" t="str">
        <f t="array" ref="C122">IF($B122="","",INDEX('Gap reference'!$C$2:$C$60,MATCH($B122,'Gap reference'!$A$2:$A$60,0)))</f>
        <v/>
      </c>
      <c r="D122" s="26" t="str">
        <f t="array" ref="D122">IF($B122="","",INDEX('Gap reference'!$D$2:$D$60,MATCH($B122,'Gap reference'!$A$2:$A$60,0)))</f>
        <v/>
      </c>
      <c r="E122" s="26" t="str">
        <f t="array" ref="E122">IF($B122="","",INDEX('Gap reference'!$G$2:$G$60,MATCH($B122,'Gap reference'!$A$2:$A$60,0)))</f>
        <v/>
      </c>
      <c r="F122" s="48"/>
      <c r="G122" s="48"/>
      <c r="H122" s="48"/>
      <c r="I122" s="48"/>
      <c r="J122" s="48"/>
      <c r="K122" s="48"/>
      <c r="L122" s="48"/>
      <c r="M122" s="48"/>
      <c r="N122" s="75"/>
      <c r="O122" s="48"/>
      <c r="P122" s="35"/>
      <c r="Q122" s="35"/>
      <c r="R122" s="35"/>
      <c r="S122" s="35"/>
      <c r="T122" s="35"/>
      <c r="U122" s="35"/>
      <c r="V122" s="35"/>
      <c r="W122" s="35"/>
      <c r="X122" s="35"/>
      <c r="Y122" s="35"/>
      <c r="Z122" s="35"/>
    </row>
    <row r="123" ht="15.75" customHeight="1">
      <c r="A123" s="48"/>
      <c r="B123" s="48"/>
      <c r="C123" s="26" t="str">
        <f t="array" ref="C123">IF($B123="","",INDEX('Gap reference'!$C$2:$C$60,MATCH($B123,'Gap reference'!$A$2:$A$60,0)))</f>
        <v/>
      </c>
      <c r="D123" s="26" t="str">
        <f t="array" ref="D123">IF($B123="","",INDEX('Gap reference'!$D$2:$D$60,MATCH($B123,'Gap reference'!$A$2:$A$60,0)))</f>
        <v/>
      </c>
      <c r="E123" s="26" t="str">
        <f t="array" ref="E123">IF($B123="","",INDEX('Gap reference'!$G$2:$G$60,MATCH($B123,'Gap reference'!$A$2:$A$60,0)))</f>
        <v/>
      </c>
      <c r="F123" s="48"/>
      <c r="G123" s="48"/>
      <c r="H123" s="48"/>
      <c r="I123" s="48"/>
      <c r="J123" s="48"/>
      <c r="K123" s="48"/>
      <c r="L123" s="48"/>
      <c r="M123" s="48"/>
      <c r="N123" s="75"/>
      <c r="O123" s="48"/>
      <c r="P123" s="35"/>
      <c r="Q123" s="35"/>
      <c r="R123" s="35"/>
      <c r="S123" s="35"/>
      <c r="T123" s="35"/>
      <c r="U123" s="35"/>
      <c r="V123" s="35"/>
      <c r="W123" s="35"/>
      <c r="X123" s="35"/>
      <c r="Y123" s="35"/>
      <c r="Z123" s="35"/>
    </row>
    <row r="124" ht="15.75" customHeight="1">
      <c r="A124" s="48"/>
      <c r="B124" s="48"/>
      <c r="C124" s="26" t="str">
        <f t="array" ref="C124">IF($B124="","",INDEX('Gap reference'!$C$2:$C$60,MATCH($B124,'Gap reference'!$A$2:$A$60,0)))</f>
        <v/>
      </c>
      <c r="D124" s="26" t="str">
        <f t="array" ref="D124">IF($B124="","",INDEX('Gap reference'!$D$2:$D$60,MATCH($B124,'Gap reference'!$A$2:$A$60,0)))</f>
        <v/>
      </c>
      <c r="E124" s="26" t="str">
        <f t="array" ref="E124">IF($B124="","",INDEX('Gap reference'!$G$2:$G$60,MATCH($B124,'Gap reference'!$A$2:$A$60,0)))</f>
        <v/>
      </c>
      <c r="F124" s="48"/>
      <c r="G124" s="48"/>
      <c r="H124" s="48"/>
      <c r="I124" s="48"/>
      <c r="J124" s="48"/>
      <c r="K124" s="48"/>
      <c r="L124" s="48"/>
      <c r="M124" s="48"/>
      <c r="N124" s="75"/>
      <c r="O124" s="48"/>
      <c r="P124" s="35"/>
      <c r="Q124" s="35"/>
      <c r="R124" s="35"/>
      <c r="S124" s="35"/>
      <c r="T124" s="35"/>
      <c r="U124" s="35"/>
      <c r="V124" s="35"/>
      <c r="W124" s="35"/>
      <c r="X124" s="35"/>
      <c r="Y124" s="35"/>
      <c r="Z124" s="35"/>
    </row>
    <row r="125" ht="15.75" customHeight="1">
      <c r="A125" s="48"/>
      <c r="B125" s="48"/>
      <c r="C125" s="26" t="str">
        <f t="array" ref="C125">IF($B125="","",INDEX('Gap reference'!$C$2:$C$60,MATCH($B125,'Gap reference'!$A$2:$A$60,0)))</f>
        <v/>
      </c>
      <c r="D125" s="26" t="str">
        <f t="array" ref="D125">IF($B125="","",INDEX('Gap reference'!$D$2:$D$60,MATCH($B125,'Gap reference'!$A$2:$A$60,0)))</f>
        <v/>
      </c>
      <c r="E125" s="26" t="str">
        <f t="array" ref="E125">IF($B125="","",INDEX('Gap reference'!$G$2:$G$60,MATCH($B125,'Gap reference'!$A$2:$A$60,0)))</f>
        <v/>
      </c>
      <c r="F125" s="48"/>
      <c r="G125" s="48"/>
      <c r="H125" s="48"/>
      <c r="I125" s="48"/>
      <c r="J125" s="48"/>
      <c r="K125" s="48"/>
      <c r="L125" s="48"/>
      <c r="M125" s="48"/>
      <c r="N125" s="75"/>
      <c r="O125" s="48"/>
      <c r="P125" s="35"/>
      <c r="Q125" s="35"/>
      <c r="R125" s="35"/>
      <c r="S125" s="35"/>
      <c r="T125" s="35"/>
      <c r="U125" s="35"/>
      <c r="V125" s="35"/>
      <c r="W125" s="35"/>
      <c r="X125" s="35"/>
      <c r="Y125" s="35"/>
      <c r="Z125" s="35"/>
    </row>
    <row r="126" ht="15.75" customHeight="1">
      <c r="A126" s="48"/>
      <c r="B126" s="48"/>
      <c r="C126" s="26" t="str">
        <f t="array" ref="C126">IF($B126="","",INDEX('Gap reference'!$C$2:$C$60,MATCH($B126,'Gap reference'!$A$2:$A$60,0)))</f>
        <v/>
      </c>
      <c r="D126" s="26" t="str">
        <f t="array" ref="D126">IF($B126="","",INDEX('Gap reference'!$D$2:$D$60,MATCH($B126,'Gap reference'!$A$2:$A$60,0)))</f>
        <v/>
      </c>
      <c r="E126" s="26" t="str">
        <f t="array" ref="E126">IF($B126="","",INDEX('Gap reference'!$G$2:$G$60,MATCH($B126,'Gap reference'!$A$2:$A$60,0)))</f>
        <v/>
      </c>
      <c r="F126" s="48"/>
      <c r="G126" s="48"/>
      <c r="H126" s="48"/>
      <c r="I126" s="48"/>
      <c r="J126" s="48"/>
      <c r="K126" s="48"/>
      <c r="L126" s="48"/>
      <c r="M126" s="48"/>
      <c r="N126" s="75"/>
      <c r="O126" s="48"/>
      <c r="P126" s="35"/>
      <c r="Q126" s="35"/>
      <c r="R126" s="35"/>
      <c r="S126" s="35"/>
      <c r="T126" s="35"/>
      <c r="U126" s="35"/>
      <c r="V126" s="35"/>
      <c r="W126" s="35"/>
      <c r="X126" s="35"/>
      <c r="Y126" s="35"/>
      <c r="Z126" s="35"/>
    </row>
    <row r="127" ht="15.75" customHeight="1">
      <c r="A127" s="48"/>
      <c r="B127" s="48"/>
      <c r="C127" s="26" t="str">
        <f t="array" ref="C127">IF($B127="","",INDEX('Gap reference'!$C$2:$C$60,MATCH($B127,'Gap reference'!$A$2:$A$60,0)))</f>
        <v/>
      </c>
      <c r="D127" s="26" t="str">
        <f t="array" ref="D127">IF($B127="","",INDEX('Gap reference'!$D$2:$D$60,MATCH($B127,'Gap reference'!$A$2:$A$60,0)))</f>
        <v/>
      </c>
      <c r="E127" s="26" t="str">
        <f t="array" ref="E127">IF($B127="","",INDEX('Gap reference'!$G$2:$G$60,MATCH($B127,'Gap reference'!$A$2:$A$60,0)))</f>
        <v/>
      </c>
      <c r="F127" s="48"/>
      <c r="G127" s="48"/>
      <c r="H127" s="48"/>
      <c r="I127" s="48"/>
      <c r="J127" s="48"/>
      <c r="K127" s="48"/>
      <c r="L127" s="48"/>
      <c r="M127" s="48"/>
      <c r="N127" s="75"/>
      <c r="O127" s="48"/>
      <c r="P127" s="35"/>
      <c r="Q127" s="35"/>
      <c r="R127" s="35"/>
      <c r="S127" s="35"/>
      <c r="T127" s="35"/>
      <c r="U127" s="35"/>
      <c r="V127" s="35"/>
      <c r="W127" s="35"/>
      <c r="X127" s="35"/>
      <c r="Y127" s="35"/>
      <c r="Z127" s="35"/>
    </row>
    <row r="128" ht="15.75" customHeight="1">
      <c r="A128" s="48"/>
      <c r="B128" s="48"/>
      <c r="C128" s="26" t="str">
        <f t="array" ref="C128">IF($B128="","",INDEX('Gap reference'!$C$2:$C$60,MATCH($B128,'Gap reference'!$A$2:$A$60,0)))</f>
        <v/>
      </c>
      <c r="D128" s="26" t="str">
        <f t="array" ref="D128">IF($B128="","",INDEX('Gap reference'!$D$2:$D$60,MATCH($B128,'Gap reference'!$A$2:$A$60,0)))</f>
        <v/>
      </c>
      <c r="E128" s="26" t="str">
        <f t="array" ref="E128">IF($B128="","",INDEX('Gap reference'!$G$2:$G$60,MATCH($B128,'Gap reference'!$A$2:$A$60,0)))</f>
        <v/>
      </c>
      <c r="F128" s="48"/>
      <c r="G128" s="48"/>
      <c r="H128" s="48"/>
      <c r="I128" s="48"/>
      <c r="J128" s="48"/>
      <c r="K128" s="48"/>
      <c r="L128" s="48"/>
      <c r="M128" s="48"/>
      <c r="N128" s="75"/>
      <c r="O128" s="48"/>
      <c r="P128" s="35"/>
      <c r="Q128" s="35"/>
      <c r="R128" s="35"/>
      <c r="S128" s="35"/>
      <c r="T128" s="35"/>
      <c r="U128" s="35"/>
      <c r="V128" s="35"/>
      <c r="W128" s="35"/>
      <c r="X128" s="35"/>
      <c r="Y128" s="35"/>
      <c r="Z128" s="35"/>
    </row>
    <row r="129" ht="15.75" customHeight="1">
      <c r="A129" s="48"/>
      <c r="B129" s="48"/>
      <c r="C129" s="26" t="str">
        <f t="array" ref="C129">IF($B129="","",INDEX('Gap reference'!$C$2:$C$60,MATCH($B129,'Gap reference'!$A$2:$A$60,0)))</f>
        <v/>
      </c>
      <c r="D129" s="26" t="str">
        <f t="array" ref="D129">IF($B129="","",INDEX('Gap reference'!$D$2:$D$60,MATCH($B129,'Gap reference'!$A$2:$A$60,0)))</f>
        <v/>
      </c>
      <c r="E129" s="26" t="str">
        <f t="array" ref="E129">IF($B129="","",INDEX('Gap reference'!$G$2:$G$60,MATCH($B129,'Gap reference'!$A$2:$A$60,0)))</f>
        <v/>
      </c>
      <c r="F129" s="48"/>
      <c r="G129" s="48"/>
      <c r="H129" s="48"/>
      <c r="I129" s="48"/>
      <c r="J129" s="48"/>
      <c r="K129" s="48"/>
      <c r="L129" s="48"/>
      <c r="M129" s="48"/>
      <c r="N129" s="75"/>
      <c r="O129" s="48"/>
      <c r="P129" s="35"/>
      <c r="Q129" s="35"/>
      <c r="R129" s="35"/>
      <c r="S129" s="35"/>
      <c r="T129" s="35"/>
      <c r="U129" s="35"/>
      <c r="V129" s="35"/>
      <c r="W129" s="35"/>
      <c r="X129" s="35"/>
      <c r="Y129" s="35"/>
      <c r="Z129" s="35"/>
    </row>
    <row r="130" ht="15.75" customHeight="1">
      <c r="A130" s="48"/>
      <c r="B130" s="48"/>
      <c r="C130" s="26" t="str">
        <f t="array" ref="C130">IF($B130="","",INDEX('Gap reference'!$C$2:$C$60,MATCH($B130,'Gap reference'!$A$2:$A$60,0)))</f>
        <v/>
      </c>
      <c r="D130" s="26" t="str">
        <f t="array" ref="D130">IF($B130="","",INDEX('Gap reference'!$D$2:$D$60,MATCH($B130,'Gap reference'!$A$2:$A$60,0)))</f>
        <v/>
      </c>
      <c r="E130" s="26" t="str">
        <f t="array" ref="E130">IF($B130="","",INDEX('Gap reference'!$G$2:$G$60,MATCH($B130,'Gap reference'!$A$2:$A$60,0)))</f>
        <v/>
      </c>
      <c r="F130" s="48"/>
      <c r="G130" s="48"/>
      <c r="H130" s="48"/>
      <c r="I130" s="48"/>
      <c r="J130" s="48"/>
      <c r="K130" s="48"/>
      <c r="L130" s="48"/>
      <c r="M130" s="48"/>
      <c r="N130" s="75"/>
      <c r="O130" s="48"/>
      <c r="P130" s="35"/>
      <c r="Q130" s="35"/>
      <c r="R130" s="35"/>
      <c r="S130" s="35"/>
      <c r="T130" s="35"/>
      <c r="U130" s="35"/>
      <c r="V130" s="35"/>
      <c r="W130" s="35"/>
      <c r="X130" s="35"/>
      <c r="Y130" s="35"/>
      <c r="Z130" s="35"/>
    </row>
    <row r="131" ht="15.75" customHeight="1">
      <c r="A131" s="48"/>
      <c r="B131" s="48"/>
      <c r="C131" s="26" t="str">
        <f t="array" ref="C131">IF($B131="","",INDEX('Gap reference'!$C$2:$C$60,MATCH($B131,'Gap reference'!$A$2:$A$60,0)))</f>
        <v/>
      </c>
      <c r="D131" s="26" t="str">
        <f t="array" ref="D131">IF($B131="","",INDEX('Gap reference'!$D$2:$D$60,MATCH($B131,'Gap reference'!$A$2:$A$60,0)))</f>
        <v/>
      </c>
      <c r="E131" s="26" t="str">
        <f t="array" ref="E131">IF($B131="","",INDEX('Gap reference'!$G$2:$G$60,MATCH($B131,'Gap reference'!$A$2:$A$60,0)))</f>
        <v/>
      </c>
      <c r="F131" s="48"/>
      <c r="G131" s="48"/>
      <c r="H131" s="48"/>
      <c r="I131" s="48"/>
      <c r="J131" s="48"/>
      <c r="K131" s="48"/>
      <c r="L131" s="48"/>
      <c r="M131" s="48"/>
      <c r="N131" s="75"/>
      <c r="O131" s="48"/>
      <c r="P131" s="35"/>
      <c r="Q131" s="35"/>
      <c r="R131" s="35"/>
      <c r="S131" s="35"/>
      <c r="T131" s="35"/>
      <c r="U131" s="35"/>
      <c r="V131" s="35"/>
      <c r="W131" s="35"/>
      <c r="X131" s="35"/>
      <c r="Y131" s="35"/>
      <c r="Z131" s="35"/>
    </row>
    <row r="132" ht="15.75" customHeight="1">
      <c r="A132" s="48"/>
      <c r="B132" s="48"/>
      <c r="C132" s="26" t="str">
        <f t="array" ref="C132">IF($B132="","",INDEX('Gap reference'!$C$2:$C$60,MATCH($B132,'Gap reference'!$A$2:$A$60,0)))</f>
        <v/>
      </c>
      <c r="D132" s="26" t="str">
        <f t="array" ref="D132">IF($B132="","",INDEX('Gap reference'!$D$2:$D$60,MATCH($B132,'Gap reference'!$A$2:$A$60,0)))</f>
        <v/>
      </c>
      <c r="E132" s="26" t="str">
        <f t="array" ref="E132">IF($B132="","",INDEX('Gap reference'!$G$2:$G$60,MATCH($B132,'Gap reference'!$A$2:$A$60,0)))</f>
        <v/>
      </c>
      <c r="F132" s="48"/>
      <c r="G132" s="48"/>
      <c r="H132" s="48"/>
      <c r="I132" s="48"/>
      <c r="J132" s="48"/>
      <c r="K132" s="48"/>
      <c r="L132" s="48"/>
      <c r="M132" s="48"/>
      <c r="N132" s="75"/>
      <c r="O132" s="48"/>
      <c r="P132" s="35"/>
      <c r="Q132" s="35"/>
      <c r="R132" s="35"/>
      <c r="S132" s="35"/>
      <c r="T132" s="35"/>
      <c r="U132" s="35"/>
      <c r="V132" s="35"/>
      <c r="W132" s="35"/>
      <c r="X132" s="35"/>
      <c r="Y132" s="35"/>
      <c r="Z132" s="35"/>
    </row>
    <row r="133" ht="15.75" customHeight="1">
      <c r="A133" s="48"/>
      <c r="B133" s="48"/>
      <c r="C133" s="26" t="str">
        <f t="array" ref="C133">IF($B133="","",INDEX('Gap reference'!$C$2:$C$60,MATCH($B133,'Gap reference'!$A$2:$A$60,0)))</f>
        <v/>
      </c>
      <c r="D133" s="26" t="str">
        <f t="array" ref="D133">IF($B133="","",INDEX('Gap reference'!$D$2:$D$60,MATCH($B133,'Gap reference'!$A$2:$A$60,0)))</f>
        <v/>
      </c>
      <c r="E133" s="26" t="str">
        <f t="array" ref="E133">IF($B133="","",INDEX('Gap reference'!$G$2:$G$60,MATCH($B133,'Gap reference'!$A$2:$A$60,0)))</f>
        <v/>
      </c>
      <c r="F133" s="48"/>
      <c r="G133" s="48"/>
      <c r="H133" s="48"/>
      <c r="I133" s="48"/>
      <c r="J133" s="48"/>
      <c r="K133" s="48"/>
      <c r="L133" s="48"/>
      <c r="M133" s="48"/>
      <c r="N133" s="75"/>
      <c r="O133" s="48"/>
      <c r="P133" s="35"/>
      <c r="Q133" s="35"/>
      <c r="R133" s="35"/>
      <c r="S133" s="35"/>
      <c r="T133" s="35"/>
      <c r="U133" s="35"/>
      <c r="V133" s="35"/>
      <c r="W133" s="35"/>
      <c r="X133" s="35"/>
      <c r="Y133" s="35"/>
      <c r="Z133" s="35"/>
    </row>
    <row r="134" ht="15.75" customHeight="1">
      <c r="A134" s="48"/>
      <c r="B134" s="48"/>
      <c r="C134" s="26" t="str">
        <f t="array" ref="C134">IF($B134="","",INDEX('Gap reference'!$C$2:$C$60,MATCH($B134,'Gap reference'!$A$2:$A$60,0)))</f>
        <v/>
      </c>
      <c r="D134" s="26" t="str">
        <f t="array" ref="D134">IF($B134="","",INDEX('Gap reference'!$D$2:$D$60,MATCH($B134,'Gap reference'!$A$2:$A$60,0)))</f>
        <v/>
      </c>
      <c r="E134" s="26" t="str">
        <f t="array" ref="E134">IF($B134="","",INDEX('Gap reference'!$G$2:$G$60,MATCH($B134,'Gap reference'!$A$2:$A$60,0)))</f>
        <v/>
      </c>
      <c r="F134" s="48"/>
      <c r="G134" s="48"/>
      <c r="H134" s="48"/>
      <c r="I134" s="48"/>
      <c r="J134" s="48"/>
      <c r="K134" s="48"/>
      <c r="L134" s="48"/>
      <c r="M134" s="48"/>
      <c r="N134" s="75"/>
      <c r="O134" s="48"/>
      <c r="P134" s="35"/>
      <c r="Q134" s="35"/>
      <c r="R134" s="35"/>
      <c r="S134" s="35"/>
      <c r="T134" s="35"/>
      <c r="U134" s="35"/>
      <c r="V134" s="35"/>
      <c r="W134" s="35"/>
      <c r="X134" s="35"/>
      <c r="Y134" s="35"/>
      <c r="Z134" s="35"/>
    </row>
    <row r="135" ht="15.75" customHeight="1">
      <c r="A135" s="48"/>
      <c r="B135" s="48"/>
      <c r="C135" s="26" t="str">
        <f t="array" ref="C135">IF($B135="","",INDEX('Gap reference'!$C$2:$C$60,MATCH($B135,'Gap reference'!$A$2:$A$60,0)))</f>
        <v/>
      </c>
      <c r="D135" s="26" t="str">
        <f t="array" ref="D135">IF($B135="","",INDEX('Gap reference'!$D$2:$D$60,MATCH($B135,'Gap reference'!$A$2:$A$60,0)))</f>
        <v/>
      </c>
      <c r="E135" s="26" t="str">
        <f t="array" ref="E135">IF($B135="","",INDEX('Gap reference'!$G$2:$G$60,MATCH($B135,'Gap reference'!$A$2:$A$60,0)))</f>
        <v/>
      </c>
      <c r="F135" s="48"/>
      <c r="G135" s="48"/>
      <c r="H135" s="48"/>
      <c r="I135" s="48"/>
      <c r="J135" s="48"/>
      <c r="K135" s="48"/>
      <c r="L135" s="48"/>
      <c r="M135" s="48"/>
      <c r="N135" s="75"/>
      <c r="O135" s="48"/>
      <c r="P135" s="35"/>
      <c r="Q135" s="35"/>
      <c r="R135" s="35"/>
      <c r="S135" s="35"/>
      <c r="T135" s="35"/>
      <c r="U135" s="35"/>
      <c r="V135" s="35"/>
      <c r="W135" s="35"/>
      <c r="X135" s="35"/>
      <c r="Y135" s="35"/>
      <c r="Z135" s="35"/>
    </row>
    <row r="136" ht="15.75" customHeight="1">
      <c r="A136" s="48"/>
      <c r="B136" s="48"/>
      <c r="C136" s="26" t="str">
        <f t="array" ref="C136">IF($B136="","",INDEX('Gap reference'!$C$2:$C$60,MATCH($B136,'Gap reference'!$A$2:$A$60,0)))</f>
        <v/>
      </c>
      <c r="D136" s="26" t="str">
        <f t="array" ref="D136">IF($B136="","",INDEX('Gap reference'!$D$2:$D$60,MATCH($B136,'Gap reference'!$A$2:$A$60,0)))</f>
        <v/>
      </c>
      <c r="E136" s="26" t="str">
        <f t="array" ref="E136">IF($B136="","",INDEX('Gap reference'!$G$2:$G$60,MATCH($B136,'Gap reference'!$A$2:$A$60,0)))</f>
        <v/>
      </c>
      <c r="F136" s="48"/>
      <c r="G136" s="48"/>
      <c r="H136" s="48"/>
      <c r="I136" s="48"/>
      <c r="J136" s="48"/>
      <c r="K136" s="48"/>
      <c r="L136" s="48"/>
      <c r="M136" s="48"/>
      <c r="N136" s="75"/>
      <c r="O136" s="48"/>
      <c r="P136" s="35"/>
      <c r="Q136" s="35"/>
      <c r="R136" s="35"/>
      <c r="S136" s="35"/>
      <c r="T136" s="35"/>
      <c r="U136" s="35"/>
      <c r="V136" s="35"/>
      <c r="W136" s="35"/>
      <c r="X136" s="35"/>
      <c r="Y136" s="35"/>
      <c r="Z136" s="35"/>
    </row>
    <row r="137" ht="15.75" customHeight="1">
      <c r="A137" s="48"/>
      <c r="B137" s="48"/>
      <c r="C137" s="26" t="str">
        <f t="array" ref="C137">IF($B137="","",INDEX('Gap reference'!$C$2:$C$60,MATCH($B137,'Gap reference'!$A$2:$A$60,0)))</f>
        <v/>
      </c>
      <c r="D137" s="26" t="str">
        <f t="array" ref="D137">IF($B137="","",INDEX('Gap reference'!$D$2:$D$60,MATCH($B137,'Gap reference'!$A$2:$A$60,0)))</f>
        <v/>
      </c>
      <c r="E137" s="26" t="str">
        <f t="array" ref="E137">IF($B137="","",INDEX('Gap reference'!$G$2:$G$60,MATCH($B137,'Gap reference'!$A$2:$A$60,0)))</f>
        <v/>
      </c>
      <c r="F137" s="48"/>
      <c r="G137" s="48"/>
      <c r="H137" s="48"/>
      <c r="I137" s="48"/>
      <c r="J137" s="48"/>
      <c r="K137" s="48"/>
      <c r="L137" s="48"/>
      <c r="M137" s="48"/>
      <c r="N137" s="75"/>
      <c r="O137" s="48"/>
      <c r="P137" s="35"/>
      <c r="Q137" s="35"/>
      <c r="R137" s="35"/>
      <c r="S137" s="35"/>
      <c r="T137" s="35"/>
      <c r="U137" s="35"/>
      <c r="V137" s="35"/>
      <c r="W137" s="35"/>
      <c r="X137" s="35"/>
      <c r="Y137" s="35"/>
      <c r="Z137" s="35"/>
    </row>
    <row r="138" ht="15.75" customHeight="1">
      <c r="A138" s="48"/>
      <c r="B138" s="48"/>
      <c r="C138" s="26" t="str">
        <f t="array" ref="C138">IF($B138="","",INDEX('Gap reference'!$C$2:$C$60,MATCH($B138,'Gap reference'!$A$2:$A$60,0)))</f>
        <v/>
      </c>
      <c r="D138" s="26" t="str">
        <f t="array" ref="D138">IF($B138="","",INDEX('Gap reference'!$D$2:$D$60,MATCH($B138,'Gap reference'!$A$2:$A$60,0)))</f>
        <v/>
      </c>
      <c r="E138" s="26" t="str">
        <f t="array" ref="E138">IF($B138="","",INDEX('Gap reference'!$G$2:$G$60,MATCH($B138,'Gap reference'!$A$2:$A$60,0)))</f>
        <v/>
      </c>
      <c r="F138" s="48"/>
      <c r="G138" s="48"/>
      <c r="H138" s="48"/>
      <c r="I138" s="48"/>
      <c r="J138" s="48"/>
      <c r="K138" s="48"/>
      <c r="L138" s="48"/>
      <c r="M138" s="48"/>
      <c r="N138" s="75"/>
      <c r="O138" s="48"/>
      <c r="P138" s="35"/>
      <c r="Q138" s="35"/>
      <c r="R138" s="35"/>
      <c r="S138" s="35"/>
      <c r="T138" s="35"/>
      <c r="U138" s="35"/>
      <c r="V138" s="35"/>
      <c r="W138" s="35"/>
      <c r="X138" s="35"/>
      <c r="Y138" s="35"/>
      <c r="Z138" s="35"/>
    </row>
    <row r="139" ht="15.75" customHeight="1">
      <c r="A139" s="48"/>
      <c r="B139" s="48"/>
      <c r="C139" s="26" t="str">
        <f t="array" ref="C139">IF($B139="","",INDEX('Gap reference'!$C$2:$C$60,MATCH($B139,'Gap reference'!$A$2:$A$60,0)))</f>
        <v/>
      </c>
      <c r="D139" s="26" t="str">
        <f t="array" ref="D139">IF($B139="","",INDEX('Gap reference'!$D$2:$D$60,MATCH($B139,'Gap reference'!$A$2:$A$60,0)))</f>
        <v/>
      </c>
      <c r="E139" s="26" t="str">
        <f t="array" ref="E139">IF($B139="","",INDEX('Gap reference'!$G$2:$G$60,MATCH($B139,'Gap reference'!$A$2:$A$60,0)))</f>
        <v/>
      </c>
      <c r="F139" s="48"/>
      <c r="G139" s="48"/>
      <c r="H139" s="48"/>
      <c r="I139" s="48"/>
      <c r="J139" s="48"/>
      <c r="K139" s="48"/>
      <c r="L139" s="48"/>
      <c r="M139" s="48"/>
      <c r="N139" s="75"/>
      <c r="O139" s="48"/>
      <c r="P139" s="35"/>
      <c r="Q139" s="35"/>
      <c r="R139" s="35"/>
      <c r="S139" s="35"/>
      <c r="T139" s="35"/>
      <c r="U139" s="35"/>
      <c r="V139" s="35"/>
      <c r="W139" s="35"/>
      <c r="X139" s="35"/>
      <c r="Y139" s="35"/>
      <c r="Z139" s="35"/>
    </row>
    <row r="140" ht="15.75" customHeight="1">
      <c r="A140" s="48"/>
      <c r="B140" s="48"/>
      <c r="C140" s="26" t="str">
        <f t="array" ref="C140">IF($B140="","",INDEX('Gap reference'!$C$2:$C$60,MATCH($B140,'Gap reference'!$A$2:$A$60,0)))</f>
        <v/>
      </c>
      <c r="D140" s="26" t="str">
        <f t="array" ref="D140">IF($B140="","",INDEX('Gap reference'!$D$2:$D$60,MATCH($B140,'Gap reference'!$A$2:$A$60,0)))</f>
        <v/>
      </c>
      <c r="E140" s="26" t="str">
        <f t="array" ref="E140">IF($B140="","",INDEX('Gap reference'!$G$2:$G$60,MATCH($B140,'Gap reference'!$A$2:$A$60,0)))</f>
        <v/>
      </c>
      <c r="F140" s="48"/>
      <c r="G140" s="48"/>
      <c r="H140" s="48"/>
      <c r="I140" s="48"/>
      <c r="J140" s="48"/>
      <c r="K140" s="48"/>
      <c r="L140" s="48"/>
      <c r="M140" s="48"/>
      <c r="N140" s="75"/>
      <c r="O140" s="48"/>
      <c r="P140" s="35"/>
      <c r="Q140" s="35"/>
      <c r="R140" s="35"/>
      <c r="S140" s="35"/>
      <c r="T140" s="35"/>
      <c r="U140" s="35"/>
      <c r="V140" s="35"/>
      <c r="W140" s="35"/>
      <c r="X140" s="35"/>
      <c r="Y140" s="35"/>
      <c r="Z140" s="35"/>
    </row>
    <row r="141" ht="15.75" customHeight="1">
      <c r="A141" s="48"/>
      <c r="B141" s="48"/>
      <c r="C141" s="26" t="str">
        <f t="array" ref="C141">IF($B141="","",INDEX('Gap reference'!$C$2:$C$60,MATCH($B141,'Gap reference'!$A$2:$A$60,0)))</f>
        <v/>
      </c>
      <c r="D141" s="26" t="str">
        <f t="array" ref="D141">IF($B141="","",INDEX('Gap reference'!$D$2:$D$60,MATCH($B141,'Gap reference'!$A$2:$A$60,0)))</f>
        <v/>
      </c>
      <c r="E141" s="26" t="str">
        <f t="array" ref="E141">IF($B141="","",INDEX('Gap reference'!$G$2:$G$60,MATCH($B141,'Gap reference'!$A$2:$A$60,0)))</f>
        <v/>
      </c>
      <c r="F141" s="48"/>
      <c r="G141" s="48"/>
      <c r="H141" s="48"/>
      <c r="I141" s="48"/>
      <c r="J141" s="48"/>
      <c r="K141" s="48"/>
      <c r="L141" s="48"/>
      <c r="M141" s="48"/>
      <c r="N141" s="75"/>
      <c r="O141" s="48"/>
      <c r="P141" s="35"/>
      <c r="Q141" s="35"/>
      <c r="R141" s="35"/>
      <c r="S141" s="35"/>
      <c r="T141" s="35"/>
      <c r="U141" s="35"/>
      <c r="V141" s="35"/>
      <c r="W141" s="35"/>
      <c r="X141" s="35"/>
      <c r="Y141" s="35"/>
      <c r="Z141" s="35"/>
    </row>
    <row r="142" ht="15.75" customHeight="1">
      <c r="A142" s="48"/>
      <c r="B142" s="48"/>
      <c r="C142" s="26" t="str">
        <f t="array" ref="C142">IF($B142="","",INDEX('Gap reference'!$C$2:$C$60,MATCH($B142,'Gap reference'!$A$2:$A$60,0)))</f>
        <v/>
      </c>
      <c r="D142" s="26" t="str">
        <f t="array" ref="D142">IF($B142="","",INDEX('Gap reference'!$D$2:$D$60,MATCH($B142,'Gap reference'!$A$2:$A$60,0)))</f>
        <v/>
      </c>
      <c r="E142" s="26" t="str">
        <f t="array" ref="E142">IF($B142="","",INDEX('Gap reference'!$G$2:$G$60,MATCH($B142,'Gap reference'!$A$2:$A$60,0)))</f>
        <v/>
      </c>
      <c r="F142" s="48"/>
      <c r="G142" s="48"/>
      <c r="H142" s="48"/>
      <c r="I142" s="48"/>
      <c r="J142" s="48"/>
      <c r="K142" s="48"/>
      <c r="L142" s="48"/>
      <c r="M142" s="48"/>
      <c r="N142" s="75"/>
      <c r="O142" s="48"/>
      <c r="P142" s="35"/>
      <c r="Q142" s="35"/>
      <c r="R142" s="35"/>
      <c r="S142" s="35"/>
      <c r="T142" s="35"/>
      <c r="U142" s="35"/>
      <c r="V142" s="35"/>
      <c r="W142" s="35"/>
      <c r="X142" s="35"/>
      <c r="Y142" s="35"/>
      <c r="Z142" s="35"/>
    </row>
    <row r="143" ht="15.75" customHeight="1">
      <c r="A143" s="48"/>
      <c r="B143" s="48"/>
      <c r="C143" s="26" t="str">
        <f t="array" ref="C143">IF($B143="","",INDEX('Gap reference'!$C$2:$C$60,MATCH($B143,'Gap reference'!$A$2:$A$60,0)))</f>
        <v/>
      </c>
      <c r="D143" s="26" t="str">
        <f t="array" ref="D143">IF($B143="","",INDEX('Gap reference'!$D$2:$D$60,MATCH($B143,'Gap reference'!$A$2:$A$60,0)))</f>
        <v/>
      </c>
      <c r="E143" s="26" t="str">
        <f t="array" ref="E143">IF($B143="","",INDEX('Gap reference'!$G$2:$G$60,MATCH($B143,'Gap reference'!$A$2:$A$60,0)))</f>
        <v/>
      </c>
      <c r="F143" s="48"/>
      <c r="G143" s="48"/>
      <c r="H143" s="48"/>
      <c r="I143" s="48"/>
      <c r="J143" s="48"/>
      <c r="K143" s="48"/>
      <c r="L143" s="48"/>
      <c r="M143" s="48"/>
      <c r="N143" s="75"/>
      <c r="O143" s="48"/>
      <c r="P143" s="35"/>
      <c r="Q143" s="35"/>
      <c r="R143" s="35"/>
      <c r="S143" s="35"/>
      <c r="T143" s="35"/>
      <c r="U143" s="35"/>
      <c r="V143" s="35"/>
      <c r="W143" s="35"/>
      <c r="X143" s="35"/>
      <c r="Y143" s="35"/>
      <c r="Z143" s="35"/>
    </row>
    <row r="144" ht="15.75" customHeight="1">
      <c r="A144" s="48"/>
      <c r="B144" s="48"/>
      <c r="C144" s="26" t="str">
        <f t="array" ref="C144">IF($B144="","",INDEX('Gap reference'!$C$2:$C$60,MATCH($B144,'Gap reference'!$A$2:$A$60,0)))</f>
        <v/>
      </c>
      <c r="D144" s="26" t="str">
        <f t="array" ref="D144">IF($B144="","",INDEX('Gap reference'!$D$2:$D$60,MATCH($B144,'Gap reference'!$A$2:$A$60,0)))</f>
        <v/>
      </c>
      <c r="E144" s="26" t="str">
        <f t="array" ref="E144">IF($B144="","",INDEX('Gap reference'!$G$2:$G$60,MATCH($B144,'Gap reference'!$A$2:$A$60,0)))</f>
        <v/>
      </c>
      <c r="F144" s="48"/>
      <c r="G144" s="48"/>
      <c r="H144" s="48"/>
      <c r="I144" s="48"/>
      <c r="J144" s="48"/>
      <c r="K144" s="48"/>
      <c r="L144" s="48"/>
      <c r="M144" s="48"/>
      <c r="N144" s="75"/>
      <c r="O144" s="48"/>
      <c r="P144" s="35"/>
      <c r="Q144" s="35"/>
      <c r="R144" s="35"/>
      <c r="S144" s="35"/>
      <c r="T144" s="35"/>
      <c r="U144" s="35"/>
      <c r="V144" s="35"/>
      <c r="W144" s="35"/>
      <c r="X144" s="35"/>
      <c r="Y144" s="35"/>
      <c r="Z144" s="35"/>
    </row>
    <row r="145" ht="15.75" customHeight="1">
      <c r="A145" s="48"/>
      <c r="B145" s="48"/>
      <c r="C145" s="26" t="str">
        <f t="array" ref="C145">IF($B145="","",INDEX('Gap reference'!$C$2:$C$60,MATCH($B145,'Gap reference'!$A$2:$A$60,0)))</f>
        <v/>
      </c>
      <c r="D145" s="26" t="str">
        <f t="array" ref="D145">IF($B145="","",INDEX('Gap reference'!$D$2:$D$60,MATCH($B145,'Gap reference'!$A$2:$A$60,0)))</f>
        <v/>
      </c>
      <c r="E145" s="26" t="str">
        <f t="array" ref="E145">IF($B145="","",INDEX('Gap reference'!$G$2:$G$60,MATCH($B145,'Gap reference'!$A$2:$A$60,0)))</f>
        <v/>
      </c>
      <c r="F145" s="48"/>
      <c r="G145" s="48"/>
      <c r="H145" s="48"/>
      <c r="I145" s="48"/>
      <c r="J145" s="48"/>
      <c r="K145" s="48"/>
      <c r="L145" s="48"/>
      <c r="M145" s="48"/>
      <c r="N145" s="75"/>
      <c r="O145" s="48"/>
      <c r="P145" s="35"/>
      <c r="Q145" s="35"/>
      <c r="R145" s="35"/>
      <c r="S145" s="35"/>
      <c r="T145" s="35"/>
      <c r="U145" s="35"/>
      <c r="V145" s="35"/>
      <c r="W145" s="35"/>
      <c r="X145" s="35"/>
      <c r="Y145" s="35"/>
      <c r="Z145" s="35"/>
    </row>
    <row r="146" ht="15.75" customHeight="1">
      <c r="A146" s="48"/>
      <c r="B146" s="48"/>
      <c r="C146" s="26" t="str">
        <f t="array" ref="C146">IF($B146="","",INDEX('Gap reference'!$C$2:$C$60,MATCH($B146,'Gap reference'!$A$2:$A$60,0)))</f>
        <v/>
      </c>
      <c r="D146" s="26" t="str">
        <f t="array" ref="D146">IF($B146="","",INDEX('Gap reference'!$D$2:$D$60,MATCH($B146,'Gap reference'!$A$2:$A$60,0)))</f>
        <v/>
      </c>
      <c r="E146" s="26" t="str">
        <f t="array" ref="E146">IF($B146="","",INDEX('Gap reference'!$G$2:$G$60,MATCH($B146,'Gap reference'!$A$2:$A$60,0)))</f>
        <v/>
      </c>
      <c r="F146" s="48"/>
      <c r="G146" s="48"/>
      <c r="H146" s="48"/>
      <c r="I146" s="48"/>
      <c r="J146" s="48"/>
      <c r="K146" s="48"/>
      <c r="L146" s="48"/>
      <c r="M146" s="48"/>
      <c r="N146" s="75"/>
      <c r="O146" s="48"/>
      <c r="P146" s="35"/>
      <c r="Q146" s="35"/>
      <c r="R146" s="35"/>
      <c r="S146" s="35"/>
      <c r="T146" s="35"/>
      <c r="U146" s="35"/>
      <c r="V146" s="35"/>
      <c r="W146" s="35"/>
      <c r="X146" s="35"/>
      <c r="Y146" s="35"/>
      <c r="Z146" s="35"/>
    </row>
    <row r="147" ht="15.75" customHeight="1">
      <c r="A147" s="48"/>
      <c r="B147" s="48"/>
      <c r="C147" s="26" t="str">
        <f t="array" ref="C147">IF($B147="","",INDEX('Gap reference'!$C$2:$C$60,MATCH($B147,'Gap reference'!$A$2:$A$60,0)))</f>
        <v/>
      </c>
      <c r="D147" s="26" t="str">
        <f t="array" ref="D147">IF($B147="","",INDEX('Gap reference'!$D$2:$D$60,MATCH($B147,'Gap reference'!$A$2:$A$60,0)))</f>
        <v/>
      </c>
      <c r="E147" s="26" t="str">
        <f t="array" ref="E147">IF($B147="","",INDEX('Gap reference'!$G$2:$G$60,MATCH($B147,'Gap reference'!$A$2:$A$60,0)))</f>
        <v/>
      </c>
      <c r="F147" s="48"/>
      <c r="G147" s="48"/>
      <c r="H147" s="48"/>
      <c r="I147" s="48"/>
      <c r="J147" s="48"/>
      <c r="K147" s="48"/>
      <c r="L147" s="48"/>
      <c r="M147" s="48"/>
      <c r="N147" s="75"/>
      <c r="O147" s="48"/>
      <c r="P147" s="35"/>
      <c r="Q147" s="35"/>
      <c r="R147" s="35"/>
      <c r="S147" s="35"/>
      <c r="T147" s="35"/>
      <c r="U147" s="35"/>
      <c r="V147" s="35"/>
      <c r="W147" s="35"/>
      <c r="X147" s="35"/>
      <c r="Y147" s="35"/>
      <c r="Z147" s="35"/>
    </row>
    <row r="148" ht="15.75" customHeight="1">
      <c r="A148" s="48"/>
      <c r="B148" s="48"/>
      <c r="C148" s="26" t="str">
        <f t="array" ref="C148">IF($B148="","",INDEX('Gap reference'!$C$2:$C$60,MATCH($B148,'Gap reference'!$A$2:$A$60,0)))</f>
        <v/>
      </c>
      <c r="D148" s="26" t="str">
        <f t="array" ref="D148">IF($B148="","",INDEX('Gap reference'!$D$2:$D$60,MATCH($B148,'Gap reference'!$A$2:$A$60,0)))</f>
        <v/>
      </c>
      <c r="E148" s="26" t="str">
        <f t="array" ref="E148">IF($B148="","",INDEX('Gap reference'!$G$2:$G$60,MATCH($B148,'Gap reference'!$A$2:$A$60,0)))</f>
        <v/>
      </c>
      <c r="F148" s="48"/>
      <c r="G148" s="48"/>
      <c r="H148" s="48"/>
      <c r="I148" s="48"/>
      <c r="J148" s="48"/>
      <c r="K148" s="48"/>
      <c r="L148" s="48"/>
      <c r="M148" s="48"/>
      <c r="N148" s="75"/>
      <c r="O148" s="48"/>
      <c r="P148" s="35"/>
      <c r="Q148" s="35"/>
      <c r="R148" s="35"/>
      <c r="S148" s="35"/>
      <c r="T148" s="35"/>
      <c r="U148" s="35"/>
      <c r="V148" s="35"/>
      <c r="W148" s="35"/>
      <c r="X148" s="35"/>
      <c r="Y148" s="35"/>
      <c r="Z148" s="35"/>
    </row>
    <row r="149" ht="15.75" customHeight="1">
      <c r="A149" s="48"/>
      <c r="B149" s="48"/>
      <c r="C149" s="26" t="str">
        <f t="array" ref="C149">IF($B149="","",INDEX('Gap reference'!$C$2:$C$60,MATCH($B149,'Gap reference'!$A$2:$A$60,0)))</f>
        <v/>
      </c>
      <c r="D149" s="26" t="str">
        <f t="array" ref="D149">IF($B149="","",INDEX('Gap reference'!$D$2:$D$60,MATCH($B149,'Gap reference'!$A$2:$A$60,0)))</f>
        <v/>
      </c>
      <c r="E149" s="26" t="str">
        <f t="array" ref="E149">IF($B149="","",INDEX('Gap reference'!$G$2:$G$60,MATCH($B149,'Gap reference'!$A$2:$A$60,0)))</f>
        <v/>
      </c>
      <c r="F149" s="48"/>
      <c r="G149" s="48"/>
      <c r="H149" s="48"/>
      <c r="I149" s="48"/>
      <c r="J149" s="48"/>
      <c r="K149" s="48"/>
      <c r="L149" s="48"/>
      <c r="M149" s="48"/>
      <c r="N149" s="75"/>
      <c r="O149" s="48"/>
      <c r="P149" s="35"/>
      <c r="Q149" s="35"/>
      <c r="R149" s="35"/>
      <c r="S149" s="35"/>
      <c r="T149" s="35"/>
      <c r="U149" s="35"/>
      <c r="V149" s="35"/>
      <c r="W149" s="35"/>
      <c r="X149" s="35"/>
      <c r="Y149" s="35"/>
      <c r="Z149" s="35"/>
    </row>
    <row r="150" ht="15.75" customHeight="1">
      <c r="A150" s="48"/>
      <c r="B150" s="48"/>
      <c r="C150" s="26" t="str">
        <f t="array" ref="C150">IF($B150="","",INDEX('Gap reference'!$C$2:$C$60,MATCH($B150,'Gap reference'!$A$2:$A$60,0)))</f>
        <v/>
      </c>
      <c r="D150" s="26" t="str">
        <f t="array" ref="D150">IF($B150="","",INDEX('Gap reference'!$D$2:$D$60,MATCH($B150,'Gap reference'!$A$2:$A$60,0)))</f>
        <v/>
      </c>
      <c r="E150" s="26" t="str">
        <f t="array" ref="E150">IF($B150="","",INDEX('Gap reference'!$G$2:$G$60,MATCH($B150,'Gap reference'!$A$2:$A$60,0)))</f>
        <v/>
      </c>
      <c r="F150" s="48"/>
      <c r="G150" s="48"/>
      <c r="H150" s="48"/>
      <c r="I150" s="48"/>
      <c r="J150" s="48"/>
      <c r="K150" s="48"/>
      <c r="L150" s="48"/>
      <c r="M150" s="48"/>
      <c r="N150" s="75"/>
      <c r="O150" s="48"/>
      <c r="P150" s="35"/>
      <c r="Q150" s="35"/>
      <c r="R150" s="35"/>
      <c r="S150" s="35"/>
      <c r="T150" s="35"/>
      <c r="U150" s="35"/>
      <c r="V150" s="35"/>
      <c r="W150" s="35"/>
      <c r="X150" s="35"/>
      <c r="Y150" s="35"/>
      <c r="Z150" s="35"/>
    </row>
    <row r="151" ht="15.75" customHeight="1">
      <c r="A151" s="48"/>
      <c r="B151" s="48"/>
      <c r="C151" s="26" t="str">
        <f t="array" ref="C151">IF($B151="","",INDEX('Gap reference'!$C$2:$C$60,MATCH($B151,'Gap reference'!$A$2:$A$60,0)))</f>
        <v/>
      </c>
      <c r="D151" s="26" t="str">
        <f t="array" ref="D151">IF($B151="","",INDEX('Gap reference'!$D$2:$D$60,MATCH($B151,'Gap reference'!$A$2:$A$60,0)))</f>
        <v/>
      </c>
      <c r="E151" s="26" t="str">
        <f t="array" ref="E151">IF($B151="","",INDEX('Gap reference'!$G$2:$G$60,MATCH($B151,'Gap reference'!$A$2:$A$60,0)))</f>
        <v/>
      </c>
      <c r="F151" s="48"/>
      <c r="G151" s="48"/>
      <c r="H151" s="48"/>
      <c r="I151" s="48"/>
      <c r="J151" s="48"/>
      <c r="K151" s="48"/>
      <c r="L151" s="48"/>
      <c r="M151" s="48"/>
      <c r="N151" s="75"/>
      <c r="O151" s="48"/>
      <c r="P151" s="35"/>
      <c r="Q151" s="35"/>
      <c r="R151" s="35"/>
      <c r="S151" s="35"/>
      <c r="T151" s="35"/>
      <c r="U151" s="35"/>
      <c r="V151" s="35"/>
      <c r="W151" s="35"/>
      <c r="X151" s="35"/>
      <c r="Y151" s="35"/>
      <c r="Z151" s="35"/>
    </row>
    <row r="152" ht="15.75" customHeight="1">
      <c r="A152" s="48"/>
      <c r="B152" s="48"/>
      <c r="C152" s="26" t="str">
        <f t="array" ref="C152">IF($B152="","",INDEX('Gap reference'!$C$2:$C$60,MATCH($B152,'Gap reference'!$A$2:$A$60,0)))</f>
        <v/>
      </c>
      <c r="D152" s="26" t="str">
        <f t="array" ref="D152">IF($B152="","",INDEX('Gap reference'!$D$2:$D$60,MATCH($B152,'Gap reference'!$A$2:$A$60,0)))</f>
        <v/>
      </c>
      <c r="E152" s="26" t="str">
        <f t="array" ref="E152">IF($B152="","",INDEX('Gap reference'!$G$2:$G$60,MATCH($B152,'Gap reference'!$A$2:$A$60,0)))</f>
        <v/>
      </c>
      <c r="F152" s="48"/>
      <c r="G152" s="48"/>
      <c r="H152" s="48"/>
      <c r="I152" s="48"/>
      <c r="J152" s="48"/>
      <c r="K152" s="48"/>
      <c r="L152" s="48"/>
      <c r="M152" s="48"/>
      <c r="N152" s="75"/>
      <c r="O152" s="48"/>
      <c r="P152" s="35"/>
      <c r="Q152" s="35"/>
      <c r="R152" s="35"/>
      <c r="S152" s="35"/>
      <c r="T152" s="35"/>
      <c r="U152" s="35"/>
      <c r="V152" s="35"/>
      <c r="W152" s="35"/>
      <c r="X152" s="35"/>
      <c r="Y152" s="35"/>
      <c r="Z152" s="35"/>
    </row>
    <row r="153" ht="15.75" customHeight="1">
      <c r="A153" s="48"/>
      <c r="B153" s="48"/>
      <c r="C153" s="26" t="str">
        <f t="array" ref="C153">IF($B153="","",INDEX('Gap reference'!$C$2:$C$60,MATCH($B153,'Gap reference'!$A$2:$A$60,0)))</f>
        <v/>
      </c>
      <c r="D153" s="26" t="str">
        <f t="array" ref="D153">IF($B153="","",INDEX('Gap reference'!$D$2:$D$60,MATCH($B153,'Gap reference'!$A$2:$A$60,0)))</f>
        <v/>
      </c>
      <c r="E153" s="26" t="str">
        <f t="array" ref="E153">IF($B153="","",INDEX('Gap reference'!$G$2:$G$60,MATCH($B153,'Gap reference'!$A$2:$A$60,0)))</f>
        <v/>
      </c>
      <c r="F153" s="48"/>
      <c r="G153" s="48"/>
      <c r="H153" s="48"/>
      <c r="I153" s="48"/>
      <c r="J153" s="48"/>
      <c r="K153" s="48"/>
      <c r="L153" s="48"/>
      <c r="M153" s="48"/>
      <c r="N153" s="75"/>
      <c r="O153" s="48"/>
      <c r="P153" s="35"/>
      <c r="Q153" s="35"/>
      <c r="R153" s="35"/>
      <c r="S153" s="35"/>
      <c r="T153" s="35"/>
      <c r="U153" s="35"/>
      <c r="V153" s="35"/>
      <c r="W153" s="35"/>
      <c r="X153" s="35"/>
      <c r="Y153" s="35"/>
      <c r="Z153" s="35"/>
    </row>
    <row r="154" ht="15.75" customHeight="1">
      <c r="A154" s="48"/>
      <c r="B154" s="48"/>
      <c r="C154" s="26" t="str">
        <f t="array" ref="C154">IF($B154="","",INDEX('Gap reference'!$C$2:$C$60,MATCH($B154,'Gap reference'!$A$2:$A$60,0)))</f>
        <v/>
      </c>
      <c r="D154" s="26" t="str">
        <f t="array" ref="D154">IF($B154="","",INDEX('Gap reference'!$D$2:$D$60,MATCH($B154,'Gap reference'!$A$2:$A$60,0)))</f>
        <v/>
      </c>
      <c r="E154" s="26" t="str">
        <f t="array" ref="E154">IF($B154="","",INDEX('Gap reference'!$G$2:$G$60,MATCH($B154,'Gap reference'!$A$2:$A$60,0)))</f>
        <v/>
      </c>
      <c r="F154" s="48"/>
      <c r="G154" s="48"/>
      <c r="H154" s="48"/>
      <c r="I154" s="48"/>
      <c r="J154" s="48"/>
      <c r="K154" s="48"/>
      <c r="L154" s="48"/>
      <c r="M154" s="48"/>
      <c r="N154" s="75"/>
      <c r="O154" s="48"/>
      <c r="P154" s="35"/>
      <c r="Q154" s="35"/>
      <c r="R154" s="35"/>
      <c r="S154" s="35"/>
      <c r="T154" s="35"/>
      <c r="U154" s="35"/>
      <c r="V154" s="35"/>
      <c r="W154" s="35"/>
      <c r="X154" s="35"/>
      <c r="Y154" s="35"/>
      <c r="Z154" s="35"/>
    </row>
    <row r="155" ht="15.75" customHeight="1">
      <c r="A155" s="48"/>
      <c r="B155" s="48"/>
      <c r="C155" s="26" t="str">
        <f t="array" ref="C155">IF($B155="","",INDEX('Gap reference'!$C$2:$C$60,MATCH($B155,'Gap reference'!$A$2:$A$60,0)))</f>
        <v/>
      </c>
      <c r="D155" s="26" t="str">
        <f t="array" ref="D155">IF($B155="","",INDEX('Gap reference'!$D$2:$D$60,MATCH($B155,'Gap reference'!$A$2:$A$60,0)))</f>
        <v/>
      </c>
      <c r="E155" s="26" t="str">
        <f t="array" ref="E155">IF($B155="","",INDEX('Gap reference'!$G$2:$G$60,MATCH($B155,'Gap reference'!$A$2:$A$60,0)))</f>
        <v/>
      </c>
      <c r="F155" s="48"/>
      <c r="G155" s="48"/>
      <c r="H155" s="48"/>
      <c r="I155" s="48"/>
      <c r="J155" s="48"/>
      <c r="K155" s="48"/>
      <c r="L155" s="48"/>
      <c r="M155" s="48"/>
      <c r="N155" s="75"/>
      <c r="O155" s="48"/>
      <c r="P155" s="35"/>
      <c r="Q155" s="35"/>
      <c r="R155" s="35"/>
      <c r="S155" s="35"/>
      <c r="T155" s="35"/>
      <c r="U155" s="35"/>
      <c r="V155" s="35"/>
      <c r="W155" s="35"/>
      <c r="X155" s="35"/>
      <c r="Y155" s="35"/>
      <c r="Z155" s="35"/>
    </row>
    <row r="156" ht="15.75" customHeight="1">
      <c r="A156" s="48"/>
      <c r="B156" s="48"/>
      <c r="C156" s="26" t="str">
        <f t="array" ref="C156">IF($B156="","",INDEX('Gap reference'!$C$2:$C$60,MATCH($B156,'Gap reference'!$A$2:$A$60,0)))</f>
        <v/>
      </c>
      <c r="D156" s="26" t="str">
        <f t="array" ref="D156">IF($B156="","",INDEX('Gap reference'!$D$2:$D$60,MATCH($B156,'Gap reference'!$A$2:$A$60,0)))</f>
        <v/>
      </c>
      <c r="E156" s="26" t="str">
        <f t="array" ref="E156">IF($B156="","",INDEX('Gap reference'!$G$2:$G$60,MATCH($B156,'Gap reference'!$A$2:$A$60,0)))</f>
        <v/>
      </c>
      <c r="F156" s="48"/>
      <c r="G156" s="48"/>
      <c r="H156" s="48"/>
      <c r="I156" s="48"/>
      <c r="J156" s="48"/>
      <c r="K156" s="48"/>
      <c r="L156" s="48"/>
      <c r="M156" s="48"/>
      <c r="N156" s="75"/>
      <c r="O156" s="48"/>
      <c r="P156" s="35"/>
      <c r="Q156" s="35"/>
      <c r="R156" s="35"/>
      <c r="S156" s="35"/>
      <c r="T156" s="35"/>
      <c r="U156" s="35"/>
      <c r="V156" s="35"/>
      <c r="W156" s="35"/>
      <c r="X156" s="35"/>
      <c r="Y156" s="35"/>
      <c r="Z156" s="35"/>
    </row>
    <row r="157" ht="15.75" customHeight="1">
      <c r="A157" s="48"/>
      <c r="B157" s="48"/>
      <c r="C157" s="26" t="str">
        <f t="array" ref="C157">IF($B157="","",INDEX('Gap reference'!$C$2:$C$60,MATCH($B157,'Gap reference'!$A$2:$A$60,0)))</f>
        <v/>
      </c>
      <c r="D157" s="26" t="str">
        <f t="array" ref="D157">IF($B157="","",INDEX('Gap reference'!$D$2:$D$60,MATCH($B157,'Gap reference'!$A$2:$A$60,0)))</f>
        <v/>
      </c>
      <c r="E157" s="26" t="str">
        <f t="array" ref="E157">IF($B157="","",INDEX('Gap reference'!$G$2:$G$60,MATCH($B157,'Gap reference'!$A$2:$A$60,0)))</f>
        <v/>
      </c>
      <c r="F157" s="48"/>
      <c r="G157" s="48"/>
      <c r="H157" s="48"/>
      <c r="I157" s="48"/>
      <c r="J157" s="48"/>
      <c r="K157" s="48"/>
      <c r="L157" s="48"/>
      <c r="M157" s="48"/>
      <c r="N157" s="75"/>
      <c r="O157" s="48"/>
      <c r="P157" s="35"/>
      <c r="Q157" s="35"/>
      <c r="R157" s="35"/>
      <c r="S157" s="35"/>
      <c r="T157" s="35"/>
      <c r="U157" s="35"/>
      <c r="V157" s="35"/>
      <c r="W157" s="35"/>
      <c r="X157" s="35"/>
      <c r="Y157" s="35"/>
      <c r="Z157" s="35"/>
    </row>
    <row r="158" ht="15.75" customHeight="1">
      <c r="A158" s="48"/>
      <c r="B158" s="48"/>
      <c r="C158" s="26" t="str">
        <f t="array" ref="C158">IF($B158="","",INDEX('Gap reference'!$C$2:$C$60,MATCH($B158,'Gap reference'!$A$2:$A$60,0)))</f>
        <v/>
      </c>
      <c r="D158" s="26" t="str">
        <f t="array" ref="D158">IF($B158="","",INDEX('Gap reference'!$D$2:$D$60,MATCH($B158,'Gap reference'!$A$2:$A$60,0)))</f>
        <v/>
      </c>
      <c r="E158" s="26" t="str">
        <f t="array" ref="E158">IF($B158="","",INDEX('Gap reference'!$G$2:$G$60,MATCH($B158,'Gap reference'!$A$2:$A$60,0)))</f>
        <v/>
      </c>
      <c r="F158" s="48"/>
      <c r="G158" s="48"/>
      <c r="H158" s="48"/>
      <c r="I158" s="48"/>
      <c r="J158" s="48"/>
      <c r="K158" s="48"/>
      <c r="L158" s="48"/>
      <c r="M158" s="48"/>
      <c r="N158" s="75"/>
      <c r="O158" s="48"/>
      <c r="P158" s="35"/>
      <c r="Q158" s="35"/>
      <c r="R158" s="35"/>
      <c r="S158" s="35"/>
      <c r="T158" s="35"/>
      <c r="U158" s="35"/>
      <c r="V158" s="35"/>
      <c r="W158" s="35"/>
      <c r="X158" s="35"/>
      <c r="Y158" s="35"/>
      <c r="Z158" s="35"/>
    </row>
    <row r="159" ht="15.75" customHeight="1">
      <c r="A159" s="48"/>
      <c r="B159" s="48"/>
      <c r="C159" s="26" t="str">
        <f t="array" ref="C159">IF($B159="","",INDEX('Gap reference'!$C$2:$C$60,MATCH($B159,'Gap reference'!$A$2:$A$60,0)))</f>
        <v/>
      </c>
      <c r="D159" s="26" t="str">
        <f t="array" ref="D159">IF($B159="","",INDEX('Gap reference'!$D$2:$D$60,MATCH($B159,'Gap reference'!$A$2:$A$60,0)))</f>
        <v/>
      </c>
      <c r="E159" s="26" t="str">
        <f t="array" ref="E159">IF($B159="","",INDEX('Gap reference'!$G$2:$G$60,MATCH($B159,'Gap reference'!$A$2:$A$60,0)))</f>
        <v/>
      </c>
      <c r="F159" s="48"/>
      <c r="G159" s="48"/>
      <c r="H159" s="48"/>
      <c r="I159" s="48"/>
      <c r="J159" s="48"/>
      <c r="K159" s="48"/>
      <c r="L159" s="48"/>
      <c r="M159" s="48"/>
      <c r="N159" s="75"/>
      <c r="O159" s="48"/>
      <c r="P159" s="35"/>
      <c r="Q159" s="35"/>
      <c r="R159" s="35"/>
      <c r="S159" s="35"/>
      <c r="T159" s="35"/>
      <c r="U159" s="35"/>
      <c r="V159" s="35"/>
      <c r="W159" s="35"/>
      <c r="X159" s="35"/>
      <c r="Y159" s="35"/>
      <c r="Z159" s="35"/>
    </row>
    <row r="160" ht="15.75" customHeight="1">
      <c r="A160" s="48"/>
      <c r="B160" s="48"/>
      <c r="C160" s="26" t="str">
        <f t="array" ref="C160">IF($B160="","",INDEX('Gap reference'!$C$2:$C$60,MATCH($B160,'Gap reference'!$A$2:$A$60,0)))</f>
        <v/>
      </c>
      <c r="D160" s="26" t="str">
        <f t="array" ref="D160">IF($B160="","",INDEX('Gap reference'!$D$2:$D$60,MATCH($B160,'Gap reference'!$A$2:$A$60,0)))</f>
        <v/>
      </c>
      <c r="E160" s="26" t="str">
        <f t="array" ref="E160">IF($B160="","",INDEX('Gap reference'!$G$2:$G$60,MATCH($B160,'Gap reference'!$A$2:$A$60,0)))</f>
        <v/>
      </c>
      <c r="F160" s="48"/>
      <c r="G160" s="48"/>
      <c r="H160" s="48"/>
      <c r="I160" s="48"/>
      <c r="J160" s="48"/>
      <c r="K160" s="48"/>
      <c r="L160" s="48"/>
      <c r="M160" s="48"/>
      <c r="N160" s="75"/>
      <c r="O160" s="48"/>
      <c r="P160" s="35"/>
      <c r="Q160" s="35"/>
      <c r="R160" s="35"/>
      <c r="S160" s="35"/>
      <c r="T160" s="35"/>
      <c r="U160" s="35"/>
      <c r="V160" s="35"/>
      <c r="W160" s="35"/>
      <c r="X160" s="35"/>
      <c r="Y160" s="35"/>
      <c r="Z160" s="35"/>
    </row>
    <row r="161" ht="15.75" customHeight="1">
      <c r="A161" s="48"/>
      <c r="B161" s="48"/>
      <c r="C161" s="26" t="str">
        <f t="array" ref="C161">IF($B161="","",INDEX('Gap reference'!$C$2:$C$60,MATCH($B161,'Gap reference'!$A$2:$A$60,0)))</f>
        <v/>
      </c>
      <c r="D161" s="26" t="str">
        <f t="array" ref="D161">IF($B161="","",INDEX('Gap reference'!$D$2:$D$60,MATCH($B161,'Gap reference'!$A$2:$A$60,0)))</f>
        <v/>
      </c>
      <c r="E161" s="26" t="str">
        <f t="array" ref="E161">IF($B161="","",INDEX('Gap reference'!$G$2:$G$60,MATCH($B161,'Gap reference'!$A$2:$A$60,0)))</f>
        <v/>
      </c>
      <c r="F161" s="48"/>
      <c r="G161" s="48"/>
      <c r="H161" s="48"/>
      <c r="I161" s="48"/>
      <c r="J161" s="48"/>
      <c r="K161" s="48"/>
      <c r="L161" s="48"/>
      <c r="M161" s="48"/>
      <c r="N161" s="75"/>
      <c r="O161" s="48"/>
      <c r="P161" s="35"/>
      <c r="Q161" s="35"/>
      <c r="R161" s="35"/>
      <c r="S161" s="35"/>
      <c r="T161" s="35"/>
      <c r="U161" s="35"/>
      <c r="V161" s="35"/>
      <c r="W161" s="35"/>
      <c r="X161" s="35"/>
      <c r="Y161" s="35"/>
      <c r="Z161" s="35"/>
    </row>
    <row r="162" ht="15.75" customHeight="1">
      <c r="A162" s="48"/>
      <c r="B162" s="48"/>
      <c r="C162" s="26" t="str">
        <f t="array" ref="C162">IF($B162="","",INDEX('Gap reference'!$C$2:$C$60,MATCH($B162,'Gap reference'!$A$2:$A$60,0)))</f>
        <v/>
      </c>
      <c r="D162" s="26" t="str">
        <f t="array" ref="D162">IF($B162="","",INDEX('Gap reference'!$D$2:$D$60,MATCH($B162,'Gap reference'!$A$2:$A$60,0)))</f>
        <v/>
      </c>
      <c r="E162" s="26" t="str">
        <f t="array" ref="E162">IF($B162="","",INDEX('Gap reference'!$G$2:$G$60,MATCH($B162,'Gap reference'!$A$2:$A$60,0)))</f>
        <v/>
      </c>
      <c r="F162" s="48"/>
      <c r="G162" s="48"/>
      <c r="H162" s="48"/>
      <c r="I162" s="48"/>
      <c r="J162" s="48"/>
      <c r="K162" s="48"/>
      <c r="L162" s="48"/>
      <c r="M162" s="48"/>
      <c r="N162" s="75"/>
      <c r="O162" s="48"/>
      <c r="P162" s="35"/>
      <c r="Q162" s="35"/>
      <c r="R162" s="35"/>
      <c r="S162" s="35"/>
      <c r="T162" s="35"/>
      <c r="U162" s="35"/>
      <c r="V162" s="35"/>
      <c r="W162" s="35"/>
      <c r="X162" s="35"/>
      <c r="Y162" s="35"/>
      <c r="Z162" s="35"/>
    </row>
    <row r="163" ht="15.75" customHeight="1">
      <c r="A163" s="48"/>
      <c r="B163" s="48"/>
      <c r="C163" s="26" t="str">
        <f t="array" ref="C163">IF($B163="","",INDEX('Gap reference'!$C$2:$C$60,MATCH($B163,'Gap reference'!$A$2:$A$60,0)))</f>
        <v/>
      </c>
      <c r="D163" s="26" t="str">
        <f t="array" ref="D163">IF($B163="","",INDEX('Gap reference'!$D$2:$D$60,MATCH($B163,'Gap reference'!$A$2:$A$60,0)))</f>
        <v/>
      </c>
      <c r="E163" s="26" t="str">
        <f t="array" ref="E163">IF($B163="","",INDEX('Gap reference'!$G$2:$G$60,MATCH($B163,'Gap reference'!$A$2:$A$60,0)))</f>
        <v/>
      </c>
      <c r="F163" s="48"/>
      <c r="G163" s="48"/>
      <c r="H163" s="48"/>
      <c r="I163" s="48"/>
      <c r="J163" s="48"/>
      <c r="K163" s="48"/>
      <c r="L163" s="48"/>
      <c r="M163" s="48"/>
      <c r="N163" s="75"/>
      <c r="O163" s="48"/>
      <c r="P163" s="35"/>
      <c r="Q163" s="35"/>
      <c r="R163" s="35"/>
      <c r="S163" s="35"/>
      <c r="T163" s="35"/>
      <c r="U163" s="35"/>
      <c r="V163" s="35"/>
      <c r="W163" s="35"/>
      <c r="X163" s="35"/>
      <c r="Y163" s="35"/>
      <c r="Z163" s="35"/>
    </row>
    <row r="164" ht="15.75" customHeight="1">
      <c r="A164" s="48"/>
      <c r="B164" s="48"/>
      <c r="C164" s="26" t="str">
        <f t="array" ref="C164">IF($B164="","",INDEX('Gap reference'!$C$2:$C$60,MATCH($B164,'Gap reference'!$A$2:$A$60,0)))</f>
        <v/>
      </c>
      <c r="D164" s="26" t="str">
        <f t="array" ref="D164">IF($B164="","",INDEX('Gap reference'!$D$2:$D$60,MATCH($B164,'Gap reference'!$A$2:$A$60,0)))</f>
        <v/>
      </c>
      <c r="E164" s="26" t="str">
        <f t="array" ref="E164">IF($B164="","",INDEX('Gap reference'!$G$2:$G$60,MATCH($B164,'Gap reference'!$A$2:$A$60,0)))</f>
        <v/>
      </c>
      <c r="F164" s="48"/>
      <c r="G164" s="48"/>
      <c r="H164" s="48"/>
      <c r="I164" s="48"/>
      <c r="J164" s="48"/>
      <c r="K164" s="48"/>
      <c r="L164" s="48"/>
      <c r="M164" s="48"/>
      <c r="N164" s="75"/>
      <c r="O164" s="48"/>
      <c r="P164" s="35"/>
      <c r="Q164" s="35"/>
      <c r="R164" s="35"/>
      <c r="S164" s="35"/>
      <c r="T164" s="35"/>
      <c r="U164" s="35"/>
      <c r="V164" s="35"/>
      <c r="W164" s="35"/>
      <c r="X164" s="35"/>
      <c r="Y164" s="35"/>
      <c r="Z164" s="35"/>
    </row>
    <row r="165" ht="15.75" customHeight="1">
      <c r="A165" s="48"/>
      <c r="B165" s="48"/>
      <c r="C165" s="26" t="str">
        <f t="array" ref="C165">IF($B165="","",INDEX('Gap reference'!$C$2:$C$60,MATCH($B165,'Gap reference'!$A$2:$A$60,0)))</f>
        <v/>
      </c>
      <c r="D165" s="26" t="str">
        <f t="array" ref="D165">IF($B165="","",INDEX('Gap reference'!$D$2:$D$60,MATCH($B165,'Gap reference'!$A$2:$A$60,0)))</f>
        <v/>
      </c>
      <c r="E165" s="26" t="str">
        <f t="array" ref="E165">IF($B165="","",INDEX('Gap reference'!$G$2:$G$60,MATCH($B165,'Gap reference'!$A$2:$A$60,0)))</f>
        <v/>
      </c>
      <c r="F165" s="48"/>
      <c r="G165" s="48"/>
      <c r="H165" s="48"/>
      <c r="I165" s="48"/>
      <c r="J165" s="48"/>
      <c r="K165" s="48"/>
      <c r="L165" s="48"/>
      <c r="M165" s="48"/>
      <c r="N165" s="75"/>
      <c r="O165" s="48"/>
      <c r="P165" s="35"/>
      <c r="Q165" s="35"/>
      <c r="R165" s="35"/>
      <c r="S165" s="35"/>
      <c r="T165" s="35"/>
      <c r="U165" s="35"/>
      <c r="V165" s="35"/>
      <c r="W165" s="35"/>
      <c r="X165" s="35"/>
      <c r="Y165" s="35"/>
      <c r="Z165" s="35"/>
    </row>
    <row r="166" ht="15.75" customHeight="1">
      <c r="A166" s="48"/>
      <c r="B166" s="48"/>
      <c r="C166" s="26" t="str">
        <f t="array" ref="C166">IF($B166="","",INDEX('Gap reference'!$C$2:$C$60,MATCH($B166,'Gap reference'!$A$2:$A$60,0)))</f>
        <v/>
      </c>
      <c r="D166" s="26" t="str">
        <f t="array" ref="D166">IF($B166="","",INDEX('Gap reference'!$D$2:$D$60,MATCH($B166,'Gap reference'!$A$2:$A$60,0)))</f>
        <v/>
      </c>
      <c r="E166" s="26" t="str">
        <f t="array" ref="E166">IF($B166="","",INDEX('Gap reference'!$G$2:$G$60,MATCH($B166,'Gap reference'!$A$2:$A$60,0)))</f>
        <v/>
      </c>
      <c r="F166" s="48"/>
      <c r="G166" s="48"/>
      <c r="H166" s="48"/>
      <c r="I166" s="48"/>
      <c r="J166" s="48"/>
      <c r="K166" s="48"/>
      <c r="L166" s="48"/>
      <c r="M166" s="48"/>
      <c r="N166" s="75"/>
      <c r="O166" s="48"/>
      <c r="P166" s="35"/>
      <c r="Q166" s="35"/>
      <c r="R166" s="35"/>
      <c r="S166" s="35"/>
      <c r="T166" s="35"/>
      <c r="U166" s="35"/>
      <c r="V166" s="35"/>
      <c r="W166" s="35"/>
      <c r="X166" s="35"/>
      <c r="Y166" s="35"/>
      <c r="Z166" s="35"/>
    </row>
    <row r="167" ht="15.75" customHeight="1">
      <c r="A167" s="48"/>
      <c r="B167" s="48"/>
      <c r="C167" s="26" t="str">
        <f t="array" ref="C167">IF($B167="","",INDEX('Gap reference'!$C$2:$C$60,MATCH($B167,'Gap reference'!$A$2:$A$60,0)))</f>
        <v/>
      </c>
      <c r="D167" s="26" t="str">
        <f t="array" ref="D167">IF($B167="","",INDEX('Gap reference'!$D$2:$D$60,MATCH($B167,'Gap reference'!$A$2:$A$60,0)))</f>
        <v/>
      </c>
      <c r="E167" s="26" t="str">
        <f t="array" ref="E167">IF($B167="","",INDEX('Gap reference'!$G$2:$G$60,MATCH($B167,'Gap reference'!$A$2:$A$60,0)))</f>
        <v/>
      </c>
      <c r="F167" s="48"/>
      <c r="G167" s="48"/>
      <c r="H167" s="48"/>
      <c r="I167" s="48"/>
      <c r="J167" s="48"/>
      <c r="K167" s="48"/>
      <c r="L167" s="48"/>
      <c r="M167" s="48"/>
      <c r="N167" s="75"/>
      <c r="O167" s="48"/>
      <c r="P167" s="35"/>
      <c r="Q167" s="35"/>
      <c r="R167" s="35"/>
      <c r="S167" s="35"/>
      <c r="T167" s="35"/>
      <c r="U167" s="35"/>
      <c r="V167" s="35"/>
      <c r="W167" s="35"/>
      <c r="X167" s="35"/>
      <c r="Y167" s="35"/>
      <c r="Z167" s="35"/>
    </row>
    <row r="168" ht="15.75" customHeight="1">
      <c r="A168" s="48"/>
      <c r="B168" s="48"/>
      <c r="C168" s="26" t="str">
        <f t="array" ref="C168">IF($B168="","",INDEX('Gap reference'!$C$2:$C$60,MATCH($B168,'Gap reference'!$A$2:$A$60,0)))</f>
        <v/>
      </c>
      <c r="D168" s="26" t="str">
        <f t="array" ref="D168">IF($B168="","",INDEX('Gap reference'!$D$2:$D$60,MATCH($B168,'Gap reference'!$A$2:$A$60,0)))</f>
        <v/>
      </c>
      <c r="E168" s="26" t="str">
        <f t="array" ref="E168">IF($B168="","",INDEX('Gap reference'!$G$2:$G$60,MATCH($B168,'Gap reference'!$A$2:$A$60,0)))</f>
        <v/>
      </c>
      <c r="F168" s="48"/>
      <c r="G168" s="48"/>
      <c r="H168" s="48"/>
      <c r="I168" s="48"/>
      <c r="J168" s="48"/>
      <c r="K168" s="48"/>
      <c r="L168" s="48"/>
      <c r="M168" s="48"/>
      <c r="N168" s="75"/>
      <c r="O168" s="48"/>
      <c r="P168" s="35"/>
      <c r="Q168" s="35"/>
      <c r="R168" s="35"/>
      <c r="S168" s="35"/>
      <c r="T168" s="35"/>
      <c r="U168" s="35"/>
      <c r="V168" s="35"/>
      <c r="W168" s="35"/>
      <c r="X168" s="35"/>
      <c r="Y168" s="35"/>
      <c r="Z168" s="35"/>
    </row>
    <row r="169" ht="15.75" customHeight="1">
      <c r="A169" s="48"/>
      <c r="B169" s="48"/>
      <c r="C169" s="26" t="str">
        <f t="array" ref="C169">IF($B169="","",INDEX('Gap reference'!$C$2:$C$60,MATCH($B169,'Gap reference'!$A$2:$A$60,0)))</f>
        <v/>
      </c>
      <c r="D169" s="26" t="str">
        <f t="array" ref="D169">IF($B169="","",INDEX('Gap reference'!$D$2:$D$60,MATCH($B169,'Gap reference'!$A$2:$A$60,0)))</f>
        <v/>
      </c>
      <c r="E169" s="26" t="str">
        <f t="array" ref="E169">IF($B169="","",INDEX('Gap reference'!$G$2:$G$60,MATCH($B169,'Gap reference'!$A$2:$A$60,0)))</f>
        <v/>
      </c>
      <c r="F169" s="48"/>
      <c r="G169" s="48"/>
      <c r="H169" s="48"/>
      <c r="I169" s="48"/>
      <c r="J169" s="48"/>
      <c r="K169" s="48"/>
      <c r="L169" s="48"/>
      <c r="M169" s="48"/>
      <c r="N169" s="75"/>
      <c r="O169" s="48"/>
      <c r="P169" s="35"/>
      <c r="Q169" s="35"/>
      <c r="R169" s="35"/>
      <c r="S169" s="35"/>
      <c r="T169" s="35"/>
      <c r="U169" s="35"/>
      <c r="V169" s="35"/>
      <c r="W169" s="35"/>
      <c r="X169" s="35"/>
      <c r="Y169" s="35"/>
      <c r="Z169" s="35"/>
    </row>
    <row r="170" ht="15.75" customHeight="1">
      <c r="A170" s="48"/>
      <c r="B170" s="48"/>
      <c r="C170" s="26" t="str">
        <f t="array" ref="C170">IF($B170="","",INDEX('Gap reference'!$C$2:$C$60,MATCH($B170,'Gap reference'!$A$2:$A$60,0)))</f>
        <v/>
      </c>
      <c r="D170" s="26" t="str">
        <f t="array" ref="D170">IF($B170="","",INDEX('Gap reference'!$D$2:$D$60,MATCH($B170,'Gap reference'!$A$2:$A$60,0)))</f>
        <v/>
      </c>
      <c r="E170" s="26" t="str">
        <f t="array" ref="E170">IF($B170="","",INDEX('Gap reference'!$G$2:$G$60,MATCH($B170,'Gap reference'!$A$2:$A$60,0)))</f>
        <v/>
      </c>
      <c r="F170" s="48"/>
      <c r="G170" s="48"/>
      <c r="H170" s="48"/>
      <c r="I170" s="48"/>
      <c r="J170" s="48"/>
      <c r="K170" s="48"/>
      <c r="L170" s="48"/>
      <c r="M170" s="48"/>
      <c r="N170" s="75"/>
      <c r="O170" s="48"/>
      <c r="P170" s="35"/>
      <c r="Q170" s="35"/>
      <c r="R170" s="35"/>
      <c r="S170" s="35"/>
      <c r="T170" s="35"/>
      <c r="U170" s="35"/>
      <c r="V170" s="35"/>
      <c r="W170" s="35"/>
      <c r="X170" s="35"/>
      <c r="Y170" s="35"/>
      <c r="Z170" s="35"/>
    </row>
    <row r="171" ht="15.75" customHeight="1">
      <c r="A171" s="48"/>
      <c r="B171" s="48"/>
      <c r="C171" s="26" t="str">
        <f t="array" ref="C171">IF($B171="","",INDEX('Gap reference'!$C$2:$C$60,MATCH($B171,'Gap reference'!$A$2:$A$60,0)))</f>
        <v/>
      </c>
      <c r="D171" s="26" t="str">
        <f t="array" ref="D171">IF($B171="","",INDEX('Gap reference'!$D$2:$D$60,MATCH($B171,'Gap reference'!$A$2:$A$60,0)))</f>
        <v/>
      </c>
      <c r="E171" s="26" t="str">
        <f t="array" ref="E171">IF($B171="","",INDEX('Gap reference'!$G$2:$G$60,MATCH($B171,'Gap reference'!$A$2:$A$60,0)))</f>
        <v/>
      </c>
      <c r="F171" s="48"/>
      <c r="G171" s="48"/>
      <c r="H171" s="48"/>
      <c r="I171" s="48"/>
      <c r="J171" s="48"/>
      <c r="K171" s="48"/>
      <c r="L171" s="48"/>
      <c r="M171" s="48"/>
      <c r="N171" s="75"/>
      <c r="O171" s="48"/>
      <c r="P171" s="35"/>
      <c r="Q171" s="35"/>
      <c r="R171" s="35"/>
      <c r="S171" s="35"/>
      <c r="T171" s="35"/>
      <c r="U171" s="35"/>
      <c r="V171" s="35"/>
      <c r="W171" s="35"/>
      <c r="X171" s="35"/>
      <c r="Y171" s="35"/>
      <c r="Z171" s="35"/>
    </row>
    <row r="172" ht="15.75" customHeight="1">
      <c r="A172" s="48"/>
      <c r="B172" s="48"/>
      <c r="C172" s="26" t="str">
        <f t="array" ref="C172">IF($B172="","",INDEX('Gap reference'!$C$2:$C$60,MATCH($B172,'Gap reference'!$A$2:$A$60,0)))</f>
        <v/>
      </c>
      <c r="D172" s="26" t="str">
        <f t="array" ref="D172">IF($B172="","",INDEX('Gap reference'!$D$2:$D$60,MATCH($B172,'Gap reference'!$A$2:$A$60,0)))</f>
        <v/>
      </c>
      <c r="E172" s="26" t="str">
        <f t="array" ref="E172">IF($B172="","",INDEX('Gap reference'!$G$2:$G$60,MATCH($B172,'Gap reference'!$A$2:$A$60,0)))</f>
        <v/>
      </c>
      <c r="F172" s="48"/>
      <c r="G172" s="48"/>
      <c r="H172" s="48"/>
      <c r="I172" s="48"/>
      <c r="J172" s="48"/>
      <c r="K172" s="48"/>
      <c r="L172" s="48"/>
      <c r="M172" s="48"/>
      <c r="N172" s="75"/>
      <c r="O172" s="48"/>
      <c r="P172" s="35"/>
      <c r="Q172" s="35"/>
      <c r="R172" s="35"/>
      <c r="S172" s="35"/>
      <c r="T172" s="35"/>
      <c r="U172" s="35"/>
      <c r="V172" s="35"/>
      <c r="W172" s="35"/>
      <c r="X172" s="35"/>
      <c r="Y172" s="35"/>
      <c r="Z172" s="35"/>
    </row>
    <row r="173" ht="15.75" customHeight="1">
      <c r="A173" s="48"/>
      <c r="B173" s="48"/>
      <c r="C173" s="26" t="str">
        <f t="array" ref="C173">IF($B173="","",INDEX('Gap reference'!$C$2:$C$60,MATCH($B173,'Gap reference'!$A$2:$A$60,0)))</f>
        <v/>
      </c>
      <c r="D173" s="26" t="str">
        <f t="array" ref="D173">IF($B173="","",INDEX('Gap reference'!$D$2:$D$60,MATCH($B173,'Gap reference'!$A$2:$A$60,0)))</f>
        <v/>
      </c>
      <c r="E173" s="26" t="str">
        <f t="array" ref="E173">IF($B173="","",INDEX('Gap reference'!$G$2:$G$60,MATCH($B173,'Gap reference'!$A$2:$A$60,0)))</f>
        <v/>
      </c>
      <c r="F173" s="48"/>
      <c r="G173" s="48"/>
      <c r="H173" s="48"/>
      <c r="I173" s="48"/>
      <c r="J173" s="48"/>
      <c r="K173" s="48"/>
      <c r="L173" s="48"/>
      <c r="M173" s="48"/>
      <c r="N173" s="75"/>
      <c r="O173" s="48"/>
      <c r="P173" s="35"/>
      <c r="Q173" s="35"/>
      <c r="R173" s="35"/>
      <c r="S173" s="35"/>
      <c r="T173" s="35"/>
      <c r="U173" s="35"/>
      <c r="V173" s="35"/>
      <c r="W173" s="35"/>
      <c r="X173" s="35"/>
      <c r="Y173" s="35"/>
      <c r="Z173" s="35"/>
    </row>
    <row r="174" ht="15.75" customHeight="1">
      <c r="A174" s="48"/>
      <c r="B174" s="48"/>
      <c r="C174" s="26" t="str">
        <f t="array" ref="C174">IF($B174="","",INDEX('Gap reference'!$C$2:$C$60,MATCH($B174,'Gap reference'!$A$2:$A$60,0)))</f>
        <v/>
      </c>
      <c r="D174" s="26" t="str">
        <f t="array" ref="D174">IF($B174="","",INDEX('Gap reference'!$D$2:$D$60,MATCH($B174,'Gap reference'!$A$2:$A$60,0)))</f>
        <v/>
      </c>
      <c r="E174" s="26" t="str">
        <f t="array" ref="E174">IF($B174="","",INDEX('Gap reference'!$G$2:$G$60,MATCH($B174,'Gap reference'!$A$2:$A$60,0)))</f>
        <v/>
      </c>
      <c r="F174" s="48"/>
      <c r="G174" s="48"/>
      <c r="H174" s="48"/>
      <c r="I174" s="48"/>
      <c r="J174" s="48"/>
      <c r="K174" s="48"/>
      <c r="L174" s="48"/>
      <c r="M174" s="48"/>
      <c r="N174" s="75"/>
      <c r="O174" s="48"/>
      <c r="P174" s="35"/>
      <c r="Q174" s="35"/>
      <c r="R174" s="35"/>
      <c r="S174" s="35"/>
      <c r="T174" s="35"/>
      <c r="U174" s="35"/>
      <c r="V174" s="35"/>
      <c r="W174" s="35"/>
      <c r="X174" s="35"/>
      <c r="Y174" s="35"/>
      <c r="Z174" s="35"/>
    </row>
    <row r="175" ht="15.75" customHeight="1">
      <c r="A175" s="48"/>
      <c r="B175" s="48"/>
      <c r="C175" s="26" t="str">
        <f t="array" ref="C175">IF($B175="","",INDEX('Gap reference'!$C$2:$C$60,MATCH($B175,'Gap reference'!$A$2:$A$60,0)))</f>
        <v/>
      </c>
      <c r="D175" s="26" t="str">
        <f t="array" ref="D175">IF($B175="","",INDEX('Gap reference'!$D$2:$D$60,MATCH($B175,'Gap reference'!$A$2:$A$60,0)))</f>
        <v/>
      </c>
      <c r="E175" s="26" t="str">
        <f t="array" ref="E175">IF($B175="","",INDEX('Gap reference'!$G$2:$G$60,MATCH($B175,'Gap reference'!$A$2:$A$60,0)))</f>
        <v/>
      </c>
      <c r="F175" s="48"/>
      <c r="G175" s="48"/>
      <c r="H175" s="48"/>
      <c r="I175" s="48"/>
      <c r="J175" s="48"/>
      <c r="K175" s="48"/>
      <c r="L175" s="48"/>
      <c r="M175" s="48"/>
      <c r="N175" s="75"/>
      <c r="O175" s="48"/>
      <c r="P175" s="35"/>
      <c r="Q175" s="35"/>
      <c r="R175" s="35"/>
      <c r="S175" s="35"/>
      <c r="T175" s="35"/>
      <c r="U175" s="35"/>
      <c r="V175" s="35"/>
      <c r="W175" s="35"/>
      <c r="X175" s="35"/>
      <c r="Y175" s="35"/>
      <c r="Z175" s="35"/>
    </row>
    <row r="176" ht="15.75" customHeight="1">
      <c r="A176" s="48"/>
      <c r="B176" s="48"/>
      <c r="C176" s="26" t="str">
        <f t="array" ref="C176">IF($B176="","",INDEX('Gap reference'!$C$2:$C$60,MATCH($B176,'Gap reference'!$A$2:$A$60,0)))</f>
        <v/>
      </c>
      <c r="D176" s="26" t="str">
        <f t="array" ref="D176">IF($B176="","",INDEX('Gap reference'!$D$2:$D$60,MATCH($B176,'Gap reference'!$A$2:$A$60,0)))</f>
        <v/>
      </c>
      <c r="E176" s="26" t="str">
        <f t="array" ref="E176">IF($B176="","",INDEX('Gap reference'!$G$2:$G$60,MATCH($B176,'Gap reference'!$A$2:$A$60,0)))</f>
        <v/>
      </c>
      <c r="F176" s="48"/>
      <c r="G176" s="48"/>
      <c r="H176" s="48"/>
      <c r="I176" s="48"/>
      <c r="J176" s="48"/>
      <c r="K176" s="48"/>
      <c r="L176" s="48"/>
      <c r="M176" s="48"/>
      <c r="N176" s="75"/>
      <c r="O176" s="48"/>
      <c r="P176" s="35"/>
      <c r="Q176" s="35"/>
      <c r="R176" s="35"/>
      <c r="S176" s="35"/>
      <c r="T176" s="35"/>
      <c r="U176" s="35"/>
      <c r="V176" s="35"/>
      <c r="W176" s="35"/>
      <c r="X176" s="35"/>
      <c r="Y176" s="35"/>
      <c r="Z176" s="35"/>
    </row>
    <row r="177" ht="15.75" customHeight="1">
      <c r="A177" s="48"/>
      <c r="B177" s="48"/>
      <c r="C177" s="26" t="str">
        <f t="array" ref="C177">IF($B177="","",INDEX('Gap reference'!$C$2:$C$60,MATCH($B177,'Gap reference'!$A$2:$A$60,0)))</f>
        <v/>
      </c>
      <c r="D177" s="26" t="str">
        <f t="array" ref="D177">IF($B177="","",INDEX('Gap reference'!$D$2:$D$60,MATCH($B177,'Gap reference'!$A$2:$A$60,0)))</f>
        <v/>
      </c>
      <c r="E177" s="26" t="str">
        <f t="array" ref="E177">IF($B177="","",INDEX('Gap reference'!$G$2:$G$60,MATCH($B177,'Gap reference'!$A$2:$A$60,0)))</f>
        <v/>
      </c>
      <c r="F177" s="48"/>
      <c r="G177" s="48"/>
      <c r="H177" s="48"/>
      <c r="I177" s="48"/>
      <c r="J177" s="48"/>
      <c r="K177" s="48"/>
      <c r="L177" s="48"/>
      <c r="M177" s="48"/>
      <c r="N177" s="75"/>
      <c r="O177" s="48"/>
      <c r="P177" s="35"/>
      <c r="Q177" s="35"/>
      <c r="R177" s="35"/>
      <c r="S177" s="35"/>
      <c r="T177" s="35"/>
      <c r="U177" s="35"/>
      <c r="V177" s="35"/>
      <c r="W177" s="35"/>
      <c r="X177" s="35"/>
      <c r="Y177" s="35"/>
      <c r="Z177" s="35"/>
    </row>
    <row r="178" ht="15.75" customHeight="1">
      <c r="A178" s="48"/>
      <c r="B178" s="48"/>
      <c r="C178" s="26" t="str">
        <f t="array" ref="C178">IF($B178="","",INDEX('Gap reference'!$C$2:$C$60,MATCH($B178,'Gap reference'!$A$2:$A$60,0)))</f>
        <v/>
      </c>
      <c r="D178" s="26" t="str">
        <f t="array" ref="D178">IF($B178="","",INDEX('Gap reference'!$D$2:$D$60,MATCH($B178,'Gap reference'!$A$2:$A$60,0)))</f>
        <v/>
      </c>
      <c r="E178" s="26" t="str">
        <f t="array" ref="E178">IF($B178="","",INDEX('Gap reference'!$G$2:$G$60,MATCH($B178,'Gap reference'!$A$2:$A$60,0)))</f>
        <v/>
      </c>
      <c r="F178" s="48"/>
      <c r="G178" s="48"/>
      <c r="H178" s="48"/>
      <c r="I178" s="48"/>
      <c r="J178" s="48"/>
      <c r="K178" s="48"/>
      <c r="L178" s="48"/>
      <c r="M178" s="48"/>
      <c r="N178" s="75"/>
      <c r="O178" s="48"/>
      <c r="P178" s="35"/>
      <c r="Q178" s="35"/>
      <c r="R178" s="35"/>
      <c r="S178" s="35"/>
      <c r="T178" s="35"/>
      <c r="U178" s="35"/>
      <c r="V178" s="35"/>
      <c r="W178" s="35"/>
      <c r="X178" s="35"/>
      <c r="Y178" s="35"/>
      <c r="Z178" s="35"/>
    </row>
    <row r="179" ht="15.75" customHeight="1">
      <c r="A179" s="48"/>
      <c r="B179" s="48"/>
      <c r="C179" s="26" t="str">
        <f t="array" ref="C179">IF($B179="","",INDEX('Gap reference'!$C$2:$C$60,MATCH($B179,'Gap reference'!$A$2:$A$60,0)))</f>
        <v/>
      </c>
      <c r="D179" s="26" t="str">
        <f t="array" ref="D179">IF($B179="","",INDEX('Gap reference'!$D$2:$D$60,MATCH($B179,'Gap reference'!$A$2:$A$60,0)))</f>
        <v/>
      </c>
      <c r="E179" s="26" t="str">
        <f t="array" ref="E179">IF($B179="","",INDEX('Gap reference'!$G$2:$G$60,MATCH($B179,'Gap reference'!$A$2:$A$60,0)))</f>
        <v/>
      </c>
      <c r="F179" s="48"/>
      <c r="G179" s="48"/>
      <c r="H179" s="48"/>
      <c r="I179" s="48"/>
      <c r="J179" s="48"/>
      <c r="K179" s="48"/>
      <c r="L179" s="48"/>
      <c r="M179" s="48"/>
      <c r="N179" s="75"/>
      <c r="O179" s="48"/>
      <c r="P179" s="35"/>
      <c r="Q179" s="35"/>
      <c r="R179" s="35"/>
      <c r="S179" s="35"/>
      <c r="T179" s="35"/>
      <c r="U179" s="35"/>
      <c r="V179" s="35"/>
      <c r="W179" s="35"/>
      <c r="X179" s="35"/>
      <c r="Y179" s="35"/>
      <c r="Z179" s="35"/>
    </row>
    <row r="180" ht="15.75" customHeight="1">
      <c r="A180" s="48"/>
      <c r="B180" s="48"/>
      <c r="C180" s="26" t="str">
        <f t="array" ref="C180">IF($B180="","",INDEX('Gap reference'!$C$2:$C$60,MATCH($B180,'Gap reference'!$A$2:$A$60,0)))</f>
        <v/>
      </c>
      <c r="D180" s="26" t="str">
        <f t="array" ref="D180">IF($B180="","",INDEX('Gap reference'!$D$2:$D$60,MATCH($B180,'Gap reference'!$A$2:$A$60,0)))</f>
        <v/>
      </c>
      <c r="E180" s="26" t="str">
        <f t="array" ref="E180">IF($B180="","",INDEX('Gap reference'!$G$2:$G$60,MATCH($B180,'Gap reference'!$A$2:$A$60,0)))</f>
        <v/>
      </c>
      <c r="F180" s="48"/>
      <c r="G180" s="48"/>
      <c r="H180" s="48"/>
      <c r="I180" s="48"/>
      <c r="J180" s="48"/>
      <c r="K180" s="48"/>
      <c r="L180" s="48"/>
      <c r="M180" s="48"/>
      <c r="N180" s="75"/>
      <c r="O180" s="48"/>
      <c r="P180" s="35"/>
      <c r="Q180" s="35"/>
      <c r="R180" s="35"/>
      <c r="S180" s="35"/>
      <c r="T180" s="35"/>
      <c r="U180" s="35"/>
      <c r="V180" s="35"/>
      <c r="W180" s="35"/>
      <c r="X180" s="35"/>
      <c r="Y180" s="35"/>
      <c r="Z180" s="35"/>
    </row>
    <row r="181" ht="15.75" customHeight="1">
      <c r="A181" s="48"/>
      <c r="B181" s="48"/>
      <c r="C181" s="26" t="str">
        <f t="array" ref="C181">IF($B181="","",INDEX('Gap reference'!$C$2:$C$60,MATCH($B181,'Gap reference'!$A$2:$A$60,0)))</f>
        <v/>
      </c>
      <c r="D181" s="26" t="str">
        <f t="array" ref="D181">IF($B181="","",INDEX('Gap reference'!$D$2:$D$60,MATCH($B181,'Gap reference'!$A$2:$A$60,0)))</f>
        <v/>
      </c>
      <c r="E181" s="26" t="str">
        <f t="array" ref="E181">IF($B181="","",INDEX('Gap reference'!$G$2:$G$60,MATCH($B181,'Gap reference'!$A$2:$A$60,0)))</f>
        <v/>
      </c>
      <c r="F181" s="48"/>
      <c r="G181" s="48"/>
      <c r="H181" s="48"/>
      <c r="I181" s="48"/>
      <c r="J181" s="48"/>
      <c r="K181" s="48"/>
      <c r="L181" s="48"/>
      <c r="M181" s="48"/>
      <c r="N181" s="75"/>
      <c r="O181" s="48"/>
      <c r="P181" s="35"/>
      <c r="Q181" s="35"/>
      <c r="R181" s="35"/>
      <c r="S181" s="35"/>
      <c r="T181" s="35"/>
      <c r="U181" s="35"/>
      <c r="V181" s="35"/>
      <c r="W181" s="35"/>
      <c r="X181" s="35"/>
      <c r="Y181" s="35"/>
      <c r="Z181" s="35"/>
    </row>
    <row r="182" ht="15.75" customHeight="1">
      <c r="A182" s="48"/>
      <c r="B182" s="48"/>
      <c r="C182" s="26" t="str">
        <f t="array" ref="C182">IF($B182="","",INDEX('Gap reference'!$C$2:$C$60,MATCH($B182,'Gap reference'!$A$2:$A$60,0)))</f>
        <v/>
      </c>
      <c r="D182" s="26" t="str">
        <f t="array" ref="D182">IF($B182="","",INDEX('Gap reference'!$D$2:$D$60,MATCH($B182,'Gap reference'!$A$2:$A$60,0)))</f>
        <v/>
      </c>
      <c r="E182" s="26" t="str">
        <f t="array" ref="E182">IF($B182="","",INDEX('Gap reference'!$G$2:$G$60,MATCH($B182,'Gap reference'!$A$2:$A$60,0)))</f>
        <v/>
      </c>
      <c r="F182" s="48"/>
      <c r="G182" s="48"/>
      <c r="H182" s="48"/>
      <c r="I182" s="48"/>
      <c r="J182" s="48"/>
      <c r="K182" s="48"/>
      <c r="L182" s="48"/>
      <c r="M182" s="48"/>
      <c r="N182" s="75"/>
      <c r="O182" s="48"/>
      <c r="P182" s="35"/>
      <c r="Q182" s="35"/>
      <c r="R182" s="35"/>
      <c r="S182" s="35"/>
      <c r="T182" s="35"/>
      <c r="U182" s="35"/>
      <c r="V182" s="35"/>
      <c r="W182" s="35"/>
      <c r="X182" s="35"/>
      <c r="Y182" s="35"/>
      <c r="Z182" s="35"/>
    </row>
    <row r="183" ht="15.75" customHeight="1">
      <c r="A183" s="48"/>
      <c r="B183" s="48"/>
      <c r="C183" s="26" t="str">
        <f t="array" ref="C183">IF($B183="","",INDEX('Gap reference'!$C$2:$C$60,MATCH($B183,'Gap reference'!$A$2:$A$60,0)))</f>
        <v/>
      </c>
      <c r="D183" s="26" t="str">
        <f t="array" ref="D183">IF($B183="","",INDEX('Gap reference'!$D$2:$D$60,MATCH($B183,'Gap reference'!$A$2:$A$60,0)))</f>
        <v/>
      </c>
      <c r="E183" s="26" t="str">
        <f t="array" ref="E183">IF($B183="","",INDEX('Gap reference'!$G$2:$G$60,MATCH($B183,'Gap reference'!$A$2:$A$60,0)))</f>
        <v/>
      </c>
      <c r="F183" s="48"/>
      <c r="G183" s="48"/>
      <c r="H183" s="48"/>
      <c r="I183" s="48"/>
      <c r="J183" s="48"/>
      <c r="K183" s="48"/>
      <c r="L183" s="48"/>
      <c r="M183" s="48"/>
      <c r="N183" s="75"/>
      <c r="O183" s="48"/>
      <c r="P183" s="35"/>
      <c r="Q183" s="35"/>
      <c r="R183" s="35"/>
      <c r="S183" s="35"/>
      <c r="T183" s="35"/>
      <c r="U183" s="35"/>
      <c r="V183" s="35"/>
      <c r="W183" s="35"/>
      <c r="X183" s="35"/>
      <c r="Y183" s="35"/>
      <c r="Z183" s="35"/>
    </row>
    <row r="184" ht="15.75" customHeight="1">
      <c r="A184" s="48"/>
      <c r="B184" s="48"/>
      <c r="C184" s="26" t="str">
        <f t="array" ref="C184">IF($B184="","",INDEX('Gap reference'!$C$2:$C$60,MATCH($B184,'Gap reference'!$A$2:$A$60,0)))</f>
        <v/>
      </c>
      <c r="D184" s="26" t="str">
        <f t="array" ref="D184">IF($B184="","",INDEX('Gap reference'!$D$2:$D$60,MATCH($B184,'Gap reference'!$A$2:$A$60,0)))</f>
        <v/>
      </c>
      <c r="E184" s="26" t="str">
        <f t="array" ref="E184">IF($B184="","",INDEX('Gap reference'!$G$2:$G$60,MATCH($B184,'Gap reference'!$A$2:$A$60,0)))</f>
        <v/>
      </c>
      <c r="F184" s="48"/>
      <c r="G184" s="48"/>
      <c r="H184" s="48"/>
      <c r="I184" s="48"/>
      <c r="J184" s="48"/>
      <c r="K184" s="48"/>
      <c r="L184" s="48"/>
      <c r="M184" s="48"/>
      <c r="N184" s="75"/>
      <c r="O184" s="48"/>
      <c r="P184" s="35"/>
      <c r="Q184" s="35"/>
      <c r="R184" s="35"/>
      <c r="S184" s="35"/>
      <c r="T184" s="35"/>
      <c r="U184" s="35"/>
      <c r="V184" s="35"/>
      <c r="W184" s="35"/>
      <c r="X184" s="35"/>
      <c r="Y184" s="35"/>
      <c r="Z184" s="35"/>
    </row>
    <row r="185" ht="15.75" customHeight="1">
      <c r="A185" s="48"/>
      <c r="B185" s="48"/>
      <c r="C185" s="26" t="str">
        <f t="array" ref="C185">IF($B185="","",INDEX('Gap reference'!$C$2:$C$60,MATCH($B185,'Gap reference'!$A$2:$A$60,0)))</f>
        <v/>
      </c>
      <c r="D185" s="26" t="str">
        <f t="array" ref="D185">IF($B185="","",INDEX('Gap reference'!$D$2:$D$60,MATCH($B185,'Gap reference'!$A$2:$A$60,0)))</f>
        <v/>
      </c>
      <c r="E185" s="26" t="str">
        <f t="array" ref="E185">IF($B185="","",INDEX('Gap reference'!$G$2:$G$60,MATCH($B185,'Gap reference'!$A$2:$A$60,0)))</f>
        <v/>
      </c>
      <c r="F185" s="48"/>
      <c r="G185" s="48"/>
      <c r="H185" s="48"/>
      <c r="I185" s="48"/>
      <c r="J185" s="48"/>
      <c r="K185" s="48"/>
      <c r="L185" s="48"/>
      <c r="M185" s="48"/>
      <c r="N185" s="75"/>
      <c r="O185" s="48"/>
      <c r="P185" s="35"/>
      <c r="Q185" s="35"/>
      <c r="R185" s="35"/>
      <c r="S185" s="35"/>
      <c r="T185" s="35"/>
      <c r="U185" s="35"/>
      <c r="V185" s="35"/>
      <c r="W185" s="35"/>
      <c r="X185" s="35"/>
      <c r="Y185" s="35"/>
      <c r="Z185" s="35"/>
    </row>
    <row r="186" ht="15.75" customHeight="1">
      <c r="A186" s="48"/>
      <c r="B186" s="48"/>
      <c r="C186" s="26" t="str">
        <f t="array" ref="C186">IF($B186="","",INDEX('Gap reference'!$C$2:$C$60,MATCH($B186,'Gap reference'!$A$2:$A$60,0)))</f>
        <v/>
      </c>
      <c r="D186" s="26" t="str">
        <f t="array" ref="D186">IF($B186="","",INDEX('Gap reference'!$D$2:$D$60,MATCH($B186,'Gap reference'!$A$2:$A$60,0)))</f>
        <v/>
      </c>
      <c r="E186" s="26" t="str">
        <f t="array" ref="E186">IF($B186="","",INDEX('Gap reference'!$G$2:$G$60,MATCH($B186,'Gap reference'!$A$2:$A$60,0)))</f>
        <v/>
      </c>
      <c r="F186" s="48"/>
      <c r="G186" s="48"/>
      <c r="H186" s="48"/>
      <c r="I186" s="48"/>
      <c r="J186" s="48"/>
      <c r="K186" s="48"/>
      <c r="L186" s="48"/>
      <c r="M186" s="48"/>
      <c r="N186" s="75"/>
      <c r="O186" s="48"/>
      <c r="P186" s="35"/>
      <c r="Q186" s="35"/>
      <c r="R186" s="35"/>
      <c r="S186" s="35"/>
      <c r="T186" s="35"/>
      <c r="U186" s="35"/>
      <c r="V186" s="35"/>
      <c r="W186" s="35"/>
      <c r="X186" s="35"/>
      <c r="Y186" s="35"/>
      <c r="Z186" s="35"/>
    </row>
    <row r="187" ht="15.75" customHeight="1">
      <c r="A187" s="48"/>
      <c r="B187" s="48"/>
      <c r="C187" s="26" t="str">
        <f t="array" ref="C187">IF($B187="","",INDEX('Gap reference'!$C$2:$C$60,MATCH($B187,'Gap reference'!$A$2:$A$60,0)))</f>
        <v/>
      </c>
      <c r="D187" s="26" t="str">
        <f t="array" ref="D187">IF($B187="","",INDEX('Gap reference'!$D$2:$D$60,MATCH($B187,'Gap reference'!$A$2:$A$60,0)))</f>
        <v/>
      </c>
      <c r="E187" s="26" t="str">
        <f t="array" ref="E187">IF($B187="","",INDEX('Gap reference'!$G$2:$G$60,MATCH($B187,'Gap reference'!$A$2:$A$60,0)))</f>
        <v/>
      </c>
      <c r="F187" s="48"/>
      <c r="G187" s="48"/>
      <c r="H187" s="48"/>
      <c r="I187" s="48"/>
      <c r="J187" s="48"/>
      <c r="K187" s="48"/>
      <c r="L187" s="48"/>
      <c r="M187" s="48"/>
      <c r="N187" s="75"/>
      <c r="O187" s="48"/>
      <c r="P187" s="35"/>
      <c r="Q187" s="35"/>
      <c r="R187" s="35"/>
      <c r="S187" s="35"/>
      <c r="T187" s="35"/>
      <c r="U187" s="35"/>
      <c r="V187" s="35"/>
      <c r="W187" s="35"/>
      <c r="X187" s="35"/>
      <c r="Y187" s="35"/>
      <c r="Z187" s="35"/>
    </row>
    <row r="188" ht="15.75" customHeight="1">
      <c r="A188" s="48"/>
      <c r="B188" s="48"/>
      <c r="C188" s="26" t="str">
        <f t="array" ref="C188">IF($B188="","",INDEX('Gap reference'!$C$2:$C$60,MATCH($B188,'Gap reference'!$A$2:$A$60,0)))</f>
        <v/>
      </c>
      <c r="D188" s="26" t="str">
        <f t="array" ref="D188">IF($B188="","",INDEX('Gap reference'!$D$2:$D$60,MATCH($B188,'Gap reference'!$A$2:$A$60,0)))</f>
        <v/>
      </c>
      <c r="E188" s="26" t="str">
        <f t="array" ref="E188">IF($B188="","",INDEX('Gap reference'!$G$2:$G$60,MATCH($B188,'Gap reference'!$A$2:$A$60,0)))</f>
        <v/>
      </c>
      <c r="F188" s="48"/>
      <c r="G188" s="48"/>
      <c r="H188" s="48"/>
      <c r="I188" s="48"/>
      <c r="J188" s="48"/>
      <c r="K188" s="48"/>
      <c r="L188" s="48"/>
      <c r="M188" s="48"/>
      <c r="N188" s="75"/>
      <c r="O188" s="48"/>
      <c r="P188" s="35"/>
      <c r="Q188" s="35"/>
      <c r="R188" s="35"/>
      <c r="S188" s="35"/>
      <c r="T188" s="35"/>
      <c r="U188" s="35"/>
      <c r="V188" s="35"/>
      <c r="W188" s="35"/>
      <c r="X188" s="35"/>
      <c r="Y188" s="35"/>
      <c r="Z188" s="35"/>
    </row>
    <row r="189" ht="15.75" customHeight="1">
      <c r="A189" s="48"/>
      <c r="B189" s="48"/>
      <c r="C189" s="26" t="str">
        <f t="array" ref="C189">IF($B189="","",INDEX('Gap reference'!$C$2:$C$60,MATCH($B189,'Gap reference'!$A$2:$A$60,0)))</f>
        <v/>
      </c>
      <c r="D189" s="26" t="str">
        <f t="array" ref="D189">IF($B189="","",INDEX('Gap reference'!$D$2:$D$60,MATCH($B189,'Gap reference'!$A$2:$A$60,0)))</f>
        <v/>
      </c>
      <c r="E189" s="26" t="str">
        <f t="array" ref="E189">IF($B189="","",INDEX('Gap reference'!$G$2:$G$60,MATCH($B189,'Gap reference'!$A$2:$A$60,0)))</f>
        <v/>
      </c>
      <c r="F189" s="48"/>
      <c r="G189" s="48"/>
      <c r="H189" s="48"/>
      <c r="I189" s="48"/>
      <c r="J189" s="48"/>
      <c r="K189" s="48"/>
      <c r="L189" s="48"/>
      <c r="M189" s="48"/>
      <c r="N189" s="75"/>
      <c r="O189" s="48"/>
      <c r="P189" s="35"/>
      <c r="Q189" s="35"/>
      <c r="R189" s="35"/>
      <c r="S189" s="35"/>
      <c r="T189" s="35"/>
      <c r="U189" s="35"/>
      <c r="V189" s="35"/>
      <c r="W189" s="35"/>
      <c r="X189" s="35"/>
      <c r="Y189" s="35"/>
      <c r="Z189" s="35"/>
    </row>
    <row r="190" ht="15.75" customHeight="1">
      <c r="A190" s="48"/>
      <c r="B190" s="48"/>
      <c r="C190" s="26" t="str">
        <f t="array" ref="C190">IF($B190="","",INDEX('Gap reference'!$C$2:$C$60,MATCH($B190,'Gap reference'!$A$2:$A$60,0)))</f>
        <v/>
      </c>
      <c r="D190" s="26" t="str">
        <f t="array" ref="D190">IF($B190="","",INDEX('Gap reference'!$D$2:$D$60,MATCH($B190,'Gap reference'!$A$2:$A$60,0)))</f>
        <v/>
      </c>
      <c r="E190" s="26" t="str">
        <f t="array" ref="E190">IF($B190="","",INDEX('Gap reference'!$G$2:$G$60,MATCH($B190,'Gap reference'!$A$2:$A$60,0)))</f>
        <v/>
      </c>
      <c r="F190" s="48"/>
      <c r="G190" s="48"/>
      <c r="H190" s="48"/>
      <c r="I190" s="48"/>
      <c r="J190" s="48"/>
      <c r="K190" s="48"/>
      <c r="L190" s="48"/>
      <c r="M190" s="48"/>
      <c r="N190" s="75"/>
      <c r="O190" s="48"/>
      <c r="P190" s="35"/>
      <c r="Q190" s="35"/>
      <c r="R190" s="35"/>
      <c r="S190" s="35"/>
      <c r="T190" s="35"/>
      <c r="U190" s="35"/>
      <c r="V190" s="35"/>
      <c r="W190" s="35"/>
      <c r="X190" s="35"/>
      <c r="Y190" s="35"/>
      <c r="Z190" s="35"/>
    </row>
    <row r="191" ht="15.75" customHeight="1">
      <c r="A191" s="48"/>
      <c r="B191" s="48"/>
      <c r="C191" s="26" t="str">
        <f t="array" ref="C191">IF($B191="","",INDEX('Gap reference'!$C$2:$C$60,MATCH($B191,'Gap reference'!$A$2:$A$60,0)))</f>
        <v/>
      </c>
      <c r="D191" s="26" t="str">
        <f t="array" ref="D191">IF($B191="","",INDEX('Gap reference'!$D$2:$D$60,MATCH($B191,'Gap reference'!$A$2:$A$60,0)))</f>
        <v/>
      </c>
      <c r="E191" s="26" t="str">
        <f t="array" ref="E191">IF($B191="","",INDEX('Gap reference'!$G$2:$G$60,MATCH($B191,'Gap reference'!$A$2:$A$60,0)))</f>
        <v/>
      </c>
      <c r="F191" s="48"/>
      <c r="G191" s="48"/>
      <c r="H191" s="48"/>
      <c r="I191" s="48"/>
      <c r="J191" s="48"/>
      <c r="K191" s="48"/>
      <c r="L191" s="48"/>
      <c r="M191" s="48"/>
      <c r="N191" s="75"/>
      <c r="O191" s="48"/>
      <c r="P191" s="35"/>
      <c r="Q191" s="35"/>
      <c r="R191" s="35"/>
      <c r="S191" s="35"/>
      <c r="T191" s="35"/>
      <c r="U191" s="35"/>
      <c r="V191" s="35"/>
      <c r="W191" s="35"/>
      <c r="X191" s="35"/>
      <c r="Y191" s="35"/>
      <c r="Z191" s="35"/>
    </row>
    <row r="192" ht="15.75" customHeight="1">
      <c r="A192" s="48"/>
      <c r="B192" s="48"/>
      <c r="C192" s="26" t="str">
        <f t="array" ref="C192">IF($B192="","",INDEX('Gap reference'!$C$2:$C$60,MATCH($B192,'Gap reference'!$A$2:$A$60,0)))</f>
        <v/>
      </c>
      <c r="D192" s="26" t="str">
        <f t="array" ref="D192">IF($B192="","",INDEX('Gap reference'!$D$2:$D$60,MATCH($B192,'Gap reference'!$A$2:$A$60,0)))</f>
        <v/>
      </c>
      <c r="E192" s="26" t="str">
        <f t="array" ref="E192">IF($B192="","",INDEX('Gap reference'!$G$2:$G$60,MATCH($B192,'Gap reference'!$A$2:$A$60,0)))</f>
        <v/>
      </c>
      <c r="F192" s="48"/>
      <c r="G192" s="48"/>
      <c r="H192" s="48"/>
      <c r="I192" s="48"/>
      <c r="J192" s="48"/>
      <c r="K192" s="48"/>
      <c r="L192" s="48"/>
      <c r="M192" s="48"/>
      <c r="N192" s="75"/>
      <c r="O192" s="48"/>
      <c r="P192" s="35"/>
      <c r="Q192" s="35"/>
      <c r="R192" s="35"/>
      <c r="S192" s="35"/>
      <c r="T192" s="35"/>
      <c r="U192" s="35"/>
      <c r="V192" s="35"/>
      <c r="W192" s="35"/>
      <c r="X192" s="35"/>
      <c r="Y192" s="35"/>
      <c r="Z192" s="35"/>
    </row>
    <row r="193" ht="15.75" customHeight="1">
      <c r="A193" s="48"/>
      <c r="B193" s="48"/>
      <c r="C193" s="26" t="str">
        <f t="array" ref="C193">IF($B193="","",INDEX('Gap reference'!$C$2:$C$60,MATCH($B193,'Gap reference'!$A$2:$A$60,0)))</f>
        <v/>
      </c>
      <c r="D193" s="26" t="str">
        <f t="array" ref="D193">IF($B193="","",INDEX('Gap reference'!$D$2:$D$60,MATCH($B193,'Gap reference'!$A$2:$A$60,0)))</f>
        <v/>
      </c>
      <c r="E193" s="26" t="str">
        <f t="array" ref="E193">IF($B193="","",INDEX('Gap reference'!$G$2:$G$60,MATCH($B193,'Gap reference'!$A$2:$A$60,0)))</f>
        <v/>
      </c>
      <c r="F193" s="48"/>
      <c r="G193" s="48"/>
      <c r="H193" s="48"/>
      <c r="I193" s="48"/>
      <c r="J193" s="48"/>
      <c r="K193" s="48"/>
      <c r="L193" s="48"/>
      <c r="M193" s="48"/>
      <c r="N193" s="75"/>
      <c r="O193" s="48"/>
      <c r="P193" s="35"/>
      <c r="Q193" s="35"/>
      <c r="R193" s="35"/>
      <c r="S193" s="35"/>
      <c r="T193" s="35"/>
      <c r="U193" s="35"/>
      <c r="V193" s="35"/>
      <c r="W193" s="35"/>
      <c r="X193" s="35"/>
      <c r="Y193" s="35"/>
      <c r="Z193" s="35"/>
    </row>
    <row r="194" ht="15.75" customHeight="1">
      <c r="A194" s="48"/>
      <c r="B194" s="48"/>
      <c r="C194" s="26" t="str">
        <f t="array" ref="C194">IF($B194="","",INDEX('Gap reference'!$C$2:$C$60,MATCH($B194,'Gap reference'!$A$2:$A$60,0)))</f>
        <v/>
      </c>
      <c r="D194" s="26" t="str">
        <f t="array" ref="D194">IF($B194="","",INDEX('Gap reference'!$D$2:$D$60,MATCH($B194,'Gap reference'!$A$2:$A$60,0)))</f>
        <v/>
      </c>
      <c r="E194" s="26" t="str">
        <f t="array" ref="E194">IF($B194="","",INDEX('Gap reference'!$G$2:$G$60,MATCH($B194,'Gap reference'!$A$2:$A$60,0)))</f>
        <v/>
      </c>
      <c r="F194" s="48"/>
      <c r="G194" s="48"/>
      <c r="H194" s="48"/>
      <c r="I194" s="48"/>
      <c r="J194" s="48"/>
      <c r="K194" s="48"/>
      <c r="L194" s="48"/>
      <c r="M194" s="48"/>
      <c r="N194" s="75"/>
      <c r="O194" s="48"/>
      <c r="P194" s="35"/>
      <c r="Q194" s="35"/>
      <c r="R194" s="35"/>
      <c r="S194" s="35"/>
      <c r="T194" s="35"/>
      <c r="U194" s="35"/>
      <c r="V194" s="35"/>
      <c r="W194" s="35"/>
      <c r="X194" s="35"/>
      <c r="Y194" s="35"/>
      <c r="Z194" s="35"/>
    </row>
    <row r="195" ht="15.75" customHeight="1">
      <c r="A195" s="48"/>
      <c r="B195" s="48"/>
      <c r="C195" s="26" t="str">
        <f t="array" ref="C195">IF($B195="","",INDEX('Gap reference'!$C$2:$C$60,MATCH($B195,'Gap reference'!$A$2:$A$60,0)))</f>
        <v/>
      </c>
      <c r="D195" s="26" t="str">
        <f t="array" ref="D195">IF($B195="","",INDEX('Gap reference'!$D$2:$D$60,MATCH($B195,'Gap reference'!$A$2:$A$60,0)))</f>
        <v/>
      </c>
      <c r="E195" s="26" t="str">
        <f t="array" ref="E195">IF($B195="","",INDEX('Gap reference'!$G$2:$G$60,MATCH($B195,'Gap reference'!$A$2:$A$60,0)))</f>
        <v/>
      </c>
      <c r="F195" s="48"/>
      <c r="G195" s="48"/>
      <c r="H195" s="48"/>
      <c r="I195" s="48"/>
      <c r="J195" s="48"/>
      <c r="K195" s="48"/>
      <c r="L195" s="48"/>
      <c r="M195" s="48"/>
      <c r="N195" s="75"/>
      <c r="O195" s="48"/>
      <c r="P195" s="35"/>
      <c r="Q195" s="35"/>
      <c r="R195" s="35"/>
      <c r="S195" s="35"/>
      <c r="T195" s="35"/>
      <c r="U195" s="35"/>
      <c r="V195" s="35"/>
      <c r="W195" s="35"/>
      <c r="X195" s="35"/>
      <c r="Y195" s="35"/>
      <c r="Z195" s="35"/>
    </row>
    <row r="196" ht="15.75" customHeight="1">
      <c r="A196" s="48"/>
      <c r="B196" s="48"/>
      <c r="C196" s="26" t="str">
        <f t="array" ref="C196">IF($B196="","",INDEX('Gap reference'!$C$2:$C$60,MATCH($B196,'Gap reference'!$A$2:$A$60,0)))</f>
        <v/>
      </c>
      <c r="D196" s="26" t="str">
        <f t="array" ref="D196">IF($B196="","",INDEX('Gap reference'!$D$2:$D$60,MATCH($B196,'Gap reference'!$A$2:$A$60,0)))</f>
        <v/>
      </c>
      <c r="E196" s="26" t="str">
        <f t="array" ref="E196">IF($B196="","",INDEX('Gap reference'!$G$2:$G$60,MATCH($B196,'Gap reference'!$A$2:$A$60,0)))</f>
        <v/>
      </c>
      <c r="F196" s="48"/>
      <c r="G196" s="48"/>
      <c r="H196" s="48"/>
      <c r="I196" s="48"/>
      <c r="J196" s="48"/>
      <c r="K196" s="48"/>
      <c r="L196" s="48"/>
      <c r="M196" s="48"/>
      <c r="N196" s="75"/>
      <c r="O196" s="48"/>
      <c r="P196" s="35"/>
      <c r="Q196" s="35"/>
      <c r="R196" s="35"/>
      <c r="S196" s="35"/>
      <c r="T196" s="35"/>
      <c r="U196" s="35"/>
      <c r="V196" s="35"/>
      <c r="W196" s="35"/>
      <c r="X196" s="35"/>
      <c r="Y196" s="35"/>
      <c r="Z196" s="35"/>
    </row>
    <row r="197" ht="15.75" customHeight="1">
      <c r="A197" s="48"/>
      <c r="B197" s="48"/>
      <c r="C197" s="26" t="str">
        <f t="array" ref="C197">IF($B197="","",INDEX('Gap reference'!$C$2:$C$60,MATCH($B197,'Gap reference'!$A$2:$A$60,0)))</f>
        <v/>
      </c>
      <c r="D197" s="26" t="str">
        <f t="array" ref="D197">IF($B197="","",INDEX('Gap reference'!$D$2:$D$60,MATCH($B197,'Gap reference'!$A$2:$A$60,0)))</f>
        <v/>
      </c>
      <c r="E197" s="26" t="str">
        <f t="array" ref="E197">IF($B197="","",INDEX('Gap reference'!$G$2:$G$60,MATCH($B197,'Gap reference'!$A$2:$A$60,0)))</f>
        <v/>
      </c>
      <c r="F197" s="48"/>
      <c r="G197" s="48"/>
      <c r="H197" s="48"/>
      <c r="I197" s="48"/>
      <c r="J197" s="48"/>
      <c r="K197" s="48"/>
      <c r="L197" s="48"/>
      <c r="M197" s="48"/>
      <c r="N197" s="75"/>
      <c r="O197" s="48"/>
      <c r="P197" s="35"/>
      <c r="Q197" s="35"/>
      <c r="R197" s="35"/>
      <c r="S197" s="35"/>
      <c r="T197" s="35"/>
      <c r="U197" s="35"/>
      <c r="V197" s="35"/>
      <c r="W197" s="35"/>
      <c r="X197" s="35"/>
      <c r="Y197" s="35"/>
      <c r="Z197" s="35"/>
    </row>
    <row r="198" ht="15.75" customHeight="1">
      <c r="A198" s="48"/>
      <c r="B198" s="48"/>
      <c r="C198" s="26" t="str">
        <f t="array" ref="C198">IF($B198="","",INDEX('Gap reference'!$C$2:$C$60,MATCH($B198,'Gap reference'!$A$2:$A$60,0)))</f>
        <v/>
      </c>
      <c r="D198" s="26" t="str">
        <f t="array" ref="D198">IF($B198="","",INDEX('Gap reference'!$D$2:$D$60,MATCH($B198,'Gap reference'!$A$2:$A$60,0)))</f>
        <v/>
      </c>
      <c r="E198" s="26" t="str">
        <f t="array" ref="E198">IF($B198="","",INDEX('Gap reference'!$G$2:$G$60,MATCH($B198,'Gap reference'!$A$2:$A$60,0)))</f>
        <v/>
      </c>
      <c r="F198" s="48"/>
      <c r="G198" s="48"/>
      <c r="H198" s="48"/>
      <c r="I198" s="48"/>
      <c r="J198" s="48"/>
      <c r="K198" s="48"/>
      <c r="L198" s="48"/>
      <c r="M198" s="48"/>
      <c r="N198" s="75"/>
      <c r="O198" s="48"/>
      <c r="P198" s="35"/>
      <c r="Q198" s="35"/>
      <c r="R198" s="35"/>
      <c r="S198" s="35"/>
      <c r="T198" s="35"/>
      <c r="U198" s="35"/>
      <c r="V198" s="35"/>
      <c r="W198" s="35"/>
      <c r="X198" s="35"/>
      <c r="Y198" s="35"/>
      <c r="Z198" s="35"/>
    </row>
    <row r="199" ht="15.75" customHeight="1">
      <c r="A199" s="48"/>
      <c r="B199" s="48"/>
      <c r="C199" s="26" t="str">
        <f t="array" ref="C199">IF($B199="","",INDEX('Gap reference'!$C$2:$C$60,MATCH($B199,'Gap reference'!$A$2:$A$60,0)))</f>
        <v/>
      </c>
      <c r="D199" s="26" t="str">
        <f t="array" ref="D199">IF($B199="","",INDEX('Gap reference'!$D$2:$D$60,MATCH($B199,'Gap reference'!$A$2:$A$60,0)))</f>
        <v/>
      </c>
      <c r="E199" s="26" t="str">
        <f t="array" ref="E199">IF($B199="","",INDEX('Gap reference'!$G$2:$G$60,MATCH($B199,'Gap reference'!$A$2:$A$60,0)))</f>
        <v/>
      </c>
      <c r="F199" s="48"/>
      <c r="G199" s="48"/>
      <c r="H199" s="48"/>
      <c r="I199" s="48"/>
      <c r="J199" s="48"/>
      <c r="K199" s="48"/>
      <c r="L199" s="48"/>
      <c r="M199" s="48"/>
      <c r="N199" s="75"/>
      <c r="O199" s="48"/>
      <c r="P199" s="35"/>
      <c r="Q199" s="35"/>
      <c r="R199" s="35"/>
      <c r="S199" s="35"/>
      <c r="T199" s="35"/>
      <c r="U199" s="35"/>
      <c r="V199" s="35"/>
      <c r="W199" s="35"/>
      <c r="X199" s="35"/>
      <c r="Y199" s="35"/>
      <c r="Z199" s="35"/>
    </row>
    <row r="200" ht="15.75" customHeight="1">
      <c r="A200" s="48"/>
      <c r="B200" s="48"/>
      <c r="C200" s="26" t="str">
        <f t="array" ref="C200">IF($B200="","",INDEX('Gap reference'!$C$2:$C$60,MATCH($B200,'Gap reference'!$A$2:$A$60,0)))</f>
        <v/>
      </c>
      <c r="D200" s="26" t="str">
        <f t="array" ref="D200">IF($B200="","",INDEX('Gap reference'!$D$2:$D$60,MATCH($B200,'Gap reference'!$A$2:$A$60,0)))</f>
        <v/>
      </c>
      <c r="E200" s="26" t="str">
        <f t="array" ref="E200">IF($B200="","",INDEX('Gap reference'!$G$2:$G$60,MATCH($B200,'Gap reference'!$A$2:$A$60,0)))</f>
        <v/>
      </c>
      <c r="F200" s="48"/>
      <c r="G200" s="48"/>
      <c r="H200" s="48"/>
      <c r="I200" s="48"/>
      <c r="J200" s="48"/>
      <c r="K200" s="48"/>
      <c r="L200" s="48"/>
      <c r="M200" s="48"/>
      <c r="N200" s="75"/>
      <c r="O200" s="48"/>
      <c r="P200" s="35"/>
      <c r="Q200" s="35"/>
      <c r="R200" s="35"/>
      <c r="S200" s="35"/>
      <c r="T200" s="35"/>
      <c r="U200" s="35"/>
      <c r="V200" s="35"/>
      <c r="W200" s="35"/>
      <c r="X200" s="35"/>
      <c r="Y200" s="35"/>
      <c r="Z200" s="35"/>
    </row>
    <row r="201" ht="15.75" customHeight="1">
      <c r="A201" s="48"/>
      <c r="B201" s="48"/>
      <c r="C201" s="26" t="str">
        <f t="array" ref="C201">IF($B201="","",INDEX('Gap reference'!$C$2:$C$60,MATCH($B201,'Gap reference'!$A$2:$A$60,0)))</f>
        <v/>
      </c>
      <c r="D201" s="26" t="str">
        <f t="array" ref="D201">IF($B201="","",INDEX('Gap reference'!$D$2:$D$60,MATCH($B201,'Gap reference'!$A$2:$A$60,0)))</f>
        <v/>
      </c>
      <c r="E201" s="26" t="str">
        <f t="array" ref="E201">IF($B201="","",INDEX('Gap reference'!$G$2:$G$60,MATCH($B201,'Gap reference'!$A$2:$A$60,0)))</f>
        <v/>
      </c>
      <c r="F201" s="48"/>
      <c r="G201" s="48"/>
      <c r="H201" s="48"/>
      <c r="I201" s="48"/>
      <c r="J201" s="48"/>
      <c r="K201" s="48"/>
      <c r="L201" s="48"/>
      <c r="M201" s="48"/>
      <c r="N201" s="75"/>
      <c r="O201" s="48"/>
      <c r="P201" s="35"/>
      <c r="Q201" s="35"/>
      <c r="R201" s="35"/>
      <c r="S201" s="35"/>
      <c r="T201" s="35"/>
      <c r="U201" s="35"/>
      <c r="V201" s="35"/>
      <c r="W201" s="35"/>
      <c r="X201" s="35"/>
      <c r="Y201" s="35"/>
      <c r="Z201" s="35"/>
    </row>
    <row r="202" ht="15.75" customHeight="1">
      <c r="A202" s="48"/>
      <c r="B202" s="48"/>
      <c r="C202" s="26" t="str">
        <f t="array" ref="C202">IF($B202="","",INDEX('Gap reference'!$C$2:$C$60,MATCH($B202,'Gap reference'!$A$2:$A$60,0)))</f>
        <v/>
      </c>
      <c r="D202" s="26" t="str">
        <f t="array" ref="D202">IF($B202="","",INDEX('Gap reference'!$D$2:$D$60,MATCH($B202,'Gap reference'!$A$2:$A$60,0)))</f>
        <v/>
      </c>
      <c r="E202" s="26" t="str">
        <f t="array" ref="E202">IF($B202="","",INDEX('Gap reference'!$G$2:$G$60,MATCH($B202,'Gap reference'!$A$2:$A$60,0)))</f>
        <v/>
      </c>
      <c r="F202" s="48"/>
      <c r="G202" s="48"/>
      <c r="H202" s="48"/>
      <c r="I202" s="48"/>
      <c r="J202" s="48"/>
      <c r="K202" s="48"/>
      <c r="L202" s="48"/>
      <c r="M202" s="48"/>
      <c r="N202" s="75"/>
      <c r="O202" s="48"/>
      <c r="P202" s="35"/>
      <c r="Q202" s="35"/>
      <c r="R202" s="35"/>
      <c r="S202" s="35"/>
      <c r="T202" s="35"/>
      <c r="U202" s="35"/>
      <c r="V202" s="35"/>
      <c r="W202" s="35"/>
      <c r="X202" s="35"/>
      <c r="Y202" s="35"/>
      <c r="Z202" s="35"/>
    </row>
    <row r="203" ht="15.75" customHeight="1">
      <c r="A203" s="48"/>
      <c r="B203" s="48"/>
      <c r="C203" s="26" t="str">
        <f t="array" ref="C203">IF($B203="","",INDEX('Gap reference'!$C$2:$C$60,MATCH($B203,'Gap reference'!$A$2:$A$60,0)))</f>
        <v/>
      </c>
      <c r="D203" s="26" t="str">
        <f t="array" ref="D203">IF($B203="","",INDEX('Gap reference'!$D$2:$D$60,MATCH($B203,'Gap reference'!$A$2:$A$60,0)))</f>
        <v/>
      </c>
      <c r="E203" s="26" t="str">
        <f t="array" ref="E203">IF($B203="","",INDEX('Gap reference'!$G$2:$G$60,MATCH($B203,'Gap reference'!$A$2:$A$60,0)))</f>
        <v/>
      </c>
      <c r="F203" s="48"/>
      <c r="G203" s="48"/>
      <c r="H203" s="48"/>
      <c r="I203" s="48"/>
      <c r="J203" s="48"/>
      <c r="K203" s="48"/>
      <c r="L203" s="48"/>
      <c r="M203" s="48"/>
      <c r="N203" s="75"/>
      <c r="O203" s="48"/>
      <c r="P203" s="35"/>
      <c r="Q203" s="35"/>
      <c r="R203" s="35"/>
      <c r="S203" s="35"/>
      <c r="T203" s="35"/>
      <c r="U203" s="35"/>
      <c r="V203" s="35"/>
      <c r="W203" s="35"/>
      <c r="X203" s="35"/>
      <c r="Y203" s="35"/>
      <c r="Z203" s="35"/>
    </row>
    <row r="204" ht="15.75" customHeight="1">
      <c r="A204" s="48"/>
      <c r="B204" s="48"/>
      <c r="C204" s="26" t="str">
        <f t="array" ref="C204">IF($B204="","",INDEX('Gap reference'!$C$2:$C$60,MATCH($B204,'Gap reference'!$A$2:$A$60,0)))</f>
        <v/>
      </c>
      <c r="D204" s="26" t="str">
        <f t="array" ref="D204">IF($B204="","",INDEX('Gap reference'!$D$2:$D$60,MATCH($B204,'Gap reference'!$A$2:$A$60,0)))</f>
        <v/>
      </c>
      <c r="E204" s="26" t="str">
        <f t="array" ref="E204">IF($B204="","",INDEX('Gap reference'!$G$2:$G$60,MATCH($B204,'Gap reference'!$A$2:$A$60,0)))</f>
        <v/>
      </c>
      <c r="F204" s="48"/>
      <c r="G204" s="48"/>
      <c r="H204" s="48"/>
      <c r="I204" s="48"/>
      <c r="J204" s="48"/>
      <c r="K204" s="48"/>
      <c r="L204" s="48"/>
      <c r="M204" s="48"/>
      <c r="N204" s="75"/>
      <c r="O204" s="48"/>
      <c r="P204" s="35"/>
      <c r="Q204" s="35"/>
      <c r="R204" s="35"/>
      <c r="S204" s="35"/>
      <c r="T204" s="35"/>
      <c r="U204" s="35"/>
      <c r="V204" s="35"/>
      <c r="W204" s="35"/>
      <c r="X204" s="35"/>
      <c r="Y204" s="35"/>
      <c r="Z204" s="35"/>
    </row>
    <row r="205" ht="15.75" customHeight="1">
      <c r="A205" s="48"/>
      <c r="B205" s="48"/>
      <c r="C205" s="26" t="str">
        <f t="array" ref="C205">IF($B205="","",INDEX('Gap reference'!$C$2:$C$60,MATCH($B205,'Gap reference'!$A$2:$A$60,0)))</f>
        <v/>
      </c>
      <c r="D205" s="26" t="str">
        <f t="array" ref="D205">IF($B205="","",INDEX('Gap reference'!$D$2:$D$60,MATCH($B205,'Gap reference'!$A$2:$A$60,0)))</f>
        <v/>
      </c>
      <c r="E205" s="26" t="str">
        <f t="array" ref="E205">IF($B205="","",INDEX('Gap reference'!$G$2:$G$60,MATCH($B205,'Gap reference'!$A$2:$A$60,0)))</f>
        <v/>
      </c>
      <c r="F205" s="48"/>
      <c r="G205" s="48"/>
      <c r="H205" s="48"/>
      <c r="I205" s="48"/>
      <c r="J205" s="48"/>
      <c r="K205" s="48"/>
      <c r="L205" s="48"/>
      <c r="M205" s="48"/>
      <c r="N205" s="75"/>
      <c r="O205" s="48"/>
      <c r="P205" s="35"/>
      <c r="Q205" s="35"/>
      <c r="R205" s="35"/>
      <c r="S205" s="35"/>
      <c r="T205" s="35"/>
      <c r="U205" s="35"/>
      <c r="V205" s="35"/>
      <c r="W205" s="35"/>
      <c r="X205" s="35"/>
      <c r="Y205" s="35"/>
      <c r="Z205" s="35"/>
    </row>
    <row r="206" ht="15.75" customHeight="1">
      <c r="A206" s="48"/>
      <c r="B206" s="48"/>
      <c r="C206" s="26" t="str">
        <f t="array" ref="C206">IF($B206="","",INDEX('Gap reference'!$C$2:$C$60,MATCH($B206,'Gap reference'!$A$2:$A$60,0)))</f>
        <v/>
      </c>
      <c r="D206" s="26" t="str">
        <f t="array" ref="D206">IF($B206="","",INDEX('Gap reference'!$D$2:$D$60,MATCH($B206,'Gap reference'!$A$2:$A$60,0)))</f>
        <v/>
      </c>
      <c r="E206" s="26" t="str">
        <f t="array" ref="E206">IF($B206="","",INDEX('Gap reference'!$G$2:$G$60,MATCH($B206,'Gap reference'!$A$2:$A$60,0)))</f>
        <v/>
      </c>
      <c r="F206" s="48"/>
      <c r="G206" s="48"/>
      <c r="H206" s="48"/>
      <c r="I206" s="48"/>
      <c r="J206" s="48"/>
      <c r="K206" s="48"/>
      <c r="L206" s="48"/>
      <c r="M206" s="48"/>
      <c r="N206" s="75"/>
      <c r="O206" s="48"/>
      <c r="P206" s="35"/>
      <c r="Q206" s="35"/>
      <c r="R206" s="35"/>
      <c r="S206" s="35"/>
      <c r="T206" s="35"/>
      <c r="U206" s="35"/>
      <c r="V206" s="35"/>
      <c r="W206" s="35"/>
      <c r="X206" s="35"/>
      <c r="Y206" s="35"/>
      <c r="Z206" s="35"/>
    </row>
    <row r="207" ht="15.75" customHeight="1">
      <c r="A207" s="48"/>
      <c r="B207" s="48"/>
      <c r="C207" s="26" t="str">
        <f t="array" ref="C207">IF($B207="","",INDEX('Gap reference'!$C$2:$C$60,MATCH($B207,'Gap reference'!$A$2:$A$60,0)))</f>
        <v/>
      </c>
      <c r="D207" s="26" t="str">
        <f t="array" ref="D207">IF($B207="","",INDEX('Gap reference'!$D$2:$D$60,MATCH($B207,'Gap reference'!$A$2:$A$60,0)))</f>
        <v/>
      </c>
      <c r="E207" s="26" t="str">
        <f t="array" ref="E207">IF($B207="","",INDEX('Gap reference'!$G$2:$G$60,MATCH($B207,'Gap reference'!$A$2:$A$60,0)))</f>
        <v/>
      </c>
      <c r="F207" s="48"/>
      <c r="G207" s="48"/>
      <c r="H207" s="48"/>
      <c r="I207" s="48"/>
      <c r="J207" s="48"/>
      <c r="K207" s="48"/>
      <c r="L207" s="48"/>
      <c r="M207" s="48"/>
      <c r="N207" s="75"/>
      <c r="O207" s="48"/>
      <c r="P207" s="35"/>
      <c r="Q207" s="35"/>
      <c r="R207" s="35"/>
      <c r="S207" s="35"/>
      <c r="T207" s="35"/>
      <c r="U207" s="35"/>
      <c r="V207" s="35"/>
      <c r="W207" s="35"/>
      <c r="X207" s="35"/>
      <c r="Y207" s="35"/>
      <c r="Z207" s="35"/>
    </row>
    <row r="208" ht="15.75" customHeight="1">
      <c r="A208" s="48"/>
      <c r="B208" s="48"/>
      <c r="C208" s="26" t="str">
        <f t="array" ref="C208">IF($B208="","",INDEX('Gap reference'!$C$2:$C$60,MATCH($B208,'Gap reference'!$A$2:$A$60,0)))</f>
        <v/>
      </c>
      <c r="D208" s="26" t="str">
        <f t="array" ref="D208">IF($B208="","",INDEX('Gap reference'!$D$2:$D$60,MATCH($B208,'Gap reference'!$A$2:$A$60,0)))</f>
        <v/>
      </c>
      <c r="E208" s="26" t="str">
        <f t="array" ref="E208">IF($B208="","",INDEX('Gap reference'!$G$2:$G$60,MATCH($B208,'Gap reference'!$A$2:$A$60,0)))</f>
        <v/>
      </c>
      <c r="F208" s="48"/>
      <c r="G208" s="48"/>
      <c r="H208" s="48"/>
      <c r="I208" s="48"/>
      <c r="J208" s="48"/>
      <c r="K208" s="48"/>
      <c r="L208" s="48"/>
      <c r="M208" s="48"/>
      <c r="N208" s="75"/>
      <c r="O208" s="48"/>
      <c r="P208" s="35"/>
      <c r="Q208" s="35"/>
      <c r="R208" s="35"/>
      <c r="S208" s="35"/>
      <c r="T208" s="35"/>
      <c r="U208" s="35"/>
      <c r="V208" s="35"/>
      <c r="W208" s="35"/>
      <c r="X208" s="35"/>
      <c r="Y208" s="35"/>
      <c r="Z208" s="35"/>
    </row>
    <row r="209" ht="15.75" customHeight="1">
      <c r="A209" s="48"/>
      <c r="B209" s="48"/>
      <c r="C209" s="26" t="str">
        <f t="array" ref="C209">IF($B209="","",INDEX('Gap reference'!$C$2:$C$60,MATCH($B209,'Gap reference'!$A$2:$A$60,0)))</f>
        <v/>
      </c>
      <c r="D209" s="26" t="str">
        <f t="array" ref="D209">IF($B209="","",INDEX('Gap reference'!$D$2:$D$60,MATCH($B209,'Gap reference'!$A$2:$A$60,0)))</f>
        <v/>
      </c>
      <c r="E209" s="26" t="str">
        <f t="array" ref="E209">IF($B209="","",INDEX('Gap reference'!$G$2:$G$60,MATCH($B209,'Gap reference'!$A$2:$A$60,0)))</f>
        <v/>
      </c>
      <c r="F209" s="48"/>
      <c r="G209" s="48"/>
      <c r="H209" s="48"/>
      <c r="I209" s="48"/>
      <c r="J209" s="48"/>
      <c r="K209" s="48"/>
      <c r="L209" s="48"/>
      <c r="M209" s="48"/>
      <c r="N209" s="75"/>
      <c r="O209" s="48"/>
      <c r="P209" s="35"/>
      <c r="Q209" s="35"/>
      <c r="R209" s="35"/>
      <c r="S209" s="35"/>
      <c r="T209" s="35"/>
      <c r="U209" s="35"/>
      <c r="V209" s="35"/>
      <c r="W209" s="35"/>
      <c r="X209" s="35"/>
      <c r="Y209" s="35"/>
      <c r="Z209" s="35"/>
    </row>
    <row r="210" ht="15.75" customHeight="1">
      <c r="A210" s="48"/>
      <c r="B210" s="48"/>
      <c r="C210" s="26" t="str">
        <f t="array" ref="C210">IF($B210="","",INDEX('Gap reference'!$C$2:$C$60,MATCH($B210,'Gap reference'!$A$2:$A$60,0)))</f>
        <v/>
      </c>
      <c r="D210" s="26" t="str">
        <f t="array" ref="D210">IF($B210="","",INDEX('Gap reference'!$D$2:$D$60,MATCH($B210,'Gap reference'!$A$2:$A$60,0)))</f>
        <v/>
      </c>
      <c r="E210" s="26" t="str">
        <f t="array" ref="E210">IF($B210="","",INDEX('Gap reference'!$G$2:$G$60,MATCH($B210,'Gap reference'!$A$2:$A$60,0)))</f>
        <v/>
      </c>
      <c r="F210" s="48"/>
      <c r="G210" s="48"/>
      <c r="H210" s="48"/>
      <c r="I210" s="48"/>
      <c r="J210" s="48"/>
      <c r="K210" s="48"/>
      <c r="L210" s="48"/>
      <c r="M210" s="48"/>
      <c r="N210" s="75"/>
      <c r="O210" s="48"/>
      <c r="P210" s="35"/>
      <c r="Q210" s="35"/>
      <c r="R210" s="35"/>
      <c r="S210" s="35"/>
      <c r="T210" s="35"/>
      <c r="U210" s="35"/>
      <c r="V210" s="35"/>
      <c r="W210" s="35"/>
      <c r="X210" s="35"/>
      <c r="Y210" s="35"/>
      <c r="Z210" s="35"/>
    </row>
    <row r="211" ht="15.75" customHeight="1">
      <c r="A211" s="48"/>
      <c r="B211" s="48"/>
      <c r="C211" s="26" t="str">
        <f t="array" ref="C211">IF($B211="","",INDEX('Gap reference'!$C$2:$C$60,MATCH($B211,'Gap reference'!$A$2:$A$60,0)))</f>
        <v/>
      </c>
      <c r="D211" s="26" t="str">
        <f t="array" ref="D211">IF($B211="","",INDEX('Gap reference'!$D$2:$D$60,MATCH($B211,'Gap reference'!$A$2:$A$60,0)))</f>
        <v/>
      </c>
      <c r="E211" s="26" t="str">
        <f t="array" ref="E211">IF($B211="","",INDEX('Gap reference'!$G$2:$G$60,MATCH($B211,'Gap reference'!$A$2:$A$60,0)))</f>
        <v/>
      </c>
      <c r="F211" s="48"/>
      <c r="G211" s="48"/>
      <c r="H211" s="48"/>
      <c r="I211" s="48"/>
      <c r="J211" s="48"/>
      <c r="K211" s="48"/>
      <c r="L211" s="48"/>
      <c r="M211" s="48"/>
      <c r="N211" s="75"/>
      <c r="O211" s="48"/>
      <c r="P211" s="35"/>
      <c r="Q211" s="35"/>
      <c r="R211" s="35"/>
      <c r="S211" s="35"/>
      <c r="T211" s="35"/>
      <c r="U211" s="35"/>
      <c r="V211" s="35"/>
      <c r="W211" s="35"/>
      <c r="X211" s="35"/>
      <c r="Y211" s="35"/>
      <c r="Z211" s="35"/>
    </row>
    <row r="212" ht="15.75" customHeight="1">
      <c r="A212" s="48"/>
      <c r="B212" s="48"/>
      <c r="C212" s="26" t="str">
        <f t="array" ref="C212">IF($B212="","",INDEX('Gap reference'!$C$2:$C$60,MATCH($B212,'Gap reference'!$A$2:$A$60,0)))</f>
        <v/>
      </c>
      <c r="D212" s="26" t="str">
        <f t="array" ref="D212">IF($B212="","",INDEX('Gap reference'!$D$2:$D$60,MATCH($B212,'Gap reference'!$A$2:$A$60,0)))</f>
        <v/>
      </c>
      <c r="E212" s="26" t="str">
        <f t="array" ref="E212">IF($B212="","",INDEX('Gap reference'!$G$2:$G$60,MATCH($B212,'Gap reference'!$A$2:$A$60,0)))</f>
        <v/>
      </c>
      <c r="F212" s="48"/>
      <c r="G212" s="48"/>
      <c r="H212" s="48"/>
      <c r="I212" s="48"/>
      <c r="J212" s="48"/>
      <c r="K212" s="48"/>
      <c r="L212" s="48"/>
      <c r="M212" s="48"/>
      <c r="N212" s="75"/>
      <c r="O212" s="48"/>
      <c r="P212" s="35"/>
      <c r="Q212" s="35"/>
      <c r="R212" s="35"/>
      <c r="S212" s="35"/>
      <c r="T212" s="35"/>
      <c r="U212" s="35"/>
      <c r="V212" s="35"/>
      <c r="W212" s="35"/>
      <c r="X212" s="35"/>
      <c r="Y212" s="35"/>
      <c r="Z212" s="35"/>
    </row>
    <row r="213" ht="15.75" customHeight="1">
      <c r="A213" s="48"/>
      <c r="B213" s="48"/>
      <c r="C213" s="26" t="str">
        <f t="array" ref="C213">IF($B213="","",INDEX('Gap reference'!$C$2:$C$60,MATCH($B213,'Gap reference'!$A$2:$A$60,0)))</f>
        <v/>
      </c>
      <c r="D213" s="26" t="str">
        <f t="array" ref="D213">IF($B213="","",INDEX('Gap reference'!$D$2:$D$60,MATCH($B213,'Gap reference'!$A$2:$A$60,0)))</f>
        <v/>
      </c>
      <c r="E213" s="26" t="str">
        <f t="array" ref="E213">IF($B213="","",INDEX('Gap reference'!$G$2:$G$60,MATCH($B213,'Gap reference'!$A$2:$A$60,0)))</f>
        <v/>
      </c>
      <c r="F213" s="48"/>
      <c r="G213" s="48"/>
      <c r="H213" s="48"/>
      <c r="I213" s="48"/>
      <c r="J213" s="48"/>
      <c r="K213" s="48"/>
      <c r="L213" s="48"/>
      <c r="M213" s="48"/>
      <c r="N213" s="75"/>
      <c r="O213" s="48"/>
      <c r="P213" s="35"/>
      <c r="Q213" s="35"/>
      <c r="R213" s="35"/>
      <c r="S213" s="35"/>
      <c r="T213" s="35"/>
      <c r="U213" s="35"/>
      <c r="V213" s="35"/>
      <c r="W213" s="35"/>
      <c r="X213" s="35"/>
      <c r="Y213" s="35"/>
      <c r="Z213" s="35"/>
    </row>
    <row r="214" ht="15.75" customHeight="1">
      <c r="A214" s="48"/>
      <c r="B214" s="48"/>
      <c r="C214" s="26" t="str">
        <f t="array" ref="C214">IF($B214="","",INDEX('Gap reference'!$C$2:$C$60,MATCH($B214,'Gap reference'!$A$2:$A$60,0)))</f>
        <v/>
      </c>
      <c r="D214" s="26" t="str">
        <f t="array" ref="D214">IF($B214="","",INDEX('Gap reference'!$D$2:$D$60,MATCH($B214,'Gap reference'!$A$2:$A$60,0)))</f>
        <v/>
      </c>
      <c r="E214" s="26" t="str">
        <f t="array" ref="E214">IF($B214="","",INDEX('Gap reference'!$G$2:$G$60,MATCH($B214,'Gap reference'!$A$2:$A$60,0)))</f>
        <v/>
      </c>
      <c r="F214" s="48"/>
      <c r="G214" s="48"/>
      <c r="H214" s="48"/>
      <c r="I214" s="48"/>
      <c r="J214" s="48"/>
      <c r="K214" s="48"/>
      <c r="L214" s="48"/>
      <c r="M214" s="48"/>
      <c r="N214" s="75"/>
      <c r="O214" s="48"/>
      <c r="P214" s="35"/>
      <c r="Q214" s="35"/>
      <c r="R214" s="35"/>
      <c r="S214" s="35"/>
      <c r="T214" s="35"/>
      <c r="U214" s="35"/>
      <c r="V214" s="35"/>
      <c r="W214" s="35"/>
      <c r="X214" s="35"/>
      <c r="Y214" s="35"/>
      <c r="Z214" s="35"/>
    </row>
    <row r="215" ht="15.75" customHeight="1">
      <c r="A215" s="48"/>
      <c r="B215" s="48"/>
      <c r="C215" s="26" t="str">
        <f t="array" ref="C215">IF($B215="","",INDEX('Gap reference'!$C$2:$C$60,MATCH($B215,'Gap reference'!$A$2:$A$60,0)))</f>
        <v/>
      </c>
      <c r="D215" s="26" t="str">
        <f t="array" ref="D215">IF($B215="","",INDEX('Gap reference'!$D$2:$D$60,MATCH($B215,'Gap reference'!$A$2:$A$60,0)))</f>
        <v/>
      </c>
      <c r="E215" s="26" t="str">
        <f t="array" ref="E215">IF($B215="","",INDEX('Gap reference'!$G$2:$G$60,MATCH($B215,'Gap reference'!$A$2:$A$60,0)))</f>
        <v/>
      </c>
      <c r="F215" s="48"/>
      <c r="G215" s="48"/>
      <c r="H215" s="48"/>
      <c r="I215" s="48"/>
      <c r="J215" s="48"/>
      <c r="K215" s="48"/>
      <c r="L215" s="48"/>
      <c r="M215" s="48"/>
      <c r="N215" s="75"/>
      <c r="O215" s="48"/>
      <c r="P215" s="35"/>
      <c r="Q215" s="35"/>
      <c r="R215" s="35"/>
      <c r="S215" s="35"/>
      <c r="T215" s="35"/>
      <c r="U215" s="35"/>
      <c r="V215" s="35"/>
      <c r="W215" s="35"/>
      <c r="X215" s="35"/>
      <c r="Y215" s="35"/>
      <c r="Z215" s="35"/>
    </row>
    <row r="216" ht="15.75" customHeight="1">
      <c r="A216" s="48"/>
      <c r="B216" s="48"/>
      <c r="C216" s="26" t="str">
        <f t="array" ref="C216">IF($B216="","",INDEX('Gap reference'!$C$2:$C$60,MATCH($B216,'Gap reference'!$A$2:$A$60,0)))</f>
        <v/>
      </c>
      <c r="D216" s="26" t="str">
        <f t="array" ref="D216">IF($B216="","",INDEX('Gap reference'!$D$2:$D$60,MATCH($B216,'Gap reference'!$A$2:$A$60,0)))</f>
        <v/>
      </c>
      <c r="E216" s="26" t="str">
        <f t="array" ref="E216">IF($B216="","",INDEX('Gap reference'!$G$2:$G$60,MATCH($B216,'Gap reference'!$A$2:$A$60,0)))</f>
        <v/>
      </c>
      <c r="F216" s="48"/>
      <c r="G216" s="48"/>
      <c r="H216" s="48"/>
      <c r="I216" s="48"/>
      <c r="J216" s="48"/>
      <c r="K216" s="48"/>
      <c r="L216" s="48"/>
      <c r="M216" s="48"/>
      <c r="N216" s="75"/>
      <c r="O216" s="48"/>
      <c r="P216" s="35"/>
      <c r="Q216" s="35"/>
      <c r="R216" s="35"/>
      <c r="S216" s="35"/>
      <c r="T216" s="35"/>
      <c r="U216" s="35"/>
      <c r="V216" s="35"/>
      <c r="W216" s="35"/>
      <c r="X216" s="35"/>
      <c r="Y216" s="35"/>
      <c r="Z216" s="35"/>
    </row>
    <row r="217" ht="15.75" customHeight="1">
      <c r="A217" s="48"/>
      <c r="B217" s="48"/>
      <c r="C217" s="26" t="str">
        <f t="array" ref="C217">IF($B217="","",INDEX('Gap reference'!$C$2:$C$60,MATCH($B217,'Gap reference'!$A$2:$A$60,0)))</f>
        <v/>
      </c>
      <c r="D217" s="26" t="str">
        <f t="array" ref="D217">IF($B217="","",INDEX('Gap reference'!$D$2:$D$60,MATCH($B217,'Gap reference'!$A$2:$A$60,0)))</f>
        <v/>
      </c>
      <c r="E217" s="26" t="str">
        <f t="array" ref="E217">IF($B217="","",INDEX('Gap reference'!$G$2:$G$60,MATCH($B217,'Gap reference'!$A$2:$A$60,0)))</f>
        <v/>
      </c>
      <c r="F217" s="48"/>
      <c r="G217" s="48"/>
      <c r="H217" s="48"/>
      <c r="I217" s="48"/>
      <c r="J217" s="48"/>
      <c r="K217" s="48"/>
      <c r="L217" s="48"/>
      <c r="M217" s="48"/>
      <c r="N217" s="75"/>
      <c r="O217" s="48"/>
      <c r="P217" s="35"/>
      <c r="Q217" s="35"/>
      <c r="R217" s="35"/>
      <c r="S217" s="35"/>
      <c r="T217" s="35"/>
      <c r="U217" s="35"/>
      <c r="V217" s="35"/>
      <c r="W217" s="35"/>
      <c r="X217" s="35"/>
      <c r="Y217" s="35"/>
      <c r="Z217" s="35"/>
    </row>
    <row r="218" ht="15.75" customHeight="1">
      <c r="A218" s="48"/>
      <c r="B218" s="48"/>
      <c r="C218" s="26" t="str">
        <f t="array" ref="C218">IF($B218="","",INDEX('Gap reference'!$C$2:$C$60,MATCH($B218,'Gap reference'!$A$2:$A$60,0)))</f>
        <v/>
      </c>
      <c r="D218" s="26" t="str">
        <f t="array" ref="D218">IF($B218="","",INDEX('Gap reference'!$D$2:$D$60,MATCH($B218,'Gap reference'!$A$2:$A$60,0)))</f>
        <v/>
      </c>
      <c r="E218" s="26" t="str">
        <f t="array" ref="E218">IF($B218="","",INDEX('Gap reference'!$G$2:$G$60,MATCH($B218,'Gap reference'!$A$2:$A$60,0)))</f>
        <v/>
      </c>
      <c r="F218" s="48"/>
      <c r="G218" s="48"/>
      <c r="H218" s="48"/>
      <c r="I218" s="48"/>
      <c r="J218" s="48"/>
      <c r="K218" s="48"/>
      <c r="L218" s="48"/>
      <c r="M218" s="48"/>
      <c r="N218" s="75"/>
      <c r="O218" s="48"/>
      <c r="P218" s="35"/>
      <c r="Q218" s="35"/>
      <c r="R218" s="35"/>
      <c r="S218" s="35"/>
      <c r="T218" s="35"/>
      <c r="U218" s="35"/>
      <c r="V218" s="35"/>
      <c r="W218" s="35"/>
      <c r="X218" s="35"/>
      <c r="Y218" s="35"/>
      <c r="Z218" s="35"/>
    </row>
    <row r="219" ht="15.75" customHeight="1">
      <c r="A219" s="48"/>
      <c r="B219" s="48"/>
      <c r="C219" s="26" t="str">
        <f t="array" ref="C219">IF($B219="","",INDEX('Gap reference'!$C$2:$C$60,MATCH($B219,'Gap reference'!$A$2:$A$60,0)))</f>
        <v/>
      </c>
      <c r="D219" s="26" t="str">
        <f t="array" ref="D219">IF($B219="","",INDEX('Gap reference'!$D$2:$D$60,MATCH($B219,'Gap reference'!$A$2:$A$60,0)))</f>
        <v/>
      </c>
      <c r="E219" s="26" t="str">
        <f t="array" ref="E219">IF($B219="","",INDEX('Gap reference'!$G$2:$G$60,MATCH($B219,'Gap reference'!$A$2:$A$60,0)))</f>
        <v/>
      </c>
      <c r="F219" s="48"/>
      <c r="G219" s="48"/>
      <c r="H219" s="48"/>
      <c r="I219" s="48"/>
      <c r="J219" s="48"/>
      <c r="K219" s="48"/>
      <c r="L219" s="48"/>
      <c r="M219" s="48"/>
      <c r="N219" s="75"/>
      <c r="O219" s="48"/>
      <c r="P219" s="35"/>
      <c r="Q219" s="35"/>
      <c r="R219" s="35"/>
      <c r="S219" s="35"/>
      <c r="T219" s="35"/>
      <c r="U219" s="35"/>
      <c r="V219" s="35"/>
      <c r="W219" s="35"/>
      <c r="X219" s="35"/>
      <c r="Y219" s="35"/>
      <c r="Z219" s="35"/>
    </row>
    <row r="220" ht="15.75" customHeight="1">
      <c r="A220" s="48"/>
      <c r="B220" s="48"/>
      <c r="C220" s="26" t="str">
        <f t="array" ref="C220">IF($B220="","",INDEX('Gap reference'!$C$2:$C$60,MATCH($B220,'Gap reference'!$A$2:$A$60,0)))</f>
        <v/>
      </c>
      <c r="D220" s="26" t="str">
        <f t="array" ref="D220">IF($B220="","",INDEX('Gap reference'!$D$2:$D$60,MATCH($B220,'Gap reference'!$A$2:$A$60,0)))</f>
        <v/>
      </c>
      <c r="E220" s="26" t="str">
        <f t="array" ref="E220">IF($B220="","",INDEX('Gap reference'!$G$2:$G$60,MATCH($B220,'Gap reference'!$A$2:$A$60,0)))</f>
        <v/>
      </c>
      <c r="F220" s="48"/>
      <c r="G220" s="48"/>
      <c r="H220" s="48"/>
      <c r="I220" s="48"/>
      <c r="J220" s="48"/>
      <c r="K220" s="48"/>
      <c r="L220" s="48"/>
      <c r="M220" s="48"/>
      <c r="N220" s="75"/>
      <c r="O220" s="48"/>
      <c r="P220" s="35"/>
      <c r="Q220" s="35"/>
      <c r="R220" s="35"/>
      <c r="S220" s="35"/>
      <c r="T220" s="35"/>
      <c r="U220" s="35"/>
      <c r="V220" s="35"/>
      <c r="W220" s="35"/>
      <c r="X220" s="35"/>
      <c r="Y220" s="35"/>
      <c r="Z220" s="35"/>
    </row>
    <row r="221" ht="15.75" customHeight="1">
      <c r="A221" s="48"/>
      <c r="B221" s="48"/>
      <c r="C221" s="26" t="str">
        <f t="array" ref="C221">IF($B221="","",INDEX('Gap reference'!$C$2:$C$60,MATCH($B221,'Gap reference'!$A$2:$A$60,0)))</f>
        <v/>
      </c>
      <c r="D221" s="26" t="str">
        <f t="array" ref="D221">IF($B221="","",INDEX('Gap reference'!$D$2:$D$60,MATCH($B221,'Gap reference'!$A$2:$A$60,0)))</f>
        <v/>
      </c>
      <c r="E221" s="26" t="str">
        <f t="array" ref="E221">IF($B221="","",INDEX('Gap reference'!$G$2:$G$60,MATCH($B221,'Gap reference'!$A$2:$A$60,0)))</f>
        <v/>
      </c>
      <c r="F221" s="48"/>
      <c r="G221" s="48"/>
      <c r="H221" s="48"/>
      <c r="I221" s="48"/>
      <c r="J221" s="48"/>
      <c r="K221" s="48"/>
      <c r="L221" s="48"/>
      <c r="M221" s="48"/>
      <c r="N221" s="75"/>
      <c r="O221" s="48"/>
      <c r="P221" s="35"/>
      <c r="Q221" s="35"/>
      <c r="R221" s="35"/>
      <c r="S221" s="35"/>
      <c r="T221" s="35"/>
      <c r="U221" s="35"/>
      <c r="V221" s="35"/>
      <c r="W221" s="35"/>
      <c r="X221" s="35"/>
      <c r="Y221" s="35"/>
      <c r="Z221" s="35"/>
    </row>
    <row r="222" ht="15.75" customHeight="1">
      <c r="A222" s="48"/>
      <c r="B222" s="48"/>
      <c r="C222" s="26" t="str">
        <f t="array" ref="C222">IF($B222="","",INDEX('Gap reference'!$C$2:$C$60,MATCH($B222,'Gap reference'!$A$2:$A$60,0)))</f>
        <v/>
      </c>
      <c r="D222" s="26" t="str">
        <f t="array" ref="D222">IF($B222="","",INDEX('Gap reference'!$D$2:$D$60,MATCH($B222,'Gap reference'!$A$2:$A$60,0)))</f>
        <v/>
      </c>
      <c r="E222" s="26" t="str">
        <f t="array" ref="E222">IF($B222="","",INDEX('Gap reference'!$G$2:$G$60,MATCH($B222,'Gap reference'!$A$2:$A$60,0)))</f>
        <v/>
      </c>
      <c r="F222" s="48"/>
      <c r="G222" s="48"/>
      <c r="H222" s="48"/>
      <c r="I222" s="48"/>
      <c r="J222" s="48"/>
      <c r="K222" s="48"/>
      <c r="L222" s="48"/>
      <c r="M222" s="48"/>
      <c r="N222" s="75"/>
      <c r="O222" s="48"/>
      <c r="P222" s="35"/>
      <c r="Q222" s="35"/>
      <c r="R222" s="35"/>
      <c r="S222" s="35"/>
      <c r="T222" s="35"/>
      <c r="U222" s="35"/>
      <c r="V222" s="35"/>
      <c r="W222" s="35"/>
      <c r="X222" s="35"/>
      <c r="Y222" s="35"/>
      <c r="Z222" s="35"/>
    </row>
    <row r="223" ht="15.75" customHeight="1">
      <c r="A223" s="48"/>
      <c r="B223" s="48"/>
      <c r="C223" s="26" t="str">
        <f t="array" ref="C223">IF($B223="","",INDEX('Gap reference'!$C$2:$C$60,MATCH($B223,'Gap reference'!$A$2:$A$60,0)))</f>
        <v/>
      </c>
      <c r="D223" s="26" t="str">
        <f t="array" ref="D223">IF($B223="","",INDEX('Gap reference'!$D$2:$D$60,MATCH($B223,'Gap reference'!$A$2:$A$60,0)))</f>
        <v/>
      </c>
      <c r="E223" s="26" t="str">
        <f t="array" ref="E223">IF($B223="","",INDEX('Gap reference'!$G$2:$G$60,MATCH($B223,'Gap reference'!$A$2:$A$60,0)))</f>
        <v/>
      </c>
      <c r="F223" s="48"/>
      <c r="G223" s="48"/>
      <c r="H223" s="48"/>
      <c r="I223" s="48"/>
      <c r="J223" s="48"/>
      <c r="K223" s="48"/>
      <c r="L223" s="48"/>
      <c r="M223" s="48"/>
      <c r="N223" s="75"/>
      <c r="O223" s="48"/>
      <c r="P223" s="35"/>
      <c r="Q223" s="35"/>
      <c r="R223" s="35"/>
      <c r="S223" s="35"/>
      <c r="T223" s="35"/>
      <c r="U223" s="35"/>
      <c r="V223" s="35"/>
      <c r="W223" s="35"/>
      <c r="X223" s="35"/>
      <c r="Y223" s="35"/>
      <c r="Z223" s="35"/>
    </row>
    <row r="224" ht="15.75" customHeight="1">
      <c r="A224" s="48"/>
      <c r="B224" s="48"/>
      <c r="C224" s="26" t="str">
        <f t="array" ref="C224">IF($B224="","",INDEX('Gap reference'!$C$2:$C$60,MATCH($B224,'Gap reference'!$A$2:$A$60,0)))</f>
        <v/>
      </c>
      <c r="D224" s="26" t="str">
        <f t="array" ref="D224">IF($B224="","",INDEX('Gap reference'!$D$2:$D$60,MATCH($B224,'Gap reference'!$A$2:$A$60,0)))</f>
        <v/>
      </c>
      <c r="E224" s="26" t="str">
        <f t="array" ref="E224">IF($B224="","",INDEX('Gap reference'!$G$2:$G$60,MATCH($B224,'Gap reference'!$A$2:$A$60,0)))</f>
        <v/>
      </c>
      <c r="F224" s="48"/>
      <c r="G224" s="48"/>
      <c r="H224" s="48"/>
      <c r="I224" s="48"/>
      <c r="J224" s="48"/>
      <c r="K224" s="48"/>
      <c r="L224" s="48"/>
      <c r="M224" s="48"/>
      <c r="N224" s="75"/>
      <c r="O224" s="48"/>
      <c r="P224" s="35"/>
      <c r="Q224" s="35"/>
      <c r="R224" s="35"/>
      <c r="S224" s="35"/>
      <c r="T224" s="35"/>
      <c r="U224" s="35"/>
      <c r="V224" s="35"/>
      <c r="W224" s="35"/>
      <c r="X224" s="35"/>
      <c r="Y224" s="35"/>
      <c r="Z224" s="35"/>
    </row>
    <row r="225" ht="15.75" customHeight="1">
      <c r="A225" s="48"/>
      <c r="B225" s="48"/>
      <c r="C225" s="26" t="str">
        <f t="array" ref="C225">IF($B225="","",INDEX('Gap reference'!$C$2:$C$60,MATCH($B225,'Gap reference'!$A$2:$A$60,0)))</f>
        <v/>
      </c>
      <c r="D225" s="26" t="str">
        <f t="array" ref="D225">IF($B225="","",INDEX('Gap reference'!$D$2:$D$60,MATCH($B225,'Gap reference'!$A$2:$A$60,0)))</f>
        <v/>
      </c>
      <c r="E225" s="26" t="str">
        <f t="array" ref="E225">IF($B225="","",INDEX('Gap reference'!$G$2:$G$60,MATCH($B225,'Gap reference'!$A$2:$A$60,0)))</f>
        <v/>
      </c>
      <c r="F225" s="48"/>
      <c r="G225" s="48"/>
      <c r="H225" s="48"/>
      <c r="I225" s="48"/>
      <c r="J225" s="48"/>
      <c r="K225" s="48"/>
      <c r="L225" s="48"/>
      <c r="M225" s="48"/>
      <c r="N225" s="75"/>
      <c r="O225" s="48"/>
      <c r="P225" s="35"/>
      <c r="Q225" s="35"/>
      <c r="R225" s="35"/>
      <c r="S225" s="35"/>
      <c r="T225" s="35"/>
      <c r="U225" s="35"/>
      <c r="V225" s="35"/>
      <c r="W225" s="35"/>
      <c r="X225" s="35"/>
      <c r="Y225" s="35"/>
      <c r="Z225" s="35"/>
    </row>
    <row r="226" ht="15.75" customHeight="1">
      <c r="A226" s="48"/>
      <c r="B226" s="48"/>
      <c r="C226" s="26" t="str">
        <f t="array" ref="C226">IF($B226="","",INDEX('Gap reference'!$C$2:$C$60,MATCH($B226,'Gap reference'!$A$2:$A$60,0)))</f>
        <v/>
      </c>
      <c r="D226" s="26" t="str">
        <f t="array" ref="D226">IF($B226="","",INDEX('Gap reference'!$D$2:$D$60,MATCH($B226,'Gap reference'!$A$2:$A$60,0)))</f>
        <v/>
      </c>
      <c r="E226" s="26" t="str">
        <f t="array" ref="E226">IF($B226="","",INDEX('Gap reference'!$G$2:$G$60,MATCH($B226,'Gap reference'!$A$2:$A$60,0)))</f>
        <v/>
      </c>
      <c r="F226" s="48"/>
      <c r="G226" s="48"/>
      <c r="H226" s="48"/>
      <c r="I226" s="48"/>
      <c r="J226" s="48"/>
      <c r="K226" s="48"/>
      <c r="L226" s="48"/>
      <c r="M226" s="48"/>
      <c r="N226" s="75"/>
      <c r="O226" s="48"/>
      <c r="P226" s="35"/>
      <c r="Q226" s="35"/>
      <c r="R226" s="35"/>
      <c r="S226" s="35"/>
      <c r="T226" s="35"/>
      <c r="U226" s="35"/>
      <c r="V226" s="35"/>
      <c r="W226" s="35"/>
      <c r="X226" s="35"/>
      <c r="Y226" s="35"/>
      <c r="Z226" s="35"/>
    </row>
    <row r="227" ht="15.75" customHeight="1">
      <c r="A227" s="48"/>
      <c r="B227" s="48"/>
      <c r="C227" s="26" t="str">
        <f t="array" ref="C227">IF($B227="","",INDEX('Gap reference'!$C$2:$C$60,MATCH($B227,'Gap reference'!$A$2:$A$60,0)))</f>
        <v/>
      </c>
      <c r="D227" s="26" t="str">
        <f t="array" ref="D227">IF($B227="","",INDEX('Gap reference'!$D$2:$D$60,MATCH($B227,'Gap reference'!$A$2:$A$60,0)))</f>
        <v/>
      </c>
      <c r="E227" s="26" t="str">
        <f t="array" ref="E227">IF($B227="","",INDEX('Gap reference'!$G$2:$G$60,MATCH($B227,'Gap reference'!$A$2:$A$60,0)))</f>
        <v/>
      </c>
      <c r="F227" s="48"/>
      <c r="G227" s="48"/>
      <c r="H227" s="48"/>
      <c r="I227" s="48"/>
      <c r="J227" s="48"/>
      <c r="K227" s="48"/>
      <c r="L227" s="48"/>
      <c r="M227" s="48"/>
      <c r="N227" s="75"/>
      <c r="O227" s="48"/>
      <c r="P227" s="35"/>
      <c r="Q227" s="35"/>
      <c r="R227" s="35"/>
      <c r="S227" s="35"/>
      <c r="T227" s="35"/>
      <c r="U227" s="35"/>
      <c r="V227" s="35"/>
      <c r="W227" s="35"/>
      <c r="X227" s="35"/>
      <c r="Y227" s="35"/>
      <c r="Z227" s="35"/>
    </row>
    <row r="228" ht="15.75" customHeight="1">
      <c r="A228" s="48"/>
      <c r="B228" s="48"/>
      <c r="C228" s="26" t="str">
        <f t="array" ref="C228">IF($B228="","",INDEX('Gap reference'!$C$2:$C$60,MATCH($B228,'Gap reference'!$A$2:$A$60,0)))</f>
        <v/>
      </c>
      <c r="D228" s="26" t="str">
        <f t="array" ref="D228">IF($B228="","",INDEX('Gap reference'!$D$2:$D$60,MATCH($B228,'Gap reference'!$A$2:$A$60,0)))</f>
        <v/>
      </c>
      <c r="E228" s="26" t="str">
        <f t="array" ref="E228">IF($B228="","",INDEX('Gap reference'!$G$2:$G$60,MATCH($B228,'Gap reference'!$A$2:$A$60,0)))</f>
        <v/>
      </c>
      <c r="F228" s="48"/>
      <c r="G228" s="48"/>
      <c r="H228" s="48"/>
      <c r="I228" s="48"/>
      <c r="J228" s="48"/>
      <c r="K228" s="48"/>
      <c r="L228" s="48"/>
      <c r="M228" s="48"/>
      <c r="N228" s="75"/>
      <c r="O228" s="48"/>
      <c r="P228" s="35"/>
      <c r="Q228" s="35"/>
      <c r="R228" s="35"/>
      <c r="S228" s="35"/>
      <c r="T228" s="35"/>
      <c r="U228" s="35"/>
      <c r="V228" s="35"/>
      <c r="W228" s="35"/>
      <c r="X228" s="35"/>
      <c r="Y228" s="35"/>
      <c r="Z228" s="35"/>
    </row>
    <row r="229" ht="15.75" customHeight="1">
      <c r="A229" s="48"/>
      <c r="B229" s="48"/>
      <c r="C229" s="26" t="str">
        <f t="array" ref="C229">IF($B229="","",INDEX('Gap reference'!$C$2:$C$60,MATCH($B229,'Gap reference'!$A$2:$A$60,0)))</f>
        <v/>
      </c>
      <c r="D229" s="26" t="str">
        <f t="array" ref="D229">IF($B229="","",INDEX('Gap reference'!$D$2:$D$60,MATCH($B229,'Gap reference'!$A$2:$A$60,0)))</f>
        <v/>
      </c>
      <c r="E229" s="26" t="str">
        <f t="array" ref="E229">IF($B229="","",INDEX('Gap reference'!$G$2:$G$60,MATCH($B229,'Gap reference'!$A$2:$A$60,0)))</f>
        <v/>
      </c>
      <c r="F229" s="48"/>
      <c r="G229" s="48"/>
      <c r="H229" s="48"/>
      <c r="I229" s="48"/>
      <c r="J229" s="48"/>
      <c r="K229" s="48"/>
      <c r="L229" s="48"/>
      <c r="M229" s="48"/>
      <c r="N229" s="75"/>
      <c r="O229" s="48"/>
      <c r="P229" s="35"/>
      <c r="Q229" s="35"/>
      <c r="R229" s="35"/>
      <c r="S229" s="35"/>
      <c r="T229" s="35"/>
      <c r="U229" s="35"/>
      <c r="V229" s="35"/>
      <c r="W229" s="35"/>
      <c r="X229" s="35"/>
      <c r="Y229" s="35"/>
      <c r="Z229" s="35"/>
    </row>
    <row r="230" ht="15.75" customHeight="1">
      <c r="A230" s="48"/>
      <c r="B230" s="48"/>
      <c r="C230" s="26" t="str">
        <f t="array" ref="C230">IF($B230="","",INDEX('Gap reference'!$C$2:$C$60,MATCH($B230,'Gap reference'!$A$2:$A$60,0)))</f>
        <v/>
      </c>
      <c r="D230" s="26" t="str">
        <f t="array" ref="D230">IF($B230="","",INDEX('Gap reference'!$D$2:$D$60,MATCH($B230,'Gap reference'!$A$2:$A$60,0)))</f>
        <v/>
      </c>
      <c r="E230" s="26" t="str">
        <f t="array" ref="E230">IF($B230="","",INDEX('Gap reference'!$G$2:$G$60,MATCH($B230,'Gap reference'!$A$2:$A$60,0)))</f>
        <v/>
      </c>
      <c r="F230" s="48"/>
      <c r="G230" s="48"/>
      <c r="H230" s="48"/>
      <c r="I230" s="48"/>
      <c r="J230" s="48"/>
      <c r="K230" s="48"/>
      <c r="L230" s="48"/>
      <c r="M230" s="48"/>
      <c r="N230" s="75"/>
      <c r="O230" s="48"/>
      <c r="P230" s="35"/>
      <c r="Q230" s="35"/>
      <c r="R230" s="35"/>
      <c r="S230" s="35"/>
      <c r="T230" s="35"/>
      <c r="U230" s="35"/>
      <c r="V230" s="35"/>
      <c r="W230" s="35"/>
      <c r="X230" s="35"/>
      <c r="Y230" s="35"/>
      <c r="Z230" s="35"/>
    </row>
    <row r="231" ht="15.75" customHeight="1">
      <c r="A231" s="48"/>
      <c r="B231" s="48"/>
      <c r="C231" s="26" t="str">
        <f t="array" ref="C231">IF($B231="","",INDEX('Gap reference'!$C$2:$C$60,MATCH($B231,'Gap reference'!$A$2:$A$60,0)))</f>
        <v/>
      </c>
      <c r="D231" s="26" t="str">
        <f t="array" ref="D231">IF($B231="","",INDEX('Gap reference'!$D$2:$D$60,MATCH($B231,'Gap reference'!$A$2:$A$60,0)))</f>
        <v/>
      </c>
      <c r="E231" s="26" t="str">
        <f t="array" ref="E231">IF($B231="","",INDEX('Gap reference'!$G$2:$G$60,MATCH($B231,'Gap reference'!$A$2:$A$60,0)))</f>
        <v/>
      </c>
      <c r="F231" s="48"/>
      <c r="G231" s="48"/>
      <c r="H231" s="48"/>
      <c r="I231" s="48"/>
      <c r="J231" s="48"/>
      <c r="K231" s="48"/>
      <c r="L231" s="48"/>
      <c r="M231" s="48"/>
      <c r="N231" s="75"/>
      <c r="O231" s="48"/>
      <c r="P231" s="35"/>
      <c r="Q231" s="35"/>
      <c r="R231" s="35"/>
      <c r="S231" s="35"/>
      <c r="T231" s="35"/>
      <c r="U231" s="35"/>
      <c r="V231" s="35"/>
      <c r="W231" s="35"/>
      <c r="X231" s="35"/>
      <c r="Y231" s="35"/>
      <c r="Z231" s="35"/>
    </row>
    <row r="232" ht="15.75" customHeight="1">
      <c r="A232" s="48"/>
      <c r="B232" s="48"/>
      <c r="C232" s="26" t="str">
        <f t="array" ref="C232">IF($B232="","",INDEX('Gap reference'!$C$2:$C$60,MATCH($B232,'Gap reference'!$A$2:$A$60,0)))</f>
        <v/>
      </c>
      <c r="D232" s="26" t="str">
        <f t="array" ref="D232">IF($B232="","",INDEX('Gap reference'!$D$2:$D$60,MATCH($B232,'Gap reference'!$A$2:$A$60,0)))</f>
        <v/>
      </c>
      <c r="E232" s="26" t="str">
        <f t="array" ref="E232">IF($B232="","",INDEX('Gap reference'!$G$2:$G$60,MATCH($B232,'Gap reference'!$A$2:$A$60,0)))</f>
        <v/>
      </c>
      <c r="F232" s="48"/>
      <c r="G232" s="48"/>
      <c r="H232" s="48"/>
      <c r="I232" s="48"/>
      <c r="J232" s="48"/>
      <c r="K232" s="48"/>
      <c r="L232" s="48"/>
      <c r="M232" s="48"/>
      <c r="N232" s="75"/>
      <c r="O232" s="48"/>
      <c r="P232" s="35"/>
      <c r="Q232" s="35"/>
      <c r="R232" s="35"/>
      <c r="S232" s="35"/>
      <c r="T232" s="35"/>
      <c r="U232" s="35"/>
      <c r="V232" s="35"/>
      <c r="W232" s="35"/>
      <c r="X232" s="35"/>
      <c r="Y232" s="35"/>
      <c r="Z232" s="35"/>
    </row>
    <row r="233" ht="15.75" customHeight="1">
      <c r="A233" s="48"/>
      <c r="B233" s="48"/>
      <c r="C233" s="26" t="str">
        <f t="array" ref="C233">IF($B233="","",INDEX('Gap reference'!$C$2:$C$60,MATCH($B233,'Gap reference'!$A$2:$A$60,0)))</f>
        <v/>
      </c>
      <c r="D233" s="26" t="str">
        <f t="array" ref="D233">IF($B233="","",INDEX('Gap reference'!$D$2:$D$60,MATCH($B233,'Gap reference'!$A$2:$A$60,0)))</f>
        <v/>
      </c>
      <c r="E233" s="26" t="str">
        <f t="array" ref="E233">IF($B233="","",INDEX('Gap reference'!$G$2:$G$60,MATCH($B233,'Gap reference'!$A$2:$A$60,0)))</f>
        <v/>
      </c>
      <c r="F233" s="48"/>
      <c r="G233" s="48"/>
      <c r="H233" s="48"/>
      <c r="I233" s="48"/>
      <c r="J233" s="48"/>
      <c r="K233" s="48"/>
      <c r="L233" s="48"/>
      <c r="M233" s="48"/>
      <c r="N233" s="75"/>
      <c r="O233" s="48"/>
      <c r="P233" s="35"/>
      <c r="Q233" s="35"/>
      <c r="R233" s="35"/>
      <c r="S233" s="35"/>
      <c r="T233" s="35"/>
      <c r="U233" s="35"/>
      <c r="V233" s="35"/>
      <c r="W233" s="35"/>
      <c r="X233" s="35"/>
      <c r="Y233" s="35"/>
      <c r="Z233" s="35"/>
    </row>
    <row r="234" ht="15.75" customHeight="1">
      <c r="A234" s="48"/>
      <c r="B234" s="48"/>
      <c r="C234" s="26" t="str">
        <f t="array" ref="C234">IF($B234="","",INDEX('Gap reference'!$C$2:$C$60,MATCH($B234,'Gap reference'!$A$2:$A$60,0)))</f>
        <v/>
      </c>
      <c r="D234" s="26" t="str">
        <f t="array" ref="D234">IF($B234="","",INDEX('Gap reference'!$D$2:$D$60,MATCH($B234,'Gap reference'!$A$2:$A$60,0)))</f>
        <v/>
      </c>
      <c r="E234" s="26" t="str">
        <f t="array" ref="E234">IF($B234="","",INDEX('Gap reference'!$G$2:$G$60,MATCH($B234,'Gap reference'!$A$2:$A$60,0)))</f>
        <v/>
      </c>
      <c r="F234" s="48"/>
      <c r="G234" s="48"/>
      <c r="H234" s="48"/>
      <c r="I234" s="48"/>
      <c r="J234" s="48"/>
      <c r="K234" s="48"/>
      <c r="L234" s="48"/>
      <c r="M234" s="48"/>
      <c r="N234" s="75"/>
      <c r="O234" s="48"/>
      <c r="P234" s="35"/>
      <c r="Q234" s="35"/>
      <c r="R234" s="35"/>
      <c r="S234" s="35"/>
      <c r="T234" s="35"/>
      <c r="U234" s="35"/>
      <c r="V234" s="35"/>
      <c r="W234" s="35"/>
      <c r="X234" s="35"/>
      <c r="Y234" s="35"/>
      <c r="Z234" s="35"/>
    </row>
    <row r="235" ht="15.75" customHeight="1">
      <c r="A235" s="48"/>
      <c r="B235" s="48"/>
      <c r="C235" s="26" t="str">
        <f t="array" ref="C235">IF($B235="","",INDEX('Gap reference'!$C$2:$C$60,MATCH($B235,'Gap reference'!$A$2:$A$60,0)))</f>
        <v/>
      </c>
      <c r="D235" s="26" t="str">
        <f t="array" ref="D235">IF($B235="","",INDEX('Gap reference'!$D$2:$D$60,MATCH($B235,'Gap reference'!$A$2:$A$60,0)))</f>
        <v/>
      </c>
      <c r="E235" s="26" t="str">
        <f t="array" ref="E235">IF($B235="","",INDEX('Gap reference'!$G$2:$G$60,MATCH($B235,'Gap reference'!$A$2:$A$60,0)))</f>
        <v/>
      </c>
      <c r="F235" s="48"/>
      <c r="G235" s="48"/>
      <c r="H235" s="48"/>
      <c r="I235" s="48"/>
      <c r="J235" s="48"/>
      <c r="K235" s="48"/>
      <c r="L235" s="48"/>
      <c r="M235" s="48"/>
      <c r="N235" s="75"/>
      <c r="O235" s="48"/>
      <c r="P235" s="35"/>
      <c r="Q235" s="35"/>
      <c r="R235" s="35"/>
      <c r="S235" s="35"/>
      <c r="T235" s="35"/>
      <c r="U235" s="35"/>
      <c r="V235" s="35"/>
      <c r="W235" s="35"/>
      <c r="X235" s="35"/>
      <c r="Y235" s="35"/>
      <c r="Z235" s="35"/>
    </row>
    <row r="236" ht="15.75" customHeight="1">
      <c r="A236" s="48"/>
      <c r="B236" s="48"/>
      <c r="C236" s="26" t="str">
        <f t="array" ref="C236">IF($B236="","",INDEX('Gap reference'!$C$2:$C$60,MATCH($B236,'Gap reference'!$A$2:$A$60,0)))</f>
        <v/>
      </c>
      <c r="D236" s="26" t="str">
        <f t="array" ref="D236">IF($B236="","",INDEX('Gap reference'!$D$2:$D$60,MATCH($B236,'Gap reference'!$A$2:$A$60,0)))</f>
        <v/>
      </c>
      <c r="E236" s="26" t="str">
        <f t="array" ref="E236">IF($B236="","",INDEX('Gap reference'!$G$2:$G$60,MATCH($B236,'Gap reference'!$A$2:$A$60,0)))</f>
        <v/>
      </c>
      <c r="F236" s="48"/>
      <c r="G236" s="48"/>
      <c r="H236" s="48"/>
      <c r="I236" s="48"/>
      <c r="J236" s="48"/>
      <c r="K236" s="48"/>
      <c r="L236" s="48"/>
      <c r="M236" s="48"/>
      <c r="N236" s="75"/>
      <c r="O236" s="48"/>
      <c r="P236" s="35"/>
      <c r="Q236" s="35"/>
      <c r="R236" s="35"/>
      <c r="S236" s="35"/>
      <c r="T236" s="35"/>
      <c r="U236" s="35"/>
      <c r="V236" s="35"/>
      <c r="W236" s="35"/>
      <c r="X236" s="35"/>
      <c r="Y236" s="35"/>
      <c r="Z236" s="35"/>
    </row>
    <row r="237" ht="15.75" customHeight="1">
      <c r="A237" s="48"/>
      <c r="B237" s="48"/>
      <c r="C237" s="26" t="str">
        <f t="array" ref="C237">IF($B237="","",INDEX('Gap reference'!$C$2:$C$60,MATCH($B237,'Gap reference'!$A$2:$A$60,0)))</f>
        <v/>
      </c>
      <c r="D237" s="26" t="str">
        <f t="array" ref="D237">IF($B237="","",INDEX('Gap reference'!$D$2:$D$60,MATCH($B237,'Gap reference'!$A$2:$A$60,0)))</f>
        <v/>
      </c>
      <c r="E237" s="26" t="str">
        <f t="array" ref="E237">IF($B237="","",INDEX('Gap reference'!$G$2:$G$60,MATCH($B237,'Gap reference'!$A$2:$A$60,0)))</f>
        <v/>
      </c>
      <c r="F237" s="48"/>
      <c r="G237" s="48"/>
      <c r="H237" s="48"/>
      <c r="I237" s="48"/>
      <c r="J237" s="48"/>
      <c r="K237" s="48"/>
      <c r="L237" s="48"/>
      <c r="M237" s="48"/>
      <c r="N237" s="75"/>
      <c r="O237" s="48"/>
      <c r="P237" s="35"/>
      <c r="Q237" s="35"/>
      <c r="R237" s="35"/>
      <c r="S237" s="35"/>
      <c r="T237" s="35"/>
      <c r="U237" s="35"/>
      <c r="V237" s="35"/>
      <c r="W237" s="35"/>
      <c r="X237" s="35"/>
      <c r="Y237" s="35"/>
      <c r="Z237" s="35"/>
    </row>
    <row r="238" ht="15.75" customHeight="1">
      <c r="A238" s="48"/>
      <c r="B238" s="48"/>
      <c r="C238" s="26" t="str">
        <f t="array" ref="C238">IF($B238="","",INDEX('Gap reference'!$C$2:$C$60,MATCH($B238,'Gap reference'!$A$2:$A$60,0)))</f>
        <v/>
      </c>
      <c r="D238" s="26" t="str">
        <f t="array" ref="D238">IF($B238="","",INDEX('Gap reference'!$D$2:$D$60,MATCH($B238,'Gap reference'!$A$2:$A$60,0)))</f>
        <v/>
      </c>
      <c r="E238" s="26" t="str">
        <f t="array" ref="E238">IF($B238="","",INDEX('Gap reference'!$G$2:$G$60,MATCH($B238,'Gap reference'!$A$2:$A$60,0)))</f>
        <v/>
      </c>
      <c r="F238" s="48"/>
      <c r="G238" s="48"/>
      <c r="H238" s="48"/>
      <c r="I238" s="48"/>
      <c r="J238" s="48"/>
      <c r="K238" s="48"/>
      <c r="L238" s="48"/>
      <c r="M238" s="48"/>
      <c r="N238" s="75"/>
      <c r="O238" s="48"/>
      <c r="P238" s="35"/>
      <c r="Q238" s="35"/>
      <c r="R238" s="35"/>
      <c r="S238" s="35"/>
      <c r="T238" s="35"/>
      <c r="U238" s="35"/>
      <c r="V238" s="35"/>
      <c r="W238" s="35"/>
      <c r="X238" s="35"/>
      <c r="Y238" s="35"/>
      <c r="Z238" s="35"/>
    </row>
    <row r="239" ht="15.75" customHeight="1">
      <c r="A239" s="48"/>
      <c r="B239" s="48"/>
      <c r="C239" s="26" t="str">
        <f t="array" ref="C239">IF($B239="","",INDEX('Gap reference'!$C$2:$C$60,MATCH($B239,'Gap reference'!$A$2:$A$60,0)))</f>
        <v/>
      </c>
      <c r="D239" s="26" t="str">
        <f t="array" ref="D239">IF($B239="","",INDEX('Gap reference'!$D$2:$D$60,MATCH($B239,'Gap reference'!$A$2:$A$60,0)))</f>
        <v/>
      </c>
      <c r="E239" s="26" t="str">
        <f t="array" ref="E239">IF($B239="","",INDEX('Gap reference'!$G$2:$G$60,MATCH($B239,'Gap reference'!$A$2:$A$60,0)))</f>
        <v/>
      </c>
      <c r="F239" s="48"/>
      <c r="G239" s="48"/>
      <c r="H239" s="48"/>
      <c r="I239" s="48"/>
      <c r="J239" s="48"/>
      <c r="K239" s="48"/>
      <c r="L239" s="48"/>
      <c r="M239" s="48"/>
      <c r="N239" s="75"/>
      <c r="O239" s="48"/>
      <c r="P239" s="35"/>
      <c r="Q239" s="35"/>
      <c r="R239" s="35"/>
      <c r="S239" s="35"/>
      <c r="T239" s="35"/>
      <c r="U239" s="35"/>
      <c r="V239" s="35"/>
      <c r="W239" s="35"/>
      <c r="X239" s="35"/>
      <c r="Y239" s="35"/>
      <c r="Z239" s="35"/>
    </row>
    <row r="240" ht="15.75" customHeight="1">
      <c r="A240" s="48"/>
      <c r="B240" s="48"/>
      <c r="C240" s="26" t="str">
        <f t="array" ref="C240">IF($B240="","",INDEX('Gap reference'!$C$2:$C$60,MATCH($B240,'Gap reference'!$A$2:$A$60,0)))</f>
        <v/>
      </c>
      <c r="D240" s="26" t="str">
        <f t="array" ref="D240">IF($B240="","",INDEX('Gap reference'!$D$2:$D$60,MATCH($B240,'Gap reference'!$A$2:$A$60,0)))</f>
        <v/>
      </c>
      <c r="E240" s="26" t="str">
        <f t="array" ref="E240">IF($B240="","",INDEX('Gap reference'!$G$2:$G$60,MATCH($B240,'Gap reference'!$A$2:$A$60,0)))</f>
        <v/>
      </c>
      <c r="F240" s="48"/>
      <c r="G240" s="48"/>
      <c r="H240" s="48"/>
      <c r="I240" s="48"/>
      <c r="J240" s="48"/>
      <c r="K240" s="48"/>
      <c r="L240" s="48"/>
      <c r="M240" s="48"/>
      <c r="N240" s="75"/>
      <c r="O240" s="48"/>
      <c r="P240" s="35"/>
      <c r="Q240" s="35"/>
      <c r="R240" s="35"/>
      <c r="S240" s="35"/>
      <c r="T240" s="35"/>
      <c r="U240" s="35"/>
      <c r="V240" s="35"/>
      <c r="W240" s="35"/>
      <c r="X240" s="35"/>
      <c r="Y240" s="35"/>
      <c r="Z240" s="35"/>
    </row>
    <row r="241" ht="15.75" customHeight="1">
      <c r="A241" s="48"/>
      <c r="B241" s="48"/>
      <c r="C241" s="26" t="str">
        <f t="array" ref="C241">IF($B241="","",INDEX('Gap reference'!$C$2:$C$60,MATCH($B241,'Gap reference'!$A$2:$A$60,0)))</f>
        <v/>
      </c>
      <c r="D241" s="26" t="str">
        <f t="array" ref="D241">IF($B241="","",INDEX('Gap reference'!$D$2:$D$60,MATCH($B241,'Gap reference'!$A$2:$A$60,0)))</f>
        <v/>
      </c>
      <c r="E241" s="26" t="str">
        <f t="array" ref="E241">IF($B241="","",INDEX('Gap reference'!$G$2:$G$60,MATCH($B241,'Gap reference'!$A$2:$A$60,0)))</f>
        <v/>
      </c>
      <c r="F241" s="48"/>
      <c r="G241" s="48"/>
      <c r="H241" s="48"/>
      <c r="I241" s="48"/>
      <c r="J241" s="48"/>
      <c r="K241" s="48"/>
      <c r="L241" s="48"/>
      <c r="M241" s="48"/>
      <c r="N241" s="75"/>
      <c r="O241" s="48"/>
      <c r="P241" s="35"/>
      <c r="Q241" s="35"/>
      <c r="R241" s="35"/>
      <c r="S241" s="35"/>
      <c r="T241" s="35"/>
      <c r="U241" s="35"/>
      <c r="V241" s="35"/>
      <c r="W241" s="35"/>
      <c r="X241" s="35"/>
      <c r="Y241" s="35"/>
      <c r="Z241" s="35"/>
    </row>
    <row r="242" ht="15.75" customHeight="1">
      <c r="A242" s="48"/>
      <c r="B242" s="48"/>
      <c r="C242" s="26" t="str">
        <f t="array" ref="C242">IF($B242="","",INDEX('Gap reference'!$C$2:$C$60,MATCH($B242,'Gap reference'!$A$2:$A$60,0)))</f>
        <v/>
      </c>
      <c r="D242" s="26" t="str">
        <f t="array" ref="D242">IF($B242="","",INDEX('Gap reference'!$D$2:$D$60,MATCH($B242,'Gap reference'!$A$2:$A$60,0)))</f>
        <v/>
      </c>
      <c r="E242" s="26" t="str">
        <f t="array" ref="E242">IF($B242="","",INDEX('Gap reference'!$G$2:$G$60,MATCH($B242,'Gap reference'!$A$2:$A$60,0)))</f>
        <v/>
      </c>
      <c r="F242" s="48"/>
      <c r="G242" s="48"/>
      <c r="H242" s="48"/>
      <c r="I242" s="48"/>
      <c r="J242" s="48"/>
      <c r="K242" s="48"/>
      <c r="L242" s="48"/>
      <c r="M242" s="48"/>
      <c r="N242" s="75"/>
      <c r="O242" s="48"/>
      <c r="P242" s="35"/>
      <c r="Q242" s="35"/>
      <c r="R242" s="35"/>
      <c r="S242" s="35"/>
      <c r="T242" s="35"/>
      <c r="U242" s="35"/>
      <c r="V242" s="35"/>
      <c r="W242" s="35"/>
      <c r="X242" s="35"/>
      <c r="Y242" s="35"/>
      <c r="Z242" s="35"/>
    </row>
    <row r="243" ht="15.75" customHeight="1">
      <c r="A243" s="48"/>
      <c r="B243" s="48"/>
      <c r="C243" s="26" t="str">
        <f t="array" ref="C243">IF($B243="","",INDEX('Gap reference'!$C$2:$C$60,MATCH($B243,'Gap reference'!$A$2:$A$60,0)))</f>
        <v/>
      </c>
      <c r="D243" s="26" t="str">
        <f t="array" ref="D243">IF($B243="","",INDEX('Gap reference'!$D$2:$D$60,MATCH($B243,'Gap reference'!$A$2:$A$60,0)))</f>
        <v/>
      </c>
      <c r="E243" s="26" t="str">
        <f t="array" ref="E243">IF($B243="","",INDEX('Gap reference'!$G$2:$G$60,MATCH($B243,'Gap reference'!$A$2:$A$60,0)))</f>
        <v/>
      </c>
      <c r="F243" s="48"/>
      <c r="G243" s="48"/>
      <c r="H243" s="48"/>
      <c r="I243" s="48"/>
      <c r="J243" s="48"/>
      <c r="K243" s="48"/>
      <c r="L243" s="48"/>
      <c r="M243" s="48"/>
      <c r="N243" s="75"/>
      <c r="O243" s="48"/>
      <c r="P243" s="35"/>
      <c r="Q243" s="35"/>
      <c r="R243" s="35"/>
      <c r="S243" s="35"/>
      <c r="T243" s="35"/>
      <c r="U243" s="35"/>
      <c r="V243" s="35"/>
      <c r="W243" s="35"/>
      <c r="X243" s="35"/>
      <c r="Y243" s="35"/>
      <c r="Z243" s="35"/>
    </row>
    <row r="244" ht="15.75" customHeight="1">
      <c r="A244" s="48"/>
      <c r="B244" s="48"/>
      <c r="C244" s="26" t="str">
        <f t="array" ref="C244">IF($B244="","",INDEX('Gap reference'!$C$2:$C$60,MATCH($B244,'Gap reference'!$A$2:$A$60,0)))</f>
        <v/>
      </c>
      <c r="D244" s="26" t="str">
        <f t="array" ref="D244">IF($B244="","",INDEX('Gap reference'!$D$2:$D$60,MATCH($B244,'Gap reference'!$A$2:$A$60,0)))</f>
        <v/>
      </c>
      <c r="E244" s="26" t="str">
        <f t="array" ref="E244">IF($B244="","",INDEX('Gap reference'!$G$2:$G$60,MATCH($B244,'Gap reference'!$A$2:$A$60,0)))</f>
        <v/>
      </c>
      <c r="F244" s="48"/>
      <c r="G244" s="48"/>
      <c r="H244" s="48"/>
      <c r="I244" s="48"/>
      <c r="J244" s="48"/>
      <c r="K244" s="48"/>
      <c r="L244" s="48"/>
      <c r="M244" s="48"/>
      <c r="N244" s="75"/>
      <c r="O244" s="48"/>
      <c r="P244" s="35"/>
      <c r="Q244" s="35"/>
      <c r="R244" s="35"/>
      <c r="S244" s="35"/>
      <c r="T244" s="35"/>
      <c r="U244" s="35"/>
      <c r="V244" s="35"/>
      <c r="W244" s="35"/>
      <c r="X244" s="35"/>
      <c r="Y244" s="35"/>
      <c r="Z244" s="35"/>
    </row>
    <row r="245" ht="15.75" customHeight="1">
      <c r="A245" s="48"/>
      <c r="B245" s="48"/>
      <c r="C245" s="26" t="str">
        <f t="array" ref="C245">IF($B245="","",INDEX('Gap reference'!$C$2:$C$60,MATCH($B245,'Gap reference'!$A$2:$A$60,0)))</f>
        <v/>
      </c>
      <c r="D245" s="26" t="str">
        <f t="array" ref="D245">IF($B245="","",INDEX('Gap reference'!$D$2:$D$60,MATCH($B245,'Gap reference'!$A$2:$A$60,0)))</f>
        <v/>
      </c>
      <c r="E245" s="26" t="str">
        <f t="array" ref="E245">IF($B245="","",INDEX('Gap reference'!$G$2:$G$60,MATCH($B245,'Gap reference'!$A$2:$A$60,0)))</f>
        <v/>
      </c>
      <c r="F245" s="48"/>
      <c r="G245" s="48"/>
      <c r="H245" s="48"/>
      <c r="I245" s="48"/>
      <c r="J245" s="48"/>
      <c r="K245" s="48"/>
      <c r="L245" s="48"/>
      <c r="M245" s="48"/>
      <c r="N245" s="75"/>
      <c r="O245" s="48"/>
      <c r="P245" s="35"/>
      <c r="Q245" s="35"/>
      <c r="R245" s="35"/>
      <c r="S245" s="35"/>
      <c r="T245" s="35"/>
      <c r="U245" s="35"/>
      <c r="V245" s="35"/>
      <c r="W245" s="35"/>
      <c r="X245" s="35"/>
      <c r="Y245" s="35"/>
      <c r="Z245" s="35"/>
    </row>
    <row r="246" ht="15.75" customHeight="1">
      <c r="A246" s="48"/>
      <c r="B246" s="48"/>
      <c r="C246" s="26" t="str">
        <f t="array" ref="C246">IF($B246="","",INDEX('Gap reference'!$C$2:$C$60,MATCH($B246,'Gap reference'!$A$2:$A$60,0)))</f>
        <v/>
      </c>
      <c r="D246" s="26" t="str">
        <f t="array" ref="D246">IF($B246="","",INDEX('Gap reference'!$D$2:$D$60,MATCH($B246,'Gap reference'!$A$2:$A$60,0)))</f>
        <v/>
      </c>
      <c r="E246" s="26" t="str">
        <f t="array" ref="E246">IF($B246="","",INDEX('Gap reference'!$G$2:$G$60,MATCH($B246,'Gap reference'!$A$2:$A$60,0)))</f>
        <v/>
      </c>
      <c r="F246" s="48"/>
      <c r="G246" s="48"/>
      <c r="H246" s="48"/>
      <c r="I246" s="48"/>
      <c r="J246" s="48"/>
      <c r="K246" s="48"/>
      <c r="L246" s="48"/>
      <c r="M246" s="48"/>
      <c r="N246" s="75"/>
      <c r="O246" s="48"/>
      <c r="P246" s="35"/>
      <c r="Q246" s="35"/>
      <c r="R246" s="35"/>
      <c r="S246" s="35"/>
      <c r="T246" s="35"/>
      <c r="U246" s="35"/>
      <c r="V246" s="35"/>
      <c r="W246" s="35"/>
      <c r="X246" s="35"/>
      <c r="Y246" s="35"/>
      <c r="Z246" s="35"/>
    </row>
    <row r="247" ht="15.75" customHeight="1">
      <c r="A247" s="48"/>
      <c r="B247" s="48"/>
      <c r="C247" s="26" t="str">
        <f t="array" ref="C247">IF($B247="","",INDEX('Gap reference'!$C$2:$C$60,MATCH($B247,'Gap reference'!$A$2:$A$60,0)))</f>
        <v/>
      </c>
      <c r="D247" s="26" t="str">
        <f t="array" ref="D247">IF($B247="","",INDEX('Gap reference'!$D$2:$D$60,MATCH($B247,'Gap reference'!$A$2:$A$60,0)))</f>
        <v/>
      </c>
      <c r="E247" s="26" t="str">
        <f t="array" ref="E247">IF($B247="","",INDEX('Gap reference'!$G$2:$G$60,MATCH($B247,'Gap reference'!$A$2:$A$60,0)))</f>
        <v/>
      </c>
      <c r="F247" s="48"/>
      <c r="G247" s="48"/>
      <c r="H247" s="48"/>
      <c r="I247" s="48"/>
      <c r="J247" s="48"/>
      <c r="K247" s="48"/>
      <c r="L247" s="48"/>
      <c r="M247" s="48"/>
      <c r="N247" s="75"/>
      <c r="O247" s="48"/>
      <c r="P247" s="35"/>
      <c r="Q247" s="35"/>
      <c r="R247" s="35"/>
      <c r="S247" s="35"/>
      <c r="T247" s="35"/>
      <c r="U247" s="35"/>
      <c r="V247" s="35"/>
      <c r="W247" s="35"/>
      <c r="X247" s="35"/>
      <c r="Y247" s="35"/>
      <c r="Z247" s="35"/>
    </row>
    <row r="248" ht="15.75" customHeight="1">
      <c r="A248" s="48"/>
      <c r="B248" s="48"/>
      <c r="C248" s="26" t="str">
        <f t="array" ref="C248">IF($B248="","",INDEX('Gap reference'!$C$2:$C$60,MATCH($B248,'Gap reference'!$A$2:$A$60,0)))</f>
        <v/>
      </c>
      <c r="D248" s="26" t="str">
        <f t="array" ref="D248">IF($B248="","",INDEX('Gap reference'!$D$2:$D$60,MATCH($B248,'Gap reference'!$A$2:$A$60,0)))</f>
        <v/>
      </c>
      <c r="E248" s="26" t="str">
        <f t="array" ref="E248">IF($B248="","",INDEX('Gap reference'!$G$2:$G$60,MATCH($B248,'Gap reference'!$A$2:$A$60,0)))</f>
        <v/>
      </c>
      <c r="F248" s="48"/>
      <c r="G248" s="48"/>
      <c r="H248" s="48"/>
      <c r="I248" s="48"/>
      <c r="J248" s="48"/>
      <c r="K248" s="48"/>
      <c r="L248" s="48"/>
      <c r="M248" s="48"/>
      <c r="N248" s="75"/>
      <c r="O248" s="48"/>
      <c r="P248" s="35"/>
      <c r="Q248" s="35"/>
      <c r="R248" s="35"/>
      <c r="S248" s="35"/>
      <c r="T248" s="35"/>
      <c r="U248" s="35"/>
      <c r="V248" s="35"/>
      <c r="W248" s="35"/>
      <c r="X248" s="35"/>
      <c r="Y248" s="35"/>
      <c r="Z248" s="35"/>
    </row>
    <row r="249" ht="15.75" customHeight="1">
      <c r="A249" s="48"/>
      <c r="B249" s="48"/>
      <c r="C249" s="26" t="str">
        <f t="array" ref="C249">IF($B249="","",INDEX('Gap reference'!$C$2:$C$60,MATCH($B249,'Gap reference'!$A$2:$A$60,0)))</f>
        <v/>
      </c>
      <c r="D249" s="26" t="str">
        <f t="array" ref="D249">IF($B249="","",INDEX('Gap reference'!$D$2:$D$60,MATCH($B249,'Gap reference'!$A$2:$A$60,0)))</f>
        <v/>
      </c>
      <c r="E249" s="26" t="str">
        <f t="array" ref="E249">IF($B249="","",INDEX('Gap reference'!$G$2:$G$60,MATCH($B249,'Gap reference'!$A$2:$A$60,0)))</f>
        <v/>
      </c>
      <c r="F249" s="48"/>
      <c r="G249" s="48"/>
      <c r="H249" s="48"/>
      <c r="I249" s="48"/>
      <c r="J249" s="48"/>
      <c r="K249" s="48"/>
      <c r="L249" s="48"/>
      <c r="M249" s="48"/>
      <c r="N249" s="75"/>
      <c r="O249" s="48"/>
      <c r="P249" s="35"/>
      <c r="Q249" s="35"/>
      <c r="R249" s="35"/>
      <c r="S249" s="35"/>
      <c r="T249" s="35"/>
      <c r="U249" s="35"/>
      <c r="V249" s="35"/>
      <c r="W249" s="35"/>
      <c r="X249" s="35"/>
      <c r="Y249" s="35"/>
      <c r="Z249" s="35"/>
    </row>
    <row r="250" ht="15.75" customHeight="1">
      <c r="A250" s="48"/>
      <c r="B250" s="48"/>
      <c r="C250" s="26" t="str">
        <f t="array" ref="C250">IF($B250="","",INDEX('Gap reference'!$C$2:$C$60,MATCH($B250,'Gap reference'!$A$2:$A$60,0)))</f>
        <v/>
      </c>
      <c r="D250" s="26" t="str">
        <f t="array" ref="D250">IF($B250="","",INDEX('Gap reference'!$D$2:$D$60,MATCH($B250,'Gap reference'!$A$2:$A$60,0)))</f>
        <v/>
      </c>
      <c r="E250" s="26" t="str">
        <f t="array" ref="E250">IF($B250="","",INDEX('Gap reference'!$G$2:$G$60,MATCH($B250,'Gap reference'!$A$2:$A$60,0)))</f>
        <v/>
      </c>
      <c r="F250" s="48"/>
      <c r="G250" s="48"/>
      <c r="H250" s="48"/>
      <c r="I250" s="48"/>
      <c r="J250" s="48"/>
      <c r="K250" s="48"/>
      <c r="L250" s="48"/>
      <c r="M250" s="48"/>
      <c r="N250" s="75"/>
      <c r="O250" s="48"/>
      <c r="P250" s="35"/>
      <c r="Q250" s="35"/>
      <c r="R250" s="35"/>
      <c r="S250" s="35"/>
      <c r="T250" s="35"/>
      <c r="U250" s="35"/>
      <c r="V250" s="35"/>
      <c r="W250" s="35"/>
      <c r="X250" s="35"/>
      <c r="Y250" s="35"/>
      <c r="Z250" s="35"/>
    </row>
    <row r="251" ht="15.75" customHeight="1">
      <c r="A251" s="48"/>
      <c r="B251" s="48"/>
      <c r="C251" s="26" t="str">
        <f t="array" ref="C251">IF($B251="","",INDEX('Gap reference'!$C$2:$C$60,MATCH($B251,'Gap reference'!$A$2:$A$60,0)))</f>
        <v/>
      </c>
      <c r="D251" s="26" t="str">
        <f t="array" ref="D251">IF($B251="","",INDEX('Gap reference'!$D$2:$D$60,MATCH($B251,'Gap reference'!$A$2:$A$60,0)))</f>
        <v/>
      </c>
      <c r="E251" s="26" t="str">
        <f t="array" ref="E251">IF($B251="","",INDEX('Gap reference'!$G$2:$G$60,MATCH($B251,'Gap reference'!$A$2:$A$60,0)))</f>
        <v/>
      </c>
      <c r="F251" s="48"/>
      <c r="G251" s="48"/>
      <c r="H251" s="48"/>
      <c r="I251" s="48"/>
      <c r="J251" s="48"/>
      <c r="K251" s="48"/>
      <c r="L251" s="48"/>
      <c r="M251" s="48"/>
      <c r="N251" s="75"/>
      <c r="O251" s="48"/>
      <c r="P251" s="35"/>
      <c r="Q251" s="35"/>
      <c r="R251" s="35"/>
      <c r="S251" s="35"/>
      <c r="T251" s="35"/>
      <c r="U251" s="35"/>
      <c r="V251" s="35"/>
      <c r="W251" s="35"/>
      <c r="X251" s="35"/>
      <c r="Y251" s="35"/>
      <c r="Z251" s="35"/>
    </row>
    <row r="252" ht="15.75" customHeight="1">
      <c r="A252" s="48"/>
      <c r="B252" s="48"/>
      <c r="C252" s="26" t="str">
        <f t="array" ref="C252">IF($B252="","",INDEX('Gap reference'!$C$2:$C$60,MATCH($B252,'Gap reference'!$A$2:$A$60,0)))</f>
        <v/>
      </c>
      <c r="D252" s="26" t="str">
        <f t="array" ref="D252">IF($B252="","",INDEX('Gap reference'!$D$2:$D$60,MATCH($B252,'Gap reference'!$A$2:$A$60,0)))</f>
        <v/>
      </c>
      <c r="E252" s="26" t="str">
        <f t="array" ref="E252">IF($B252="","",INDEX('Gap reference'!$G$2:$G$60,MATCH($B252,'Gap reference'!$A$2:$A$60,0)))</f>
        <v/>
      </c>
      <c r="F252" s="48"/>
      <c r="G252" s="48"/>
      <c r="H252" s="48"/>
      <c r="I252" s="48"/>
      <c r="J252" s="48"/>
      <c r="K252" s="48"/>
      <c r="L252" s="48"/>
      <c r="M252" s="48"/>
      <c r="N252" s="75"/>
      <c r="O252" s="48"/>
      <c r="P252" s="35"/>
      <c r="Q252" s="35"/>
      <c r="R252" s="35"/>
      <c r="S252" s="35"/>
      <c r="T252" s="35"/>
      <c r="U252" s="35"/>
      <c r="V252" s="35"/>
      <c r="W252" s="35"/>
      <c r="X252" s="35"/>
      <c r="Y252" s="35"/>
      <c r="Z252" s="35"/>
    </row>
    <row r="253" ht="15.75" customHeight="1">
      <c r="A253" s="48"/>
      <c r="B253" s="48"/>
      <c r="C253" s="26" t="str">
        <f t="array" ref="C253">IF($B253="","",INDEX('Gap reference'!$C$2:$C$60,MATCH($B253,'Gap reference'!$A$2:$A$60,0)))</f>
        <v/>
      </c>
      <c r="D253" s="26" t="str">
        <f t="array" ref="D253">IF($B253="","",INDEX('Gap reference'!$D$2:$D$60,MATCH($B253,'Gap reference'!$A$2:$A$60,0)))</f>
        <v/>
      </c>
      <c r="E253" s="26" t="str">
        <f t="array" ref="E253">IF($B253="","",INDEX('Gap reference'!$G$2:$G$60,MATCH($B253,'Gap reference'!$A$2:$A$60,0)))</f>
        <v/>
      </c>
      <c r="F253" s="48"/>
      <c r="G253" s="48"/>
      <c r="H253" s="48"/>
      <c r="I253" s="48"/>
      <c r="J253" s="48"/>
      <c r="K253" s="48"/>
      <c r="L253" s="48"/>
      <c r="M253" s="48"/>
      <c r="N253" s="75"/>
      <c r="O253" s="48"/>
      <c r="P253" s="35"/>
      <c r="Q253" s="35"/>
      <c r="R253" s="35"/>
      <c r="S253" s="35"/>
      <c r="T253" s="35"/>
      <c r="U253" s="35"/>
      <c r="V253" s="35"/>
      <c r="W253" s="35"/>
      <c r="X253" s="35"/>
      <c r="Y253" s="35"/>
      <c r="Z253" s="35"/>
    </row>
    <row r="254" ht="15.75" customHeight="1">
      <c r="A254" s="48"/>
      <c r="B254" s="48"/>
      <c r="C254" s="26" t="str">
        <f t="array" ref="C254">IF($B254="","",INDEX('Gap reference'!$C$2:$C$60,MATCH($B254,'Gap reference'!$A$2:$A$60,0)))</f>
        <v/>
      </c>
      <c r="D254" s="26" t="str">
        <f t="array" ref="D254">IF($B254="","",INDEX('Gap reference'!$D$2:$D$60,MATCH($B254,'Gap reference'!$A$2:$A$60,0)))</f>
        <v/>
      </c>
      <c r="E254" s="26" t="str">
        <f t="array" ref="E254">IF($B254="","",INDEX('Gap reference'!$G$2:$G$60,MATCH($B254,'Gap reference'!$A$2:$A$60,0)))</f>
        <v/>
      </c>
      <c r="F254" s="48"/>
      <c r="G254" s="48"/>
      <c r="H254" s="48"/>
      <c r="I254" s="48"/>
      <c r="J254" s="48"/>
      <c r="K254" s="48"/>
      <c r="L254" s="48"/>
      <c r="M254" s="48"/>
      <c r="N254" s="75"/>
      <c r="O254" s="48"/>
      <c r="P254" s="35"/>
      <c r="Q254" s="35"/>
      <c r="R254" s="35"/>
      <c r="S254" s="35"/>
      <c r="T254" s="35"/>
      <c r="U254" s="35"/>
      <c r="V254" s="35"/>
      <c r="W254" s="35"/>
      <c r="X254" s="35"/>
      <c r="Y254" s="35"/>
      <c r="Z254" s="35"/>
    </row>
    <row r="255" ht="15.75" customHeight="1">
      <c r="A255" s="48"/>
      <c r="B255" s="48"/>
      <c r="C255" s="26" t="str">
        <f t="array" ref="C255">IF($B255="","",INDEX('Gap reference'!$C$2:$C$60,MATCH($B255,'Gap reference'!$A$2:$A$60,0)))</f>
        <v/>
      </c>
      <c r="D255" s="26" t="str">
        <f t="array" ref="D255">IF($B255="","",INDEX('Gap reference'!$D$2:$D$60,MATCH($B255,'Gap reference'!$A$2:$A$60,0)))</f>
        <v/>
      </c>
      <c r="E255" s="26" t="str">
        <f t="array" ref="E255">IF($B255="","",INDEX('Gap reference'!$G$2:$G$60,MATCH($B255,'Gap reference'!$A$2:$A$60,0)))</f>
        <v/>
      </c>
      <c r="F255" s="48"/>
      <c r="G255" s="48"/>
      <c r="H255" s="48"/>
      <c r="I255" s="48"/>
      <c r="J255" s="48"/>
      <c r="K255" s="48"/>
      <c r="L255" s="48"/>
      <c r="M255" s="48"/>
      <c r="N255" s="75"/>
      <c r="O255" s="48"/>
      <c r="P255" s="35"/>
      <c r="Q255" s="35"/>
      <c r="R255" s="35"/>
      <c r="S255" s="35"/>
      <c r="T255" s="35"/>
      <c r="U255" s="35"/>
      <c r="V255" s="35"/>
      <c r="W255" s="35"/>
      <c r="X255" s="35"/>
      <c r="Y255" s="35"/>
      <c r="Z255" s="35"/>
    </row>
    <row r="256" ht="15.75" customHeight="1">
      <c r="A256" s="48"/>
      <c r="B256" s="48"/>
      <c r="C256" s="26" t="str">
        <f t="array" ref="C256">IF($B256="","",INDEX('Gap reference'!$C$2:$C$60,MATCH($B256,'Gap reference'!$A$2:$A$60,0)))</f>
        <v/>
      </c>
      <c r="D256" s="26" t="str">
        <f t="array" ref="D256">IF($B256="","",INDEX('Gap reference'!$D$2:$D$60,MATCH($B256,'Gap reference'!$A$2:$A$60,0)))</f>
        <v/>
      </c>
      <c r="E256" s="26" t="str">
        <f t="array" ref="E256">IF($B256="","",INDEX('Gap reference'!$G$2:$G$60,MATCH($B256,'Gap reference'!$A$2:$A$60,0)))</f>
        <v/>
      </c>
      <c r="F256" s="48"/>
      <c r="G256" s="48"/>
      <c r="H256" s="48"/>
      <c r="I256" s="48"/>
      <c r="J256" s="48"/>
      <c r="K256" s="48"/>
      <c r="L256" s="48"/>
      <c r="M256" s="48"/>
      <c r="N256" s="75"/>
      <c r="O256" s="48"/>
      <c r="P256" s="35"/>
      <c r="Q256" s="35"/>
      <c r="R256" s="35"/>
      <c r="S256" s="35"/>
      <c r="T256" s="35"/>
      <c r="U256" s="35"/>
      <c r="V256" s="35"/>
      <c r="W256" s="35"/>
      <c r="X256" s="35"/>
      <c r="Y256" s="35"/>
      <c r="Z256" s="35"/>
    </row>
    <row r="257" ht="15.75" customHeight="1">
      <c r="A257" s="48"/>
      <c r="B257" s="48"/>
      <c r="C257" s="26" t="str">
        <f t="array" ref="C257">IF($B257="","",INDEX('Gap reference'!$C$2:$C$60,MATCH($B257,'Gap reference'!$A$2:$A$60,0)))</f>
        <v/>
      </c>
      <c r="D257" s="26" t="str">
        <f t="array" ref="D257">IF($B257="","",INDEX('Gap reference'!$D$2:$D$60,MATCH($B257,'Gap reference'!$A$2:$A$60,0)))</f>
        <v/>
      </c>
      <c r="E257" s="26" t="str">
        <f t="array" ref="E257">IF($B257="","",INDEX('Gap reference'!$G$2:$G$60,MATCH($B257,'Gap reference'!$A$2:$A$60,0)))</f>
        <v/>
      </c>
      <c r="F257" s="48"/>
      <c r="G257" s="48"/>
      <c r="H257" s="48"/>
      <c r="I257" s="48"/>
      <c r="J257" s="48"/>
      <c r="K257" s="48"/>
      <c r="L257" s="48"/>
      <c r="M257" s="48"/>
      <c r="N257" s="75"/>
      <c r="O257" s="48"/>
      <c r="P257" s="35"/>
      <c r="Q257" s="35"/>
      <c r="R257" s="35"/>
      <c r="S257" s="35"/>
      <c r="T257" s="35"/>
      <c r="U257" s="35"/>
      <c r="V257" s="35"/>
      <c r="W257" s="35"/>
      <c r="X257" s="35"/>
      <c r="Y257" s="35"/>
      <c r="Z257" s="35"/>
    </row>
    <row r="258" ht="15.75" customHeight="1">
      <c r="A258" s="48"/>
      <c r="B258" s="48"/>
      <c r="C258" s="26" t="str">
        <f t="array" ref="C258">IF($B258="","",INDEX('Gap reference'!$C$2:$C$60,MATCH($B258,'Gap reference'!$A$2:$A$60,0)))</f>
        <v/>
      </c>
      <c r="D258" s="26" t="str">
        <f t="array" ref="D258">IF($B258="","",INDEX('Gap reference'!$D$2:$D$60,MATCH($B258,'Gap reference'!$A$2:$A$60,0)))</f>
        <v/>
      </c>
      <c r="E258" s="26" t="str">
        <f t="array" ref="E258">IF($B258="","",INDEX('Gap reference'!$G$2:$G$60,MATCH($B258,'Gap reference'!$A$2:$A$60,0)))</f>
        <v/>
      </c>
      <c r="F258" s="48"/>
      <c r="G258" s="48"/>
      <c r="H258" s="48"/>
      <c r="I258" s="48"/>
      <c r="J258" s="48"/>
      <c r="K258" s="48"/>
      <c r="L258" s="48"/>
      <c r="M258" s="48"/>
      <c r="N258" s="75"/>
      <c r="O258" s="48"/>
      <c r="P258" s="35"/>
      <c r="Q258" s="35"/>
      <c r="R258" s="35"/>
      <c r="S258" s="35"/>
      <c r="T258" s="35"/>
      <c r="U258" s="35"/>
      <c r="V258" s="35"/>
      <c r="W258" s="35"/>
      <c r="X258" s="35"/>
      <c r="Y258" s="35"/>
      <c r="Z258" s="35"/>
    </row>
    <row r="259" ht="15.75" customHeight="1">
      <c r="A259" s="48"/>
      <c r="B259" s="48"/>
      <c r="C259" s="26" t="str">
        <f t="array" ref="C259">IF($B259="","",INDEX('Gap reference'!$C$2:$C$60,MATCH($B259,'Gap reference'!$A$2:$A$60,0)))</f>
        <v/>
      </c>
      <c r="D259" s="26" t="str">
        <f t="array" ref="D259">IF($B259="","",INDEX('Gap reference'!$D$2:$D$60,MATCH($B259,'Gap reference'!$A$2:$A$60,0)))</f>
        <v/>
      </c>
      <c r="E259" s="26" t="str">
        <f t="array" ref="E259">IF($B259="","",INDEX('Gap reference'!$G$2:$G$60,MATCH($B259,'Gap reference'!$A$2:$A$60,0)))</f>
        <v/>
      </c>
      <c r="F259" s="48"/>
      <c r="G259" s="48"/>
      <c r="H259" s="48"/>
      <c r="I259" s="48"/>
      <c r="J259" s="48"/>
      <c r="K259" s="48"/>
      <c r="L259" s="48"/>
      <c r="M259" s="48"/>
      <c r="N259" s="75"/>
      <c r="O259" s="48"/>
      <c r="P259" s="35"/>
      <c r="Q259" s="35"/>
      <c r="R259" s="35"/>
      <c r="S259" s="35"/>
      <c r="T259" s="35"/>
      <c r="U259" s="35"/>
      <c r="V259" s="35"/>
      <c r="W259" s="35"/>
      <c r="X259" s="35"/>
      <c r="Y259" s="35"/>
      <c r="Z259" s="35"/>
    </row>
    <row r="260" ht="15.75" customHeight="1">
      <c r="A260" s="48"/>
      <c r="B260" s="48"/>
      <c r="C260" s="26" t="str">
        <f t="array" ref="C260">IF($B260="","",INDEX('Gap reference'!$C$2:$C$60,MATCH($B260,'Gap reference'!$A$2:$A$60,0)))</f>
        <v/>
      </c>
      <c r="D260" s="26" t="str">
        <f t="array" ref="D260">IF($B260="","",INDEX('Gap reference'!$D$2:$D$60,MATCH($B260,'Gap reference'!$A$2:$A$60,0)))</f>
        <v/>
      </c>
      <c r="E260" s="26" t="str">
        <f t="array" ref="E260">IF($B260="","",INDEX('Gap reference'!$G$2:$G$60,MATCH($B260,'Gap reference'!$A$2:$A$60,0)))</f>
        <v/>
      </c>
      <c r="F260" s="48"/>
      <c r="G260" s="48"/>
      <c r="H260" s="48"/>
      <c r="I260" s="48"/>
      <c r="J260" s="48"/>
      <c r="K260" s="48"/>
      <c r="L260" s="48"/>
      <c r="M260" s="48"/>
      <c r="N260" s="75"/>
      <c r="O260" s="48"/>
      <c r="P260" s="35"/>
      <c r="Q260" s="35"/>
      <c r="R260" s="35"/>
      <c r="S260" s="35"/>
      <c r="T260" s="35"/>
      <c r="U260" s="35"/>
      <c r="V260" s="35"/>
      <c r="W260" s="35"/>
      <c r="X260" s="35"/>
      <c r="Y260" s="35"/>
      <c r="Z260" s="35"/>
    </row>
    <row r="261" ht="15.75" customHeight="1">
      <c r="A261" s="48"/>
      <c r="B261" s="48"/>
      <c r="C261" s="26" t="str">
        <f t="array" ref="C261">IF($B261="","",INDEX('Gap reference'!$C$2:$C$60,MATCH($B261,'Gap reference'!$A$2:$A$60,0)))</f>
        <v/>
      </c>
      <c r="D261" s="26" t="str">
        <f t="array" ref="D261">IF($B261="","",INDEX('Gap reference'!$D$2:$D$60,MATCH($B261,'Gap reference'!$A$2:$A$60,0)))</f>
        <v/>
      </c>
      <c r="E261" s="26" t="str">
        <f t="array" ref="E261">IF($B261="","",INDEX('Gap reference'!$G$2:$G$60,MATCH($B261,'Gap reference'!$A$2:$A$60,0)))</f>
        <v/>
      </c>
      <c r="F261" s="48"/>
      <c r="G261" s="48"/>
      <c r="H261" s="48"/>
      <c r="I261" s="48"/>
      <c r="J261" s="48"/>
      <c r="K261" s="48"/>
      <c r="L261" s="48"/>
      <c r="M261" s="48"/>
      <c r="N261" s="75"/>
      <c r="O261" s="48"/>
      <c r="P261" s="35"/>
      <c r="Q261" s="35"/>
      <c r="R261" s="35"/>
      <c r="S261" s="35"/>
      <c r="T261" s="35"/>
      <c r="U261" s="35"/>
      <c r="V261" s="35"/>
      <c r="W261" s="35"/>
      <c r="X261" s="35"/>
      <c r="Y261" s="35"/>
      <c r="Z261" s="35"/>
    </row>
    <row r="262" ht="15.75" customHeight="1">
      <c r="A262" s="48"/>
      <c r="B262" s="48"/>
      <c r="C262" s="26" t="str">
        <f t="array" ref="C262">IF($B262="","",INDEX('Gap reference'!$C$2:$C$60,MATCH($B262,'Gap reference'!$A$2:$A$60,0)))</f>
        <v/>
      </c>
      <c r="D262" s="26" t="str">
        <f t="array" ref="D262">IF($B262="","",INDEX('Gap reference'!$D$2:$D$60,MATCH($B262,'Gap reference'!$A$2:$A$60,0)))</f>
        <v/>
      </c>
      <c r="E262" s="26" t="str">
        <f t="array" ref="E262">IF($B262="","",INDEX('Gap reference'!$G$2:$G$60,MATCH($B262,'Gap reference'!$A$2:$A$60,0)))</f>
        <v/>
      </c>
      <c r="F262" s="48"/>
      <c r="G262" s="48"/>
      <c r="H262" s="48"/>
      <c r="I262" s="48"/>
      <c r="J262" s="48"/>
      <c r="K262" s="48"/>
      <c r="L262" s="48"/>
      <c r="M262" s="48"/>
      <c r="N262" s="75"/>
      <c r="O262" s="48"/>
      <c r="P262" s="35"/>
      <c r="Q262" s="35"/>
      <c r="R262" s="35"/>
      <c r="S262" s="35"/>
      <c r="T262" s="35"/>
      <c r="U262" s="35"/>
      <c r="V262" s="35"/>
      <c r="W262" s="35"/>
      <c r="X262" s="35"/>
      <c r="Y262" s="35"/>
      <c r="Z262" s="35"/>
    </row>
    <row r="263" ht="15.75" customHeight="1">
      <c r="A263" s="48"/>
      <c r="B263" s="48"/>
      <c r="C263" s="26" t="str">
        <f t="array" ref="C263">IF($B263="","",INDEX('Gap reference'!$C$2:$C$60,MATCH($B263,'Gap reference'!$A$2:$A$60,0)))</f>
        <v/>
      </c>
      <c r="D263" s="26" t="str">
        <f t="array" ref="D263">IF($B263="","",INDEX('Gap reference'!$D$2:$D$60,MATCH($B263,'Gap reference'!$A$2:$A$60,0)))</f>
        <v/>
      </c>
      <c r="E263" s="26" t="str">
        <f t="array" ref="E263">IF($B263="","",INDEX('Gap reference'!$G$2:$G$60,MATCH($B263,'Gap reference'!$A$2:$A$60,0)))</f>
        <v/>
      </c>
      <c r="F263" s="48"/>
      <c r="G263" s="48"/>
      <c r="H263" s="48"/>
      <c r="I263" s="48"/>
      <c r="J263" s="48"/>
      <c r="K263" s="48"/>
      <c r="L263" s="48"/>
      <c r="M263" s="48"/>
      <c r="N263" s="75"/>
      <c r="O263" s="48"/>
      <c r="P263" s="35"/>
      <c r="Q263" s="35"/>
      <c r="R263" s="35"/>
      <c r="S263" s="35"/>
      <c r="T263" s="35"/>
      <c r="U263" s="35"/>
      <c r="V263" s="35"/>
      <c r="W263" s="35"/>
      <c r="X263" s="35"/>
      <c r="Y263" s="35"/>
      <c r="Z263" s="35"/>
    </row>
    <row r="264" ht="15.75" customHeight="1">
      <c r="A264" s="48"/>
      <c r="B264" s="48"/>
      <c r="C264" s="26" t="str">
        <f t="array" ref="C264">IF($B264="","",INDEX('Gap reference'!$C$2:$C$60,MATCH($B264,'Gap reference'!$A$2:$A$60,0)))</f>
        <v/>
      </c>
      <c r="D264" s="26" t="str">
        <f t="array" ref="D264">IF($B264="","",INDEX('Gap reference'!$D$2:$D$60,MATCH($B264,'Gap reference'!$A$2:$A$60,0)))</f>
        <v/>
      </c>
      <c r="E264" s="26" t="str">
        <f t="array" ref="E264">IF($B264="","",INDEX('Gap reference'!$G$2:$G$60,MATCH($B264,'Gap reference'!$A$2:$A$60,0)))</f>
        <v/>
      </c>
      <c r="F264" s="48"/>
      <c r="G264" s="48"/>
      <c r="H264" s="48"/>
      <c r="I264" s="48"/>
      <c r="J264" s="48"/>
      <c r="K264" s="48"/>
      <c r="L264" s="48"/>
      <c r="M264" s="48"/>
      <c r="N264" s="75"/>
      <c r="O264" s="48"/>
      <c r="P264" s="35"/>
      <c r="Q264" s="35"/>
      <c r="R264" s="35"/>
      <c r="S264" s="35"/>
      <c r="T264" s="35"/>
      <c r="U264" s="35"/>
      <c r="V264" s="35"/>
      <c r="W264" s="35"/>
      <c r="X264" s="35"/>
      <c r="Y264" s="35"/>
      <c r="Z264" s="35"/>
    </row>
    <row r="265" ht="15.75" customHeight="1">
      <c r="A265" s="48"/>
      <c r="B265" s="48"/>
      <c r="C265" s="26" t="str">
        <f t="array" ref="C265">IF($B265="","",INDEX('Gap reference'!$C$2:$C$60,MATCH($B265,'Gap reference'!$A$2:$A$60,0)))</f>
        <v/>
      </c>
      <c r="D265" s="26" t="str">
        <f t="array" ref="D265">IF($B265="","",INDEX('Gap reference'!$D$2:$D$60,MATCH($B265,'Gap reference'!$A$2:$A$60,0)))</f>
        <v/>
      </c>
      <c r="E265" s="26" t="str">
        <f t="array" ref="E265">IF($B265="","",INDEX('Gap reference'!$G$2:$G$60,MATCH($B265,'Gap reference'!$A$2:$A$60,0)))</f>
        <v/>
      </c>
      <c r="F265" s="48"/>
      <c r="G265" s="48"/>
      <c r="H265" s="48"/>
      <c r="I265" s="48"/>
      <c r="J265" s="48"/>
      <c r="K265" s="48"/>
      <c r="L265" s="48"/>
      <c r="M265" s="48"/>
      <c r="N265" s="75"/>
      <c r="O265" s="48"/>
      <c r="P265" s="35"/>
      <c r="Q265" s="35"/>
      <c r="R265" s="35"/>
      <c r="S265" s="35"/>
      <c r="T265" s="35"/>
      <c r="U265" s="35"/>
      <c r="V265" s="35"/>
      <c r="W265" s="35"/>
      <c r="X265" s="35"/>
      <c r="Y265" s="35"/>
      <c r="Z265" s="35"/>
    </row>
    <row r="266" ht="15.75" customHeight="1">
      <c r="A266" s="48"/>
      <c r="B266" s="48"/>
      <c r="C266" s="26" t="str">
        <f t="array" ref="C266">IF($B266="","",INDEX('Gap reference'!$C$2:$C$60,MATCH($B266,'Gap reference'!$A$2:$A$60,0)))</f>
        <v/>
      </c>
      <c r="D266" s="26" t="str">
        <f t="array" ref="D266">IF($B266="","",INDEX('Gap reference'!$D$2:$D$60,MATCH($B266,'Gap reference'!$A$2:$A$60,0)))</f>
        <v/>
      </c>
      <c r="E266" s="26" t="str">
        <f t="array" ref="E266">IF($B266="","",INDEX('Gap reference'!$G$2:$G$60,MATCH($B266,'Gap reference'!$A$2:$A$60,0)))</f>
        <v/>
      </c>
      <c r="F266" s="48"/>
      <c r="G266" s="48"/>
      <c r="H266" s="48"/>
      <c r="I266" s="48"/>
      <c r="J266" s="48"/>
      <c r="K266" s="48"/>
      <c r="L266" s="48"/>
      <c r="M266" s="48"/>
      <c r="N266" s="75"/>
      <c r="O266" s="48"/>
      <c r="P266" s="35"/>
      <c r="Q266" s="35"/>
      <c r="R266" s="35"/>
      <c r="S266" s="35"/>
      <c r="T266" s="35"/>
      <c r="U266" s="35"/>
      <c r="V266" s="35"/>
      <c r="W266" s="35"/>
      <c r="X266" s="35"/>
      <c r="Y266" s="35"/>
      <c r="Z266" s="35"/>
    </row>
    <row r="267" ht="15.75" customHeight="1">
      <c r="A267" s="48"/>
      <c r="B267" s="48"/>
      <c r="C267" s="26" t="str">
        <f t="array" ref="C267">IF($B267="","",INDEX('Gap reference'!$C$2:$C$60,MATCH($B267,'Gap reference'!$A$2:$A$60,0)))</f>
        <v/>
      </c>
      <c r="D267" s="26" t="str">
        <f t="array" ref="D267">IF($B267="","",INDEX('Gap reference'!$D$2:$D$60,MATCH($B267,'Gap reference'!$A$2:$A$60,0)))</f>
        <v/>
      </c>
      <c r="E267" s="26" t="str">
        <f t="array" ref="E267">IF($B267="","",INDEX('Gap reference'!$G$2:$G$60,MATCH($B267,'Gap reference'!$A$2:$A$60,0)))</f>
        <v/>
      </c>
      <c r="F267" s="48"/>
      <c r="G267" s="48"/>
      <c r="H267" s="48"/>
      <c r="I267" s="48"/>
      <c r="J267" s="48"/>
      <c r="K267" s="48"/>
      <c r="L267" s="48"/>
      <c r="M267" s="48"/>
      <c r="N267" s="75"/>
      <c r="O267" s="48"/>
      <c r="P267" s="35"/>
      <c r="Q267" s="35"/>
      <c r="R267" s="35"/>
      <c r="S267" s="35"/>
      <c r="T267" s="35"/>
      <c r="U267" s="35"/>
      <c r="V267" s="35"/>
      <c r="W267" s="35"/>
      <c r="X267" s="35"/>
      <c r="Y267" s="35"/>
      <c r="Z267" s="35"/>
    </row>
    <row r="268" ht="15.75" customHeight="1">
      <c r="A268" s="48"/>
      <c r="B268" s="48"/>
      <c r="C268" s="26" t="str">
        <f t="array" ref="C268">IF($B268="","",INDEX('Gap reference'!$C$2:$C$60,MATCH($B268,'Gap reference'!$A$2:$A$60,0)))</f>
        <v/>
      </c>
      <c r="D268" s="26" t="str">
        <f t="array" ref="D268">IF($B268="","",INDEX('Gap reference'!$D$2:$D$60,MATCH($B268,'Gap reference'!$A$2:$A$60,0)))</f>
        <v/>
      </c>
      <c r="E268" s="26" t="str">
        <f t="array" ref="E268">IF($B268="","",INDEX('Gap reference'!$G$2:$G$60,MATCH($B268,'Gap reference'!$A$2:$A$60,0)))</f>
        <v/>
      </c>
      <c r="F268" s="48"/>
      <c r="G268" s="48"/>
      <c r="H268" s="48"/>
      <c r="I268" s="48"/>
      <c r="J268" s="48"/>
      <c r="K268" s="48"/>
      <c r="L268" s="48"/>
      <c r="M268" s="48"/>
      <c r="N268" s="75"/>
      <c r="O268" s="48"/>
      <c r="P268" s="35"/>
      <c r="Q268" s="35"/>
      <c r="R268" s="35"/>
      <c r="S268" s="35"/>
      <c r="T268" s="35"/>
      <c r="U268" s="35"/>
      <c r="V268" s="35"/>
      <c r="W268" s="35"/>
      <c r="X268" s="35"/>
      <c r="Y268" s="35"/>
      <c r="Z268" s="35"/>
    </row>
    <row r="269" ht="15.75" customHeight="1">
      <c r="A269" s="48"/>
      <c r="B269" s="48"/>
      <c r="C269" s="26" t="str">
        <f t="array" ref="C269">IF($B269="","",INDEX('Gap reference'!$C$2:$C$60,MATCH($B269,'Gap reference'!$A$2:$A$60,0)))</f>
        <v/>
      </c>
      <c r="D269" s="26" t="str">
        <f t="array" ref="D269">IF($B269="","",INDEX('Gap reference'!$D$2:$D$60,MATCH($B269,'Gap reference'!$A$2:$A$60,0)))</f>
        <v/>
      </c>
      <c r="E269" s="26" t="str">
        <f t="array" ref="E269">IF($B269="","",INDEX('Gap reference'!$G$2:$G$60,MATCH($B269,'Gap reference'!$A$2:$A$60,0)))</f>
        <v/>
      </c>
      <c r="F269" s="48"/>
      <c r="G269" s="48"/>
      <c r="H269" s="48"/>
      <c r="I269" s="48"/>
      <c r="J269" s="48"/>
      <c r="K269" s="48"/>
      <c r="L269" s="48"/>
      <c r="M269" s="48"/>
      <c r="N269" s="75"/>
      <c r="O269" s="48"/>
      <c r="P269" s="35"/>
      <c r="Q269" s="35"/>
      <c r="R269" s="35"/>
      <c r="S269" s="35"/>
      <c r="T269" s="35"/>
      <c r="U269" s="35"/>
      <c r="V269" s="35"/>
      <c r="W269" s="35"/>
      <c r="X269" s="35"/>
      <c r="Y269" s="35"/>
      <c r="Z269" s="35"/>
    </row>
    <row r="270" ht="15.75" customHeight="1">
      <c r="A270" s="48"/>
      <c r="B270" s="48"/>
      <c r="C270" s="26" t="str">
        <f t="array" ref="C270">IF($B270="","",INDEX('Gap reference'!$C$2:$C$60,MATCH($B270,'Gap reference'!$A$2:$A$60,0)))</f>
        <v/>
      </c>
      <c r="D270" s="26" t="str">
        <f t="array" ref="D270">IF($B270="","",INDEX('Gap reference'!$D$2:$D$60,MATCH($B270,'Gap reference'!$A$2:$A$60,0)))</f>
        <v/>
      </c>
      <c r="E270" s="26" t="str">
        <f t="array" ref="E270">IF($B270="","",INDEX('Gap reference'!$G$2:$G$60,MATCH($B270,'Gap reference'!$A$2:$A$60,0)))</f>
        <v/>
      </c>
      <c r="F270" s="48"/>
      <c r="G270" s="48"/>
      <c r="H270" s="48"/>
      <c r="I270" s="48"/>
      <c r="J270" s="48"/>
      <c r="K270" s="48"/>
      <c r="L270" s="48"/>
      <c r="M270" s="48"/>
      <c r="N270" s="75"/>
      <c r="O270" s="48"/>
      <c r="P270" s="35"/>
      <c r="Q270" s="35"/>
      <c r="R270" s="35"/>
      <c r="S270" s="35"/>
      <c r="T270" s="35"/>
      <c r="U270" s="35"/>
      <c r="V270" s="35"/>
      <c r="W270" s="35"/>
      <c r="X270" s="35"/>
      <c r="Y270" s="35"/>
      <c r="Z270" s="35"/>
    </row>
    <row r="271" ht="15.75" customHeight="1">
      <c r="A271" s="48"/>
      <c r="B271" s="48"/>
      <c r="C271" s="26" t="str">
        <f t="array" ref="C271">IF($B271="","",INDEX('Gap reference'!$C$2:$C$60,MATCH($B271,'Gap reference'!$A$2:$A$60,0)))</f>
        <v/>
      </c>
      <c r="D271" s="26" t="str">
        <f t="array" ref="D271">IF($B271="","",INDEX('Gap reference'!$D$2:$D$60,MATCH($B271,'Gap reference'!$A$2:$A$60,0)))</f>
        <v/>
      </c>
      <c r="E271" s="26" t="str">
        <f t="array" ref="E271">IF($B271="","",INDEX('Gap reference'!$G$2:$G$60,MATCH($B271,'Gap reference'!$A$2:$A$60,0)))</f>
        <v/>
      </c>
      <c r="F271" s="48"/>
      <c r="G271" s="48"/>
      <c r="H271" s="48"/>
      <c r="I271" s="48"/>
      <c r="J271" s="48"/>
      <c r="K271" s="48"/>
      <c r="L271" s="48"/>
      <c r="M271" s="48"/>
      <c r="N271" s="75"/>
      <c r="O271" s="48"/>
      <c r="P271" s="35"/>
      <c r="Q271" s="35"/>
      <c r="R271" s="35"/>
      <c r="S271" s="35"/>
      <c r="T271" s="35"/>
      <c r="U271" s="35"/>
      <c r="V271" s="35"/>
      <c r="W271" s="35"/>
      <c r="X271" s="35"/>
      <c r="Y271" s="35"/>
      <c r="Z271" s="35"/>
    </row>
    <row r="272" ht="15.75" customHeight="1">
      <c r="A272" s="48"/>
      <c r="B272" s="48"/>
      <c r="C272" s="26" t="str">
        <f t="array" ref="C272">IF($B272="","",INDEX('Gap reference'!$C$2:$C$60,MATCH($B272,'Gap reference'!$A$2:$A$60,0)))</f>
        <v/>
      </c>
      <c r="D272" s="26" t="str">
        <f t="array" ref="D272">IF($B272="","",INDEX('Gap reference'!$D$2:$D$60,MATCH($B272,'Gap reference'!$A$2:$A$60,0)))</f>
        <v/>
      </c>
      <c r="E272" s="26" t="str">
        <f t="array" ref="E272">IF($B272="","",INDEX('Gap reference'!$G$2:$G$60,MATCH($B272,'Gap reference'!$A$2:$A$60,0)))</f>
        <v/>
      </c>
      <c r="F272" s="48"/>
      <c r="G272" s="48"/>
      <c r="H272" s="48"/>
      <c r="I272" s="48"/>
      <c r="J272" s="48"/>
      <c r="K272" s="48"/>
      <c r="L272" s="48"/>
      <c r="M272" s="48"/>
      <c r="N272" s="75"/>
      <c r="O272" s="48"/>
      <c r="P272" s="35"/>
      <c r="Q272" s="35"/>
      <c r="R272" s="35"/>
      <c r="S272" s="35"/>
      <c r="T272" s="35"/>
      <c r="U272" s="35"/>
      <c r="V272" s="35"/>
      <c r="W272" s="35"/>
      <c r="X272" s="35"/>
      <c r="Y272" s="35"/>
      <c r="Z272" s="35"/>
    </row>
    <row r="273" ht="15.75" customHeight="1">
      <c r="A273" s="48"/>
      <c r="B273" s="48"/>
      <c r="C273" s="26" t="str">
        <f t="array" ref="C273">IF($B273="","",INDEX('Gap reference'!$C$2:$C$60,MATCH($B273,'Gap reference'!$A$2:$A$60,0)))</f>
        <v/>
      </c>
      <c r="D273" s="26" t="str">
        <f t="array" ref="D273">IF($B273="","",INDEX('Gap reference'!$D$2:$D$60,MATCH($B273,'Gap reference'!$A$2:$A$60,0)))</f>
        <v/>
      </c>
      <c r="E273" s="26" t="str">
        <f t="array" ref="E273">IF($B273="","",INDEX('Gap reference'!$G$2:$G$60,MATCH($B273,'Gap reference'!$A$2:$A$60,0)))</f>
        <v/>
      </c>
      <c r="F273" s="48"/>
      <c r="G273" s="48"/>
      <c r="H273" s="48"/>
      <c r="I273" s="48"/>
      <c r="J273" s="48"/>
      <c r="K273" s="48"/>
      <c r="L273" s="48"/>
      <c r="M273" s="48"/>
      <c r="N273" s="75"/>
      <c r="O273" s="48"/>
      <c r="P273" s="35"/>
      <c r="Q273" s="35"/>
      <c r="R273" s="35"/>
      <c r="S273" s="35"/>
      <c r="T273" s="35"/>
      <c r="U273" s="35"/>
      <c r="V273" s="35"/>
      <c r="W273" s="35"/>
      <c r="X273" s="35"/>
      <c r="Y273" s="35"/>
      <c r="Z273" s="35"/>
    </row>
    <row r="274" ht="15.75" customHeight="1">
      <c r="A274" s="48"/>
      <c r="B274" s="48"/>
      <c r="C274" s="26" t="str">
        <f t="array" ref="C274">IF($B274="","",INDEX('Gap reference'!$C$2:$C$60,MATCH($B274,'Gap reference'!$A$2:$A$60,0)))</f>
        <v/>
      </c>
      <c r="D274" s="26" t="str">
        <f t="array" ref="D274">IF($B274="","",INDEX('Gap reference'!$D$2:$D$60,MATCH($B274,'Gap reference'!$A$2:$A$60,0)))</f>
        <v/>
      </c>
      <c r="E274" s="26" t="str">
        <f t="array" ref="E274">IF($B274="","",INDEX('Gap reference'!$G$2:$G$60,MATCH($B274,'Gap reference'!$A$2:$A$60,0)))</f>
        <v/>
      </c>
      <c r="F274" s="48"/>
      <c r="G274" s="48"/>
      <c r="H274" s="48"/>
      <c r="I274" s="48"/>
      <c r="J274" s="48"/>
      <c r="K274" s="48"/>
      <c r="L274" s="48"/>
      <c r="M274" s="48"/>
      <c r="N274" s="75"/>
      <c r="O274" s="48"/>
      <c r="P274" s="35"/>
      <c r="Q274" s="35"/>
      <c r="R274" s="35"/>
      <c r="S274" s="35"/>
      <c r="T274" s="35"/>
      <c r="U274" s="35"/>
      <c r="V274" s="35"/>
      <c r="W274" s="35"/>
      <c r="X274" s="35"/>
      <c r="Y274" s="35"/>
      <c r="Z274" s="35"/>
    </row>
    <row r="275" ht="15.75" customHeight="1">
      <c r="A275" s="48"/>
      <c r="B275" s="48"/>
      <c r="C275" s="26" t="str">
        <f t="array" ref="C275">IF($B275="","",INDEX('Gap reference'!$C$2:$C$60,MATCH($B275,'Gap reference'!$A$2:$A$60,0)))</f>
        <v/>
      </c>
      <c r="D275" s="26" t="str">
        <f t="array" ref="D275">IF($B275="","",INDEX('Gap reference'!$D$2:$D$60,MATCH($B275,'Gap reference'!$A$2:$A$60,0)))</f>
        <v/>
      </c>
      <c r="E275" s="26" t="str">
        <f t="array" ref="E275">IF($B275="","",INDEX('Gap reference'!$G$2:$G$60,MATCH($B275,'Gap reference'!$A$2:$A$60,0)))</f>
        <v/>
      </c>
      <c r="F275" s="48"/>
      <c r="G275" s="48"/>
      <c r="H275" s="48"/>
      <c r="I275" s="48"/>
      <c r="J275" s="48"/>
      <c r="K275" s="48"/>
      <c r="L275" s="48"/>
      <c r="M275" s="48"/>
      <c r="N275" s="75"/>
      <c r="O275" s="48"/>
      <c r="P275" s="35"/>
      <c r="Q275" s="35"/>
      <c r="R275" s="35"/>
      <c r="S275" s="35"/>
      <c r="T275" s="35"/>
      <c r="U275" s="35"/>
      <c r="V275" s="35"/>
      <c r="W275" s="35"/>
      <c r="X275" s="35"/>
      <c r="Y275" s="35"/>
      <c r="Z275" s="35"/>
    </row>
    <row r="276" ht="15.75" customHeight="1">
      <c r="A276" s="48"/>
      <c r="B276" s="48"/>
      <c r="C276" s="26" t="str">
        <f t="array" ref="C276">IF($B276="","",INDEX('Gap reference'!$C$2:$C$60,MATCH($B276,'Gap reference'!$A$2:$A$60,0)))</f>
        <v/>
      </c>
      <c r="D276" s="26" t="str">
        <f t="array" ref="D276">IF($B276="","",INDEX('Gap reference'!$D$2:$D$60,MATCH($B276,'Gap reference'!$A$2:$A$60,0)))</f>
        <v/>
      </c>
      <c r="E276" s="26" t="str">
        <f t="array" ref="E276">IF($B276="","",INDEX('Gap reference'!$G$2:$G$60,MATCH($B276,'Gap reference'!$A$2:$A$60,0)))</f>
        <v/>
      </c>
      <c r="F276" s="48"/>
      <c r="G276" s="48"/>
      <c r="H276" s="48"/>
      <c r="I276" s="48"/>
      <c r="J276" s="48"/>
      <c r="K276" s="48"/>
      <c r="L276" s="48"/>
      <c r="M276" s="48"/>
      <c r="N276" s="75"/>
      <c r="O276" s="48"/>
      <c r="P276" s="35"/>
      <c r="Q276" s="35"/>
      <c r="R276" s="35"/>
      <c r="S276" s="35"/>
      <c r="T276" s="35"/>
      <c r="U276" s="35"/>
      <c r="V276" s="35"/>
      <c r="W276" s="35"/>
      <c r="X276" s="35"/>
      <c r="Y276" s="35"/>
      <c r="Z276" s="35"/>
    </row>
    <row r="277" ht="15.75" customHeight="1">
      <c r="A277" s="48"/>
      <c r="B277" s="48"/>
      <c r="C277" s="26" t="str">
        <f t="array" ref="C277">IF($B277="","",INDEX('Gap reference'!$C$2:$C$60,MATCH($B277,'Gap reference'!$A$2:$A$60,0)))</f>
        <v/>
      </c>
      <c r="D277" s="26" t="str">
        <f t="array" ref="D277">IF($B277="","",INDEX('Gap reference'!$D$2:$D$60,MATCH($B277,'Gap reference'!$A$2:$A$60,0)))</f>
        <v/>
      </c>
      <c r="E277" s="26" t="str">
        <f t="array" ref="E277">IF($B277="","",INDEX('Gap reference'!$G$2:$G$60,MATCH($B277,'Gap reference'!$A$2:$A$60,0)))</f>
        <v/>
      </c>
      <c r="F277" s="48"/>
      <c r="G277" s="48"/>
      <c r="H277" s="48"/>
      <c r="I277" s="48"/>
      <c r="J277" s="48"/>
      <c r="K277" s="48"/>
      <c r="L277" s="48"/>
      <c r="M277" s="48"/>
      <c r="N277" s="75"/>
      <c r="O277" s="48"/>
      <c r="P277" s="35"/>
      <c r="Q277" s="35"/>
      <c r="R277" s="35"/>
      <c r="S277" s="35"/>
      <c r="T277" s="35"/>
      <c r="U277" s="35"/>
      <c r="V277" s="35"/>
      <c r="W277" s="35"/>
      <c r="X277" s="35"/>
      <c r="Y277" s="35"/>
      <c r="Z277" s="35"/>
    </row>
    <row r="278" ht="15.75" customHeight="1">
      <c r="A278" s="48"/>
      <c r="B278" s="48"/>
      <c r="C278" s="26" t="str">
        <f t="array" ref="C278">IF($B278="","",INDEX('Gap reference'!$C$2:$C$60,MATCH($B278,'Gap reference'!$A$2:$A$60,0)))</f>
        <v/>
      </c>
      <c r="D278" s="26" t="str">
        <f t="array" ref="D278">IF($B278="","",INDEX('Gap reference'!$D$2:$D$60,MATCH($B278,'Gap reference'!$A$2:$A$60,0)))</f>
        <v/>
      </c>
      <c r="E278" s="26" t="str">
        <f t="array" ref="E278">IF($B278="","",INDEX('Gap reference'!$G$2:$G$60,MATCH($B278,'Gap reference'!$A$2:$A$60,0)))</f>
        <v/>
      </c>
      <c r="F278" s="48"/>
      <c r="G278" s="48"/>
      <c r="H278" s="48"/>
      <c r="I278" s="48"/>
      <c r="J278" s="48"/>
      <c r="K278" s="48"/>
      <c r="L278" s="48"/>
      <c r="M278" s="48"/>
      <c r="N278" s="75"/>
      <c r="O278" s="48"/>
      <c r="P278" s="35"/>
      <c r="Q278" s="35"/>
      <c r="R278" s="35"/>
      <c r="S278" s="35"/>
      <c r="T278" s="35"/>
      <c r="U278" s="35"/>
      <c r="V278" s="35"/>
      <c r="W278" s="35"/>
      <c r="X278" s="35"/>
      <c r="Y278" s="35"/>
      <c r="Z278" s="35"/>
    </row>
    <row r="279" ht="15.75" customHeight="1">
      <c r="A279" s="48"/>
      <c r="B279" s="48"/>
      <c r="C279" s="26" t="str">
        <f t="array" ref="C279">IF($B279="","",INDEX('Gap reference'!$C$2:$C$60,MATCH($B279,'Gap reference'!$A$2:$A$60,0)))</f>
        <v/>
      </c>
      <c r="D279" s="26" t="str">
        <f t="array" ref="D279">IF($B279="","",INDEX('Gap reference'!$D$2:$D$60,MATCH($B279,'Gap reference'!$A$2:$A$60,0)))</f>
        <v/>
      </c>
      <c r="E279" s="26" t="str">
        <f t="array" ref="E279">IF($B279="","",INDEX('Gap reference'!$G$2:$G$60,MATCH($B279,'Gap reference'!$A$2:$A$60,0)))</f>
        <v/>
      </c>
      <c r="F279" s="48"/>
      <c r="G279" s="48"/>
      <c r="H279" s="48"/>
      <c r="I279" s="48"/>
      <c r="J279" s="48"/>
      <c r="K279" s="48"/>
      <c r="L279" s="48"/>
      <c r="M279" s="48"/>
      <c r="N279" s="75"/>
      <c r="O279" s="48"/>
      <c r="P279" s="35"/>
      <c r="Q279" s="35"/>
      <c r="R279" s="35"/>
      <c r="S279" s="35"/>
      <c r="T279" s="35"/>
      <c r="U279" s="35"/>
      <c r="V279" s="35"/>
      <c r="W279" s="35"/>
      <c r="X279" s="35"/>
      <c r="Y279" s="35"/>
      <c r="Z279" s="35"/>
    </row>
    <row r="280" ht="15.75" customHeight="1">
      <c r="A280" s="48"/>
      <c r="B280" s="48"/>
      <c r="C280" s="26" t="str">
        <f t="array" ref="C280">IF($B280="","",INDEX('Gap reference'!$C$2:$C$60,MATCH($B280,'Gap reference'!$A$2:$A$60,0)))</f>
        <v/>
      </c>
      <c r="D280" s="26" t="str">
        <f t="array" ref="D280">IF($B280="","",INDEX('Gap reference'!$D$2:$D$60,MATCH($B280,'Gap reference'!$A$2:$A$60,0)))</f>
        <v/>
      </c>
      <c r="E280" s="26" t="str">
        <f t="array" ref="E280">IF($B280="","",INDEX('Gap reference'!$G$2:$G$60,MATCH($B280,'Gap reference'!$A$2:$A$60,0)))</f>
        <v/>
      </c>
      <c r="F280" s="48"/>
      <c r="G280" s="48"/>
      <c r="H280" s="48"/>
      <c r="I280" s="48"/>
      <c r="J280" s="48"/>
      <c r="K280" s="48"/>
      <c r="L280" s="48"/>
      <c r="M280" s="48"/>
      <c r="N280" s="75"/>
      <c r="O280" s="48"/>
      <c r="P280" s="35"/>
      <c r="Q280" s="35"/>
      <c r="R280" s="35"/>
      <c r="S280" s="35"/>
      <c r="T280" s="35"/>
      <c r="U280" s="35"/>
      <c r="V280" s="35"/>
      <c r="W280" s="35"/>
      <c r="X280" s="35"/>
      <c r="Y280" s="35"/>
      <c r="Z280" s="35"/>
    </row>
    <row r="281" ht="15.75" customHeight="1">
      <c r="A281" s="48"/>
      <c r="B281" s="48"/>
      <c r="C281" s="26" t="str">
        <f t="array" ref="C281">IF($B281="","",INDEX('Gap reference'!$C$2:$C$60,MATCH($B281,'Gap reference'!$A$2:$A$60,0)))</f>
        <v/>
      </c>
      <c r="D281" s="26" t="str">
        <f t="array" ref="D281">IF($B281="","",INDEX('Gap reference'!$D$2:$D$60,MATCH($B281,'Gap reference'!$A$2:$A$60,0)))</f>
        <v/>
      </c>
      <c r="E281" s="26" t="str">
        <f t="array" ref="E281">IF($B281="","",INDEX('Gap reference'!$G$2:$G$60,MATCH($B281,'Gap reference'!$A$2:$A$60,0)))</f>
        <v/>
      </c>
      <c r="F281" s="48"/>
      <c r="G281" s="48"/>
      <c r="H281" s="48"/>
      <c r="I281" s="48"/>
      <c r="J281" s="48"/>
      <c r="K281" s="48"/>
      <c r="L281" s="48"/>
      <c r="M281" s="48"/>
      <c r="N281" s="75"/>
      <c r="O281" s="48"/>
      <c r="P281" s="35"/>
      <c r="Q281" s="35"/>
      <c r="R281" s="35"/>
      <c r="S281" s="35"/>
      <c r="T281" s="35"/>
      <c r="U281" s="35"/>
      <c r="V281" s="35"/>
      <c r="W281" s="35"/>
      <c r="X281" s="35"/>
      <c r="Y281" s="35"/>
      <c r="Z281" s="35"/>
    </row>
    <row r="282" ht="15.75" customHeight="1">
      <c r="A282" s="48"/>
      <c r="B282" s="48"/>
      <c r="C282" s="26" t="str">
        <f t="array" ref="C282">IF($B282="","",INDEX('Gap reference'!$C$2:$C$60,MATCH($B282,'Gap reference'!$A$2:$A$60,0)))</f>
        <v/>
      </c>
      <c r="D282" s="26" t="str">
        <f t="array" ref="D282">IF($B282="","",INDEX('Gap reference'!$D$2:$D$60,MATCH($B282,'Gap reference'!$A$2:$A$60,0)))</f>
        <v/>
      </c>
      <c r="E282" s="26" t="str">
        <f t="array" ref="E282">IF($B282="","",INDEX('Gap reference'!$G$2:$G$60,MATCH($B282,'Gap reference'!$A$2:$A$60,0)))</f>
        <v/>
      </c>
      <c r="F282" s="48"/>
      <c r="G282" s="48"/>
      <c r="H282" s="48"/>
      <c r="I282" s="48"/>
      <c r="J282" s="48"/>
      <c r="K282" s="48"/>
      <c r="L282" s="48"/>
      <c r="M282" s="48"/>
      <c r="N282" s="75"/>
      <c r="O282" s="48"/>
      <c r="P282" s="35"/>
      <c r="Q282" s="35"/>
      <c r="R282" s="35"/>
      <c r="S282" s="35"/>
      <c r="T282" s="35"/>
      <c r="U282" s="35"/>
      <c r="V282" s="35"/>
      <c r="W282" s="35"/>
      <c r="X282" s="35"/>
      <c r="Y282" s="35"/>
      <c r="Z282" s="35"/>
    </row>
    <row r="283" ht="15.75" customHeight="1">
      <c r="A283" s="48"/>
      <c r="B283" s="48"/>
      <c r="C283" s="26" t="str">
        <f t="array" ref="C283">IF($B283="","",INDEX('Gap reference'!$C$2:$C$60,MATCH($B283,'Gap reference'!$A$2:$A$60,0)))</f>
        <v/>
      </c>
      <c r="D283" s="26" t="str">
        <f t="array" ref="D283">IF($B283="","",INDEX('Gap reference'!$D$2:$D$60,MATCH($B283,'Gap reference'!$A$2:$A$60,0)))</f>
        <v/>
      </c>
      <c r="E283" s="26" t="str">
        <f t="array" ref="E283">IF($B283="","",INDEX('Gap reference'!$G$2:$G$60,MATCH($B283,'Gap reference'!$A$2:$A$60,0)))</f>
        <v/>
      </c>
      <c r="F283" s="48"/>
      <c r="G283" s="48"/>
      <c r="H283" s="48"/>
      <c r="I283" s="48"/>
      <c r="J283" s="48"/>
      <c r="K283" s="48"/>
      <c r="L283" s="48"/>
      <c r="M283" s="48"/>
      <c r="N283" s="75"/>
      <c r="O283" s="48"/>
      <c r="P283" s="35"/>
      <c r="Q283" s="35"/>
      <c r="R283" s="35"/>
      <c r="S283" s="35"/>
      <c r="T283" s="35"/>
      <c r="U283" s="35"/>
      <c r="V283" s="35"/>
      <c r="W283" s="35"/>
      <c r="X283" s="35"/>
      <c r="Y283" s="35"/>
      <c r="Z283" s="35"/>
    </row>
    <row r="284" ht="15.75" customHeight="1">
      <c r="A284" s="48"/>
      <c r="B284" s="48"/>
      <c r="C284" s="26" t="str">
        <f t="array" ref="C284">IF($B284="","",INDEX('Gap reference'!$C$2:$C$60,MATCH($B284,'Gap reference'!$A$2:$A$60,0)))</f>
        <v/>
      </c>
      <c r="D284" s="26" t="str">
        <f t="array" ref="D284">IF($B284="","",INDEX('Gap reference'!$D$2:$D$60,MATCH($B284,'Gap reference'!$A$2:$A$60,0)))</f>
        <v/>
      </c>
      <c r="E284" s="26" t="str">
        <f t="array" ref="E284">IF($B284="","",INDEX('Gap reference'!$G$2:$G$60,MATCH($B284,'Gap reference'!$A$2:$A$60,0)))</f>
        <v/>
      </c>
      <c r="F284" s="48"/>
      <c r="G284" s="48"/>
      <c r="H284" s="48"/>
      <c r="I284" s="48"/>
      <c r="J284" s="48"/>
      <c r="K284" s="48"/>
      <c r="L284" s="48"/>
      <c r="M284" s="48"/>
      <c r="N284" s="75"/>
      <c r="O284" s="48"/>
      <c r="P284" s="35"/>
      <c r="Q284" s="35"/>
      <c r="R284" s="35"/>
      <c r="S284" s="35"/>
      <c r="T284" s="35"/>
      <c r="U284" s="35"/>
      <c r="V284" s="35"/>
      <c r="W284" s="35"/>
      <c r="X284" s="35"/>
      <c r="Y284" s="35"/>
      <c r="Z284" s="35"/>
    </row>
    <row r="285" ht="15.75" customHeight="1">
      <c r="A285" s="48"/>
      <c r="B285" s="48"/>
      <c r="C285" s="26" t="str">
        <f t="array" ref="C285">IF($B285="","",INDEX('Gap reference'!$C$2:$C$60,MATCH($B285,'Gap reference'!$A$2:$A$60,0)))</f>
        <v/>
      </c>
      <c r="D285" s="26" t="str">
        <f t="array" ref="D285">IF($B285="","",INDEX('Gap reference'!$D$2:$D$60,MATCH($B285,'Gap reference'!$A$2:$A$60,0)))</f>
        <v/>
      </c>
      <c r="E285" s="26" t="str">
        <f t="array" ref="E285">IF($B285="","",INDEX('Gap reference'!$G$2:$G$60,MATCH($B285,'Gap reference'!$A$2:$A$60,0)))</f>
        <v/>
      </c>
      <c r="F285" s="48"/>
      <c r="G285" s="48"/>
      <c r="H285" s="48"/>
      <c r="I285" s="48"/>
      <c r="J285" s="48"/>
      <c r="K285" s="48"/>
      <c r="L285" s="48"/>
      <c r="M285" s="48"/>
      <c r="N285" s="75"/>
      <c r="O285" s="48"/>
      <c r="P285" s="35"/>
      <c r="Q285" s="35"/>
      <c r="R285" s="35"/>
      <c r="S285" s="35"/>
      <c r="T285" s="35"/>
      <c r="U285" s="35"/>
      <c r="V285" s="35"/>
      <c r="W285" s="35"/>
      <c r="X285" s="35"/>
      <c r="Y285" s="35"/>
      <c r="Z285" s="35"/>
    </row>
    <row r="286" ht="15.75" customHeight="1">
      <c r="A286" s="48"/>
      <c r="B286" s="48"/>
      <c r="C286" s="26" t="str">
        <f t="array" ref="C286">IF($B286="","",INDEX('Gap reference'!$C$2:$C$60,MATCH($B286,'Gap reference'!$A$2:$A$60,0)))</f>
        <v/>
      </c>
      <c r="D286" s="26" t="str">
        <f t="array" ref="D286">IF($B286="","",INDEX('Gap reference'!$D$2:$D$60,MATCH($B286,'Gap reference'!$A$2:$A$60,0)))</f>
        <v/>
      </c>
      <c r="E286" s="26" t="str">
        <f t="array" ref="E286">IF($B286="","",INDEX('Gap reference'!$G$2:$G$60,MATCH($B286,'Gap reference'!$A$2:$A$60,0)))</f>
        <v/>
      </c>
      <c r="F286" s="48"/>
      <c r="G286" s="48"/>
      <c r="H286" s="48"/>
      <c r="I286" s="48"/>
      <c r="J286" s="48"/>
      <c r="K286" s="48"/>
      <c r="L286" s="48"/>
      <c r="M286" s="48"/>
      <c r="N286" s="75"/>
      <c r="O286" s="48"/>
      <c r="P286" s="35"/>
      <c r="Q286" s="35"/>
      <c r="R286" s="35"/>
      <c r="S286" s="35"/>
      <c r="T286" s="35"/>
      <c r="U286" s="35"/>
      <c r="V286" s="35"/>
      <c r="W286" s="35"/>
      <c r="X286" s="35"/>
      <c r="Y286" s="35"/>
      <c r="Z286" s="35"/>
    </row>
    <row r="287" ht="15.75" customHeight="1">
      <c r="A287" s="48"/>
      <c r="B287" s="48"/>
      <c r="C287" s="26" t="str">
        <f t="array" ref="C287">IF($B287="","",INDEX('Gap reference'!$C$2:$C$60,MATCH($B287,'Gap reference'!$A$2:$A$60,0)))</f>
        <v/>
      </c>
      <c r="D287" s="26" t="str">
        <f t="array" ref="D287">IF($B287="","",INDEX('Gap reference'!$D$2:$D$60,MATCH($B287,'Gap reference'!$A$2:$A$60,0)))</f>
        <v/>
      </c>
      <c r="E287" s="26" t="str">
        <f t="array" ref="E287">IF($B287="","",INDEX('Gap reference'!$G$2:$G$60,MATCH($B287,'Gap reference'!$A$2:$A$60,0)))</f>
        <v/>
      </c>
      <c r="F287" s="48"/>
      <c r="G287" s="48"/>
      <c r="H287" s="48"/>
      <c r="I287" s="48"/>
      <c r="J287" s="48"/>
      <c r="K287" s="48"/>
      <c r="L287" s="48"/>
      <c r="M287" s="48"/>
      <c r="N287" s="75"/>
      <c r="O287" s="48"/>
      <c r="P287" s="35"/>
      <c r="Q287" s="35"/>
      <c r="R287" s="35"/>
      <c r="S287" s="35"/>
      <c r="T287" s="35"/>
      <c r="U287" s="35"/>
      <c r="V287" s="35"/>
      <c r="W287" s="35"/>
      <c r="X287" s="35"/>
      <c r="Y287" s="35"/>
      <c r="Z287" s="35"/>
    </row>
    <row r="288" ht="15.75" customHeight="1">
      <c r="A288" s="48"/>
      <c r="B288" s="48"/>
      <c r="C288" s="26" t="str">
        <f t="array" ref="C288">IF($B288="","",INDEX('Gap reference'!$C$2:$C$60,MATCH($B288,'Gap reference'!$A$2:$A$60,0)))</f>
        <v/>
      </c>
      <c r="D288" s="26" t="str">
        <f t="array" ref="D288">IF($B288="","",INDEX('Gap reference'!$D$2:$D$60,MATCH($B288,'Gap reference'!$A$2:$A$60,0)))</f>
        <v/>
      </c>
      <c r="E288" s="26" t="str">
        <f t="array" ref="E288">IF($B288="","",INDEX('Gap reference'!$G$2:$G$60,MATCH($B288,'Gap reference'!$A$2:$A$60,0)))</f>
        <v/>
      </c>
      <c r="F288" s="48"/>
      <c r="G288" s="48"/>
      <c r="H288" s="48"/>
      <c r="I288" s="48"/>
      <c r="J288" s="48"/>
      <c r="K288" s="48"/>
      <c r="L288" s="48"/>
      <c r="M288" s="48"/>
      <c r="N288" s="75"/>
      <c r="O288" s="48"/>
      <c r="P288" s="35"/>
      <c r="Q288" s="35"/>
      <c r="R288" s="35"/>
      <c r="S288" s="35"/>
      <c r="T288" s="35"/>
      <c r="U288" s="35"/>
      <c r="V288" s="35"/>
      <c r="W288" s="35"/>
      <c r="X288" s="35"/>
      <c r="Y288" s="35"/>
      <c r="Z288" s="35"/>
    </row>
    <row r="289" ht="15.75" customHeight="1">
      <c r="A289" s="48"/>
      <c r="B289" s="48"/>
      <c r="C289" s="26" t="str">
        <f t="array" ref="C289">IF($B289="","",INDEX('Gap reference'!$C$2:$C$60,MATCH($B289,'Gap reference'!$A$2:$A$60,0)))</f>
        <v/>
      </c>
      <c r="D289" s="26" t="str">
        <f t="array" ref="D289">IF($B289="","",INDEX('Gap reference'!$D$2:$D$60,MATCH($B289,'Gap reference'!$A$2:$A$60,0)))</f>
        <v/>
      </c>
      <c r="E289" s="26" t="str">
        <f t="array" ref="E289">IF($B289="","",INDEX('Gap reference'!$G$2:$G$60,MATCH($B289,'Gap reference'!$A$2:$A$60,0)))</f>
        <v/>
      </c>
      <c r="F289" s="48"/>
      <c r="G289" s="48"/>
      <c r="H289" s="48"/>
      <c r="I289" s="48"/>
      <c r="J289" s="48"/>
      <c r="K289" s="48"/>
      <c r="L289" s="48"/>
      <c r="M289" s="48"/>
      <c r="N289" s="75"/>
      <c r="O289" s="48"/>
      <c r="P289" s="35"/>
      <c r="Q289" s="35"/>
      <c r="R289" s="35"/>
      <c r="S289" s="35"/>
      <c r="T289" s="35"/>
      <c r="U289" s="35"/>
      <c r="V289" s="35"/>
      <c r="W289" s="35"/>
      <c r="X289" s="35"/>
      <c r="Y289" s="35"/>
      <c r="Z289" s="35"/>
    </row>
    <row r="290" ht="15.75" customHeight="1">
      <c r="A290" s="48"/>
      <c r="B290" s="48"/>
      <c r="C290" s="26" t="str">
        <f t="array" ref="C290">IF($B290="","",INDEX('Gap reference'!$C$2:$C$60,MATCH($B290,'Gap reference'!$A$2:$A$60,0)))</f>
        <v/>
      </c>
      <c r="D290" s="26" t="str">
        <f t="array" ref="D290">IF($B290="","",INDEX('Gap reference'!$D$2:$D$60,MATCH($B290,'Gap reference'!$A$2:$A$60,0)))</f>
        <v/>
      </c>
      <c r="E290" s="26" t="str">
        <f t="array" ref="E290">IF($B290="","",INDEX('Gap reference'!$G$2:$G$60,MATCH($B290,'Gap reference'!$A$2:$A$60,0)))</f>
        <v/>
      </c>
      <c r="F290" s="48"/>
      <c r="G290" s="48"/>
      <c r="H290" s="48"/>
      <c r="I290" s="48"/>
      <c r="J290" s="48"/>
      <c r="K290" s="48"/>
      <c r="L290" s="48"/>
      <c r="M290" s="48"/>
      <c r="N290" s="75"/>
      <c r="O290" s="48"/>
      <c r="P290" s="35"/>
      <c r="Q290" s="35"/>
      <c r="R290" s="35"/>
      <c r="S290" s="35"/>
      <c r="T290" s="35"/>
      <c r="U290" s="35"/>
      <c r="V290" s="35"/>
      <c r="W290" s="35"/>
      <c r="X290" s="35"/>
      <c r="Y290" s="35"/>
      <c r="Z290" s="35"/>
    </row>
    <row r="291" ht="15.75" customHeight="1">
      <c r="A291" s="48"/>
      <c r="B291" s="48"/>
      <c r="C291" s="26" t="str">
        <f t="array" ref="C291">IF($B291="","",INDEX('Gap reference'!$C$2:$C$60,MATCH($B291,'Gap reference'!$A$2:$A$60,0)))</f>
        <v/>
      </c>
      <c r="D291" s="26" t="str">
        <f t="array" ref="D291">IF($B291="","",INDEX('Gap reference'!$D$2:$D$60,MATCH($B291,'Gap reference'!$A$2:$A$60,0)))</f>
        <v/>
      </c>
      <c r="E291" s="26" t="str">
        <f t="array" ref="E291">IF($B291="","",INDEX('Gap reference'!$G$2:$G$60,MATCH($B291,'Gap reference'!$A$2:$A$60,0)))</f>
        <v/>
      </c>
      <c r="F291" s="48"/>
      <c r="G291" s="48"/>
      <c r="H291" s="48"/>
      <c r="I291" s="48"/>
      <c r="J291" s="48"/>
      <c r="K291" s="48"/>
      <c r="L291" s="48"/>
      <c r="M291" s="48"/>
      <c r="N291" s="75"/>
      <c r="O291" s="48"/>
      <c r="P291" s="35"/>
      <c r="Q291" s="35"/>
      <c r="R291" s="35"/>
      <c r="S291" s="35"/>
      <c r="T291" s="35"/>
      <c r="U291" s="35"/>
      <c r="V291" s="35"/>
      <c r="W291" s="35"/>
      <c r="X291" s="35"/>
      <c r="Y291" s="35"/>
      <c r="Z291" s="35"/>
    </row>
    <row r="292" ht="15.75" customHeight="1">
      <c r="A292" s="48"/>
      <c r="B292" s="48"/>
      <c r="C292" s="26" t="str">
        <f t="array" ref="C292">IF($B292="","",INDEX('Gap reference'!$C$2:$C$60,MATCH($B292,'Gap reference'!$A$2:$A$60,0)))</f>
        <v/>
      </c>
      <c r="D292" s="26" t="str">
        <f t="array" ref="D292">IF($B292="","",INDEX('Gap reference'!$D$2:$D$60,MATCH($B292,'Gap reference'!$A$2:$A$60,0)))</f>
        <v/>
      </c>
      <c r="E292" s="26" t="str">
        <f t="array" ref="E292">IF($B292="","",INDEX('Gap reference'!$G$2:$G$60,MATCH($B292,'Gap reference'!$A$2:$A$60,0)))</f>
        <v/>
      </c>
      <c r="F292" s="48"/>
      <c r="G292" s="48"/>
      <c r="H292" s="48"/>
      <c r="I292" s="48"/>
      <c r="J292" s="48"/>
      <c r="K292" s="48"/>
      <c r="L292" s="48"/>
      <c r="M292" s="48"/>
      <c r="N292" s="75"/>
      <c r="O292" s="48"/>
      <c r="P292" s="35"/>
      <c r="Q292" s="35"/>
      <c r="R292" s="35"/>
      <c r="S292" s="35"/>
      <c r="T292" s="35"/>
      <c r="U292" s="35"/>
      <c r="V292" s="35"/>
      <c r="W292" s="35"/>
      <c r="X292" s="35"/>
      <c r="Y292" s="35"/>
      <c r="Z292" s="35"/>
    </row>
    <row r="293" ht="15.75" customHeight="1">
      <c r="A293" s="48"/>
      <c r="B293" s="48"/>
      <c r="C293" s="26" t="str">
        <f t="array" ref="C293">IF($B293="","",INDEX('Gap reference'!$C$2:$C$60,MATCH($B293,'Gap reference'!$A$2:$A$60,0)))</f>
        <v/>
      </c>
      <c r="D293" s="26" t="str">
        <f t="array" ref="D293">IF($B293="","",INDEX('Gap reference'!$D$2:$D$60,MATCH($B293,'Gap reference'!$A$2:$A$60,0)))</f>
        <v/>
      </c>
      <c r="E293" s="26" t="str">
        <f t="array" ref="E293">IF($B293="","",INDEX('Gap reference'!$G$2:$G$60,MATCH($B293,'Gap reference'!$A$2:$A$60,0)))</f>
        <v/>
      </c>
      <c r="F293" s="48"/>
      <c r="G293" s="48"/>
      <c r="H293" s="48"/>
      <c r="I293" s="48"/>
      <c r="J293" s="48"/>
      <c r="K293" s="48"/>
      <c r="L293" s="48"/>
      <c r="M293" s="48"/>
      <c r="N293" s="75"/>
      <c r="O293" s="48"/>
      <c r="P293" s="35"/>
      <c r="Q293" s="35"/>
      <c r="R293" s="35"/>
      <c r="S293" s="35"/>
      <c r="T293" s="35"/>
      <c r="U293" s="35"/>
      <c r="V293" s="35"/>
      <c r="W293" s="35"/>
      <c r="X293" s="35"/>
      <c r="Y293" s="35"/>
      <c r="Z293" s="35"/>
    </row>
    <row r="294" ht="15.75" customHeight="1">
      <c r="A294" s="48"/>
      <c r="B294" s="48"/>
      <c r="C294" s="26" t="str">
        <f t="array" ref="C294">IF($B294="","",INDEX('Gap reference'!$C$2:$C$60,MATCH($B294,'Gap reference'!$A$2:$A$60,0)))</f>
        <v/>
      </c>
      <c r="D294" s="26" t="str">
        <f t="array" ref="D294">IF($B294="","",INDEX('Gap reference'!$D$2:$D$60,MATCH($B294,'Gap reference'!$A$2:$A$60,0)))</f>
        <v/>
      </c>
      <c r="E294" s="26" t="str">
        <f t="array" ref="E294">IF($B294="","",INDEX('Gap reference'!$G$2:$G$60,MATCH($B294,'Gap reference'!$A$2:$A$60,0)))</f>
        <v/>
      </c>
      <c r="F294" s="48"/>
      <c r="G294" s="48"/>
      <c r="H294" s="48"/>
      <c r="I294" s="48"/>
      <c r="J294" s="48"/>
      <c r="K294" s="48"/>
      <c r="L294" s="48"/>
      <c r="M294" s="48"/>
      <c r="N294" s="75"/>
      <c r="O294" s="48"/>
      <c r="P294" s="35"/>
      <c r="Q294" s="35"/>
      <c r="R294" s="35"/>
      <c r="S294" s="35"/>
      <c r="T294" s="35"/>
      <c r="U294" s="35"/>
      <c r="V294" s="35"/>
      <c r="W294" s="35"/>
      <c r="X294" s="35"/>
      <c r="Y294" s="35"/>
      <c r="Z294" s="35"/>
    </row>
    <row r="295" ht="15.75" customHeight="1">
      <c r="A295" s="48"/>
      <c r="B295" s="48"/>
      <c r="C295" s="26" t="str">
        <f t="array" ref="C295">IF($B295="","",INDEX('Gap reference'!$C$2:$C$60,MATCH($B295,'Gap reference'!$A$2:$A$60,0)))</f>
        <v/>
      </c>
      <c r="D295" s="26" t="str">
        <f t="array" ref="D295">IF($B295="","",INDEX('Gap reference'!$D$2:$D$60,MATCH($B295,'Gap reference'!$A$2:$A$60,0)))</f>
        <v/>
      </c>
      <c r="E295" s="26" t="str">
        <f t="array" ref="E295">IF($B295="","",INDEX('Gap reference'!$G$2:$G$60,MATCH($B295,'Gap reference'!$A$2:$A$60,0)))</f>
        <v/>
      </c>
      <c r="F295" s="48"/>
      <c r="G295" s="48"/>
      <c r="H295" s="48"/>
      <c r="I295" s="48"/>
      <c r="J295" s="48"/>
      <c r="K295" s="48"/>
      <c r="L295" s="48"/>
      <c r="M295" s="48"/>
      <c r="N295" s="75"/>
      <c r="O295" s="48"/>
      <c r="P295" s="35"/>
      <c r="Q295" s="35"/>
      <c r="R295" s="35"/>
      <c r="S295" s="35"/>
      <c r="T295" s="35"/>
      <c r="U295" s="35"/>
      <c r="V295" s="35"/>
      <c r="W295" s="35"/>
      <c r="X295" s="35"/>
      <c r="Y295" s="35"/>
      <c r="Z295" s="35"/>
    </row>
    <row r="296" ht="15.75" customHeight="1">
      <c r="A296" s="48"/>
      <c r="B296" s="48"/>
      <c r="C296" s="26" t="str">
        <f t="array" ref="C296">IF($B296="","",INDEX('Gap reference'!$C$2:$C$60,MATCH($B296,'Gap reference'!$A$2:$A$60,0)))</f>
        <v/>
      </c>
      <c r="D296" s="26" t="str">
        <f t="array" ref="D296">IF($B296="","",INDEX('Gap reference'!$D$2:$D$60,MATCH($B296,'Gap reference'!$A$2:$A$60,0)))</f>
        <v/>
      </c>
      <c r="E296" s="26" t="str">
        <f t="array" ref="E296">IF($B296="","",INDEX('Gap reference'!$G$2:$G$60,MATCH($B296,'Gap reference'!$A$2:$A$60,0)))</f>
        <v/>
      </c>
      <c r="F296" s="48"/>
      <c r="G296" s="48"/>
      <c r="H296" s="48"/>
      <c r="I296" s="48"/>
      <c r="J296" s="48"/>
      <c r="K296" s="48"/>
      <c r="L296" s="48"/>
      <c r="M296" s="48"/>
      <c r="N296" s="75"/>
      <c r="O296" s="48"/>
      <c r="P296" s="35"/>
      <c r="Q296" s="35"/>
      <c r="R296" s="35"/>
      <c r="S296" s="35"/>
      <c r="T296" s="35"/>
      <c r="U296" s="35"/>
      <c r="V296" s="35"/>
      <c r="W296" s="35"/>
      <c r="X296" s="35"/>
      <c r="Y296" s="35"/>
      <c r="Z296" s="35"/>
    </row>
    <row r="297" ht="15.75" customHeight="1">
      <c r="A297" s="48"/>
      <c r="B297" s="48"/>
      <c r="C297" s="26" t="str">
        <f t="array" ref="C297">IF($B297="","",INDEX('Gap reference'!$C$2:$C$60,MATCH($B297,'Gap reference'!$A$2:$A$60,0)))</f>
        <v/>
      </c>
      <c r="D297" s="26" t="str">
        <f t="array" ref="D297">IF($B297="","",INDEX('Gap reference'!$D$2:$D$60,MATCH($B297,'Gap reference'!$A$2:$A$60,0)))</f>
        <v/>
      </c>
      <c r="E297" s="26" t="str">
        <f t="array" ref="E297">IF($B297="","",INDEX('Gap reference'!$G$2:$G$60,MATCH($B297,'Gap reference'!$A$2:$A$60,0)))</f>
        <v/>
      </c>
      <c r="F297" s="48"/>
      <c r="G297" s="48"/>
      <c r="H297" s="48"/>
      <c r="I297" s="48"/>
      <c r="J297" s="48"/>
      <c r="K297" s="48"/>
      <c r="L297" s="48"/>
      <c r="M297" s="48"/>
      <c r="N297" s="75"/>
      <c r="O297" s="48"/>
      <c r="P297" s="35"/>
      <c r="Q297" s="35"/>
      <c r="R297" s="35"/>
      <c r="S297" s="35"/>
      <c r="T297" s="35"/>
      <c r="U297" s="35"/>
      <c r="V297" s="35"/>
      <c r="W297" s="35"/>
      <c r="X297" s="35"/>
      <c r="Y297" s="35"/>
      <c r="Z297" s="35"/>
    </row>
    <row r="298" ht="15.75" customHeight="1">
      <c r="A298" s="48"/>
      <c r="B298" s="48"/>
      <c r="C298" s="26" t="str">
        <f t="array" ref="C298">IF($B298="","",INDEX('Gap reference'!$C$2:$C$60,MATCH($B298,'Gap reference'!$A$2:$A$60,0)))</f>
        <v/>
      </c>
      <c r="D298" s="26" t="str">
        <f t="array" ref="D298">IF($B298="","",INDEX('Gap reference'!$D$2:$D$60,MATCH($B298,'Gap reference'!$A$2:$A$60,0)))</f>
        <v/>
      </c>
      <c r="E298" s="26" t="str">
        <f t="array" ref="E298">IF($B298="","",INDEX('Gap reference'!$G$2:$G$60,MATCH($B298,'Gap reference'!$A$2:$A$60,0)))</f>
        <v/>
      </c>
      <c r="F298" s="48"/>
      <c r="G298" s="48"/>
      <c r="H298" s="48"/>
      <c r="I298" s="48"/>
      <c r="J298" s="48"/>
      <c r="K298" s="48"/>
      <c r="L298" s="48"/>
      <c r="M298" s="48"/>
      <c r="N298" s="75"/>
      <c r="O298" s="48"/>
      <c r="P298" s="35"/>
      <c r="Q298" s="35"/>
      <c r="R298" s="35"/>
      <c r="S298" s="35"/>
      <c r="T298" s="35"/>
      <c r="U298" s="35"/>
      <c r="V298" s="35"/>
      <c r="W298" s="35"/>
      <c r="X298" s="35"/>
      <c r="Y298" s="35"/>
      <c r="Z298" s="35"/>
    </row>
    <row r="299" ht="15.75" customHeight="1">
      <c r="A299" s="48"/>
      <c r="B299" s="48"/>
      <c r="C299" s="26" t="str">
        <f t="array" ref="C299">IF($B299="","",INDEX('Gap reference'!$C$2:$C$60,MATCH($B299,'Gap reference'!$A$2:$A$60,0)))</f>
        <v/>
      </c>
      <c r="D299" s="26" t="str">
        <f t="array" ref="D299">IF($B299="","",INDEX('Gap reference'!$D$2:$D$60,MATCH($B299,'Gap reference'!$A$2:$A$60,0)))</f>
        <v/>
      </c>
      <c r="E299" s="26" t="str">
        <f t="array" ref="E299">IF($B299="","",INDEX('Gap reference'!$G$2:$G$60,MATCH($B299,'Gap reference'!$A$2:$A$60,0)))</f>
        <v/>
      </c>
      <c r="F299" s="48"/>
      <c r="G299" s="48"/>
      <c r="H299" s="48"/>
      <c r="I299" s="48"/>
      <c r="J299" s="48"/>
      <c r="K299" s="48"/>
      <c r="L299" s="48"/>
      <c r="M299" s="48"/>
      <c r="N299" s="75"/>
      <c r="O299" s="48"/>
      <c r="P299" s="35"/>
      <c r="Q299" s="35"/>
      <c r="R299" s="35"/>
      <c r="S299" s="35"/>
      <c r="T299" s="35"/>
      <c r="U299" s="35"/>
      <c r="V299" s="35"/>
      <c r="W299" s="35"/>
      <c r="X299" s="35"/>
      <c r="Y299" s="35"/>
      <c r="Z299" s="35"/>
    </row>
    <row r="300" ht="15.75" customHeight="1">
      <c r="A300" s="48"/>
      <c r="B300" s="48"/>
      <c r="C300" s="26" t="str">
        <f t="array" ref="C300">IF($B300="","",INDEX('Gap reference'!$C$2:$C$60,MATCH($B300,'Gap reference'!$A$2:$A$60,0)))</f>
        <v/>
      </c>
      <c r="D300" s="26" t="str">
        <f t="array" ref="D300">IF($B300="","",INDEX('Gap reference'!$D$2:$D$60,MATCH($B300,'Gap reference'!$A$2:$A$60,0)))</f>
        <v/>
      </c>
      <c r="E300" s="26" t="str">
        <f t="array" ref="E300">IF($B300="","",INDEX('Gap reference'!$G$2:$G$60,MATCH($B300,'Gap reference'!$A$2:$A$60,0)))</f>
        <v/>
      </c>
      <c r="F300" s="48"/>
      <c r="G300" s="48"/>
      <c r="H300" s="48"/>
      <c r="I300" s="48"/>
      <c r="J300" s="48"/>
      <c r="K300" s="48"/>
      <c r="L300" s="48"/>
      <c r="M300" s="48"/>
      <c r="N300" s="75"/>
      <c r="O300" s="48"/>
      <c r="P300" s="35"/>
      <c r="Q300" s="35"/>
      <c r="R300" s="35"/>
      <c r="S300" s="35"/>
      <c r="T300" s="35"/>
      <c r="U300" s="35"/>
      <c r="V300" s="35"/>
      <c r="W300" s="35"/>
      <c r="X300" s="35"/>
      <c r="Y300" s="35"/>
      <c r="Z300" s="35"/>
    </row>
    <row r="301" ht="15.75" customHeight="1">
      <c r="A301" s="48"/>
      <c r="B301" s="48"/>
      <c r="C301" s="26" t="str">
        <f t="array" ref="C301">IF($B301="","",INDEX('Gap reference'!$C$2:$C$60,MATCH($B301,'Gap reference'!$A$2:$A$60,0)))</f>
        <v/>
      </c>
      <c r="D301" s="26" t="str">
        <f t="array" ref="D301">IF($B301="","",INDEX('Gap reference'!$D$2:$D$60,MATCH($B301,'Gap reference'!$A$2:$A$60,0)))</f>
        <v/>
      </c>
      <c r="E301" s="26" t="str">
        <f t="array" ref="E301">IF($B301="","",INDEX('Gap reference'!$G$2:$G$60,MATCH($B301,'Gap reference'!$A$2:$A$60,0)))</f>
        <v/>
      </c>
      <c r="F301" s="48"/>
      <c r="G301" s="48"/>
      <c r="H301" s="48"/>
      <c r="I301" s="48"/>
      <c r="J301" s="48"/>
      <c r="K301" s="48"/>
      <c r="L301" s="48"/>
      <c r="M301" s="48"/>
      <c r="N301" s="75"/>
      <c r="O301" s="48"/>
      <c r="P301" s="35"/>
      <c r="Q301" s="35"/>
      <c r="R301" s="35"/>
      <c r="S301" s="35"/>
      <c r="T301" s="35"/>
      <c r="U301" s="35"/>
      <c r="V301" s="35"/>
      <c r="W301" s="35"/>
      <c r="X301" s="35"/>
      <c r="Y301" s="35"/>
      <c r="Z301" s="35"/>
    </row>
    <row r="302" ht="15.75" customHeight="1">
      <c r="A302" s="48"/>
      <c r="B302" s="48"/>
      <c r="C302" s="26" t="str">
        <f t="array" ref="C302">IF($B302="","",INDEX('Gap reference'!$C$2:$C$60,MATCH($B302,'Gap reference'!$A$2:$A$60,0)))</f>
        <v/>
      </c>
      <c r="D302" s="26" t="str">
        <f t="array" ref="D302">IF($B302="","",INDEX('Gap reference'!$D$2:$D$60,MATCH($B302,'Gap reference'!$A$2:$A$60,0)))</f>
        <v/>
      </c>
      <c r="E302" s="26" t="str">
        <f t="array" ref="E302">IF($B302="","",INDEX('Gap reference'!$G$2:$G$60,MATCH($B302,'Gap reference'!$A$2:$A$60,0)))</f>
        <v/>
      </c>
      <c r="F302" s="48"/>
      <c r="G302" s="48"/>
      <c r="H302" s="48"/>
      <c r="I302" s="48"/>
      <c r="J302" s="48"/>
      <c r="K302" s="48"/>
      <c r="L302" s="48"/>
      <c r="M302" s="48"/>
      <c r="N302" s="75"/>
      <c r="O302" s="48"/>
      <c r="P302" s="35"/>
      <c r="Q302" s="35"/>
      <c r="R302" s="35"/>
      <c r="S302" s="35"/>
      <c r="T302" s="35"/>
      <c r="U302" s="35"/>
      <c r="V302" s="35"/>
      <c r="W302" s="35"/>
      <c r="X302" s="35"/>
      <c r="Y302" s="35"/>
      <c r="Z302" s="35"/>
    </row>
    <row r="303" ht="15.75" customHeight="1">
      <c r="A303" s="48"/>
      <c r="B303" s="48"/>
      <c r="C303" s="26" t="str">
        <f t="array" ref="C303">IF($B303="","",INDEX('Gap reference'!$C$2:$C$60,MATCH($B303,'Gap reference'!$A$2:$A$60,0)))</f>
        <v/>
      </c>
      <c r="D303" s="26" t="str">
        <f t="array" ref="D303">IF($B303="","",INDEX('Gap reference'!$D$2:$D$60,MATCH($B303,'Gap reference'!$A$2:$A$60,0)))</f>
        <v/>
      </c>
      <c r="E303" s="26" t="str">
        <f t="array" ref="E303">IF($B303="","",INDEX('Gap reference'!$G$2:$G$60,MATCH($B303,'Gap reference'!$A$2:$A$60,0)))</f>
        <v/>
      </c>
      <c r="F303" s="48"/>
      <c r="G303" s="48"/>
      <c r="H303" s="48"/>
      <c r="I303" s="48"/>
      <c r="J303" s="48"/>
      <c r="K303" s="48"/>
      <c r="L303" s="48"/>
      <c r="M303" s="48"/>
      <c r="N303" s="75"/>
      <c r="O303" s="48"/>
      <c r="P303" s="35"/>
      <c r="Q303" s="35"/>
      <c r="R303" s="35"/>
      <c r="S303" s="35"/>
      <c r="T303" s="35"/>
      <c r="U303" s="35"/>
      <c r="V303" s="35"/>
      <c r="W303" s="35"/>
      <c r="X303" s="35"/>
      <c r="Y303" s="35"/>
      <c r="Z303" s="35"/>
    </row>
    <row r="304" ht="15.75" customHeight="1">
      <c r="A304" s="48"/>
      <c r="B304" s="48"/>
      <c r="C304" s="26" t="str">
        <f t="array" ref="C304">IF($B304="","",INDEX('Gap reference'!$C$2:$C$60,MATCH($B304,'Gap reference'!$A$2:$A$60,0)))</f>
        <v/>
      </c>
      <c r="D304" s="26" t="str">
        <f t="array" ref="D304">IF($B304="","",INDEX('Gap reference'!$D$2:$D$60,MATCH($B304,'Gap reference'!$A$2:$A$60,0)))</f>
        <v/>
      </c>
      <c r="E304" s="26" t="str">
        <f t="array" ref="E304">IF($B304="","",INDEX('Gap reference'!$G$2:$G$60,MATCH($B304,'Gap reference'!$A$2:$A$60,0)))</f>
        <v/>
      </c>
      <c r="F304" s="48"/>
      <c r="G304" s="48"/>
      <c r="H304" s="48"/>
      <c r="I304" s="48"/>
      <c r="J304" s="48"/>
      <c r="K304" s="48"/>
      <c r="L304" s="48"/>
      <c r="M304" s="48"/>
      <c r="N304" s="75"/>
      <c r="O304" s="48"/>
      <c r="P304" s="35"/>
      <c r="Q304" s="35"/>
      <c r="R304" s="35"/>
      <c r="S304" s="35"/>
      <c r="T304" s="35"/>
      <c r="U304" s="35"/>
      <c r="V304" s="35"/>
      <c r="W304" s="35"/>
      <c r="X304" s="35"/>
      <c r="Y304" s="35"/>
      <c r="Z304" s="35"/>
    </row>
    <row r="305" ht="15.75" customHeight="1">
      <c r="A305" s="48"/>
      <c r="B305" s="48"/>
      <c r="C305" s="26" t="str">
        <f t="array" ref="C305">IF($B305="","",INDEX('Gap reference'!$C$2:$C$60,MATCH($B305,'Gap reference'!$A$2:$A$60,0)))</f>
        <v/>
      </c>
      <c r="D305" s="26" t="str">
        <f t="array" ref="D305">IF($B305="","",INDEX('Gap reference'!$D$2:$D$60,MATCH($B305,'Gap reference'!$A$2:$A$60,0)))</f>
        <v/>
      </c>
      <c r="E305" s="26" t="str">
        <f t="array" ref="E305">IF($B305="","",INDEX('Gap reference'!$G$2:$G$60,MATCH($B305,'Gap reference'!$A$2:$A$60,0)))</f>
        <v/>
      </c>
      <c r="F305" s="48"/>
      <c r="G305" s="48"/>
      <c r="H305" s="48"/>
      <c r="I305" s="48"/>
      <c r="J305" s="48"/>
      <c r="K305" s="48"/>
      <c r="L305" s="48"/>
      <c r="M305" s="48"/>
      <c r="N305" s="75"/>
      <c r="O305" s="48"/>
      <c r="P305" s="35"/>
      <c r="Q305" s="35"/>
      <c r="R305" s="35"/>
      <c r="S305" s="35"/>
      <c r="T305" s="35"/>
      <c r="U305" s="35"/>
      <c r="V305" s="35"/>
      <c r="W305" s="35"/>
      <c r="X305" s="35"/>
      <c r="Y305" s="35"/>
      <c r="Z305" s="35"/>
    </row>
    <row r="306" ht="15.75" customHeight="1">
      <c r="A306" s="48"/>
      <c r="B306" s="48"/>
      <c r="C306" s="26" t="str">
        <f t="array" ref="C306">IF($B306="","",INDEX('Gap reference'!$C$2:$C$60,MATCH($B306,'Gap reference'!$A$2:$A$60,0)))</f>
        <v/>
      </c>
      <c r="D306" s="26" t="str">
        <f t="array" ref="D306">IF($B306="","",INDEX('Gap reference'!$D$2:$D$60,MATCH($B306,'Gap reference'!$A$2:$A$60,0)))</f>
        <v/>
      </c>
      <c r="E306" s="26" t="str">
        <f t="array" ref="E306">IF($B306="","",INDEX('Gap reference'!$G$2:$G$60,MATCH($B306,'Gap reference'!$A$2:$A$60,0)))</f>
        <v/>
      </c>
      <c r="F306" s="48"/>
      <c r="G306" s="48"/>
      <c r="H306" s="48"/>
      <c r="I306" s="48"/>
      <c r="J306" s="48"/>
      <c r="K306" s="48"/>
      <c r="L306" s="48"/>
      <c r="M306" s="48"/>
      <c r="N306" s="75"/>
      <c r="O306" s="48"/>
      <c r="P306" s="35"/>
      <c r="Q306" s="35"/>
      <c r="R306" s="35"/>
      <c r="S306" s="35"/>
      <c r="T306" s="35"/>
      <c r="U306" s="35"/>
      <c r="V306" s="35"/>
      <c r="W306" s="35"/>
      <c r="X306" s="35"/>
      <c r="Y306" s="35"/>
      <c r="Z306" s="35"/>
    </row>
    <row r="307" ht="15.75" customHeight="1">
      <c r="A307" s="48"/>
      <c r="B307" s="48"/>
      <c r="C307" s="26" t="str">
        <f t="array" ref="C307">IF($B307="","",INDEX('Gap reference'!$C$2:$C$60,MATCH($B307,'Gap reference'!$A$2:$A$60,0)))</f>
        <v/>
      </c>
      <c r="D307" s="26" t="str">
        <f t="array" ref="D307">IF($B307="","",INDEX('Gap reference'!$D$2:$D$60,MATCH($B307,'Gap reference'!$A$2:$A$60,0)))</f>
        <v/>
      </c>
      <c r="E307" s="26" t="str">
        <f t="array" ref="E307">IF($B307="","",INDEX('Gap reference'!$G$2:$G$60,MATCH($B307,'Gap reference'!$A$2:$A$60,0)))</f>
        <v/>
      </c>
      <c r="F307" s="48"/>
      <c r="G307" s="48"/>
      <c r="H307" s="48"/>
      <c r="I307" s="48"/>
      <c r="J307" s="48"/>
      <c r="K307" s="48"/>
      <c r="L307" s="48"/>
      <c r="M307" s="48"/>
      <c r="N307" s="75"/>
      <c r="O307" s="48"/>
      <c r="P307" s="35"/>
      <c r="Q307" s="35"/>
      <c r="R307" s="35"/>
      <c r="S307" s="35"/>
      <c r="T307" s="35"/>
      <c r="U307" s="35"/>
      <c r="V307" s="35"/>
      <c r="W307" s="35"/>
      <c r="X307" s="35"/>
      <c r="Y307" s="35"/>
      <c r="Z307" s="35"/>
    </row>
    <row r="308" ht="15.75" customHeight="1">
      <c r="A308" s="48"/>
      <c r="B308" s="48"/>
      <c r="C308" s="26" t="str">
        <f t="array" ref="C308">IF($B308="","",INDEX('Gap reference'!$C$2:$C$60,MATCH($B308,'Gap reference'!$A$2:$A$60,0)))</f>
        <v/>
      </c>
      <c r="D308" s="26" t="str">
        <f t="array" ref="D308">IF($B308="","",INDEX('Gap reference'!$D$2:$D$60,MATCH($B308,'Gap reference'!$A$2:$A$60,0)))</f>
        <v/>
      </c>
      <c r="E308" s="26" t="str">
        <f t="array" ref="E308">IF($B308="","",INDEX('Gap reference'!$G$2:$G$60,MATCH($B308,'Gap reference'!$A$2:$A$60,0)))</f>
        <v/>
      </c>
      <c r="F308" s="48"/>
      <c r="G308" s="48"/>
      <c r="H308" s="48"/>
      <c r="I308" s="48"/>
      <c r="J308" s="48"/>
      <c r="K308" s="48"/>
      <c r="L308" s="48"/>
      <c r="M308" s="48"/>
      <c r="N308" s="75"/>
      <c r="O308" s="48"/>
      <c r="P308" s="35"/>
      <c r="Q308" s="35"/>
      <c r="R308" s="35"/>
      <c r="S308" s="35"/>
      <c r="T308" s="35"/>
      <c r="U308" s="35"/>
      <c r="V308" s="35"/>
      <c r="W308" s="35"/>
      <c r="X308" s="35"/>
      <c r="Y308" s="35"/>
      <c r="Z308" s="35"/>
    </row>
    <row r="309" ht="15.75" customHeight="1">
      <c r="A309" s="48"/>
      <c r="B309" s="48"/>
      <c r="C309" s="26" t="str">
        <f t="array" ref="C309">IF($B309="","",INDEX('Gap reference'!$C$2:$C$60,MATCH($B309,'Gap reference'!$A$2:$A$60,0)))</f>
        <v/>
      </c>
      <c r="D309" s="26" t="str">
        <f t="array" ref="D309">IF($B309="","",INDEX('Gap reference'!$D$2:$D$60,MATCH($B309,'Gap reference'!$A$2:$A$60,0)))</f>
        <v/>
      </c>
      <c r="E309" s="26" t="str">
        <f t="array" ref="E309">IF($B309="","",INDEX('Gap reference'!$G$2:$G$60,MATCH($B309,'Gap reference'!$A$2:$A$60,0)))</f>
        <v/>
      </c>
      <c r="F309" s="48"/>
      <c r="G309" s="48"/>
      <c r="H309" s="48"/>
      <c r="I309" s="48"/>
      <c r="J309" s="48"/>
      <c r="K309" s="48"/>
      <c r="L309" s="48"/>
      <c r="M309" s="48"/>
      <c r="N309" s="75"/>
      <c r="O309" s="48"/>
      <c r="P309" s="35"/>
      <c r="Q309" s="35"/>
      <c r="R309" s="35"/>
      <c r="S309" s="35"/>
      <c r="T309" s="35"/>
      <c r="U309" s="35"/>
      <c r="V309" s="35"/>
      <c r="W309" s="35"/>
      <c r="X309" s="35"/>
      <c r="Y309" s="35"/>
      <c r="Z309" s="35"/>
    </row>
    <row r="310" ht="15.75" customHeight="1">
      <c r="A310" s="48"/>
      <c r="B310" s="48"/>
      <c r="C310" s="26" t="str">
        <f t="array" ref="C310">IF($B310="","",INDEX('Gap reference'!$C$2:$C$60,MATCH($B310,'Gap reference'!$A$2:$A$60,0)))</f>
        <v/>
      </c>
      <c r="D310" s="26" t="str">
        <f t="array" ref="D310">IF($B310="","",INDEX('Gap reference'!$D$2:$D$60,MATCH($B310,'Gap reference'!$A$2:$A$60,0)))</f>
        <v/>
      </c>
      <c r="E310" s="26" t="str">
        <f t="array" ref="E310">IF($B310="","",INDEX('Gap reference'!$G$2:$G$60,MATCH($B310,'Gap reference'!$A$2:$A$60,0)))</f>
        <v/>
      </c>
      <c r="F310" s="48"/>
      <c r="G310" s="48"/>
      <c r="H310" s="48"/>
      <c r="I310" s="48"/>
      <c r="J310" s="48"/>
      <c r="K310" s="48"/>
      <c r="L310" s="48"/>
      <c r="M310" s="48"/>
      <c r="N310" s="75"/>
      <c r="O310" s="48"/>
      <c r="P310" s="35"/>
      <c r="Q310" s="35"/>
      <c r="R310" s="35"/>
      <c r="S310" s="35"/>
      <c r="T310" s="35"/>
      <c r="U310" s="35"/>
      <c r="V310" s="35"/>
      <c r="W310" s="35"/>
      <c r="X310" s="35"/>
      <c r="Y310" s="35"/>
      <c r="Z310" s="35"/>
    </row>
    <row r="311" ht="15.75" customHeight="1">
      <c r="A311" s="48"/>
      <c r="B311" s="48"/>
      <c r="C311" s="26" t="str">
        <f t="array" ref="C311">IF($B311="","",INDEX('Gap reference'!$C$2:$C$60,MATCH($B311,'Gap reference'!$A$2:$A$60,0)))</f>
        <v/>
      </c>
      <c r="D311" s="26" t="str">
        <f t="array" ref="D311">IF($B311="","",INDEX('Gap reference'!$D$2:$D$60,MATCH($B311,'Gap reference'!$A$2:$A$60,0)))</f>
        <v/>
      </c>
      <c r="E311" s="26" t="str">
        <f t="array" ref="E311">IF($B311="","",INDEX('Gap reference'!$G$2:$G$60,MATCH($B311,'Gap reference'!$A$2:$A$60,0)))</f>
        <v/>
      </c>
      <c r="F311" s="48"/>
      <c r="G311" s="48"/>
      <c r="H311" s="48"/>
      <c r="I311" s="48"/>
      <c r="J311" s="48"/>
      <c r="K311" s="48"/>
      <c r="L311" s="48"/>
      <c r="M311" s="48"/>
      <c r="N311" s="75"/>
      <c r="O311" s="48"/>
      <c r="P311" s="35"/>
      <c r="Q311" s="35"/>
      <c r="R311" s="35"/>
      <c r="S311" s="35"/>
      <c r="T311" s="35"/>
      <c r="U311" s="35"/>
      <c r="V311" s="35"/>
      <c r="W311" s="35"/>
      <c r="X311" s="35"/>
      <c r="Y311" s="35"/>
      <c r="Z311" s="35"/>
    </row>
    <row r="312" ht="15.75" customHeight="1">
      <c r="A312" s="48"/>
      <c r="B312" s="48"/>
      <c r="C312" s="26" t="str">
        <f t="array" ref="C312">IF($B312="","",INDEX('Gap reference'!$C$2:$C$60,MATCH($B312,'Gap reference'!$A$2:$A$60,0)))</f>
        <v/>
      </c>
      <c r="D312" s="26" t="str">
        <f t="array" ref="D312">IF($B312="","",INDEX('Gap reference'!$D$2:$D$60,MATCH($B312,'Gap reference'!$A$2:$A$60,0)))</f>
        <v/>
      </c>
      <c r="E312" s="26" t="str">
        <f t="array" ref="E312">IF($B312="","",INDEX('Gap reference'!$G$2:$G$60,MATCH($B312,'Gap reference'!$A$2:$A$60,0)))</f>
        <v/>
      </c>
      <c r="F312" s="48"/>
      <c r="G312" s="48"/>
      <c r="H312" s="48"/>
      <c r="I312" s="48"/>
      <c r="J312" s="48"/>
      <c r="K312" s="48"/>
      <c r="L312" s="48"/>
      <c r="M312" s="48"/>
      <c r="N312" s="75"/>
      <c r="O312" s="48"/>
      <c r="P312" s="35"/>
      <c r="Q312" s="35"/>
      <c r="R312" s="35"/>
      <c r="S312" s="35"/>
      <c r="T312" s="35"/>
      <c r="U312" s="35"/>
      <c r="V312" s="35"/>
      <c r="W312" s="35"/>
      <c r="X312" s="35"/>
      <c r="Y312" s="35"/>
      <c r="Z312" s="35"/>
    </row>
    <row r="313" ht="15.75" customHeight="1">
      <c r="A313" s="48"/>
      <c r="B313" s="48"/>
      <c r="C313" s="26" t="str">
        <f t="array" ref="C313">IF($B313="","",INDEX('Gap reference'!$C$2:$C$60,MATCH($B313,'Gap reference'!$A$2:$A$60,0)))</f>
        <v/>
      </c>
      <c r="D313" s="26" t="str">
        <f t="array" ref="D313">IF($B313="","",INDEX('Gap reference'!$D$2:$D$60,MATCH($B313,'Gap reference'!$A$2:$A$60,0)))</f>
        <v/>
      </c>
      <c r="E313" s="26" t="str">
        <f t="array" ref="E313">IF($B313="","",INDEX('Gap reference'!$G$2:$G$60,MATCH($B313,'Gap reference'!$A$2:$A$60,0)))</f>
        <v/>
      </c>
      <c r="F313" s="48"/>
      <c r="G313" s="48"/>
      <c r="H313" s="48"/>
      <c r="I313" s="48"/>
      <c r="J313" s="48"/>
      <c r="K313" s="48"/>
      <c r="L313" s="48"/>
      <c r="M313" s="48"/>
      <c r="N313" s="75"/>
      <c r="O313" s="48"/>
      <c r="P313" s="35"/>
      <c r="Q313" s="35"/>
      <c r="R313" s="35"/>
      <c r="S313" s="35"/>
      <c r="T313" s="35"/>
      <c r="U313" s="35"/>
      <c r="V313" s="35"/>
      <c r="W313" s="35"/>
      <c r="X313" s="35"/>
      <c r="Y313" s="35"/>
      <c r="Z313" s="35"/>
    </row>
    <row r="314" ht="15.75" customHeight="1">
      <c r="A314" s="48"/>
      <c r="B314" s="48"/>
      <c r="C314" s="26" t="str">
        <f t="array" ref="C314">IF($B314="","",INDEX('Gap reference'!$C$2:$C$60,MATCH($B314,'Gap reference'!$A$2:$A$60,0)))</f>
        <v/>
      </c>
      <c r="D314" s="26" t="str">
        <f t="array" ref="D314">IF($B314="","",INDEX('Gap reference'!$D$2:$D$60,MATCH($B314,'Gap reference'!$A$2:$A$60,0)))</f>
        <v/>
      </c>
      <c r="E314" s="26" t="str">
        <f t="array" ref="E314">IF($B314="","",INDEX('Gap reference'!$G$2:$G$60,MATCH($B314,'Gap reference'!$A$2:$A$60,0)))</f>
        <v/>
      </c>
      <c r="F314" s="48"/>
      <c r="G314" s="48"/>
      <c r="H314" s="48"/>
      <c r="I314" s="48"/>
      <c r="J314" s="48"/>
      <c r="K314" s="48"/>
      <c r="L314" s="48"/>
      <c r="M314" s="48"/>
      <c r="N314" s="75"/>
      <c r="O314" s="48"/>
      <c r="P314" s="35"/>
      <c r="Q314" s="35"/>
      <c r="R314" s="35"/>
      <c r="S314" s="35"/>
      <c r="T314" s="35"/>
      <c r="U314" s="35"/>
      <c r="V314" s="35"/>
      <c r="W314" s="35"/>
      <c r="X314" s="35"/>
      <c r="Y314" s="35"/>
      <c r="Z314" s="35"/>
    </row>
    <row r="315" ht="15.75" customHeight="1">
      <c r="A315" s="48"/>
      <c r="B315" s="48"/>
      <c r="C315" s="26" t="str">
        <f t="array" ref="C315">IF($B315="","",INDEX('Gap reference'!$C$2:$C$60,MATCH($B315,'Gap reference'!$A$2:$A$60,0)))</f>
        <v/>
      </c>
      <c r="D315" s="26" t="str">
        <f t="array" ref="D315">IF($B315="","",INDEX('Gap reference'!$D$2:$D$60,MATCH($B315,'Gap reference'!$A$2:$A$60,0)))</f>
        <v/>
      </c>
      <c r="E315" s="26" t="str">
        <f t="array" ref="E315">IF($B315="","",INDEX('Gap reference'!$G$2:$G$60,MATCH($B315,'Gap reference'!$A$2:$A$60,0)))</f>
        <v/>
      </c>
      <c r="F315" s="48"/>
      <c r="G315" s="48"/>
      <c r="H315" s="48"/>
      <c r="I315" s="48"/>
      <c r="J315" s="48"/>
      <c r="K315" s="48"/>
      <c r="L315" s="48"/>
      <c r="M315" s="48"/>
      <c r="N315" s="75"/>
      <c r="O315" s="48"/>
      <c r="P315" s="35"/>
      <c r="Q315" s="35"/>
      <c r="R315" s="35"/>
      <c r="S315" s="35"/>
      <c r="T315" s="35"/>
      <c r="U315" s="35"/>
      <c r="V315" s="35"/>
      <c r="W315" s="35"/>
      <c r="X315" s="35"/>
      <c r="Y315" s="35"/>
      <c r="Z315" s="35"/>
    </row>
    <row r="316" ht="15.75" customHeight="1">
      <c r="A316" s="48"/>
      <c r="B316" s="48"/>
      <c r="C316" s="26" t="str">
        <f t="array" ref="C316">IF($B316="","",INDEX('Gap reference'!$C$2:$C$60,MATCH($B316,'Gap reference'!$A$2:$A$60,0)))</f>
        <v/>
      </c>
      <c r="D316" s="26" t="str">
        <f t="array" ref="D316">IF($B316="","",INDEX('Gap reference'!$D$2:$D$60,MATCH($B316,'Gap reference'!$A$2:$A$60,0)))</f>
        <v/>
      </c>
      <c r="E316" s="26" t="str">
        <f t="array" ref="E316">IF($B316="","",INDEX('Gap reference'!$G$2:$G$60,MATCH($B316,'Gap reference'!$A$2:$A$60,0)))</f>
        <v/>
      </c>
      <c r="F316" s="48"/>
      <c r="G316" s="48"/>
      <c r="H316" s="48"/>
      <c r="I316" s="48"/>
      <c r="J316" s="48"/>
      <c r="K316" s="48"/>
      <c r="L316" s="48"/>
      <c r="M316" s="48"/>
      <c r="N316" s="75"/>
      <c r="O316" s="48"/>
      <c r="P316" s="35"/>
      <c r="Q316" s="35"/>
      <c r="R316" s="35"/>
      <c r="S316" s="35"/>
      <c r="T316" s="35"/>
      <c r="U316" s="35"/>
      <c r="V316" s="35"/>
      <c r="W316" s="35"/>
      <c r="X316" s="35"/>
      <c r="Y316" s="35"/>
      <c r="Z316" s="35"/>
    </row>
    <row r="317" ht="15.75" customHeight="1">
      <c r="A317" s="48"/>
      <c r="B317" s="48"/>
      <c r="C317" s="26" t="str">
        <f t="array" ref="C317">IF($B317="","",INDEX('Gap reference'!$C$2:$C$60,MATCH($B317,'Gap reference'!$A$2:$A$60,0)))</f>
        <v/>
      </c>
      <c r="D317" s="26" t="str">
        <f t="array" ref="D317">IF($B317="","",INDEX('Gap reference'!$D$2:$D$60,MATCH($B317,'Gap reference'!$A$2:$A$60,0)))</f>
        <v/>
      </c>
      <c r="E317" s="26" t="str">
        <f t="array" ref="E317">IF($B317="","",INDEX('Gap reference'!$G$2:$G$60,MATCH($B317,'Gap reference'!$A$2:$A$60,0)))</f>
        <v/>
      </c>
      <c r="F317" s="48"/>
      <c r="G317" s="48"/>
      <c r="H317" s="48"/>
      <c r="I317" s="48"/>
      <c r="J317" s="48"/>
      <c r="K317" s="48"/>
      <c r="L317" s="48"/>
      <c r="M317" s="48"/>
      <c r="N317" s="75"/>
      <c r="O317" s="48"/>
      <c r="P317" s="35"/>
      <c r="Q317" s="35"/>
      <c r="R317" s="35"/>
      <c r="S317" s="35"/>
      <c r="T317" s="35"/>
      <c r="U317" s="35"/>
      <c r="V317" s="35"/>
      <c r="W317" s="35"/>
      <c r="X317" s="35"/>
      <c r="Y317" s="35"/>
      <c r="Z317" s="35"/>
    </row>
    <row r="318" ht="15.75" customHeight="1">
      <c r="A318" s="48"/>
      <c r="B318" s="48"/>
      <c r="C318" s="26" t="str">
        <f t="array" ref="C318">IF($B318="","",INDEX('Gap reference'!$C$2:$C$60,MATCH($B318,'Gap reference'!$A$2:$A$60,0)))</f>
        <v/>
      </c>
      <c r="D318" s="26" t="str">
        <f t="array" ref="D318">IF($B318="","",INDEX('Gap reference'!$D$2:$D$60,MATCH($B318,'Gap reference'!$A$2:$A$60,0)))</f>
        <v/>
      </c>
      <c r="E318" s="26" t="str">
        <f t="array" ref="E318">IF($B318="","",INDEX('Gap reference'!$G$2:$G$60,MATCH($B318,'Gap reference'!$A$2:$A$60,0)))</f>
        <v/>
      </c>
      <c r="F318" s="48"/>
      <c r="G318" s="48"/>
      <c r="H318" s="48"/>
      <c r="I318" s="48"/>
      <c r="J318" s="48"/>
      <c r="K318" s="48"/>
      <c r="L318" s="48"/>
      <c r="M318" s="48"/>
      <c r="N318" s="75"/>
      <c r="O318" s="48"/>
      <c r="P318" s="35"/>
      <c r="Q318" s="35"/>
      <c r="R318" s="35"/>
      <c r="S318" s="35"/>
      <c r="T318" s="35"/>
      <c r="U318" s="35"/>
      <c r="V318" s="35"/>
      <c r="W318" s="35"/>
      <c r="X318" s="35"/>
      <c r="Y318" s="35"/>
      <c r="Z318" s="35"/>
    </row>
    <row r="319" ht="15.75" customHeight="1">
      <c r="A319" s="48"/>
      <c r="B319" s="48"/>
      <c r="C319" s="26" t="str">
        <f t="array" ref="C319">IF($B319="","",INDEX('Gap reference'!$C$2:$C$60,MATCH($B319,'Gap reference'!$A$2:$A$60,0)))</f>
        <v/>
      </c>
      <c r="D319" s="26" t="str">
        <f t="array" ref="D319">IF($B319="","",INDEX('Gap reference'!$D$2:$D$60,MATCH($B319,'Gap reference'!$A$2:$A$60,0)))</f>
        <v/>
      </c>
      <c r="E319" s="26" t="str">
        <f t="array" ref="E319">IF($B319="","",INDEX('Gap reference'!$G$2:$G$60,MATCH($B319,'Gap reference'!$A$2:$A$60,0)))</f>
        <v/>
      </c>
      <c r="F319" s="48"/>
      <c r="G319" s="48"/>
      <c r="H319" s="48"/>
      <c r="I319" s="48"/>
      <c r="J319" s="48"/>
      <c r="K319" s="48"/>
      <c r="L319" s="48"/>
      <c r="M319" s="48"/>
      <c r="N319" s="75"/>
      <c r="O319" s="48"/>
      <c r="P319" s="35"/>
      <c r="Q319" s="35"/>
      <c r="R319" s="35"/>
      <c r="S319" s="35"/>
      <c r="T319" s="35"/>
      <c r="U319" s="35"/>
      <c r="V319" s="35"/>
      <c r="W319" s="35"/>
      <c r="X319" s="35"/>
      <c r="Y319" s="35"/>
      <c r="Z319" s="35"/>
    </row>
    <row r="320" ht="15.75" customHeight="1">
      <c r="A320" s="48"/>
      <c r="B320" s="48"/>
      <c r="C320" s="26" t="str">
        <f t="array" ref="C320">IF($B320="","",INDEX('Gap reference'!$C$2:$C$60,MATCH($B320,'Gap reference'!$A$2:$A$60,0)))</f>
        <v/>
      </c>
      <c r="D320" s="26" t="str">
        <f t="array" ref="D320">IF($B320="","",INDEX('Gap reference'!$D$2:$D$60,MATCH($B320,'Gap reference'!$A$2:$A$60,0)))</f>
        <v/>
      </c>
      <c r="E320" s="26" t="str">
        <f t="array" ref="E320">IF($B320="","",INDEX('Gap reference'!$G$2:$G$60,MATCH($B320,'Gap reference'!$A$2:$A$60,0)))</f>
        <v/>
      </c>
      <c r="F320" s="48"/>
      <c r="G320" s="48"/>
      <c r="H320" s="48"/>
      <c r="I320" s="48"/>
      <c r="J320" s="48"/>
      <c r="K320" s="48"/>
      <c r="L320" s="48"/>
      <c r="M320" s="48"/>
      <c r="N320" s="75"/>
      <c r="O320" s="48"/>
      <c r="P320" s="35"/>
      <c r="Q320" s="35"/>
      <c r="R320" s="35"/>
      <c r="S320" s="35"/>
      <c r="T320" s="35"/>
      <c r="U320" s="35"/>
      <c r="V320" s="35"/>
      <c r="W320" s="35"/>
      <c r="X320" s="35"/>
      <c r="Y320" s="35"/>
      <c r="Z320" s="35"/>
    </row>
    <row r="321" ht="15.75" customHeight="1">
      <c r="A321" s="48"/>
      <c r="B321" s="48"/>
      <c r="C321" s="26" t="str">
        <f t="array" ref="C321">IF($B321="","",INDEX('Gap reference'!$C$2:$C$60,MATCH($B321,'Gap reference'!$A$2:$A$60,0)))</f>
        <v/>
      </c>
      <c r="D321" s="26" t="str">
        <f t="array" ref="D321">IF($B321="","",INDEX('Gap reference'!$D$2:$D$60,MATCH($B321,'Gap reference'!$A$2:$A$60,0)))</f>
        <v/>
      </c>
      <c r="E321" s="26" t="str">
        <f t="array" ref="E321">IF($B321="","",INDEX('Gap reference'!$G$2:$G$60,MATCH($B321,'Gap reference'!$A$2:$A$60,0)))</f>
        <v/>
      </c>
      <c r="F321" s="48"/>
      <c r="G321" s="48"/>
      <c r="H321" s="48"/>
      <c r="I321" s="48"/>
      <c r="J321" s="48"/>
      <c r="K321" s="48"/>
      <c r="L321" s="48"/>
      <c r="M321" s="48"/>
      <c r="N321" s="75"/>
      <c r="O321" s="48"/>
      <c r="P321" s="35"/>
      <c r="Q321" s="35"/>
      <c r="R321" s="35"/>
      <c r="S321" s="35"/>
      <c r="T321" s="35"/>
      <c r="U321" s="35"/>
      <c r="V321" s="35"/>
      <c r="W321" s="35"/>
      <c r="X321" s="35"/>
      <c r="Y321" s="35"/>
      <c r="Z321" s="35"/>
    </row>
    <row r="322" ht="15.75" customHeight="1">
      <c r="A322" s="48"/>
      <c r="B322" s="48"/>
      <c r="C322" s="26" t="str">
        <f t="array" ref="C322">IF($B322="","",INDEX('Gap reference'!$C$2:$C$60,MATCH($B322,'Gap reference'!$A$2:$A$60,0)))</f>
        <v/>
      </c>
      <c r="D322" s="26" t="str">
        <f t="array" ref="D322">IF($B322="","",INDEX('Gap reference'!$D$2:$D$60,MATCH($B322,'Gap reference'!$A$2:$A$60,0)))</f>
        <v/>
      </c>
      <c r="E322" s="26" t="str">
        <f t="array" ref="E322">IF($B322="","",INDEX('Gap reference'!$G$2:$G$60,MATCH($B322,'Gap reference'!$A$2:$A$60,0)))</f>
        <v/>
      </c>
      <c r="F322" s="48"/>
      <c r="G322" s="48"/>
      <c r="H322" s="48"/>
      <c r="I322" s="48"/>
      <c r="J322" s="48"/>
      <c r="K322" s="48"/>
      <c r="L322" s="48"/>
      <c r="M322" s="48"/>
      <c r="N322" s="75"/>
      <c r="O322" s="48"/>
      <c r="P322" s="35"/>
      <c r="Q322" s="35"/>
      <c r="R322" s="35"/>
      <c r="S322" s="35"/>
      <c r="T322" s="35"/>
      <c r="U322" s="35"/>
      <c r="V322" s="35"/>
      <c r="W322" s="35"/>
      <c r="X322" s="35"/>
      <c r="Y322" s="35"/>
      <c r="Z322" s="35"/>
    </row>
    <row r="323" ht="15.75" customHeight="1">
      <c r="A323" s="48"/>
      <c r="B323" s="48"/>
      <c r="C323" s="26" t="str">
        <f t="array" ref="C323">IF($B323="","",INDEX('Gap reference'!$C$2:$C$60,MATCH($B323,'Gap reference'!$A$2:$A$60,0)))</f>
        <v/>
      </c>
      <c r="D323" s="26" t="str">
        <f t="array" ref="D323">IF($B323="","",INDEX('Gap reference'!$D$2:$D$60,MATCH($B323,'Gap reference'!$A$2:$A$60,0)))</f>
        <v/>
      </c>
      <c r="E323" s="26" t="str">
        <f t="array" ref="E323">IF($B323="","",INDEX('Gap reference'!$G$2:$G$60,MATCH($B323,'Gap reference'!$A$2:$A$60,0)))</f>
        <v/>
      </c>
      <c r="F323" s="48"/>
      <c r="G323" s="48"/>
      <c r="H323" s="48"/>
      <c r="I323" s="48"/>
      <c r="J323" s="48"/>
      <c r="K323" s="48"/>
      <c r="L323" s="48"/>
      <c r="M323" s="48"/>
      <c r="N323" s="75"/>
      <c r="O323" s="48"/>
      <c r="P323" s="35"/>
      <c r="Q323" s="35"/>
      <c r="R323" s="35"/>
      <c r="S323" s="35"/>
      <c r="T323" s="35"/>
      <c r="U323" s="35"/>
      <c r="V323" s="35"/>
      <c r="W323" s="35"/>
      <c r="X323" s="35"/>
      <c r="Y323" s="35"/>
      <c r="Z323" s="35"/>
    </row>
    <row r="324" ht="15.75" customHeight="1">
      <c r="A324" s="48"/>
      <c r="B324" s="48"/>
      <c r="C324" s="26" t="str">
        <f t="array" ref="C324">IF($B324="","",INDEX('Gap reference'!$C$2:$C$60,MATCH($B324,'Gap reference'!$A$2:$A$60,0)))</f>
        <v/>
      </c>
      <c r="D324" s="26" t="str">
        <f t="array" ref="D324">IF($B324="","",INDEX('Gap reference'!$D$2:$D$60,MATCH($B324,'Gap reference'!$A$2:$A$60,0)))</f>
        <v/>
      </c>
      <c r="E324" s="26" t="str">
        <f t="array" ref="E324">IF($B324="","",INDEX('Gap reference'!$G$2:$G$60,MATCH($B324,'Gap reference'!$A$2:$A$60,0)))</f>
        <v/>
      </c>
      <c r="F324" s="48"/>
      <c r="G324" s="48"/>
      <c r="H324" s="48"/>
      <c r="I324" s="48"/>
      <c r="J324" s="48"/>
      <c r="K324" s="48"/>
      <c r="L324" s="48"/>
      <c r="M324" s="48"/>
      <c r="N324" s="75"/>
      <c r="O324" s="48"/>
      <c r="P324" s="35"/>
      <c r="Q324" s="35"/>
      <c r="R324" s="35"/>
      <c r="S324" s="35"/>
      <c r="T324" s="35"/>
      <c r="U324" s="35"/>
      <c r="V324" s="35"/>
      <c r="W324" s="35"/>
      <c r="X324" s="35"/>
      <c r="Y324" s="35"/>
      <c r="Z324" s="35"/>
    </row>
    <row r="325" ht="15.75" customHeight="1">
      <c r="A325" s="48"/>
      <c r="B325" s="48"/>
      <c r="C325" s="26" t="str">
        <f t="array" ref="C325">IF($B325="","",INDEX('Gap reference'!$C$2:$C$60,MATCH($B325,'Gap reference'!$A$2:$A$60,0)))</f>
        <v/>
      </c>
      <c r="D325" s="26" t="str">
        <f t="array" ref="D325">IF($B325="","",INDEX('Gap reference'!$D$2:$D$60,MATCH($B325,'Gap reference'!$A$2:$A$60,0)))</f>
        <v/>
      </c>
      <c r="E325" s="26" t="str">
        <f t="array" ref="E325">IF($B325="","",INDEX('Gap reference'!$G$2:$G$60,MATCH($B325,'Gap reference'!$A$2:$A$60,0)))</f>
        <v/>
      </c>
      <c r="F325" s="48"/>
      <c r="G325" s="48"/>
      <c r="H325" s="48"/>
      <c r="I325" s="48"/>
      <c r="J325" s="48"/>
      <c r="K325" s="48"/>
      <c r="L325" s="48"/>
      <c r="M325" s="48"/>
      <c r="N325" s="75"/>
      <c r="O325" s="48"/>
      <c r="P325" s="35"/>
      <c r="Q325" s="35"/>
      <c r="R325" s="35"/>
      <c r="S325" s="35"/>
      <c r="T325" s="35"/>
      <c r="U325" s="35"/>
      <c r="V325" s="35"/>
      <c r="W325" s="35"/>
      <c r="X325" s="35"/>
      <c r="Y325" s="35"/>
      <c r="Z325" s="35"/>
    </row>
    <row r="326" ht="15.75" customHeight="1">
      <c r="A326" s="48"/>
      <c r="B326" s="48"/>
      <c r="C326" s="26" t="str">
        <f t="array" ref="C326">IF($B326="","",INDEX('Gap reference'!$C$2:$C$60,MATCH($B326,'Gap reference'!$A$2:$A$60,0)))</f>
        <v/>
      </c>
      <c r="D326" s="26" t="str">
        <f t="array" ref="D326">IF($B326="","",INDEX('Gap reference'!$D$2:$D$60,MATCH($B326,'Gap reference'!$A$2:$A$60,0)))</f>
        <v/>
      </c>
      <c r="E326" s="26" t="str">
        <f t="array" ref="E326">IF($B326="","",INDEX('Gap reference'!$G$2:$G$60,MATCH($B326,'Gap reference'!$A$2:$A$60,0)))</f>
        <v/>
      </c>
      <c r="F326" s="48"/>
      <c r="G326" s="48"/>
      <c r="H326" s="48"/>
      <c r="I326" s="48"/>
      <c r="J326" s="48"/>
      <c r="K326" s="48"/>
      <c r="L326" s="48"/>
      <c r="M326" s="48"/>
      <c r="N326" s="75"/>
      <c r="O326" s="48"/>
      <c r="P326" s="35"/>
      <c r="Q326" s="35"/>
      <c r="R326" s="35"/>
      <c r="S326" s="35"/>
      <c r="T326" s="35"/>
      <c r="U326" s="35"/>
      <c r="V326" s="35"/>
      <c r="W326" s="35"/>
      <c r="X326" s="35"/>
      <c r="Y326" s="35"/>
      <c r="Z326" s="35"/>
    </row>
    <row r="327" ht="15.75" customHeight="1">
      <c r="A327" s="48"/>
      <c r="B327" s="48"/>
      <c r="C327" s="26" t="str">
        <f t="array" ref="C327">IF($B327="","",INDEX('Gap reference'!$C$2:$C$60,MATCH($B327,'Gap reference'!$A$2:$A$60,0)))</f>
        <v/>
      </c>
      <c r="D327" s="26" t="str">
        <f t="array" ref="D327">IF($B327="","",INDEX('Gap reference'!$D$2:$D$60,MATCH($B327,'Gap reference'!$A$2:$A$60,0)))</f>
        <v/>
      </c>
      <c r="E327" s="26" t="str">
        <f t="array" ref="E327">IF($B327="","",INDEX('Gap reference'!$G$2:$G$60,MATCH($B327,'Gap reference'!$A$2:$A$60,0)))</f>
        <v/>
      </c>
      <c r="F327" s="48"/>
      <c r="G327" s="48"/>
      <c r="H327" s="48"/>
      <c r="I327" s="48"/>
      <c r="J327" s="48"/>
      <c r="K327" s="48"/>
      <c r="L327" s="48"/>
      <c r="M327" s="48"/>
      <c r="N327" s="75"/>
      <c r="O327" s="48"/>
      <c r="P327" s="35"/>
      <c r="Q327" s="35"/>
      <c r="R327" s="35"/>
      <c r="S327" s="35"/>
      <c r="T327" s="35"/>
      <c r="U327" s="35"/>
      <c r="V327" s="35"/>
      <c r="W327" s="35"/>
      <c r="X327" s="35"/>
      <c r="Y327" s="35"/>
      <c r="Z327" s="35"/>
    </row>
    <row r="328" ht="15.75" customHeight="1">
      <c r="A328" s="48"/>
      <c r="B328" s="48"/>
      <c r="C328" s="26" t="str">
        <f t="array" ref="C328">IF($B328="","",INDEX('Gap reference'!$C$2:$C$60,MATCH($B328,'Gap reference'!$A$2:$A$60,0)))</f>
        <v/>
      </c>
      <c r="D328" s="26" t="str">
        <f t="array" ref="D328">IF($B328="","",INDEX('Gap reference'!$D$2:$D$60,MATCH($B328,'Gap reference'!$A$2:$A$60,0)))</f>
        <v/>
      </c>
      <c r="E328" s="26" t="str">
        <f t="array" ref="E328">IF($B328="","",INDEX('Gap reference'!$G$2:$G$60,MATCH($B328,'Gap reference'!$A$2:$A$60,0)))</f>
        <v/>
      </c>
      <c r="F328" s="48"/>
      <c r="G328" s="48"/>
      <c r="H328" s="48"/>
      <c r="I328" s="48"/>
      <c r="J328" s="48"/>
      <c r="K328" s="48"/>
      <c r="L328" s="48"/>
      <c r="M328" s="48"/>
      <c r="N328" s="75"/>
      <c r="O328" s="48"/>
      <c r="P328" s="35"/>
      <c r="Q328" s="35"/>
      <c r="R328" s="35"/>
      <c r="S328" s="35"/>
      <c r="T328" s="35"/>
      <c r="U328" s="35"/>
      <c r="V328" s="35"/>
      <c r="W328" s="35"/>
      <c r="X328" s="35"/>
      <c r="Y328" s="35"/>
      <c r="Z328" s="35"/>
    </row>
    <row r="329" ht="15.75" customHeight="1">
      <c r="A329" s="48"/>
      <c r="B329" s="48"/>
      <c r="C329" s="26" t="str">
        <f t="array" ref="C329">IF($B329="","",INDEX('Gap reference'!$C$2:$C$60,MATCH($B329,'Gap reference'!$A$2:$A$60,0)))</f>
        <v/>
      </c>
      <c r="D329" s="26" t="str">
        <f t="array" ref="D329">IF($B329="","",INDEX('Gap reference'!$D$2:$D$60,MATCH($B329,'Gap reference'!$A$2:$A$60,0)))</f>
        <v/>
      </c>
      <c r="E329" s="26" t="str">
        <f t="array" ref="E329">IF($B329="","",INDEX('Gap reference'!$G$2:$G$60,MATCH($B329,'Gap reference'!$A$2:$A$60,0)))</f>
        <v/>
      </c>
      <c r="F329" s="48"/>
      <c r="G329" s="48"/>
      <c r="H329" s="48"/>
      <c r="I329" s="48"/>
      <c r="J329" s="48"/>
      <c r="K329" s="48"/>
      <c r="L329" s="48"/>
      <c r="M329" s="48"/>
      <c r="N329" s="75"/>
      <c r="O329" s="48"/>
      <c r="P329" s="35"/>
      <c r="Q329" s="35"/>
      <c r="R329" s="35"/>
      <c r="S329" s="35"/>
      <c r="T329" s="35"/>
      <c r="U329" s="35"/>
      <c r="V329" s="35"/>
      <c r="W329" s="35"/>
      <c r="X329" s="35"/>
      <c r="Y329" s="35"/>
      <c r="Z329" s="35"/>
    </row>
    <row r="330" ht="15.75" customHeight="1">
      <c r="A330" s="48"/>
      <c r="B330" s="48"/>
      <c r="C330" s="26" t="str">
        <f t="array" ref="C330">IF($B330="","",INDEX('Gap reference'!$C$2:$C$60,MATCH($B330,'Gap reference'!$A$2:$A$60,0)))</f>
        <v/>
      </c>
      <c r="D330" s="26" t="str">
        <f t="array" ref="D330">IF($B330="","",INDEX('Gap reference'!$D$2:$D$60,MATCH($B330,'Gap reference'!$A$2:$A$60,0)))</f>
        <v/>
      </c>
      <c r="E330" s="26" t="str">
        <f t="array" ref="E330">IF($B330="","",INDEX('Gap reference'!$G$2:$G$60,MATCH($B330,'Gap reference'!$A$2:$A$60,0)))</f>
        <v/>
      </c>
      <c r="F330" s="48"/>
      <c r="G330" s="48"/>
      <c r="H330" s="48"/>
      <c r="I330" s="48"/>
      <c r="J330" s="48"/>
      <c r="K330" s="48"/>
      <c r="L330" s="48"/>
      <c r="M330" s="48"/>
      <c r="N330" s="75"/>
      <c r="O330" s="48"/>
      <c r="P330" s="35"/>
      <c r="Q330" s="35"/>
      <c r="R330" s="35"/>
      <c r="S330" s="35"/>
      <c r="T330" s="35"/>
      <c r="U330" s="35"/>
      <c r="V330" s="35"/>
      <c r="W330" s="35"/>
      <c r="X330" s="35"/>
      <c r="Y330" s="35"/>
      <c r="Z330" s="35"/>
    </row>
    <row r="331" ht="15.75" customHeight="1">
      <c r="A331" s="48"/>
      <c r="B331" s="48"/>
      <c r="C331" s="26" t="str">
        <f t="array" ref="C331">IF($B331="","",INDEX('Gap reference'!$C$2:$C$60,MATCH($B331,'Gap reference'!$A$2:$A$60,0)))</f>
        <v/>
      </c>
      <c r="D331" s="26" t="str">
        <f t="array" ref="D331">IF($B331="","",INDEX('Gap reference'!$D$2:$D$60,MATCH($B331,'Gap reference'!$A$2:$A$60,0)))</f>
        <v/>
      </c>
      <c r="E331" s="26" t="str">
        <f t="array" ref="E331">IF($B331="","",INDEX('Gap reference'!$G$2:$G$60,MATCH($B331,'Gap reference'!$A$2:$A$60,0)))</f>
        <v/>
      </c>
      <c r="F331" s="48"/>
      <c r="G331" s="48"/>
      <c r="H331" s="48"/>
      <c r="I331" s="48"/>
      <c r="J331" s="48"/>
      <c r="K331" s="48"/>
      <c r="L331" s="48"/>
      <c r="M331" s="48"/>
      <c r="N331" s="75"/>
      <c r="O331" s="48"/>
      <c r="P331" s="35"/>
      <c r="Q331" s="35"/>
      <c r="R331" s="35"/>
      <c r="S331" s="35"/>
      <c r="T331" s="35"/>
      <c r="U331" s="35"/>
      <c r="V331" s="35"/>
      <c r="W331" s="35"/>
      <c r="X331" s="35"/>
      <c r="Y331" s="35"/>
      <c r="Z331" s="35"/>
    </row>
    <row r="332" ht="15.75" customHeight="1">
      <c r="A332" s="48"/>
      <c r="B332" s="48"/>
      <c r="C332" s="26" t="str">
        <f t="array" ref="C332">IF($B332="","",INDEX('Gap reference'!$C$2:$C$60,MATCH($B332,'Gap reference'!$A$2:$A$60,0)))</f>
        <v/>
      </c>
      <c r="D332" s="26" t="str">
        <f t="array" ref="D332">IF($B332="","",INDEX('Gap reference'!$D$2:$D$60,MATCH($B332,'Gap reference'!$A$2:$A$60,0)))</f>
        <v/>
      </c>
      <c r="E332" s="26" t="str">
        <f t="array" ref="E332">IF($B332="","",INDEX('Gap reference'!$G$2:$G$60,MATCH($B332,'Gap reference'!$A$2:$A$60,0)))</f>
        <v/>
      </c>
      <c r="F332" s="48"/>
      <c r="G332" s="48"/>
      <c r="H332" s="48"/>
      <c r="I332" s="48"/>
      <c r="J332" s="48"/>
      <c r="K332" s="48"/>
      <c r="L332" s="48"/>
      <c r="M332" s="48"/>
      <c r="N332" s="75"/>
      <c r="O332" s="48"/>
      <c r="P332" s="35"/>
      <c r="Q332" s="35"/>
      <c r="R332" s="35"/>
      <c r="S332" s="35"/>
      <c r="T332" s="35"/>
      <c r="U332" s="35"/>
      <c r="V332" s="35"/>
      <c r="W332" s="35"/>
      <c r="X332" s="35"/>
      <c r="Y332" s="35"/>
      <c r="Z332" s="35"/>
    </row>
    <row r="333" ht="15.75" customHeight="1">
      <c r="A333" s="48"/>
      <c r="B333" s="48"/>
      <c r="C333" s="26" t="str">
        <f t="array" ref="C333">IF($B333="","",INDEX('Gap reference'!$C$2:$C$60,MATCH($B333,'Gap reference'!$A$2:$A$60,0)))</f>
        <v/>
      </c>
      <c r="D333" s="26" t="str">
        <f t="array" ref="D333">IF($B333="","",INDEX('Gap reference'!$D$2:$D$60,MATCH($B333,'Gap reference'!$A$2:$A$60,0)))</f>
        <v/>
      </c>
      <c r="E333" s="26" t="str">
        <f t="array" ref="E333">IF($B333="","",INDEX('Gap reference'!$G$2:$G$60,MATCH($B333,'Gap reference'!$A$2:$A$60,0)))</f>
        <v/>
      </c>
      <c r="F333" s="48"/>
      <c r="G333" s="48"/>
      <c r="H333" s="48"/>
      <c r="I333" s="48"/>
      <c r="J333" s="48"/>
      <c r="K333" s="48"/>
      <c r="L333" s="48"/>
      <c r="M333" s="48"/>
      <c r="N333" s="75"/>
      <c r="O333" s="48"/>
      <c r="P333" s="35"/>
      <c r="Q333" s="35"/>
      <c r="R333" s="35"/>
      <c r="S333" s="35"/>
      <c r="T333" s="35"/>
      <c r="U333" s="35"/>
      <c r="V333" s="35"/>
      <c r="W333" s="35"/>
      <c r="X333" s="35"/>
      <c r="Y333" s="35"/>
      <c r="Z333" s="35"/>
    </row>
    <row r="334" ht="15.75" customHeight="1">
      <c r="A334" s="48"/>
      <c r="B334" s="48"/>
      <c r="C334" s="26" t="str">
        <f t="array" ref="C334">IF($B334="","",INDEX('Gap reference'!$C$2:$C$60,MATCH($B334,'Gap reference'!$A$2:$A$60,0)))</f>
        <v/>
      </c>
      <c r="D334" s="26" t="str">
        <f t="array" ref="D334">IF($B334="","",INDEX('Gap reference'!$D$2:$D$60,MATCH($B334,'Gap reference'!$A$2:$A$60,0)))</f>
        <v/>
      </c>
      <c r="E334" s="26" t="str">
        <f t="array" ref="E334">IF($B334="","",INDEX('Gap reference'!$G$2:$G$60,MATCH($B334,'Gap reference'!$A$2:$A$60,0)))</f>
        <v/>
      </c>
      <c r="F334" s="48"/>
      <c r="G334" s="48"/>
      <c r="H334" s="48"/>
      <c r="I334" s="48"/>
      <c r="J334" s="48"/>
      <c r="K334" s="48"/>
      <c r="L334" s="48"/>
      <c r="M334" s="48"/>
      <c r="N334" s="75"/>
      <c r="O334" s="48"/>
      <c r="P334" s="35"/>
      <c r="Q334" s="35"/>
      <c r="R334" s="35"/>
      <c r="S334" s="35"/>
      <c r="T334" s="35"/>
      <c r="U334" s="35"/>
      <c r="V334" s="35"/>
      <c r="W334" s="35"/>
      <c r="X334" s="35"/>
      <c r="Y334" s="35"/>
      <c r="Z334" s="35"/>
    </row>
    <row r="335" ht="15.75" customHeight="1">
      <c r="A335" s="48"/>
      <c r="B335" s="48"/>
      <c r="C335" s="26" t="str">
        <f t="array" ref="C335">IF($B335="","",INDEX('Gap reference'!$C$2:$C$60,MATCH($B335,'Gap reference'!$A$2:$A$60,0)))</f>
        <v/>
      </c>
      <c r="D335" s="26" t="str">
        <f t="array" ref="D335">IF($B335="","",INDEX('Gap reference'!$D$2:$D$60,MATCH($B335,'Gap reference'!$A$2:$A$60,0)))</f>
        <v/>
      </c>
      <c r="E335" s="26" t="str">
        <f t="array" ref="E335">IF($B335="","",INDEX('Gap reference'!$G$2:$G$60,MATCH($B335,'Gap reference'!$A$2:$A$60,0)))</f>
        <v/>
      </c>
      <c r="F335" s="48"/>
      <c r="G335" s="48"/>
      <c r="H335" s="48"/>
      <c r="I335" s="48"/>
      <c r="J335" s="48"/>
      <c r="K335" s="48"/>
      <c r="L335" s="48"/>
      <c r="M335" s="48"/>
      <c r="N335" s="75"/>
      <c r="O335" s="48"/>
      <c r="P335" s="35"/>
      <c r="Q335" s="35"/>
      <c r="R335" s="35"/>
      <c r="S335" s="35"/>
      <c r="T335" s="35"/>
      <c r="U335" s="35"/>
      <c r="V335" s="35"/>
      <c r="W335" s="35"/>
      <c r="X335" s="35"/>
      <c r="Y335" s="35"/>
      <c r="Z335" s="35"/>
    </row>
    <row r="336" ht="15.75" customHeight="1">
      <c r="A336" s="48"/>
      <c r="B336" s="48"/>
      <c r="C336" s="26" t="str">
        <f t="array" ref="C336">IF($B336="","",INDEX('Gap reference'!$C$2:$C$60,MATCH($B336,'Gap reference'!$A$2:$A$60,0)))</f>
        <v/>
      </c>
      <c r="D336" s="26" t="str">
        <f t="array" ref="D336">IF($B336="","",INDEX('Gap reference'!$D$2:$D$60,MATCH($B336,'Gap reference'!$A$2:$A$60,0)))</f>
        <v/>
      </c>
      <c r="E336" s="26" t="str">
        <f t="array" ref="E336">IF($B336="","",INDEX('Gap reference'!$G$2:$G$60,MATCH($B336,'Gap reference'!$A$2:$A$60,0)))</f>
        <v/>
      </c>
      <c r="F336" s="48"/>
      <c r="G336" s="48"/>
      <c r="H336" s="48"/>
      <c r="I336" s="48"/>
      <c r="J336" s="48"/>
      <c r="K336" s="48"/>
      <c r="L336" s="48"/>
      <c r="M336" s="48"/>
      <c r="N336" s="75"/>
      <c r="O336" s="48"/>
      <c r="P336" s="35"/>
      <c r="Q336" s="35"/>
      <c r="R336" s="35"/>
      <c r="S336" s="35"/>
      <c r="T336" s="35"/>
      <c r="U336" s="35"/>
      <c r="V336" s="35"/>
      <c r="W336" s="35"/>
      <c r="X336" s="35"/>
      <c r="Y336" s="35"/>
      <c r="Z336" s="35"/>
    </row>
    <row r="337" ht="15.75" customHeight="1">
      <c r="A337" s="48"/>
      <c r="B337" s="48"/>
      <c r="C337" s="26" t="str">
        <f t="array" ref="C337">IF($B337="","",INDEX('Gap reference'!$C$2:$C$60,MATCH($B337,'Gap reference'!$A$2:$A$60,0)))</f>
        <v/>
      </c>
      <c r="D337" s="26" t="str">
        <f t="array" ref="D337">IF($B337="","",INDEX('Gap reference'!$D$2:$D$60,MATCH($B337,'Gap reference'!$A$2:$A$60,0)))</f>
        <v/>
      </c>
      <c r="E337" s="26" t="str">
        <f t="array" ref="E337">IF($B337="","",INDEX('Gap reference'!$G$2:$G$60,MATCH($B337,'Gap reference'!$A$2:$A$60,0)))</f>
        <v/>
      </c>
      <c r="F337" s="48"/>
      <c r="G337" s="48"/>
      <c r="H337" s="48"/>
      <c r="I337" s="48"/>
      <c r="J337" s="48"/>
      <c r="K337" s="48"/>
      <c r="L337" s="48"/>
      <c r="M337" s="48"/>
      <c r="N337" s="75"/>
      <c r="O337" s="48"/>
      <c r="P337" s="35"/>
      <c r="Q337" s="35"/>
      <c r="R337" s="35"/>
      <c r="S337" s="35"/>
      <c r="T337" s="35"/>
      <c r="U337" s="35"/>
      <c r="V337" s="35"/>
      <c r="W337" s="35"/>
      <c r="X337" s="35"/>
      <c r="Y337" s="35"/>
      <c r="Z337" s="35"/>
    </row>
    <row r="338" ht="15.75" customHeight="1">
      <c r="A338" s="48"/>
      <c r="B338" s="48"/>
      <c r="C338" s="26" t="str">
        <f t="array" ref="C338">IF($B338="","",INDEX('Gap reference'!$C$2:$C$60,MATCH($B338,'Gap reference'!$A$2:$A$60,0)))</f>
        <v/>
      </c>
      <c r="D338" s="26" t="str">
        <f t="array" ref="D338">IF($B338="","",INDEX('Gap reference'!$D$2:$D$60,MATCH($B338,'Gap reference'!$A$2:$A$60,0)))</f>
        <v/>
      </c>
      <c r="E338" s="26" t="str">
        <f t="array" ref="E338">IF($B338="","",INDEX('Gap reference'!$G$2:$G$60,MATCH($B338,'Gap reference'!$A$2:$A$60,0)))</f>
        <v/>
      </c>
      <c r="F338" s="48"/>
      <c r="G338" s="48"/>
      <c r="H338" s="48"/>
      <c r="I338" s="48"/>
      <c r="J338" s="48"/>
      <c r="K338" s="48"/>
      <c r="L338" s="48"/>
      <c r="M338" s="48"/>
      <c r="N338" s="75"/>
      <c r="O338" s="48"/>
      <c r="P338" s="35"/>
      <c r="Q338" s="35"/>
      <c r="R338" s="35"/>
      <c r="S338" s="35"/>
      <c r="T338" s="35"/>
      <c r="U338" s="35"/>
      <c r="V338" s="35"/>
      <c r="W338" s="35"/>
      <c r="X338" s="35"/>
      <c r="Y338" s="35"/>
      <c r="Z338" s="35"/>
    </row>
    <row r="339" ht="15.75" customHeight="1">
      <c r="A339" s="48"/>
      <c r="B339" s="48"/>
      <c r="C339" s="26" t="str">
        <f t="array" ref="C339">IF($B339="","",INDEX('Gap reference'!$C$2:$C$60,MATCH($B339,'Gap reference'!$A$2:$A$60,0)))</f>
        <v/>
      </c>
      <c r="D339" s="26" t="str">
        <f t="array" ref="D339">IF($B339="","",INDEX('Gap reference'!$D$2:$D$60,MATCH($B339,'Gap reference'!$A$2:$A$60,0)))</f>
        <v/>
      </c>
      <c r="E339" s="26" t="str">
        <f t="array" ref="E339">IF($B339="","",INDEX('Gap reference'!$G$2:$G$60,MATCH($B339,'Gap reference'!$A$2:$A$60,0)))</f>
        <v/>
      </c>
      <c r="F339" s="48"/>
      <c r="G339" s="48"/>
      <c r="H339" s="48"/>
      <c r="I339" s="48"/>
      <c r="J339" s="48"/>
      <c r="K339" s="48"/>
      <c r="L339" s="48"/>
      <c r="M339" s="48"/>
      <c r="N339" s="75"/>
      <c r="O339" s="48"/>
      <c r="P339" s="35"/>
      <c r="Q339" s="35"/>
      <c r="R339" s="35"/>
      <c r="S339" s="35"/>
      <c r="T339" s="35"/>
      <c r="U339" s="35"/>
      <c r="V339" s="35"/>
      <c r="W339" s="35"/>
      <c r="X339" s="35"/>
      <c r="Y339" s="35"/>
      <c r="Z339" s="35"/>
    </row>
    <row r="340" ht="15.75" customHeight="1">
      <c r="A340" s="48"/>
      <c r="B340" s="48"/>
      <c r="C340" s="26" t="str">
        <f t="array" ref="C340">IF($B340="","",INDEX('Gap reference'!$C$2:$C$60,MATCH($B340,'Gap reference'!$A$2:$A$60,0)))</f>
        <v/>
      </c>
      <c r="D340" s="26" t="str">
        <f t="array" ref="D340">IF($B340="","",INDEX('Gap reference'!$D$2:$D$60,MATCH($B340,'Gap reference'!$A$2:$A$60,0)))</f>
        <v/>
      </c>
      <c r="E340" s="26" t="str">
        <f t="array" ref="E340">IF($B340="","",INDEX('Gap reference'!$G$2:$G$60,MATCH($B340,'Gap reference'!$A$2:$A$60,0)))</f>
        <v/>
      </c>
      <c r="F340" s="48"/>
      <c r="G340" s="48"/>
      <c r="H340" s="48"/>
      <c r="I340" s="48"/>
      <c r="J340" s="48"/>
      <c r="K340" s="48"/>
      <c r="L340" s="48"/>
      <c r="M340" s="48"/>
      <c r="N340" s="75"/>
      <c r="O340" s="48"/>
      <c r="P340" s="35"/>
      <c r="Q340" s="35"/>
      <c r="R340" s="35"/>
      <c r="S340" s="35"/>
      <c r="T340" s="35"/>
      <c r="U340" s="35"/>
      <c r="V340" s="35"/>
      <c r="W340" s="35"/>
      <c r="X340" s="35"/>
      <c r="Y340" s="35"/>
      <c r="Z340" s="35"/>
    </row>
    <row r="341" ht="15.75" customHeight="1">
      <c r="A341" s="48"/>
      <c r="B341" s="48"/>
      <c r="C341" s="26" t="str">
        <f t="array" ref="C341">IF($B341="","",INDEX('Gap reference'!$C$2:$C$60,MATCH($B341,'Gap reference'!$A$2:$A$60,0)))</f>
        <v/>
      </c>
      <c r="D341" s="26" t="str">
        <f t="array" ref="D341">IF($B341="","",INDEX('Gap reference'!$D$2:$D$60,MATCH($B341,'Gap reference'!$A$2:$A$60,0)))</f>
        <v/>
      </c>
      <c r="E341" s="26" t="str">
        <f t="array" ref="E341">IF($B341="","",INDEX('Gap reference'!$G$2:$G$60,MATCH($B341,'Gap reference'!$A$2:$A$60,0)))</f>
        <v/>
      </c>
      <c r="F341" s="48"/>
      <c r="G341" s="48"/>
      <c r="H341" s="48"/>
      <c r="I341" s="48"/>
      <c r="J341" s="48"/>
      <c r="K341" s="48"/>
      <c r="L341" s="48"/>
      <c r="M341" s="48"/>
      <c r="N341" s="75"/>
      <c r="O341" s="48"/>
      <c r="P341" s="35"/>
      <c r="Q341" s="35"/>
      <c r="R341" s="35"/>
      <c r="S341" s="35"/>
      <c r="T341" s="35"/>
      <c r="U341" s="35"/>
      <c r="V341" s="35"/>
      <c r="W341" s="35"/>
      <c r="X341" s="35"/>
      <c r="Y341" s="35"/>
      <c r="Z341" s="35"/>
    </row>
    <row r="342" ht="15.75" customHeight="1">
      <c r="A342" s="48"/>
      <c r="B342" s="48"/>
      <c r="C342" s="26" t="str">
        <f t="array" ref="C342">IF($B342="","",INDEX('Gap reference'!$C$2:$C$60,MATCH($B342,'Gap reference'!$A$2:$A$60,0)))</f>
        <v/>
      </c>
      <c r="D342" s="26" t="str">
        <f t="array" ref="D342">IF($B342="","",INDEX('Gap reference'!$D$2:$D$60,MATCH($B342,'Gap reference'!$A$2:$A$60,0)))</f>
        <v/>
      </c>
      <c r="E342" s="26" t="str">
        <f t="array" ref="E342">IF($B342="","",INDEX('Gap reference'!$G$2:$G$60,MATCH($B342,'Gap reference'!$A$2:$A$60,0)))</f>
        <v/>
      </c>
      <c r="F342" s="48"/>
      <c r="G342" s="48"/>
      <c r="H342" s="48"/>
      <c r="I342" s="48"/>
      <c r="J342" s="48"/>
      <c r="K342" s="48"/>
      <c r="L342" s="48"/>
      <c r="M342" s="48"/>
      <c r="N342" s="75"/>
      <c r="O342" s="48"/>
      <c r="P342" s="35"/>
      <c r="Q342" s="35"/>
      <c r="R342" s="35"/>
      <c r="S342" s="35"/>
      <c r="T342" s="35"/>
      <c r="U342" s="35"/>
      <c r="V342" s="35"/>
      <c r="W342" s="35"/>
      <c r="X342" s="35"/>
      <c r="Y342" s="35"/>
      <c r="Z342" s="35"/>
    </row>
    <row r="343" ht="15.75" customHeight="1">
      <c r="A343" s="48"/>
      <c r="B343" s="48"/>
      <c r="C343" s="26" t="str">
        <f t="array" ref="C343">IF($B343="","",INDEX('Gap reference'!$C$2:$C$60,MATCH($B343,'Gap reference'!$A$2:$A$60,0)))</f>
        <v/>
      </c>
      <c r="D343" s="26" t="str">
        <f t="array" ref="D343">IF($B343="","",INDEX('Gap reference'!$D$2:$D$60,MATCH($B343,'Gap reference'!$A$2:$A$60,0)))</f>
        <v/>
      </c>
      <c r="E343" s="26" t="str">
        <f t="array" ref="E343">IF($B343="","",INDEX('Gap reference'!$G$2:$G$60,MATCH($B343,'Gap reference'!$A$2:$A$60,0)))</f>
        <v/>
      </c>
      <c r="F343" s="48"/>
      <c r="G343" s="48"/>
      <c r="H343" s="48"/>
      <c r="I343" s="48"/>
      <c r="J343" s="48"/>
      <c r="K343" s="48"/>
      <c r="L343" s="48"/>
      <c r="M343" s="48"/>
      <c r="N343" s="75"/>
      <c r="O343" s="48"/>
      <c r="P343" s="35"/>
      <c r="Q343" s="35"/>
      <c r="R343" s="35"/>
      <c r="S343" s="35"/>
      <c r="T343" s="35"/>
      <c r="U343" s="35"/>
      <c r="V343" s="35"/>
      <c r="W343" s="35"/>
      <c r="X343" s="35"/>
      <c r="Y343" s="35"/>
      <c r="Z343" s="35"/>
    </row>
    <row r="344" ht="15.75" customHeight="1">
      <c r="A344" s="48"/>
      <c r="B344" s="48"/>
      <c r="C344" s="26" t="str">
        <f t="array" ref="C344">IF($B344="","",INDEX('Gap reference'!$C$2:$C$60,MATCH($B344,'Gap reference'!$A$2:$A$60,0)))</f>
        <v/>
      </c>
      <c r="D344" s="26" t="str">
        <f t="array" ref="D344">IF($B344="","",INDEX('Gap reference'!$D$2:$D$60,MATCH($B344,'Gap reference'!$A$2:$A$60,0)))</f>
        <v/>
      </c>
      <c r="E344" s="26" t="str">
        <f t="array" ref="E344">IF($B344="","",INDEX('Gap reference'!$G$2:$G$60,MATCH($B344,'Gap reference'!$A$2:$A$60,0)))</f>
        <v/>
      </c>
      <c r="F344" s="48"/>
      <c r="G344" s="48"/>
      <c r="H344" s="48"/>
      <c r="I344" s="48"/>
      <c r="J344" s="48"/>
      <c r="K344" s="48"/>
      <c r="L344" s="48"/>
      <c r="M344" s="48"/>
      <c r="N344" s="75"/>
      <c r="O344" s="48"/>
      <c r="P344" s="35"/>
      <c r="Q344" s="35"/>
      <c r="R344" s="35"/>
      <c r="S344" s="35"/>
      <c r="T344" s="35"/>
      <c r="U344" s="35"/>
      <c r="V344" s="35"/>
      <c r="W344" s="35"/>
      <c r="X344" s="35"/>
      <c r="Y344" s="35"/>
      <c r="Z344" s="35"/>
    </row>
    <row r="345" ht="15.75" customHeight="1">
      <c r="A345" s="48"/>
      <c r="B345" s="48"/>
      <c r="C345" s="26" t="str">
        <f t="array" ref="C345">IF($B345="","",INDEX('Gap reference'!$C$2:$C$60,MATCH($B345,'Gap reference'!$A$2:$A$60,0)))</f>
        <v/>
      </c>
      <c r="D345" s="26" t="str">
        <f t="array" ref="D345">IF($B345="","",INDEX('Gap reference'!$D$2:$D$60,MATCH($B345,'Gap reference'!$A$2:$A$60,0)))</f>
        <v/>
      </c>
      <c r="E345" s="26" t="str">
        <f t="array" ref="E345">IF($B345="","",INDEX('Gap reference'!$G$2:$G$60,MATCH($B345,'Gap reference'!$A$2:$A$60,0)))</f>
        <v/>
      </c>
      <c r="F345" s="48"/>
      <c r="G345" s="48"/>
      <c r="H345" s="48"/>
      <c r="I345" s="48"/>
      <c r="J345" s="48"/>
      <c r="K345" s="48"/>
      <c r="L345" s="48"/>
      <c r="M345" s="48"/>
      <c r="N345" s="75"/>
      <c r="O345" s="48"/>
      <c r="P345" s="35"/>
      <c r="Q345" s="35"/>
      <c r="R345" s="35"/>
      <c r="S345" s="35"/>
      <c r="T345" s="35"/>
      <c r="U345" s="35"/>
      <c r="V345" s="35"/>
      <c r="W345" s="35"/>
      <c r="X345" s="35"/>
      <c r="Y345" s="35"/>
      <c r="Z345" s="35"/>
    </row>
    <row r="346" ht="15.75" customHeight="1">
      <c r="A346" s="48"/>
      <c r="B346" s="48"/>
      <c r="C346" s="26" t="str">
        <f t="array" ref="C346">IF($B346="","",INDEX('Gap reference'!$C$2:$C$60,MATCH($B346,'Gap reference'!$A$2:$A$60,0)))</f>
        <v/>
      </c>
      <c r="D346" s="26" t="str">
        <f t="array" ref="D346">IF($B346="","",INDEX('Gap reference'!$D$2:$D$60,MATCH($B346,'Gap reference'!$A$2:$A$60,0)))</f>
        <v/>
      </c>
      <c r="E346" s="26" t="str">
        <f t="array" ref="E346">IF($B346="","",INDEX('Gap reference'!$G$2:$G$60,MATCH($B346,'Gap reference'!$A$2:$A$60,0)))</f>
        <v/>
      </c>
      <c r="F346" s="48"/>
      <c r="G346" s="48"/>
      <c r="H346" s="48"/>
      <c r="I346" s="48"/>
      <c r="J346" s="48"/>
      <c r="K346" s="48"/>
      <c r="L346" s="48"/>
      <c r="M346" s="48"/>
      <c r="N346" s="75"/>
      <c r="O346" s="48"/>
      <c r="P346" s="35"/>
      <c r="Q346" s="35"/>
      <c r="R346" s="35"/>
      <c r="S346" s="35"/>
      <c r="T346" s="35"/>
      <c r="U346" s="35"/>
      <c r="V346" s="35"/>
      <c r="W346" s="35"/>
      <c r="X346" s="35"/>
      <c r="Y346" s="35"/>
      <c r="Z346" s="35"/>
    </row>
    <row r="347" ht="15.75" customHeight="1">
      <c r="A347" s="48"/>
      <c r="B347" s="48"/>
      <c r="C347" s="26" t="str">
        <f t="array" ref="C347">IF($B347="","",INDEX('Gap reference'!$C$2:$C$60,MATCH($B347,'Gap reference'!$A$2:$A$60,0)))</f>
        <v/>
      </c>
      <c r="D347" s="26" t="str">
        <f t="array" ref="D347">IF($B347="","",INDEX('Gap reference'!$D$2:$D$60,MATCH($B347,'Gap reference'!$A$2:$A$60,0)))</f>
        <v/>
      </c>
      <c r="E347" s="26" t="str">
        <f t="array" ref="E347">IF($B347="","",INDEX('Gap reference'!$G$2:$G$60,MATCH($B347,'Gap reference'!$A$2:$A$60,0)))</f>
        <v/>
      </c>
      <c r="F347" s="48"/>
      <c r="G347" s="48"/>
      <c r="H347" s="48"/>
      <c r="I347" s="48"/>
      <c r="J347" s="48"/>
      <c r="K347" s="48"/>
      <c r="L347" s="48"/>
      <c r="M347" s="48"/>
      <c r="N347" s="75"/>
      <c r="O347" s="48"/>
      <c r="P347" s="35"/>
      <c r="Q347" s="35"/>
      <c r="R347" s="35"/>
      <c r="S347" s="35"/>
      <c r="T347" s="35"/>
      <c r="U347" s="35"/>
      <c r="V347" s="35"/>
      <c r="W347" s="35"/>
      <c r="X347" s="35"/>
      <c r="Y347" s="35"/>
      <c r="Z347" s="35"/>
    </row>
    <row r="348" ht="15.75" customHeight="1">
      <c r="A348" s="48"/>
      <c r="B348" s="48"/>
      <c r="C348" s="26" t="str">
        <f t="array" ref="C348">IF($B348="","",INDEX('Gap reference'!$C$2:$C$60,MATCH($B348,'Gap reference'!$A$2:$A$60,0)))</f>
        <v/>
      </c>
      <c r="D348" s="26" t="str">
        <f t="array" ref="D348">IF($B348="","",INDEX('Gap reference'!$D$2:$D$60,MATCH($B348,'Gap reference'!$A$2:$A$60,0)))</f>
        <v/>
      </c>
      <c r="E348" s="26" t="str">
        <f t="array" ref="E348">IF($B348="","",INDEX('Gap reference'!$G$2:$G$60,MATCH($B348,'Gap reference'!$A$2:$A$60,0)))</f>
        <v/>
      </c>
      <c r="F348" s="48"/>
      <c r="G348" s="48"/>
      <c r="H348" s="48"/>
      <c r="I348" s="48"/>
      <c r="J348" s="48"/>
      <c r="K348" s="48"/>
      <c r="L348" s="48"/>
      <c r="M348" s="48"/>
      <c r="N348" s="75"/>
      <c r="O348" s="48"/>
      <c r="P348" s="35"/>
      <c r="Q348" s="35"/>
      <c r="R348" s="35"/>
      <c r="S348" s="35"/>
      <c r="T348" s="35"/>
      <c r="U348" s="35"/>
      <c r="V348" s="35"/>
      <c r="W348" s="35"/>
      <c r="X348" s="35"/>
      <c r="Y348" s="35"/>
      <c r="Z348" s="35"/>
    </row>
    <row r="349" ht="15.75" customHeight="1">
      <c r="A349" s="48"/>
      <c r="B349" s="48"/>
      <c r="C349" s="26" t="str">
        <f t="array" ref="C349">IF($B349="","",INDEX('Gap reference'!$C$2:$C$60,MATCH($B349,'Gap reference'!$A$2:$A$60,0)))</f>
        <v/>
      </c>
      <c r="D349" s="26" t="str">
        <f t="array" ref="D349">IF($B349="","",INDEX('Gap reference'!$D$2:$D$60,MATCH($B349,'Gap reference'!$A$2:$A$60,0)))</f>
        <v/>
      </c>
      <c r="E349" s="26" t="str">
        <f t="array" ref="E349">IF($B349="","",INDEX('Gap reference'!$G$2:$G$60,MATCH($B349,'Gap reference'!$A$2:$A$60,0)))</f>
        <v/>
      </c>
      <c r="F349" s="48"/>
      <c r="G349" s="48"/>
      <c r="H349" s="48"/>
      <c r="I349" s="48"/>
      <c r="J349" s="48"/>
      <c r="K349" s="48"/>
      <c r="L349" s="48"/>
      <c r="M349" s="48"/>
      <c r="N349" s="75"/>
      <c r="O349" s="48"/>
      <c r="P349" s="35"/>
      <c r="Q349" s="35"/>
      <c r="R349" s="35"/>
      <c r="S349" s="35"/>
      <c r="T349" s="35"/>
      <c r="U349" s="35"/>
      <c r="V349" s="35"/>
      <c r="W349" s="35"/>
      <c r="X349" s="35"/>
      <c r="Y349" s="35"/>
      <c r="Z349" s="35"/>
    </row>
    <row r="350" ht="15.75" customHeight="1">
      <c r="A350" s="48"/>
      <c r="B350" s="48"/>
      <c r="C350" s="26" t="str">
        <f t="array" ref="C350">IF($B350="","",INDEX('Gap reference'!$C$2:$C$60,MATCH($B350,'Gap reference'!$A$2:$A$60,0)))</f>
        <v/>
      </c>
      <c r="D350" s="26" t="str">
        <f t="array" ref="D350">IF($B350="","",INDEX('Gap reference'!$D$2:$D$60,MATCH($B350,'Gap reference'!$A$2:$A$60,0)))</f>
        <v/>
      </c>
      <c r="E350" s="26" t="str">
        <f t="array" ref="E350">IF($B350="","",INDEX('Gap reference'!$G$2:$G$60,MATCH($B350,'Gap reference'!$A$2:$A$60,0)))</f>
        <v/>
      </c>
      <c r="F350" s="48"/>
      <c r="G350" s="48"/>
      <c r="H350" s="48"/>
      <c r="I350" s="48"/>
      <c r="J350" s="48"/>
      <c r="K350" s="48"/>
      <c r="L350" s="48"/>
      <c r="M350" s="48"/>
      <c r="N350" s="75"/>
      <c r="O350" s="48"/>
      <c r="P350" s="35"/>
      <c r="Q350" s="35"/>
      <c r="R350" s="35"/>
      <c r="S350" s="35"/>
      <c r="T350" s="35"/>
      <c r="U350" s="35"/>
      <c r="V350" s="35"/>
      <c r="W350" s="35"/>
      <c r="X350" s="35"/>
      <c r="Y350" s="35"/>
      <c r="Z350" s="35"/>
    </row>
    <row r="351" ht="15.75" customHeight="1">
      <c r="A351" s="48"/>
      <c r="B351" s="48"/>
      <c r="C351" s="26" t="str">
        <f t="array" ref="C351">IF($B351="","",INDEX('Gap reference'!$C$2:$C$60,MATCH($B351,'Gap reference'!$A$2:$A$60,0)))</f>
        <v/>
      </c>
      <c r="D351" s="26" t="str">
        <f t="array" ref="D351">IF($B351="","",INDEX('Gap reference'!$D$2:$D$60,MATCH($B351,'Gap reference'!$A$2:$A$60,0)))</f>
        <v/>
      </c>
      <c r="E351" s="26" t="str">
        <f t="array" ref="E351">IF($B351="","",INDEX('Gap reference'!$G$2:$G$60,MATCH($B351,'Gap reference'!$A$2:$A$60,0)))</f>
        <v/>
      </c>
      <c r="F351" s="48"/>
      <c r="G351" s="48"/>
      <c r="H351" s="48"/>
      <c r="I351" s="48"/>
      <c r="J351" s="48"/>
      <c r="K351" s="48"/>
      <c r="L351" s="48"/>
      <c r="M351" s="48"/>
      <c r="N351" s="75"/>
      <c r="O351" s="48"/>
      <c r="P351" s="35"/>
      <c r="Q351" s="35"/>
      <c r="R351" s="35"/>
      <c r="S351" s="35"/>
      <c r="T351" s="35"/>
      <c r="U351" s="35"/>
      <c r="V351" s="35"/>
      <c r="W351" s="35"/>
      <c r="X351" s="35"/>
      <c r="Y351" s="35"/>
      <c r="Z351" s="35"/>
    </row>
    <row r="352" ht="15.75" customHeight="1">
      <c r="A352" s="48"/>
      <c r="B352" s="48"/>
      <c r="C352" s="26" t="str">
        <f t="array" ref="C352">IF($B352="","",INDEX('Gap reference'!$C$2:$C$60,MATCH($B352,'Gap reference'!$A$2:$A$60,0)))</f>
        <v/>
      </c>
      <c r="D352" s="26" t="str">
        <f t="array" ref="D352">IF($B352="","",INDEX('Gap reference'!$D$2:$D$60,MATCH($B352,'Gap reference'!$A$2:$A$60,0)))</f>
        <v/>
      </c>
      <c r="E352" s="26" t="str">
        <f t="array" ref="E352">IF($B352="","",INDEX('Gap reference'!$G$2:$G$60,MATCH($B352,'Gap reference'!$A$2:$A$60,0)))</f>
        <v/>
      </c>
      <c r="F352" s="48"/>
      <c r="G352" s="48"/>
      <c r="H352" s="48"/>
      <c r="I352" s="48"/>
      <c r="J352" s="48"/>
      <c r="K352" s="48"/>
      <c r="L352" s="48"/>
      <c r="M352" s="48"/>
      <c r="N352" s="75"/>
      <c r="O352" s="48"/>
      <c r="P352" s="35"/>
      <c r="Q352" s="35"/>
      <c r="R352" s="35"/>
      <c r="S352" s="35"/>
      <c r="T352" s="35"/>
      <c r="U352" s="35"/>
      <c r="V352" s="35"/>
      <c r="W352" s="35"/>
      <c r="X352" s="35"/>
      <c r="Y352" s="35"/>
      <c r="Z352" s="35"/>
    </row>
    <row r="353" ht="15.75" customHeight="1">
      <c r="A353" s="48"/>
      <c r="B353" s="48"/>
      <c r="C353" s="26" t="str">
        <f t="array" ref="C353">IF($B353="","",INDEX('Gap reference'!$C$2:$C$60,MATCH($B353,'Gap reference'!$A$2:$A$60,0)))</f>
        <v/>
      </c>
      <c r="D353" s="26" t="str">
        <f t="array" ref="D353">IF($B353="","",INDEX('Gap reference'!$D$2:$D$60,MATCH($B353,'Gap reference'!$A$2:$A$60,0)))</f>
        <v/>
      </c>
      <c r="E353" s="26" t="str">
        <f t="array" ref="E353">IF($B353="","",INDEX('Gap reference'!$G$2:$G$60,MATCH($B353,'Gap reference'!$A$2:$A$60,0)))</f>
        <v/>
      </c>
      <c r="F353" s="48"/>
      <c r="G353" s="48"/>
      <c r="H353" s="48"/>
      <c r="I353" s="48"/>
      <c r="J353" s="48"/>
      <c r="K353" s="48"/>
      <c r="L353" s="48"/>
      <c r="M353" s="48"/>
      <c r="N353" s="75"/>
      <c r="O353" s="48"/>
      <c r="P353" s="35"/>
      <c r="Q353" s="35"/>
      <c r="R353" s="35"/>
      <c r="S353" s="35"/>
      <c r="T353" s="35"/>
      <c r="U353" s="35"/>
      <c r="V353" s="35"/>
      <c r="W353" s="35"/>
      <c r="X353" s="35"/>
      <c r="Y353" s="35"/>
      <c r="Z353" s="35"/>
    </row>
    <row r="354" ht="15.75" customHeight="1">
      <c r="A354" s="48"/>
      <c r="B354" s="48"/>
      <c r="C354" s="26" t="str">
        <f t="array" ref="C354">IF($B354="","",INDEX('Gap reference'!$C$2:$C$60,MATCH($B354,'Gap reference'!$A$2:$A$60,0)))</f>
        <v/>
      </c>
      <c r="D354" s="26" t="str">
        <f t="array" ref="D354">IF($B354="","",INDEX('Gap reference'!$D$2:$D$60,MATCH($B354,'Gap reference'!$A$2:$A$60,0)))</f>
        <v/>
      </c>
      <c r="E354" s="26" t="str">
        <f t="array" ref="E354">IF($B354="","",INDEX('Gap reference'!$G$2:$G$60,MATCH($B354,'Gap reference'!$A$2:$A$60,0)))</f>
        <v/>
      </c>
      <c r="F354" s="48"/>
      <c r="G354" s="48"/>
      <c r="H354" s="48"/>
      <c r="I354" s="48"/>
      <c r="J354" s="48"/>
      <c r="K354" s="48"/>
      <c r="L354" s="48"/>
      <c r="M354" s="48"/>
      <c r="N354" s="75"/>
      <c r="O354" s="48"/>
      <c r="P354" s="35"/>
      <c r="Q354" s="35"/>
      <c r="R354" s="35"/>
      <c r="S354" s="35"/>
      <c r="T354" s="35"/>
      <c r="U354" s="35"/>
      <c r="V354" s="35"/>
      <c r="W354" s="35"/>
      <c r="X354" s="35"/>
      <c r="Y354" s="35"/>
      <c r="Z354" s="35"/>
    </row>
    <row r="355" ht="15.75" customHeight="1">
      <c r="A355" s="48"/>
      <c r="B355" s="48"/>
      <c r="C355" s="26" t="str">
        <f t="array" ref="C355">IF($B355="","",INDEX('Gap reference'!$C$2:$C$60,MATCH($B355,'Gap reference'!$A$2:$A$60,0)))</f>
        <v/>
      </c>
      <c r="D355" s="26" t="str">
        <f t="array" ref="D355">IF($B355="","",INDEX('Gap reference'!$D$2:$D$60,MATCH($B355,'Gap reference'!$A$2:$A$60,0)))</f>
        <v/>
      </c>
      <c r="E355" s="26" t="str">
        <f t="array" ref="E355">IF($B355="","",INDEX('Gap reference'!$G$2:$G$60,MATCH($B355,'Gap reference'!$A$2:$A$60,0)))</f>
        <v/>
      </c>
      <c r="F355" s="48"/>
      <c r="G355" s="48"/>
      <c r="H355" s="48"/>
      <c r="I355" s="48"/>
      <c r="J355" s="48"/>
      <c r="K355" s="48"/>
      <c r="L355" s="48"/>
      <c r="M355" s="48"/>
      <c r="N355" s="75"/>
      <c r="O355" s="48"/>
      <c r="P355" s="35"/>
      <c r="Q355" s="35"/>
      <c r="R355" s="35"/>
      <c r="S355" s="35"/>
      <c r="T355" s="35"/>
      <c r="U355" s="35"/>
      <c r="V355" s="35"/>
      <c r="W355" s="35"/>
      <c r="X355" s="35"/>
      <c r="Y355" s="35"/>
      <c r="Z355" s="35"/>
    </row>
    <row r="356" ht="15.75" customHeight="1">
      <c r="A356" s="48"/>
      <c r="B356" s="48"/>
      <c r="C356" s="26" t="str">
        <f t="array" ref="C356">IF($B356="","",INDEX('Gap reference'!$C$2:$C$60,MATCH($B356,'Gap reference'!$A$2:$A$60,0)))</f>
        <v/>
      </c>
      <c r="D356" s="26" t="str">
        <f t="array" ref="D356">IF($B356="","",INDEX('Gap reference'!$D$2:$D$60,MATCH($B356,'Gap reference'!$A$2:$A$60,0)))</f>
        <v/>
      </c>
      <c r="E356" s="26" t="str">
        <f t="array" ref="E356">IF($B356="","",INDEX('Gap reference'!$G$2:$G$60,MATCH($B356,'Gap reference'!$A$2:$A$60,0)))</f>
        <v/>
      </c>
      <c r="F356" s="48"/>
      <c r="G356" s="48"/>
      <c r="H356" s="48"/>
      <c r="I356" s="48"/>
      <c r="J356" s="48"/>
      <c r="K356" s="48"/>
      <c r="L356" s="48"/>
      <c r="M356" s="48"/>
      <c r="N356" s="75"/>
      <c r="O356" s="48"/>
      <c r="P356" s="35"/>
      <c r="Q356" s="35"/>
      <c r="R356" s="35"/>
      <c r="S356" s="35"/>
      <c r="T356" s="35"/>
      <c r="U356" s="35"/>
      <c r="V356" s="35"/>
      <c r="W356" s="35"/>
      <c r="X356" s="35"/>
      <c r="Y356" s="35"/>
      <c r="Z356" s="35"/>
    </row>
    <row r="357" ht="15.75" customHeight="1">
      <c r="A357" s="48"/>
      <c r="B357" s="48"/>
      <c r="C357" s="26" t="str">
        <f t="array" ref="C357">IF($B357="","",INDEX('Gap reference'!$C$2:$C$60,MATCH($B357,'Gap reference'!$A$2:$A$60,0)))</f>
        <v/>
      </c>
      <c r="D357" s="26" t="str">
        <f t="array" ref="D357">IF($B357="","",INDEX('Gap reference'!$D$2:$D$60,MATCH($B357,'Gap reference'!$A$2:$A$60,0)))</f>
        <v/>
      </c>
      <c r="E357" s="26" t="str">
        <f t="array" ref="E357">IF($B357="","",INDEX('Gap reference'!$G$2:$G$60,MATCH($B357,'Gap reference'!$A$2:$A$60,0)))</f>
        <v/>
      </c>
      <c r="F357" s="48"/>
      <c r="G357" s="48"/>
      <c r="H357" s="48"/>
      <c r="I357" s="48"/>
      <c r="J357" s="48"/>
      <c r="K357" s="48"/>
      <c r="L357" s="48"/>
      <c r="M357" s="48"/>
      <c r="N357" s="75"/>
      <c r="O357" s="48"/>
      <c r="P357" s="35"/>
      <c r="Q357" s="35"/>
      <c r="R357" s="35"/>
      <c r="S357" s="35"/>
      <c r="T357" s="35"/>
      <c r="U357" s="35"/>
      <c r="V357" s="35"/>
      <c r="W357" s="35"/>
      <c r="X357" s="35"/>
      <c r="Y357" s="35"/>
      <c r="Z357" s="35"/>
    </row>
    <row r="358" ht="15.75" customHeight="1">
      <c r="A358" s="48"/>
      <c r="B358" s="48"/>
      <c r="C358" s="26" t="str">
        <f t="array" ref="C358">IF($B358="","",INDEX('Gap reference'!$C$2:$C$60,MATCH($B358,'Gap reference'!$A$2:$A$60,0)))</f>
        <v/>
      </c>
      <c r="D358" s="26" t="str">
        <f t="array" ref="D358">IF($B358="","",INDEX('Gap reference'!$D$2:$D$60,MATCH($B358,'Gap reference'!$A$2:$A$60,0)))</f>
        <v/>
      </c>
      <c r="E358" s="26" t="str">
        <f t="array" ref="E358">IF($B358="","",INDEX('Gap reference'!$G$2:$G$60,MATCH($B358,'Gap reference'!$A$2:$A$60,0)))</f>
        <v/>
      </c>
      <c r="F358" s="48"/>
      <c r="G358" s="48"/>
      <c r="H358" s="48"/>
      <c r="I358" s="48"/>
      <c r="J358" s="48"/>
      <c r="K358" s="48"/>
      <c r="L358" s="48"/>
      <c r="M358" s="48"/>
      <c r="N358" s="75"/>
      <c r="O358" s="48"/>
      <c r="P358" s="35"/>
      <c r="Q358" s="35"/>
      <c r="R358" s="35"/>
      <c r="S358" s="35"/>
      <c r="T358" s="35"/>
      <c r="U358" s="35"/>
      <c r="V358" s="35"/>
      <c r="W358" s="35"/>
      <c r="X358" s="35"/>
      <c r="Y358" s="35"/>
      <c r="Z358" s="35"/>
    </row>
    <row r="359" ht="15.75" customHeight="1">
      <c r="A359" s="48"/>
      <c r="B359" s="48"/>
      <c r="C359" s="26" t="str">
        <f t="array" ref="C359">IF($B359="","",INDEX('Gap reference'!$C$2:$C$60,MATCH($B359,'Gap reference'!$A$2:$A$60,0)))</f>
        <v/>
      </c>
      <c r="D359" s="26" t="str">
        <f t="array" ref="D359">IF($B359="","",INDEX('Gap reference'!$D$2:$D$60,MATCH($B359,'Gap reference'!$A$2:$A$60,0)))</f>
        <v/>
      </c>
      <c r="E359" s="26" t="str">
        <f t="array" ref="E359">IF($B359="","",INDEX('Gap reference'!$G$2:$G$60,MATCH($B359,'Gap reference'!$A$2:$A$60,0)))</f>
        <v/>
      </c>
      <c r="F359" s="48"/>
      <c r="G359" s="48"/>
      <c r="H359" s="48"/>
      <c r="I359" s="48"/>
      <c r="J359" s="48"/>
      <c r="K359" s="48"/>
      <c r="L359" s="48"/>
      <c r="M359" s="48"/>
      <c r="N359" s="75"/>
      <c r="O359" s="48"/>
      <c r="P359" s="35"/>
      <c r="Q359" s="35"/>
      <c r="R359" s="35"/>
      <c r="S359" s="35"/>
      <c r="T359" s="35"/>
      <c r="U359" s="35"/>
      <c r="V359" s="35"/>
      <c r="W359" s="35"/>
      <c r="X359" s="35"/>
      <c r="Y359" s="35"/>
      <c r="Z359" s="35"/>
    </row>
    <row r="360" ht="15.75" customHeight="1">
      <c r="A360" s="48"/>
      <c r="B360" s="48"/>
      <c r="C360" s="26" t="str">
        <f t="array" ref="C360">IF($B360="","",INDEX('Gap reference'!$C$2:$C$60,MATCH($B360,'Gap reference'!$A$2:$A$60,0)))</f>
        <v/>
      </c>
      <c r="D360" s="26" t="str">
        <f t="array" ref="D360">IF($B360="","",INDEX('Gap reference'!$D$2:$D$60,MATCH($B360,'Gap reference'!$A$2:$A$60,0)))</f>
        <v/>
      </c>
      <c r="E360" s="26" t="str">
        <f t="array" ref="E360">IF($B360="","",INDEX('Gap reference'!$G$2:$G$60,MATCH($B360,'Gap reference'!$A$2:$A$60,0)))</f>
        <v/>
      </c>
      <c r="F360" s="48"/>
      <c r="G360" s="48"/>
      <c r="H360" s="48"/>
      <c r="I360" s="48"/>
      <c r="J360" s="48"/>
      <c r="K360" s="48"/>
      <c r="L360" s="48"/>
      <c r="M360" s="48"/>
      <c r="N360" s="75"/>
      <c r="O360" s="48"/>
      <c r="P360" s="35"/>
      <c r="Q360" s="35"/>
      <c r="R360" s="35"/>
      <c r="S360" s="35"/>
      <c r="T360" s="35"/>
      <c r="U360" s="35"/>
      <c r="V360" s="35"/>
      <c r="W360" s="35"/>
      <c r="X360" s="35"/>
      <c r="Y360" s="35"/>
      <c r="Z360" s="35"/>
    </row>
    <row r="361" ht="15.75" customHeight="1">
      <c r="A361" s="48"/>
      <c r="B361" s="48"/>
      <c r="C361" s="26" t="str">
        <f t="array" ref="C361">IF($B361="","",INDEX('Gap reference'!$C$2:$C$60,MATCH($B361,'Gap reference'!$A$2:$A$60,0)))</f>
        <v/>
      </c>
      <c r="D361" s="26" t="str">
        <f t="array" ref="D361">IF($B361="","",INDEX('Gap reference'!$D$2:$D$60,MATCH($B361,'Gap reference'!$A$2:$A$60,0)))</f>
        <v/>
      </c>
      <c r="E361" s="26" t="str">
        <f t="array" ref="E361">IF($B361="","",INDEX('Gap reference'!$G$2:$G$60,MATCH($B361,'Gap reference'!$A$2:$A$60,0)))</f>
        <v/>
      </c>
      <c r="F361" s="48"/>
      <c r="G361" s="48"/>
      <c r="H361" s="48"/>
      <c r="I361" s="48"/>
      <c r="J361" s="48"/>
      <c r="K361" s="48"/>
      <c r="L361" s="48"/>
      <c r="M361" s="48"/>
      <c r="N361" s="75"/>
      <c r="O361" s="48"/>
      <c r="P361" s="35"/>
      <c r="Q361" s="35"/>
      <c r="R361" s="35"/>
      <c r="S361" s="35"/>
      <c r="T361" s="35"/>
      <c r="U361" s="35"/>
      <c r="V361" s="35"/>
      <c r="W361" s="35"/>
      <c r="X361" s="35"/>
      <c r="Y361" s="35"/>
      <c r="Z361" s="35"/>
    </row>
    <row r="362" ht="15.75" customHeight="1">
      <c r="A362" s="48"/>
      <c r="B362" s="48"/>
      <c r="C362" s="26" t="str">
        <f t="array" ref="C362">IF($B362="","",INDEX('Gap reference'!$C$2:$C$60,MATCH($B362,'Gap reference'!$A$2:$A$60,0)))</f>
        <v/>
      </c>
      <c r="D362" s="26" t="str">
        <f t="array" ref="D362">IF($B362="","",INDEX('Gap reference'!$D$2:$D$60,MATCH($B362,'Gap reference'!$A$2:$A$60,0)))</f>
        <v/>
      </c>
      <c r="E362" s="26" t="str">
        <f t="array" ref="E362">IF($B362="","",INDEX('Gap reference'!$G$2:$G$60,MATCH($B362,'Gap reference'!$A$2:$A$60,0)))</f>
        <v/>
      </c>
      <c r="F362" s="48"/>
      <c r="G362" s="48"/>
      <c r="H362" s="48"/>
      <c r="I362" s="48"/>
      <c r="J362" s="48"/>
      <c r="K362" s="48"/>
      <c r="L362" s="48"/>
      <c r="M362" s="48"/>
      <c r="N362" s="75"/>
      <c r="O362" s="48"/>
      <c r="P362" s="35"/>
      <c r="Q362" s="35"/>
      <c r="R362" s="35"/>
      <c r="S362" s="35"/>
      <c r="T362" s="35"/>
      <c r="U362" s="35"/>
      <c r="V362" s="35"/>
      <c r="W362" s="35"/>
      <c r="X362" s="35"/>
      <c r="Y362" s="35"/>
      <c r="Z362" s="35"/>
    </row>
    <row r="363" ht="15.75" customHeight="1">
      <c r="A363" s="48"/>
      <c r="B363" s="48"/>
      <c r="C363" s="26" t="str">
        <f t="array" ref="C363">IF($B363="","",INDEX('Gap reference'!$C$2:$C$60,MATCH($B363,'Gap reference'!$A$2:$A$60,0)))</f>
        <v/>
      </c>
      <c r="D363" s="26" t="str">
        <f t="array" ref="D363">IF($B363="","",INDEX('Gap reference'!$D$2:$D$60,MATCH($B363,'Gap reference'!$A$2:$A$60,0)))</f>
        <v/>
      </c>
      <c r="E363" s="26" t="str">
        <f t="array" ref="E363">IF($B363="","",INDEX('Gap reference'!$G$2:$G$60,MATCH($B363,'Gap reference'!$A$2:$A$60,0)))</f>
        <v/>
      </c>
      <c r="F363" s="48"/>
      <c r="G363" s="48"/>
      <c r="H363" s="48"/>
      <c r="I363" s="48"/>
      <c r="J363" s="48"/>
      <c r="K363" s="48"/>
      <c r="L363" s="48"/>
      <c r="M363" s="48"/>
      <c r="N363" s="75"/>
      <c r="O363" s="48"/>
      <c r="P363" s="35"/>
      <c r="Q363" s="35"/>
      <c r="R363" s="35"/>
      <c r="S363" s="35"/>
      <c r="T363" s="35"/>
      <c r="U363" s="35"/>
      <c r="V363" s="35"/>
      <c r="W363" s="35"/>
      <c r="X363" s="35"/>
      <c r="Y363" s="35"/>
      <c r="Z363" s="35"/>
    </row>
    <row r="364" ht="15.75" customHeight="1">
      <c r="A364" s="48"/>
      <c r="B364" s="48"/>
      <c r="C364" s="26" t="str">
        <f t="array" ref="C364">IF($B364="","",INDEX('Gap reference'!$C$2:$C$60,MATCH($B364,'Gap reference'!$A$2:$A$60,0)))</f>
        <v/>
      </c>
      <c r="D364" s="26" t="str">
        <f t="array" ref="D364">IF($B364="","",INDEX('Gap reference'!$D$2:$D$60,MATCH($B364,'Gap reference'!$A$2:$A$60,0)))</f>
        <v/>
      </c>
      <c r="E364" s="26" t="str">
        <f t="array" ref="E364">IF($B364="","",INDEX('Gap reference'!$G$2:$G$60,MATCH($B364,'Gap reference'!$A$2:$A$60,0)))</f>
        <v/>
      </c>
      <c r="F364" s="48"/>
      <c r="G364" s="48"/>
      <c r="H364" s="48"/>
      <c r="I364" s="48"/>
      <c r="J364" s="48"/>
      <c r="K364" s="48"/>
      <c r="L364" s="48"/>
      <c r="M364" s="48"/>
      <c r="N364" s="75"/>
      <c r="O364" s="48"/>
      <c r="P364" s="35"/>
      <c r="Q364" s="35"/>
      <c r="R364" s="35"/>
      <c r="S364" s="35"/>
      <c r="T364" s="35"/>
      <c r="U364" s="35"/>
      <c r="V364" s="35"/>
      <c r="W364" s="35"/>
      <c r="X364" s="35"/>
      <c r="Y364" s="35"/>
      <c r="Z364" s="35"/>
    </row>
    <row r="365" ht="15.75" customHeight="1">
      <c r="A365" s="48"/>
      <c r="B365" s="48"/>
      <c r="C365" s="26" t="str">
        <f t="array" ref="C365">IF($B365="","",INDEX('Gap reference'!$C$2:$C$60,MATCH($B365,'Gap reference'!$A$2:$A$60,0)))</f>
        <v/>
      </c>
      <c r="D365" s="26" t="str">
        <f t="array" ref="D365">IF($B365="","",INDEX('Gap reference'!$D$2:$D$60,MATCH($B365,'Gap reference'!$A$2:$A$60,0)))</f>
        <v/>
      </c>
      <c r="E365" s="26" t="str">
        <f t="array" ref="E365">IF($B365="","",INDEX('Gap reference'!$G$2:$G$60,MATCH($B365,'Gap reference'!$A$2:$A$60,0)))</f>
        <v/>
      </c>
      <c r="F365" s="48"/>
      <c r="G365" s="48"/>
      <c r="H365" s="48"/>
      <c r="I365" s="48"/>
      <c r="J365" s="48"/>
      <c r="K365" s="48"/>
      <c r="L365" s="48"/>
      <c r="M365" s="48"/>
      <c r="N365" s="75"/>
      <c r="O365" s="48"/>
      <c r="P365" s="35"/>
      <c r="Q365" s="35"/>
      <c r="R365" s="35"/>
      <c r="S365" s="35"/>
      <c r="T365" s="35"/>
      <c r="U365" s="35"/>
      <c r="V365" s="35"/>
      <c r="W365" s="35"/>
      <c r="X365" s="35"/>
      <c r="Y365" s="35"/>
      <c r="Z365" s="35"/>
    </row>
    <row r="366" ht="15.75" customHeight="1">
      <c r="A366" s="48"/>
      <c r="B366" s="48"/>
      <c r="C366" s="26" t="str">
        <f t="array" ref="C366">IF($B366="","",INDEX('Gap reference'!$C$2:$C$60,MATCH($B366,'Gap reference'!$A$2:$A$60,0)))</f>
        <v/>
      </c>
      <c r="D366" s="26" t="str">
        <f t="array" ref="D366">IF($B366="","",INDEX('Gap reference'!$D$2:$D$60,MATCH($B366,'Gap reference'!$A$2:$A$60,0)))</f>
        <v/>
      </c>
      <c r="E366" s="26" t="str">
        <f t="array" ref="E366">IF($B366="","",INDEX('Gap reference'!$G$2:$G$60,MATCH($B366,'Gap reference'!$A$2:$A$60,0)))</f>
        <v/>
      </c>
      <c r="F366" s="48"/>
      <c r="G366" s="48"/>
      <c r="H366" s="48"/>
      <c r="I366" s="48"/>
      <c r="J366" s="48"/>
      <c r="K366" s="48"/>
      <c r="L366" s="48"/>
      <c r="M366" s="48"/>
      <c r="N366" s="75"/>
      <c r="O366" s="48"/>
      <c r="P366" s="35"/>
      <c r="Q366" s="35"/>
      <c r="R366" s="35"/>
      <c r="S366" s="35"/>
      <c r="T366" s="35"/>
      <c r="U366" s="35"/>
      <c r="V366" s="35"/>
      <c r="W366" s="35"/>
      <c r="X366" s="35"/>
      <c r="Y366" s="35"/>
      <c r="Z366" s="35"/>
    </row>
    <row r="367" ht="15.75" customHeight="1">
      <c r="A367" s="48"/>
      <c r="B367" s="48"/>
      <c r="C367" s="26" t="str">
        <f t="array" ref="C367">IF($B367="","",INDEX('Gap reference'!$C$2:$C$60,MATCH($B367,'Gap reference'!$A$2:$A$60,0)))</f>
        <v/>
      </c>
      <c r="D367" s="26" t="str">
        <f t="array" ref="D367">IF($B367="","",INDEX('Gap reference'!$D$2:$D$60,MATCH($B367,'Gap reference'!$A$2:$A$60,0)))</f>
        <v/>
      </c>
      <c r="E367" s="26" t="str">
        <f t="array" ref="E367">IF($B367="","",INDEX('Gap reference'!$G$2:$G$60,MATCH($B367,'Gap reference'!$A$2:$A$60,0)))</f>
        <v/>
      </c>
      <c r="F367" s="48"/>
      <c r="G367" s="48"/>
      <c r="H367" s="48"/>
      <c r="I367" s="48"/>
      <c r="J367" s="48"/>
      <c r="K367" s="48"/>
      <c r="L367" s="48"/>
      <c r="M367" s="48"/>
      <c r="N367" s="75"/>
      <c r="O367" s="48"/>
      <c r="P367" s="35"/>
      <c r="Q367" s="35"/>
      <c r="R367" s="35"/>
      <c r="S367" s="35"/>
      <c r="T367" s="35"/>
      <c r="U367" s="35"/>
      <c r="V367" s="35"/>
      <c r="W367" s="35"/>
      <c r="X367" s="35"/>
      <c r="Y367" s="35"/>
      <c r="Z367" s="35"/>
    </row>
    <row r="368" ht="15.75" customHeight="1">
      <c r="A368" s="48"/>
      <c r="B368" s="48"/>
      <c r="C368" s="26" t="str">
        <f t="array" ref="C368">IF($B368="","",INDEX('Gap reference'!$C$2:$C$60,MATCH($B368,'Gap reference'!$A$2:$A$60,0)))</f>
        <v/>
      </c>
      <c r="D368" s="26" t="str">
        <f t="array" ref="D368">IF($B368="","",INDEX('Gap reference'!$D$2:$D$60,MATCH($B368,'Gap reference'!$A$2:$A$60,0)))</f>
        <v/>
      </c>
      <c r="E368" s="26" t="str">
        <f t="array" ref="E368">IF($B368="","",INDEX('Gap reference'!$G$2:$G$60,MATCH($B368,'Gap reference'!$A$2:$A$60,0)))</f>
        <v/>
      </c>
      <c r="F368" s="48"/>
      <c r="G368" s="48"/>
      <c r="H368" s="48"/>
      <c r="I368" s="48"/>
      <c r="J368" s="48"/>
      <c r="K368" s="48"/>
      <c r="L368" s="48"/>
      <c r="M368" s="48"/>
      <c r="N368" s="75"/>
      <c r="O368" s="48"/>
      <c r="P368" s="35"/>
      <c r="Q368" s="35"/>
      <c r="R368" s="35"/>
      <c r="S368" s="35"/>
      <c r="T368" s="35"/>
      <c r="U368" s="35"/>
      <c r="V368" s="35"/>
      <c r="W368" s="35"/>
      <c r="X368" s="35"/>
      <c r="Y368" s="35"/>
      <c r="Z368" s="35"/>
    </row>
    <row r="369" ht="15.75" customHeight="1">
      <c r="A369" s="48"/>
      <c r="B369" s="48"/>
      <c r="C369" s="26" t="str">
        <f t="array" ref="C369">IF($B369="","",INDEX('Gap reference'!$C$2:$C$60,MATCH($B369,'Gap reference'!$A$2:$A$60,0)))</f>
        <v/>
      </c>
      <c r="D369" s="26" t="str">
        <f t="array" ref="D369">IF($B369="","",INDEX('Gap reference'!$D$2:$D$60,MATCH($B369,'Gap reference'!$A$2:$A$60,0)))</f>
        <v/>
      </c>
      <c r="E369" s="26" t="str">
        <f t="array" ref="E369">IF($B369="","",INDEX('Gap reference'!$G$2:$G$60,MATCH($B369,'Gap reference'!$A$2:$A$60,0)))</f>
        <v/>
      </c>
      <c r="F369" s="48"/>
      <c r="G369" s="48"/>
      <c r="H369" s="48"/>
      <c r="I369" s="48"/>
      <c r="J369" s="48"/>
      <c r="K369" s="48"/>
      <c r="L369" s="48"/>
      <c r="M369" s="48"/>
      <c r="N369" s="75"/>
      <c r="O369" s="48"/>
      <c r="P369" s="35"/>
      <c r="Q369" s="35"/>
      <c r="R369" s="35"/>
      <c r="S369" s="35"/>
      <c r="T369" s="35"/>
      <c r="U369" s="35"/>
      <c r="V369" s="35"/>
      <c r="W369" s="35"/>
      <c r="X369" s="35"/>
      <c r="Y369" s="35"/>
      <c r="Z369" s="35"/>
    </row>
    <row r="370" ht="15.75" customHeight="1">
      <c r="A370" s="48"/>
      <c r="B370" s="48"/>
      <c r="C370" s="26" t="str">
        <f t="array" ref="C370">IF($B370="","",INDEX('Gap reference'!$C$2:$C$60,MATCH($B370,'Gap reference'!$A$2:$A$60,0)))</f>
        <v/>
      </c>
      <c r="D370" s="26" t="str">
        <f t="array" ref="D370">IF($B370="","",INDEX('Gap reference'!$D$2:$D$60,MATCH($B370,'Gap reference'!$A$2:$A$60,0)))</f>
        <v/>
      </c>
      <c r="E370" s="26" t="str">
        <f t="array" ref="E370">IF($B370="","",INDEX('Gap reference'!$G$2:$G$60,MATCH($B370,'Gap reference'!$A$2:$A$60,0)))</f>
        <v/>
      </c>
      <c r="F370" s="48"/>
      <c r="G370" s="48"/>
      <c r="H370" s="48"/>
      <c r="I370" s="48"/>
      <c r="J370" s="48"/>
      <c r="K370" s="48"/>
      <c r="L370" s="48"/>
      <c r="M370" s="48"/>
      <c r="N370" s="75"/>
      <c r="O370" s="48"/>
      <c r="P370" s="35"/>
      <c r="Q370" s="35"/>
      <c r="R370" s="35"/>
      <c r="S370" s="35"/>
      <c r="T370" s="35"/>
      <c r="U370" s="35"/>
      <c r="V370" s="35"/>
      <c r="W370" s="35"/>
      <c r="X370" s="35"/>
      <c r="Y370" s="35"/>
      <c r="Z370" s="35"/>
    </row>
    <row r="371" ht="15.75" customHeight="1">
      <c r="A371" s="48"/>
      <c r="B371" s="48"/>
      <c r="C371" s="26" t="str">
        <f t="array" ref="C371">IF($B371="","",INDEX('Gap reference'!$C$2:$C$60,MATCH($B371,'Gap reference'!$A$2:$A$60,0)))</f>
        <v/>
      </c>
      <c r="D371" s="26" t="str">
        <f t="array" ref="D371">IF($B371="","",INDEX('Gap reference'!$D$2:$D$60,MATCH($B371,'Gap reference'!$A$2:$A$60,0)))</f>
        <v/>
      </c>
      <c r="E371" s="26" t="str">
        <f t="array" ref="E371">IF($B371="","",INDEX('Gap reference'!$G$2:$G$60,MATCH($B371,'Gap reference'!$A$2:$A$60,0)))</f>
        <v/>
      </c>
      <c r="F371" s="48"/>
      <c r="G371" s="48"/>
      <c r="H371" s="48"/>
      <c r="I371" s="48"/>
      <c r="J371" s="48"/>
      <c r="K371" s="48"/>
      <c r="L371" s="48"/>
      <c r="M371" s="48"/>
      <c r="N371" s="75"/>
      <c r="O371" s="48"/>
      <c r="P371" s="35"/>
      <c r="Q371" s="35"/>
      <c r="R371" s="35"/>
      <c r="S371" s="35"/>
      <c r="T371" s="35"/>
      <c r="U371" s="35"/>
      <c r="V371" s="35"/>
      <c r="W371" s="35"/>
      <c r="X371" s="35"/>
      <c r="Y371" s="35"/>
      <c r="Z371" s="35"/>
    </row>
    <row r="372" ht="15.75" customHeight="1">
      <c r="A372" s="48"/>
      <c r="B372" s="48"/>
      <c r="C372" s="26" t="str">
        <f t="array" ref="C372">IF($B372="","",INDEX('Gap reference'!$C$2:$C$60,MATCH($B372,'Gap reference'!$A$2:$A$60,0)))</f>
        <v/>
      </c>
      <c r="D372" s="26" t="str">
        <f t="array" ref="D372">IF($B372="","",INDEX('Gap reference'!$D$2:$D$60,MATCH($B372,'Gap reference'!$A$2:$A$60,0)))</f>
        <v/>
      </c>
      <c r="E372" s="26" t="str">
        <f t="array" ref="E372">IF($B372="","",INDEX('Gap reference'!$G$2:$G$60,MATCH($B372,'Gap reference'!$A$2:$A$60,0)))</f>
        <v/>
      </c>
      <c r="F372" s="48"/>
      <c r="G372" s="48"/>
      <c r="H372" s="48"/>
      <c r="I372" s="48"/>
      <c r="J372" s="48"/>
      <c r="K372" s="48"/>
      <c r="L372" s="48"/>
      <c r="M372" s="48"/>
      <c r="N372" s="75"/>
      <c r="O372" s="48"/>
      <c r="P372" s="35"/>
      <c r="Q372" s="35"/>
      <c r="R372" s="35"/>
      <c r="S372" s="35"/>
      <c r="T372" s="35"/>
      <c r="U372" s="35"/>
      <c r="V372" s="35"/>
      <c r="W372" s="35"/>
      <c r="X372" s="35"/>
      <c r="Y372" s="35"/>
      <c r="Z372" s="35"/>
    </row>
    <row r="373" ht="15.75" customHeight="1">
      <c r="A373" s="48"/>
      <c r="B373" s="48"/>
      <c r="C373" s="26" t="str">
        <f t="array" ref="C373">IF($B373="","",INDEX('Gap reference'!$C$2:$C$60,MATCH($B373,'Gap reference'!$A$2:$A$60,0)))</f>
        <v/>
      </c>
      <c r="D373" s="26" t="str">
        <f t="array" ref="D373">IF($B373="","",INDEX('Gap reference'!$D$2:$D$60,MATCH($B373,'Gap reference'!$A$2:$A$60,0)))</f>
        <v/>
      </c>
      <c r="E373" s="26" t="str">
        <f t="array" ref="E373">IF($B373="","",INDEX('Gap reference'!$G$2:$G$60,MATCH($B373,'Gap reference'!$A$2:$A$60,0)))</f>
        <v/>
      </c>
      <c r="F373" s="48"/>
      <c r="G373" s="48"/>
      <c r="H373" s="48"/>
      <c r="I373" s="48"/>
      <c r="J373" s="48"/>
      <c r="K373" s="48"/>
      <c r="L373" s="48"/>
      <c r="M373" s="48"/>
      <c r="N373" s="75"/>
      <c r="O373" s="48"/>
      <c r="P373" s="35"/>
      <c r="Q373" s="35"/>
      <c r="R373" s="35"/>
      <c r="S373" s="35"/>
      <c r="T373" s="35"/>
      <c r="U373" s="35"/>
      <c r="V373" s="35"/>
      <c r="W373" s="35"/>
      <c r="X373" s="35"/>
      <c r="Y373" s="35"/>
      <c r="Z373" s="35"/>
    </row>
    <row r="374" ht="15.75" customHeight="1">
      <c r="A374" s="48"/>
      <c r="B374" s="48"/>
      <c r="C374" s="26" t="str">
        <f t="array" ref="C374">IF($B374="","",INDEX('Gap reference'!$C$2:$C$60,MATCH($B374,'Gap reference'!$A$2:$A$60,0)))</f>
        <v/>
      </c>
      <c r="D374" s="26" t="str">
        <f t="array" ref="D374">IF($B374="","",INDEX('Gap reference'!$D$2:$D$60,MATCH($B374,'Gap reference'!$A$2:$A$60,0)))</f>
        <v/>
      </c>
      <c r="E374" s="26" t="str">
        <f t="array" ref="E374">IF($B374="","",INDEX('Gap reference'!$G$2:$G$60,MATCH($B374,'Gap reference'!$A$2:$A$60,0)))</f>
        <v/>
      </c>
      <c r="F374" s="48"/>
      <c r="G374" s="48"/>
      <c r="H374" s="48"/>
      <c r="I374" s="48"/>
      <c r="J374" s="48"/>
      <c r="K374" s="48"/>
      <c r="L374" s="48"/>
      <c r="M374" s="48"/>
      <c r="N374" s="75"/>
      <c r="O374" s="48"/>
      <c r="P374" s="35"/>
      <c r="Q374" s="35"/>
      <c r="R374" s="35"/>
      <c r="S374" s="35"/>
      <c r="T374" s="35"/>
      <c r="U374" s="35"/>
      <c r="V374" s="35"/>
      <c r="W374" s="35"/>
      <c r="X374" s="35"/>
      <c r="Y374" s="35"/>
      <c r="Z374" s="35"/>
    </row>
    <row r="375" ht="15.75" customHeight="1">
      <c r="A375" s="48"/>
      <c r="B375" s="48"/>
      <c r="C375" s="26" t="str">
        <f t="array" ref="C375">IF($B375="","",INDEX('Gap reference'!$C$2:$C$60,MATCH($B375,'Gap reference'!$A$2:$A$60,0)))</f>
        <v/>
      </c>
      <c r="D375" s="26" t="str">
        <f t="array" ref="D375">IF($B375="","",INDEX('Gap reference'!$D$2:$D$60,MATCH($B375,'Gap reference'!$A$2:$A$60,0)))</f>
        <v/>
      </c>
      <c r="E375" s="26" t="str">
        <f t="array" ref="E375">IF($B375="","",INDEX('Gap reference'!$G$2:$G$60,MATCH($B375,'Gap reference'!$A$2:$A$60,0)))</f>
        <v/>
      </c>
      <c r="F375" s="48"/>
      <c r="G375" s="48"/>
      <c r="H375" s="48"/>
      <c r="I375" s="48"/>
      <c r="J375" s="48"/>
      <c r="K375" s="48"/>
      <c r="L375" s="48"/>
      <c r="M375" s="48"/>
      <c r="N375" s="75"/>
      <c r="O375" s="48"/>
      <c r="P375" s="35"/>
      <c r="Q375" s="35"/>
      <c r="R375" s="35"/>
      <c r="S375" s="35"/>
      <c r="T375" s="35"/>
      <c r="U375" s="35"/>
      <c r="V375" s="35"/>
      <c r="W375" s="35"/>
      <c r="X375" s="35"/>
      <c r="Y375" s="35"/>
      <c r="Z375" s="35"/>
    </row>
    <row r="376" ht="15.75" customHeight="1">
      <c r="A376" s="48"/>
      <c r="B376" s="48"/>
      <c r="C376" s="26" t="str">
        <f t="array" ref="C376">IF($B376="","",INDEX('Gap reference'!$C$2:$C$60,MATCH($B376,'Gap reference'!$A$2:$A$60,0)))</f>
        <v/>
      </c>
      <c r="D376" s="26" t="str">
        <f t="array" ref="D376">IF($B376="","",INDEX('Gap reference'!$D$2:$D$60,MATCH($B376,'Gap reference'!$A$2:$A$60,0)))</f>
        <v/>
      </c>
      <c r="E376" s="26" t="str">
        <f t="array" ref="E376">IF($B376="","",INDEX('Gap reference'!$G$2:$G$60,MATCH($B376,'Gap reference'!$A$2:$A$60,0)))</f>
        <v/>
      </c>
      <c r="F376" s="48"/>
      <c r="G376" s="48"/>
      <c r="H376" s="48"/>
      <c r="I376" s="48"/>
      <c r="J376" s="48"/>
      <c r="K376" s="48"/>
      <c r="L376" s="48"/>
      <c r="M376" s="48"/>
      <c r="N376" s="75"/>
      <c r="O376" s="48"/>
      <c r="P376" s="35"/>
      <c r="Q376" s="35"/>
      <c r="R376" s="35"/>
      <c r="S376" s="35"/>
      <c r="T376" s="35"/>
      <c r="U376" s="35"/>
      <c r="V376" s="35"/>
      <c r="W376" s="35"/>
      <c r="X376" s="35"/>
      <c r="Y376" s="35"/>
      <c r="Z376" s="35"/>
    </row>
    <row r="377" ht="15.75" customHeight="1">
      <c r="A377" s="48"/>
      <c r="B377" s="48"/>
      <c r="C377" s="26" t="str">
        <f t="array" ref="C377">IF($B377="","",INDEX('Gap reference'!$C$2:$C$60,MATCH($B377,'Gap reference'!$A$2:$A$60,0)))</f>
        <v/>
      </c>
      <c r="D377" s="26" t="str">
        <f t="array" ref="D377">IF($B377="","",INDEX('Gap reference'!$D$2:$D$60,MATCH($B377,'Gap reference'!$A$2:$A$60,0)))</f>
        <v/>
      </c>
      <c r="E377" s="26" t="str">
        <f t="array" ref="E377">IF($B377="","",INDEX('Gap reference'!$G$2:$G$60,MATCH($B377,'Gap reference'!$A$2:$A$60,0)))</f>
        <v/>
      </c>
      <c r="F377" s="48"/>
      <c r="G377" s="48"/>
      <c r="H377" s="48"/>
      <c r="I377" s="48"/>
      <c r="J377" s="48"/>
      <c r="K377" s="48"/>
      <c r="L377" s="48"/>
      <c r="M377" s="48"/>
      <c r="N377" s="75"/>
      <c r="O377" s="48"/>
      <c r="P377" s="35"/>
      <c r="Q377" s="35"/>
      <c r="R377" s="35"/>
      <c r="S377" s="35"/>
      <c r="T377" s="35"/>
      <c r="U377" s="35"/>
      <c r="V377" s="35"/>
      <c r="W377" s="35"/>
      <c r="X377" s="35"/>
      <c r="Y377" s="35"/>
      <c r="Z377" s="35"/>
    </row>
    <row r="378" ht="15.75" customHeight="1">
      <c r="A378" s="48"/>
      <c r="B378" s="48"/>
      <c r="C378" s="26" t="str">
        <f t="array" ref="C378">IF($B378="","",INDEX('Gap reference'!$C$2:$C$60,MATCH($B378,'Gap reference'!$A$2:$A$60,0)))</f>
        <v/>
      </c>
      <c r="D378" s="26" t="str">
        <f t="array" ref="D378">IF($B378="","",INDEX('Gap reference'!$D$2:$D$60,MATCH($B378,'Gap reference'!$A$2:$A$60,0)))</f>
        <v/>
      </c>
      <c r="E378" s="26" t="str">
        <f t="array" ref="E378">IF($B378="","",INDEX('Gap reference'!$G$2:$G$60,MATCH($B378,'Gap reference'!$A$2:$A$60,0)))</f>
        <v/>
      </c>
      <c r="F378" s="48"/>
      <c r="G378" s="48"/>
      <c r="H378" s="48"/>
      <c r="I378" s="48"/>
      <c r="J378" s="48"/>
      <c r="K378" s="48"/>
      <c r="L378" s="48"/>
      <c r="M378" s="48"/>
      <c r="N378" s="75"/>
      <c r="O378" s="48"/>
      <c r="P378" s="35"/>
      <c r="Q378" s="35"/>
      <c r="R378" s="35"/>
      <c r="S378" s="35"/>
      <c r="T378" s="35"/>
      <c r="U378" s="35"/>
      <c r="V378" s="35"/>
      <c r="W378" s="35"/>
      <c r="X378" s="35"/>
      <c r="Y378" s="35"/>
      <c r="Z378" s="35"/>
    </row>
    <row r="379" ht="15.75" customHeight="1">
      <c r="A379" s="48"/>
      <c r="B379" s="48"/>
      <c r="C379" s="26" t="str">
        <f t="array" ref="C379">IF($B379="","",INDEX('Gap reference'!$C$2:$C$60,MATCH($B379,'Gap reference'!$A$2:$A$60,0)))</f>
        <v/>
      </c>
      <c r="D379" s="26" t="str">
        <f t="array" ref="D379">IF($B379="","",INDEX('Gap reference'!$D$2:$D$60,MATCH($B379,'Gap reference'!$A$2:$A$60,0)))</f>
        <v/>
      </c>
      <c r="E379" s="26" t="str">
        <f t="array" ref="E379">IF($B379="","",INDEX('Gap reference'!$G$2:$G$60,MATCH($B379,'Gap reference'!$A$2:$A$60,0)))</f>
        <v/>
      </c>
      <c r="F379" s="48"/>
      <c r="G379" s="48"/>
      <c r="H379" s="48"/>
      <c r="I379" s="48"/>
      <c r="J379" s="48"/>
      <c r="K379" s="48"/>
      <c r="L379" s="48"/>
      <c r="M379" s="48"/>
      <c r="N379" s="75"/>
      <c r="O379" s="48"/>
      <c r="P379" s="35"/>
      <c r="Q379" s="35"/>
      <c r="R379" s="35"/>
      <c r="S379" s="35"/>
      <c r="T379" s="35"/>
      <c r="U379" s="35"/>
      <c r="V379" s="35"/>
      <c r="W379" s="35"/>
      <c r="X379" s="35"/>
      <c r="Y379" s="35"/>
      <c r="Z379" s="35"/>
    </row>
    <row r="380" ht="15.75" customHeight="1">
      <c r="A380" s="48"/>
      <c r="B380" s="48"/>
      <c r="C380" s="26" t="str">
        <f t="array" ref="C380">IF($B380="","",INDEX('Gap reference'!$C$2:$C$60,MATCH($B380,'Gap reference'!$A$2:$A$60,0)))</f>
        <v/>
      </c>
      <c r="D380" s="26" t="str">
        <f t="array" ref="D380">IF($B380="","",INDEX('Gap reference'!$D$2:$D$60,MATCH($B380,'Gap reference'!$A$2:$A$60,0)))</f>
        <v/>
      </c>
      <c r="E380" s="26" t="str">
        <f t="array" ref="E380">IF($B380="","",INDEX('Gap reference'!$G$2:$G$60,MATCH($B380,'Gap reference'!$A$2:$A$60,0)))</f>
        <v/>
      </c>
      <c r="F380" s="48"/>
      <c r="G380" s="48"/>
      <c r="H380" s="48"/>
      <c r="I380" s="48"/>
      <c r="J380" s="48"/>
      <c r="K380" s="48"/>
      <c r="L380" s="48"/>
      <c r="M380" s="48"/>
      <c r="N380" s="75"/>
      <c r="O380" s="48"/>
      <c r="P380" s="35"/>
      <c r="Q380" s="35"/>
      <c r="R380" s="35"/>
      <c r="S380" s="35"/>
      <c r="T380" s="35"/>
      <c r="U380" s="35"/>
      <c r="V380" s="35"/>
      <c r="W380" s="35"/>
      <c r="X380" s="35"/>
      <c r="Y380" s="35"/>
      <c r="Z380" s="35"/>
    </row>
    <row r="381" ht="15.75" customHeight="1">
      <c r="A381" s="48"/>
      <c r="B381" s="48"/>
      <c r="C381" s="26" t="str">
        <f t="array" ref="C381">IF($B381="","",INDEX('Gap reference'!$C$2:$C$60,MATCH($B381,'Gap reference'!$A$2:$A$60,0)))</f>
        <v/>
      </c>
      <c r="D381" s="26" t="str">
        <f t="array" ref="D381">IF($B381="","",INDEX('Gap reference'!$D$2:$D$60,MATCH($B381,'Gap reference'!$A$2:$A$60,0)))</f>
        <v/>
      </c>
      <c r="E381" s="26" t="str">
        <f t="array" ref="E381">IF($B381="","",INDEX('Gap reference'!$G$2:$G$60,MATCH($B381,'Gap reference'!$A$2:$A$60,0)))</f>
        <v/>
      </c>
      <c r="F381" s="48"/>
      <c r="G381" s="48"/>
      <c r="H381" s="48"/>
      <c r="I381" s="48"/>
      <c r="J381" s="48"/>
      <c r="K381" s="48"/>
      <c r="L381" s="48"/>
      <c r="M381" s="48"/>
      <c r="N381" s="75"/>
      <c r="O381" s="48"/>
      <c r="P381" s="35"/>
      <c r="Q381" s="35"/>
      <c r="R381" s="35"/>
      <c r="S381" s="35"/>
      <c r="T381" s="35"/>
      <c r="U381" s="35"/>
      <c r="V381" s="35"/>
      <c r="W381" s="35"/>
      <c r="X381" s="35"/>
      <c r="Y381" s="35"/>
      <c r="Z381" s="35"/>
    </row>
    <row r="382" ht="15.75" customHeight="1">
      <c r="A382" s="48"/>
      <c r="B382" s="48"/>
      <c r="C382" s="26" t="str">
        <f t="array" ref="C382">IF($B382="","",INDEX('Gap reference'!$C$2:$C$60,MATCH($B382,'Gap reference'!$A$2:$A$60,0)))</f>
        <v/>
      </c>
      <c r="D382" s="26" t="str">
        <f t="array" ref="D382">IF($B382="","",INDEX('Gap reference'!$D$2:$D$60,MATCH($B382,'Gap reference'!$A$2:$A$60,0)))</f>
        <v/>
      </c>
      <c r="E382" s="26" t="str">
        <f t="array" ref="E382">IF($B382="","",INDEX('Gap reference'!$G$2:$G$60,MATCH($B382,'Gap reference'!$A$2:$A$60,0)))</f>
        <v/>
      </c>
      <c r="F382" s="48"/>
      <c r="G382" s="48"/>
      <c r="H382" s="48"/>
      <c r="I382" s="48"/>
      <c r="J382" s="48"/>
      <c r="K382" s="48"/>
      <c r="L382" s="48"/>
      <c r="M382" s="48"/>
      <c r="N382" s="75"/>
      <c r="O382" s="48"/>
      <c r="P382" s="35"/>
      <c r="Q382" s="35"/>
      <c r="R382" s="35"/>
      <c r="S382" s="35"/>
      <c r="T382" s="35"/>
      <c r="U382" s="35"/>
      <c r="V382" s="35"/>
      <c r="W382" s="35"/>
      <c r="X382" s="35"/>
      <c r="Y382" s="35"/>
      <c r="Z382" s="35"/>
    </row>
    <row r="383" ht="15.75" customHeight="1">
      <c r="A383" s="48"/>
      <c r="B383" s="48"/>
      <c r="C383" s="26" t="str">
        <f t="array" ref="C383">IF($B383="","",INDEX('Gap reference'!$C$2:$C$60,MATCH($B383,'Gap reference'!$A$2:$A$60,0)))</f>
        <v/>
      </c>
      <c r="D383" s="26" t="str">
        <f t="array" ref="D383">IF($B383="","",INDEX('Gap reference'!$D$2:$D$60,MATCH($B383,'Gap reference'!$A$2:$A$60,0)))</f>
        <v/>
      </c>
      <c r="E383" s="26" t="str">
        <f t="array" ref="E383">IF($B383="","",INDEX('Gap reference'!$G$2:$G$60,MATCH($B383,'Gap reference'!$A$2:$A$60,0)))</f>
        <v/>
      </c>
      <c r="F383" s="48"/>
      <c r="G383" s="48"/>
      <c r="H383" s="48"/>
      <c r="I383" s="48"/>
      <c r="J383" s="48"/>
      <c r="K383" s="48"/>
      <c r="L383" s="48"/>
      <c r="M383" s="48"/>
      <c r="N383" s="75"/>
      <c r="O383" s="48"/>
      <c r="P383" s="35"/>
      <c r="Q383" s="35"/>
      <c r="R383" s="35"/>
      <c r="S383" s="35"/>
      <c r="T383" s="35"/>
      <c r="U383" s="35"/>
      <c r="V383" s="35"/>
      <c r="W383" s="35"/>
      <c r="X383" s="35"/>
      <c r="Y383" s="35"/>
      <c r="Z383" s="35"/>
    </row>
    <row r="384" ht="15.75" customHeight="1">
      <c r="A384" s="48"/>
      <c r="B384" s="48"/>
      <c r="C384" s="26" t="str">
        <f t="array" ref="C384">IF($B384="","",INDEX('Gap reference'!$C$2:$C$60,MATCH($B384,'Gap reference'!$A$2:$A$60,0)))</f>
        <v/>
      </c>
      <c r="D384" s="26" t="str">
        <f t="array" ref="D384">IF($B384="","",INDEX('Gap reference'!$D$2:$D$60,MATCH($B384,'Gap reference'!$A$2:$A$60,0)))</f>
        <v/>
      </c>
      <c r="E384" s="26" t="str">
        <f t="array" ref="E384">IF($B384="","",INDEX('Gap reference'!$G$2:$G$60,MATCH($B384,'Gap reference'!$A$2:$A$60,0)))</f>
        <v/>
      </c>
      <c r="F384" s="48"/>
      <c r="G384" s="48"/>
      <c r="H384" s="48"/>
      <c r="I384" s="48"/>
      <c r="J384" s="48"/>
      <c r="K384" s="48"/>
      <c r="L384" s="48"/>
      <c r="M384" s="48"/>
      <c r="N384" s="75"/>
      <c r="O384" s="48"/>
      <c r="P384" s="35"/>
      <c r="Q384" s="35"/>
      <c r="R384" s="35"/>
      <c r="S384" s="35"/>
      <c r="T384" s="35"/>
      <c r="U384" s="35"/>
      <c r="V384" s="35"/>
      <c r="W384" s="35"/>
      <c r="X384" s="35"/>
      <c r="Y384" s="35"/>
      <c r="Z384" s="35"/>
    </row>
    <row r="385" ht="15.75" customHeight="1">
      <c r="A385" s="48"/>
      <c r="B385" s="48"/>
      <c r="C385" s="26" t="str">
        <f t="array" ref="C385">IF($B385="","",INDEX('Gap reference'!$C$2:$C$60,MATCH($B385,'Gap reference'!$A$2:$A$60,0)))</f>
        <v/>
      </c>
      <c r="D385" s="26" t="str">
        <f t="array" ref="D385">IF($B385="","",INDEX('Gap reference'!$D$2:$D$60,MATCH($B385,'Gap reference'!$A$2:$A$60,0)))</f>
        <v/>
      </c>
      <c r="E385" s="26" t="str">
        <f t="array" ref="E385">IF($B385="","",INDEX('Gap reference'!$G$2:$G$60,MATCH($B385,'Gap reference'!$A$2:$A$60,0)))</f>
        <v/>
      </c>
      <c r="F385" s="48"/>
      <c r="G385" s="48"/>
      <c r="H385" s="48"/>
      <c r="I385" s="48"/>
      <c r="J385" s="48"/>
      <c r="K385" s="48"/>
      <c r="L385" s="48"/>
      <c r="M385" s="48"/>
      <c r="N385" s="75"/>
      <c r="O385" s="48"/>
      <c r="P385" s="35"/>
      <c r="Q385" s="35"/>
      <c r="R385" s="35"/>
      <c r="S385" s="35"/>
      <c r="T385" s="35"/>
      <c r="U385" s="35"/>
      <c r="V385" s="35"/>
      <c r="W385" s="35"/>
      <c r="X385" s="35"/>
      <c r="Y385" s="35"/>
      <c r="Z385" s="35"/>
    </row>
    <row r="386" ht="15.75" customHeight="1">
      <c r="A386" s="48"/>
      <c r="B386" s="48"/>
      <c r="C386" s="26" t="str">
        <f t="array" ref="C386">IF($B386="","",INDEX('Gap reference'!$C$2:$C$60,MATCH($B386,'Gap reference'!$A$2:$A$60,0)))</f>
        <v/>
      </c>
      <c r="D386" s="26" t="str">
        <f t="array" ref="D386">IF($B386="","",INDEX('Gap reference'!$D$2:$D$60,MATCH($B386,'Gap reference'!$A$2:$A$60,0)))</f>
        <v/>
      </c>
      <c r="E386" s="26" t="str">
        <f t="array" ref="E386">IF($B386="","",INDEX('Gap reference'!$G$2:$G$60,MATCH($B386,'Gap reference'!$A$2:$A$60,0)))</f>
        <v/>
      </c>
      <c r="F386" s="48"/>
      <c r="G386" s="48"/>
      <c r="H386" s="48"/>
      <c r="I386" s="48"/>
      <c r="J386" s="48"/>
      <c r="K386" s="48"/>
      <c r="L386" s="48"/>
      <c r="M386" s="48"/>
      <c r="N386" s="75"/>
      <c r="O386" s="48"/>
      <c r="P386" s="35"/>
      <c r="Q386" s="35"/>
      <c r="R386" s="35"/>
      <c r="S386" s="35"/>
      <c r="T386" s="35"/>
      <c r="U386" s="35"/>
      <c r="V386" s="35"/>
      <c r="W386" s="35"/>
      <c r="X386" s="35"/>
      <c r="Y386" s="35"/>
      <c r="Z386" s="35"/>
    </row>
    <row r="387" ht="15.75" customHeight="1">
      <c r="A387" s="48"/>
      <c r="B387" s="48"/>
      <c r="C387" s="26" t="str">
        <f t="array" ref="C387">IF($B387="","",INDEX('Gap reference'!$C$2:$C$60,MATCH($B387,'Gap reference'!$A$2:$A$60,0)))</f>
        <v/>
      </c>
      <c r="D387" s="26" t="str">
        <f t="array" ref="D387">IF($B387="","",INDEX('Gap reference'!$D$2:$D$60,MATCH($B387,'Gap reference'!$A$2:$A$60,0)))</f>
        <v/>
      </c>
      <c r="E387" s="26" t="str">
        <f t="array" ref="E387">IF($B387="","",INDEX('Gap reference'!$G$2:$G$60,MATCH($B387,'Gap reference'!$A$2:$A$60,0)))</f>
        <v/>
      </c>
      <c r="F387" s="48"/>
      <c r="G387" s="48"/>
      <c r="H387" s="48"/>
      <c r="I387" s="48"/>
      <c r="J387" s="48"/>
      <c r="K387" s="48"/>
      <c r="L387" s="48"/>
      <c r="M387" s="48"/>
      <c r="N387" s="75"/>
      <c r="O387" s="48"/>
      <c r="P387" s="35"/>
      <c r="Q387" s="35"/>
      <c r="R387" s="35"/>
      <c r="S387" s="35"/>
      <c r="T387" s="35"/>
      <c r="U387" s="35"/>
      <c r="V387" s="35"/>
      <c r="W387" s="35"/>
      <c r="X387" s="35"/>
      <c r="Y387" s="35"/>
      <c r="Z387" s="35"/>
    </row>
    <row r="388" ht="15.75" customHeight="1">
      <c r="A388" s="48"/>
      <c r="B388" s="48"/>
      <c r="C388" s="26" t="str">
        <f t="array" ref="C388">IF($B388="","",INDEX('Gap reference'!$C$2:$C$60,MATCH($B388,'Gap reference'!$A$2:$A$60,0)))</f>
        <v/>
      </c>
      <c r="D388" s="26" t="str">
        <f t="array" ref="D388">IF($B388="","",INDEX('Gap reference'!$D$2:$D$60,MATCH($B388,'Gap reference'!$A$2:$A$60,0)))</f>
        <v/>
      </c>
      <c r="E388" s="26" t="str">
        <f t="array" ref="E388">IF($B388="","",INDEX('Gap reference'!$G$2:$G$60,MATCH($B388,'Gap reference'!$A$2:$A$60,0)))</f>
        <v/>
      </c>
      <c r="F388" s="48"/>
      <c r="G388" s="48"/>
      <c r="H388" s="48"/>
      <c r="I388" s="48"/>
      <c r="J388" s="48"/>
      <c r="K388" s="48"/>
      <c r="L388" s="48"/>
      <c r="M388" s="48"/>
      <c r="N388" s="75"/>
      <c r="O388" s="48"/>
      <c r="P388" s="35"/>
      <c r="Q388" s="35"/>
      <c r="R388" s="35"/>
      <c r="S388" s="35"/>
      <c r="T388" s="35"/>
      <c r="U388" s="35"/>
      <c r="V388" s="35"/>
      <c r="W388" s="35"/>
      <c r="X388" s="35"/>
      <c r="Y388" s="35"/>
      <c r="Z388" s="35"/>
    </row>
    <row r="389" ht="15.75" customHeight="1">
      <c r="A389" s="48"/>
      <c r="B389" s="48"/>
      <c r="C389" s="26" t="str">
        <f t="array" ref="C389">IF($B389="","",INDEX('Gap reference'!$C$2:$C$60,MATCH($B389,'Gap reference'!$A$2:$A$60,0)))</f>
        <v/>
      </c>
      <c r="D389" s="26" t="str">
        <f t="array" ref="D389">IF($B389="","",INDEX('Gap reference'!$D$2:$D$60,MATCH($B389,'Gap reference'!$A$2:$A$60,0)))</f>
        <v/>
      </c>
      <c r="E389" s="26" t="str">
        <f t="array" ref="E389">IF($B389="","",INDEX('Gap reference'!$G$2:$G$60,MATCH($B389,'Gap reference'!$A$2:$A$60,0)))</f>
        <v/>
      </c>
      <c r="F389" s="48"/>
      <c r="G389" s="48"/>
      <c r="H389" s="48"/>
      <c r="I389" s="48"/>
      <c r="J389" s="48"/>
      <c r="K389" s="48"/>
      <c r="L389" s="48"/>
      <c r="M389" s="48"/>
      <c r="N389" s="75"/>
      <c r="O389" s="48"/>
      <c r="P389" s="35"/>
      <c r="Q389" s="35"/>
      <c r="R389" s="35"/>
      <c r="S389" s="35"/>
      <c r="T389" s="35"/>
      <c r="U389" s="35"/>
      <c r="V389" s="35"/>
      <c r="W389" s="35"/>
      <c r="X389" s="35"/>
      <c r="Y389" s="35"/>
      <c r="Z389" s="35"/>
    </row>
    <row r="390" ht="15.75" customHeight="1">
      <c r="A390" s="48"/>
      <c r="B390" s="48"/>
      <c r="C390" s="26" t="str">
        <f t="array" ref="C390">IF($B390="","",INDEX('Gap reference'!$C$2:$C$60,MATCH($B390,'Gap reference'!$A$2:$A$60,0)))</f>
        <v/>
      </c>
      <c r="D390" s="26" t="str">
        <f t="array" ref="D390">IF($B390="","",INDEX('Gap reference'!$D$2:$D$60,MATCH($B390,'Gap reference'!$A$2:$A$60,0)))</f>
        <v/>
      </c>
      <c r="E390" s="26" t="str">
        <f t="array" ref="E390">IF($B390="","",INDEX('Gap reference'!$G$2:$G$60,MATCH($B390,'Gap reference'!$A$2:$A$60,0)))</f>
        <v/>
      </c>
      <c r="F390" s="48"/>
      <c r="G390" s="48"/>
      <c r="H390" s="48"/>
      <c r="I390" s="48"/>
      <c r="J390" s="48"/>
      <c r="K390" s="48"/>
      <c r="L390" s="48"/>
      <c r="M390" s="48"/>
      <c r="N390" s="75"/>
      <c r="O390" s="48"/>
      <c r="P390" s="35"/>
      <c r="Q390" s="35"/>
      <c r="R390" s="35"/>
      <c r="S390" s="35"/>
      <c r="T390" s="35"/>
      <c r="U390" s="35"/>
      <c r="V390" s="35"/>
      <c r="W390" s="35"/>
      <c r="X390" s="35"/>
      <c r="Y390" s="35"/>
      <c r="Z390" s="35"/>
    </row>
    <row r="391" ht="15.75" customHeight="1">
      <c r="A391" s="48"/>
      <c r="B391" s="48"/>
      <c r="C391" s="26" t="str">
        <f t="array" ref="C391">IF($B391="","",INDEX('Gap reference'!$C$2:$C$60,MATCH($B391,'Gap reference'!$A$2:$A$60,0)))</f>
        <v/>
      </c>
      <c r="D391" s="26" t="str">
        <f t="array" ref="D391">IF($B391="","",INDEX('Gap reference'!$D$2:$D$60,MATCH($B391,'Gap reference'!$A$2:$A$60,0)))</f>
        <v/>
      </c>
      <c r="E391" s="26" t="str">
        <f t="array" ref="E391">IF($B391="","",INDEX('Gap reference'!$G$2:$G$60,MATCH($B391,'Gap reference'!$A$2:$A$60,0)))</f>
        <v/>
      </c>
      <c r="F391" s="48"/>
      <c r="G391" s="48"/>
      <c r="H391" s="48"/>
      <c r="I391" s="48"/>
      <c r="J391" s="48"/>
      <c r="K391" s="48"/>
      <c r="L391" s="48"/>
      <c r="M391" s="48"/>
      <c r="N391" s="75"/>
      <c r="O391" s="48"/>
      <c r="P391" s="35"/>
      <c r="Q391" s="35"/>
      <c r="R391" s="35"/>
      <c r="S391" s="35"/>
      <c r="T391" s="35"/>
      <c r="U391" s="35"/>
      <c r="V391" s="35"/>
      <c r="W391" s="35"/>
      <c r="X391" s="35"/>
      <c r="Y391" s="35"/>
      <c r="Z391" s="35"/>
    </row>
    <row r="392" ht="15.75" customHeight="1">
      <c r="A392" s="48"/>
      <c r="B392" s="48"/>
      <c r="C392" s="26" t="str">
        <f t="array" ref="C392">IF($B392="","",INDEX('Gap reference'!$C$2:$C$60,MATCH($B392,'Gap reference'!$A$2:$A$60,0)))</f>
        <v/>
      </c>
      <c r="D392" s="26" t="str">
        <f t="array" ref="D392">IF($B392="","",INDEX('Gap reference'!$D$2:$D$60,MATCH($B392,'Gap reference'!$A$2:$A$60,0)))</f>
        <v/>
      </c>
      <c r="E392" s="26" t="str">
        <f t="array" ref="E392">IF($B392="","",INDEX('Gap reference'!$G$2:$G$60,MATCH($B392,'Gap reference'!$A$2:$A$60,0)))</f>
        <v/>
      </c>
      <c r="F392" s="48"/>
      <c r="G392" s="48"/>
      <c r="H392" s="48"/>
      <c r="I392" s="48"/>
      <c r="J392" s="48"/>
      <c r="K392" s="48"/>
      <c r="L392" s="48"/>
      <c r="M392" s="48"/>
      <c r="N392" s="75"/>
      <c r="O392" s="48"/>
      <c r="P392" s="35"/>
      <c r="Q392" s="35"/>
      <c r="R392" s="35"/>
      <c r="S392" s="35"/>
      <c r="T392" s="35"/>
      <c r="U392" s="35"/>
      <c r="V392" s="35"/>
      <c r="W392" s="35"/>
      <c r="X392" s="35"/>
      <c r="Y392" s="35"/>
      <c r="Z392" s="35"/>
    </row>
    <row r="393" ht="15.75" customHeight="1">
      <c r="A393" s="48"/>
      <c r="B393" s="48"/>
      <c r="C393" s="26" t="str">
        <f t="array" ref="C393">IF($B393="","",INDEX('Gap reference'!$C$2:$C$60,MATCH($B393,'Gap reference'!$A$2:$A$60,0)))</f>
        <v/>
      </c>
      <c r="D393" s="26" t="str">
        <f t="array" ref="D393">IF($B393="","",INDEX('Gap reference'!$D$2:$D$60,MATCH($B393,'Gap reference'!$A$2:$A$60,0)))</f>
        <v/>
      </c>
      <c r="E393" s="26" t="str">
        <f t="array" ref="E393">IF($B393="","",INDEX('Gap reference'!$G$2:$G$60,MATCH($B393,'Gap reference'!$A$2:$A$60,0)))</f>
        <v/>
      </c>
      <c r="F393" s="48"/>
      <c r="G393" s="48"/>
      <c r="H393" s="48"/>
      <c r="I393" s="48"/>
      <c r="J393" s="48"/>
      <c r="K393" s="48"/>
      <c r="L393" s="48"/>
      <c r="M393" s="48"/>
      <c r="N393" s="75"/>
      <c r="O393" s="48"/>
      <c r="P393" s="35"/>
      <c r="Q393" s="35"/>
      <c r="R393" s="35"/>
      <c r="S393" s="35"/>
      <c r="T393" s="35"/>
      <c r="U393" s="35"/>
      <c r="V393" s="35"/>
      <c r="W393" s="35"/>
      <c r="X393" s="35"/>
      <c r="Y393" s="35"/>
      <c r="Z393" s="35"/>
    </row>
    <row r="394" ht="15.75" customHeight="1">
      <c r="A394" s="48"/>
      <c r="B394" s="48"/>
      <c r="C394" s="26" t="str">
        <f t="array" ref="C394">IF($B394="","",INDEX('Gap reference'!$C$2:$C$60,MATCH($B394,'Gap reference'!$A$2:$A$60,0)))</f>
        <v/>
      </c>
      <c r="D394" s="26" t="str">
        <f t="array" ref="D394">IF($B394="","",INDEX('Gap reference'!$D$2:$D$60,MATCH($B394,'Gap reference'!$A$2:$A$60,0)))</f>
        <v/>
      </c>
      <c r="E394" s="26" t="str">
        <f t="array" ref="E394">IF($B394="","",INDEX('Gap reference'!$G$2:$G$60,MATCH($B394,'Gap reference'!$A$2:$A$60,0)))</f>
        <v/>
      </c>
      <c r="F394" s="48"/>
      <c r="G394" s="48"/>
      <c r="H394" s="48"/>
      <c r="I394" s="48"/>
      <c r="J394" s="48"/>
      <c r="K394" s="48"/>
      <c r="L394" s="48"/>
      <c r="M394" s="48"/>
      <c r="N394" s="75"/>
      <c r="O394" s="48"/>
      <c r="P394" s="35"/>
      <c r="Q394" s="35"/>
      <c r="R394" s="35"/>
      <c r="S394" s="35"/>
      <c r="T394" s="35"/>
      <c r="U394" s="35"/>
      <c r="V394" s="35"/>
      <c r="W394" s="35"/>
      <c r="X394" s="35"/>
      <c r="Y394" s="35"/>
      <c r="Z394" s="35"/>
    </row>
    <row r="395" ht="15.75" customHeight="1">
      <c r="A395" s="48"/>
      <c r="B395" s="48"/>
      <c r="C395" s="26" t="str">
        <f t="array" ref="C395">IF($B395="","",INDEX('Gap reference'!$C$2:$C$60,MATCH($B395,'Gap reference'!$A$2:$A$60,0)))</f>
        <v/>
      </c>
      <c r="D395" s="26" t="str">
        <f t="array" ref="D395">IF($B395="","",INDEX('Gap reference'!$D$2:$D$60,MATCH($B395,'Gap reference'!$A$2:$A$60,0)))</f>
        <v/>
      </c>
      <c r="E395" s="26" t="str">
        <f t="array" ref="E395">IF($B395="","",INDEX('Gap reference'!$G$2:$G$60,MATCH($B395,'Gap reference'!$A$2:$A$60,0)))</f>
        <v/>
      </c>
      <c r="F395" s="48"/>
      <c r="G395" s="48"/>
      <c r="H395" s="48"/>
      <c r="I395" s="48"/>
      <c r="J395" s="48"/>
      <c r="K395" s="48"/>
      <c r="L395" s="48"/>
      <c r="M395" s="48"/>
      <c r="N395" s="75"/>
      <c r="O395" s="48"/>
      <c r="P395" s="35"/>
      <c r="Q395" s="35"/>
      <c r="R395" s="35"/>
      <c r="S395" s="35"/>
      <c r="T395" s="35"/>
      <c r="U395" s="35"/>
      <c r="V395" s="35"/>
      <c r="W395" s="35"/>
      <c r="X395" s="35"/>
      <c r="Y395" s="35"/>
      <c r="Z395" s="35"/>
    </row>
    <row r="396" ht="15.75" customHeight="1">
      <c r="A396" s="48"/>
      <c r="B396" s="48"/>
      <c r="C396" s="26" t="str">
        <f t="array" ref="C396">IF($B396="","",INDEX('Gap reference'!$C$2:$C$60,MATCH($B396,'Gap reference'!$A$2:$A$60,0)))</f>
        <v/>
      </c>
      <c r="D396" s="26" t="str">
        <f t="array" ref="D396">IF($B396="","",INDEX('Gap reference'!$D$2:$D$60,MATCH($B396,'Gap reference'!$A$2:$A$60,0)))</f>
        <v/>
      </c>
      <c r="E396" s="26" t="str">
        <f t="array" ref="E396">IF($B396="","",INDEX('Gap reference'!$G$2:$G$60,MATCH($B396,'Gap reference'!$A$2:$A$60,0)))</f>
        <v/>
      </c>
      <c r="F396" s="48"/>
      <c r="G396" s="48"/>
      <c r="H396" s="48"/>
      <c r="I396" s="48"/>
      <c r="J396" s="48"/>
      <c r="K396" s="48"/>
      <c r="L396" s="48"/>
      <c r="M396" s="48"/>
      <c r="N396" s="75"/>
      <c r="O396" s="48"/>
      <c r="P396" s="35"/>
      <c r="Q396" s="35"/>
      <c r="R396" s="35"/>
      <c r="S396" s="35"/>
      <c r="T396" s="35"/>
      <c r="U396" s="35"/>
      <c r="V396" s="35"/>
      <c r="W396" s="35"/>
      <c r="X396" s="35"/>
      <c r="Y396" s="35"/>
      <c r="Z396" s="35"/>
    </row>
    <row r="397" ht="15.75" customHeight="1">
      <c r="A397" s="48"/>
      <c r="B397" s="48"/>
      <c r="C397" s="26" t="str">
        <f t="array" ref="C397">IF($B397="","",INDEX('Gap reference'!$C$2:$C$60,MATCH($B397,'Gap reference'!$A$2:$A$60,0)))</f>
        <v/>
      </c>
      <c r="D397" s="26" t="str">
        <f t="array" ref="D397">IF($B397="","",INDEX('Gap reference'!$D$2:$D$60,MATCH($B397,'Gap reference'!$A$2:$A$60,0)))</f>
        <v/>
      </c>
      <c r="E397" s="26" t="str">
        <f t="array" ref="E397">IF($B397="","",INDEX('Gap reference'!$G$2:$G$60,MATCH($B397,'Gap reference'!$A$2:$A$60,0)))</f>
        <v/>
      </c>
      <c r="F397" s="48"/>
      <c r="G397" s="48"/>
      <c r="H397" s="48"/>
      <c r="I397" s="48"/>
      <c r="J397" s="48"/>
      <c r="K397" s="48"/>
      <c r="L397" s="48"/>
      <c r="M397" s="48"/>
      <c r="N397" s="75"/>
      <c r="O397" s="48"/>
      <c r="P397" s="35"/>
      <c r="Q397" s="35"/>
      <c r="R397" s="35"/>
      <c r="S397" s="35"/>
      <c r="T397" s="35"/>
      <c r="U397" s="35"/>
      <c r="V397" s="35"/>
      <c r="W397" s="35"/>
      <c r="X397" s="35"/>
      <c r="Y397" s="35"/>
      <c r="Z397" s="35"/>
    </row>
    <row r="398" ht="15.75" customHeight="1">
      <c r="A398" s="48"/>
      <c r="B398" s="48"/>
      <c r="C398" s="26" t="str">
        <f t="array" ref="C398">IF($B398="","",INDEX('Gap reference'!$C$2:$C$60,MATCH($B398,'Gap reference'!$A$2:$A$60,0)))</f>
        <v/>
      </c>
      <c r="D398" s="26" t="str">
        <f t="array" ref="D398">IF($B398="","",INDEX('Gap reference'!$D$2:$D$60,MATCH($B398,'Gap reference'!$A$2:$A$60,0)))</f>
        <v/>
      </c>
      <c r="E398" s="26" t="str">
        <f t="array" ref="E398">IF($B398="","",INDEX('Gap reference'!$G$2:$G$60,MATCH($B398,'Gap reference'!$A$2:$A$60,0)))</f>
        <v/>
      </c>
      <c r="F398" s="48"/>
      <c r="G398" s="48"/>
      <c r="H398" s="48"/>
      <c r="I398" s="48"/>
      <c r="J398" s="48"/>
      <c r="K398" s="48"/>
      <c r="L398" s="48"/>
      <c r="M398" s="48"/>
      <c r="N398" s="75"/>
      <c r="O398" s="48"/>
      <c r="P398" s="35"/>
      <c r="Q398" s="35"/>
      <c r="R398" s="35"/>
      <c r="S398" s="35"/>
      <c r="T398" s="35"/>
      <c r="U398" s="35"/>
      <c r="V398" s="35"/>
      <c r="W398" s="35"/>
      <c r="X398" s="35"/>
      <c r="Y398" s="35"/>
      <c r="Z398" s="35"/>
    </row>
    <row r="399" ht="15.75" customHeight="1">
      <c r="A399" s="48"/>
      <c r="B399" s="48"/>
      <c r="C399" s="26" t="str">
        <f t="array" ref="C399">IF($B399="","",INDEX('Gap reference'!$C$2:$C$60,MATCH($B399,'Gap reference'!$A$2:$A$60,0)))</f>
        <v/>
      </c>
      <c r="D399" s="26" t="str">
        <f t="array" ref="D399">IF($B399="","",INDEX('Gap reference'!$D$2:$D$60,MATCH($B399,'Gap reference'!$A$2:$A$60,0)))</f>
        <v/>
      </c>
      <c r="E399" s="26" t="str">
        <f t="array" ref="E399">IF($B399="","",INDEX('Gap reference'!$G$2:$G$60,MATCH($B399,'Gap reference'!$A$2:$A$60,0)))</f>
        <v/>
      </c>
      <c r="F399" s="48"/>
      <c r="G399" s="48"/>
      <c r="H399" s="48"/>
      <c r="I399" s="48"/>
      <c r="J399" s="48"/>
      <c r="K399" s="48"/>
      <c r="L399" s="48"/>
      <c r="M399" s="48"/>
      <c r="N399" s="75"/>
      <c r="O399" s="48"/>
      <c r="P399" s="35"/>
      <c r="Q399" s="35"/>
      <c r="R399" s="35"/>
      <c r="S399" s="35"/>
      <c r="T399" s="35"/>
      <c r="U399" s="35"/>
      <c r="V399" s="35"/>
      <c r="W399" s="35"/>
      <c r="X399" s="35"/>
      <c r="Y399" s="35"/>
      <c r="Z399" s="35"/>
    </row>
    <row r="400" ht="15.75" customHeight="1">
      <c r="A400" s="48"/>
      <c r="B400" s="48"/>
      <c r="C400" s="26" t="str">
        <f t="array" ref="C400">IF($B400="","",INDEX('Gap reference'!$C$2:$C$60,MATCH($B400,'Gap reference'!$A$2:$A$60,0)))</f>
        <v/>
      </c>
      <c r="D400" s="26" t="str">
        <f t="array" ref="D400">IF($B400="","",INDEX('Gap reference'!$D$2:$D$60,MATCH($B400,'Gap reference'!$A$2:$A$60,0)))</f>
        <v/>
      </c>
      <c r="E400" s="26" t="str">
        <f t="array" ref="E400">IF($B400="","",INDEX('Gap reference'!$G$2:$G$60,MATCH($B400,'Gap reference'!$A$2:$A$60,0)))</f>
        <v/>
      </c>
      <c r="F400" s="48"/>
      <c r="G400" s="48"/>
      <c r="H400" s="48"/>
      <c r="I400" s="48"/>
      <c r="J400" s="48"/>
      <c r="K400" s="48"/>
      <c r="L400" s="48"/>
      <c r="M400" s="48"/>
      <c r="N400" s="75"/>
      <c r="O400" s="48"/>
      <c r="P400" s="35"/>
      <c r="Q400" s="35"/>
      <c r="R400" s="35"/>
      <c r="S400" s="35"/>
      <c r="T400" s="35"/>
      <c r="U400" s="35"/>
      <c r="V400" s="35"/>
      <c r="W400" s="35"/>
      <c r="X400" s="35"/>
      <c r="Y400" s="35"/>
      <c r="Z400" s="35"/>
    </row>
    <row r="401" ht="15.75" customHeight="1">
      <c r="A401" s="48"/>
      <c r="B401" s="48"/>
      <c r="C401" s="26" t="str">
        <f t="array" ref="C401">IF($B401="","",INDEX('Gap reference'!$C$2:$C$60,MATCH($B401,'Gap reference'!$A$2:$A$60,0)))</f>
        <v/>
      </c>
      <c r="D401" s="26" t="str">
        <f t="array" ref="D401">IF($B401="","",INDEX('Gap reference'!$D$2:$D$60,MATCH($B401,'Gap reference'!$A$2:$A$60,0)))</f>
        <v/>
      </c>
      <c r="E401" s="26" t="str">
        <f t="array" ref="E401">IF($B401="","",INDEX('Gap reference'!$G$2:$G$60,MATCH($B401,'Gap reference'!$A$2:$A$60,0)))</f>
        <v/>
      </c>
      <c r="F401" s="48"/>
      <c r="G401" s="48"/>
      <c r="H401" s="48"/>
      <c r="I401" s="48"/>
      <c r="J401" s="48"/>
      <c r="K401" s="48"/>
      <c r="L401" s="48"/>
      <c r="M401" s="48"/>
      <c r="N401" s="75"/>
      <c r="O401" s="48"/>
      <c r="P401" s="35"/>
      <c r="Q401" s="35"/>
      <c r="R401" s="35"/>
      <c r="S401" s="35"/>
      <c r="T401" s="35"/>
      <c r="U401" s="35"/>
      <c r="V401" s="35"/>
      <c r="W401" s="35"/>
      <c r="X401" s="35"/>
      <c r="Y401" s="35"/>
      <c r="Z401" s="35"/>
    </row>
    <row r="402" ht="15.75" customHeight="1">
      <c r="A402" s="48"/>
      <c r="B402" s="48"/>
      <c r="C402" s="26" t="str">
        <f t="array" ref="C402">IF($B402="","",INDEX('Gap reference'!$C$2:$C$60,MATCH($B402,'Gap reference'!$A$2:$A$60,0)))</f>
        <v/>
      </c>
      <c r="D402" s="26" t="str">
        <f t="array" ref="D402">IF($B402="","",INDEX('Gap reference'!$D$2:$D$60,MATCH($B402,'Gap reference'!$A$2:$A$60,0)))</f>
        <v/>
      </c>
      <c r="E402" s="26" t="str">
        <f t="array" ref="E402">IF($B402="","",INDEX('Gap reference'!$G$2:$G$60,MATCH($B402,'Gap reference'!$A$2:$A$60,0)))</f>
        <v/>
      </c>
      <c r="F402" s="48"/>
      <c r="G402" s="48"/>
      <c r="H402" s="48"/>
      <c r="I402" s="48"/>
      <c r="J402" s="48"/>
      <c r="K402" s="48"/>
      <c r="L402" s="48"/>
      <c r="M402" s="48"/>
      <c r="N402" s="75"/>
      <c r="O402" s="48"/>
      <c r="P402" s="35"/>
      <c r="Q402" s="35"/>
      <c r="R402" s="35"/>
      <c r="S402" s="35"/>
      <c r="T402" s="35"/>
      <c r="U402" s="35"/>
      <c r="V402" s="35"/>
      <c r="W402" s="35"/>
      <c r="X402" s="35"/>
      <c r="Y402" s="35"/>
      <c r="Z402" s="35"/>
    </row>
    <row r="403" ht="15.75" customHeight="1">
      <c r="A403" s="48"/>
      <c r="B403" s="48"/>
      <c r="C403" s="26" t="str">
        <f t="array" ref="C403">IF($B403="","",INDEX('Gap reference'!$C$2:$C$60,MATCH($B403,'Gap reference'!$A$2:$A$60,0)))</f>
        <v/>
      </c>
      <c r="D403" s="26" t="str">
        <f t="array" ref="D403">IF($B403="","",INDEX('Gap reference'!$D$2:$D$60,MATCH($B403,'Gap reference'!$A$2:$A$60,0)))</f>
        <v/>
      </c>
      <c r="E403" s="26" t="str">
        <f t="array" ref="E403">IF($B403="","",INDEX('Gap reference'!$G$2:$G$60,MATCH($B403,'Gap reference'!$A$2:$A$60,0)))</f>
        <v/>
      </c>
      <c r="F403" s="48"/>
      <c r="G403" s="48"/>
      <c r="H403" s="48"/>
      <c r="I403" s="48"/>
      <c r="J403" s="48"/>
      <c r="K403" s="48"/>
      <c r="L403" s="48"/>
      <c r="M403" s="48"/>
      <c r="N403" s="75"/>
      <c r="O403" s="48"/>
      <c r="P403" s="35"/>
      <c r="Q403" s="35"/>
      <c r="R403" s="35"/>
      <c r="S403" s="35"/>
      <c r="T403" s="35"/>
      <c r="U403" s="35"/>
      <c r="V403" s="35"/>
      <c r="W403" s="35"/>
      <c r="X403" s="35"/>
      <c r="Y403" s="35"/>
      <c r="Z403" s="35"/>
    </row>
    <row r="404" ht="15.75" customHeight="1">
      <c r="A404" s="48"/>
      <c r="B404" s="48"/>
      <c r="C404" s="26" t="str">
        <f t="array" ref="C404">IF($B404="","",INDEX('Gap reference'!$C$2:$C$60,MATCH($B404,'Gap reference'!$A$2:$A$60,0)))</f>
        <v/>
      </c>
      <c r="D404" s="26" t="str">
        <f t="array" ref="D404">IF($B404="","",INDEX('Gap reference'!$D$2:$D$60,MATCH($B404,'Gap reference'!$A$2:$A$60,0)))</f>
        <v/>
      </c>
      <c r="E404" s="26" t="str">
        <f t="array" ref="E404">IF($B404="","",INDEX('Gap reference'!$G$2:$G$60,MATCH($B404,'Gap reference'!$A$2:$A$60,0)))</f>
        <v/>
      </c>
      <c r="F404" s="48"/>
      <c r="G404" s="48"/>
      <c r="H404" s="48"/>
      <c r="I404" s="48"/>
      <c r="J404" s="48"/>
      <c r="K404" s="48"/>
      <c r="L404" s="48"/>
      <c r="M404" s="48"/>
      <c r="N404" s="75"/>
      <c r="O404" s="48"/>
      <c r="P404" s="35"/>
      <c r="Q404" s="35"/>
      <c r="R404" s="35"/>
      <c r="S404" s="35"/>
      <c r="T404" s="35"/>
      <c r="U404" s="35"/>
      <c r="V404" s="35"/>
      <c r="W404" s="35"/>
      <c r="X404" s="35"/>
      <c r="Y404" s="35"/>
      <c r="Z404" s="35"/>
    </row>
    <row r="405" ht="15.75" customHeight="1">
      <c r="A405" s="48"/>
      <c r="B405" s="48"/>
      <c r="C405" s="26" t="str">
        <f t="array" ref="C405">IF($B405="","",INDEX('Gap reference'!$C$2:$C$60,MATCH($B405,'Gap reference'!$A$2:$A$60,0)))</f>
        <v/>
      </c>
      <c r="D405" s="26" t="str">
        <f t="array" ref="D405">IF($B405="","",INDEX('Gap reference'!$D$2:$D$60,MATCH($B405,'Gap reference'!$A$2:$A$60,0)))</f>
        <v/>
      </c>
      <c r="E405" s="26" t="str">
        <f t="array" ref="E405">IF($B405="","",INDEX('Gap reference'!$G$2:$G$60,MATCH($B405,'Gap reference'!$A$2:$A$60,0)))</f>
        <v/>
      </c>
      <c r="F405" s="48"/>
      <c r="G405" s="48"/>
      <c r="H405" s="48"/>
      <c r="I405" s="48"/>
      <c r="J405" s="48"/>
      <c r="K405" s="48"/>
      <c r="L405" s="48"/>
      <c r="M405" s="48"/>
      <c r="N405" s="75"/>
      <c r="O405" s="48"/>
      <c r="P405" s="35"/>
      <c r="Q405" s="35"/>
      <c r="R405" s="35"/>
      <c r="S405" s="35"/>
      <c r="T405" s="35"/>
      <c r="U405" s="35"/>
      <c r="V405" s="35"/>
      <c r="W405" s="35"/>
      <c r="X405" s="35"/>
      <c r="Y405" s="35"/>
      <c r="Z405" s="35"/>
    </row>
    <row r="406" ht="15.75" customHeight="1">
      <c r="A406" s="48"/>
      <c r="B406" s="48"/>
      <c r="C406" s="26" t="str">
        <f t="array" ref="C406">IF($B406="","",INDEX('Gap reference'!$C$2:$C$60,MATCH($B406,'Gap reference'!$A$2:$A$60,0)))</f>
        <v/>
      </c>
      <c r="D406" s="26" t="str">
        <f t="array" ref="D406">IF($B406="","",INDEX('Gap reference'!$D$2:$D$60,MATCH($B406,'Gap reference'!$A$2:$A$60,0)))</f>
        <v/>
      </c>
      <c r="E406" s="26" t="str">
        <f t="array" ref="E406">IF($B406="","",INDEX('Gap reference'!$G$2:$G$60,MATCH($B406,'Gap reference'!$A$2:$A$60,0)))</f>
        <v/>
      </c>
      <c r="F406" s="48"/>
      <c r="G406" s="48"/>
      <c r="H406" s="48"/>
      <c r="I406" s="48"/>
      <c r="J406" s="48"/>
      <c r="K406" s="48"/>
      <c r="L406" s="48"/>
      <c r="M406" s="48"/>
      <c r="N406" s="75"/>
      <c r="O406" s="48"/>
      <c r="P406" s="35"/>
      <c r="Q406" s="35"/>
      <c r="R406" s="35"/>
      <c r="S406" s="35"/>
      <c r="T406" s="35"/>
      <c r="U406" s="35"/>
      <c r="V406" s="35"/>
      <c r="W406" s="35"/>
      <c r="X406" s="35"/>
      <c r="Y406" s="35"/>
      <c r="Z406" s="35"/>
    </row>
    <row r="407" ht="15.75" customHeight="1">
      <c r="A407" s="48"/>
      <c r="B407" s="48"/>
      <c r="C407" s="26" t="str">
        <f t="array" ref="C407">IF($B407="","",INDEX('Gap reference'!$C$2:$C$60,MATCH($B407,'Gap reference'!$A$2:$A$60,0)))</f>
        <v/>
      </c>
      <c r="D407" s="26" t="str">
        <f t="array" ref="D407">IF($B407="","",INDEX('Gap reference'!$D$2:$D$60,MATCH($B407,'Gap reference'!$A$2:$A$60,0)))</f>
        <v/>
      </c>
      <c r="E407" s="26" t="str">
        <f t="array" ref="E407">IF($B407="","",INDEX('Gap reference'!$G$2:$G$60,MATCH($B407,'Gap reference'!$A$2:$A$60,0)))</f>
        <v/>
      </c>
      <c r="F407" s="48"/>
      <c r="G407" s="48"/>
      <c r="H407" s="48"/>
      <c r="I407" s="48"/>
      <c r="J407" s="48"/>
      <c r="K407" s="48"/>
      <c r="L407" s="48"/>
      <c r="M407" s="48"/>
      <c r="N407" s="75"/>
      <c r="O407" s="48"/>
      <c r="P407" s="35"/>
      <c r="Q407" s="35"/>
      <c r="R407" s="35"/>
      <c r="S407" s="35"/>
      <c r="T407" s="35"/>
      <c r="U407" s="35"/>
      <c r="V407" s="35"/>
      <c r="W407" s="35"/>
      <c r="X407" s="35"/>
      <c r="Y407" s="35"/>
      <c r="Z407" s="35"/>
    </row>
    <row r="408" ht="15.75" customHeight="1">
      <c r="A408" s="48"/>
      <c r="B408" s="48"/>
      <c r="C408" s="26" t="str">
        <f t="array" ref="C408">IF($B408="","",INDEX('Gap reference'!$C$2:$C$60,MATCH($B408,'Gap reference'!$A$2:$A$60,0)))</f>
        <v/>
      </c>
      <c r="D408" s="26" t="str">
        <f t="array" ref="D408">IF($B408="","",INDEX('Gap reference'!$D$2:$D$60,MATCH($B408,'Gap reference'!$A$2:$A$60,0)))</f>
        <v/>
      </c>
      <c r="E408" s="26" t="str">
        <f t="array" ref="E408">IF($B408="","",INDEX('Gap reference'!$G$2:$G$60,MATCH($B408,'Gap reference'!$A$2:$A$60,0)))</f>
        <v/>
      </c>
      <c r="F408" s="48"/>
      <c r="G408" s="48"/>
      <c r="H408" s="48"/>
      <c r="I408" s="48"/>
      <c r="J408" s="48"/>
      <c r="K408" s="48"/>
      <c r="L408" s="48"/>
      <c r="M408" s="48"/>
      <c r="N408" s="75"/>
      <c r="O408" s="48"/>
      <c r="P408" s="35"/>
      <c r="Q408" s="35"/>
      <c r="R408" s="35"/>
      <c r="S408" s="35"/>
      <c r="T408" s="35"/>
      <c r="U408" s="35"/>
      <c r="V408" s="35"/>
      <c r="W408" s="35"/>
      <c r="X408" s="35"/>
      <c r="Y408" s="35"/>
      <c r="Z408" s="35"/>
    </row>
    <row r="409" ht="15.75" customHeight="1">
      <c r="A409" s="48"/>
      <c r="B409" s="48"/>
      <c r="C409" s="26" t="str">
        <f t="array" ref="C409">IF($B409="","",INDEX('Gap reference'!$C$2:$C$60,MATCH($B409,'Gap reference'!$A$2:$A$60,0)))</f>
        <v/>
      </c>
      <c r="D409" s="26" t="str">
        <f t="array" ref="D409">IF($B409="","",INDEX('Gap reference'!$D$2:$D$60,MATCH($B409,'Gap reference'!$A$2:$A$60,0)))</f>
        <v/>
      </c>
      <c r="E409" s="26" t="str">
        <f t="array" ref="E409">IF($B409="","",INDEX('Gap reference'!$G$2:$G$60,MATCH($B409,'Gap reference'!$A$2:$A$60,0)))</f>
        <v/>
      </c>
      <c r="F409" s="48"/>
      <c r="G409" s="48"/>
      <c r="H409" s="48"/>
      <c r="I409" s="48"/>
      <c r="J409" s="48"/>
      <c r="K409" s="48"/>
      <c r="L409" s="48"/>
      <c r="M409" s="48"/>
      <c r="N409" s="75"/>
      <c r="O409" s="48"/>
      <c r="P409" s="35"/>
      <c r="Q409" s="35"/>
      <c r="R409" s="35"/>
      <c r="S409" s="35"/>
      <c r="T409" s="35"/>
      <c r="U409" s="35"/>
      <c r="V409" s="35"/>
      <c r="W409" s="35"/>
      <c r="X409" s="35"/>
      <c r="Y409" s="35"/>
      <c r="Z409" s="35"/>
    </row>
    <row r="410" ht="15.75" customHeight="1">
      <c r="A410" s="48"/>
      <c r="B410" s="48"/>
      <c r="C410" s="26" t="str">
        <f t="array" ref="C410">IF($B410="","",INDEX('Gap reference'!$C$2:$C$60,MATCH($B410,'Gap reference'!$A$2:$A$60,0)))</f>
        <v/>
      </c>
      <c r="D410" s="26" t="str">
        <f t="array" ref="D410">IF($B410="","",INDEX('Gap reference'!$D$2:$D$60,MATCH($B410,'Gap reference'!$A$2:$A$60,0)))</f>
        <v/>
      </c>
      <c r="E410" s="26" t="str">
        <f t="array" ref="E410">IF($B410="","",INDEX('Gap reference'!$G$2:$G$60,MATCH($B410,'Gap reference'!$A$2:$A$60,0)))</f>
        <v/>
      </c>
      <c r="F410" s="48"/>
      <c r="G410" s="48"/>
      <c r="H410" s="48"/>
      <c r="I410" s="48"/>
      <c r="J410" s="48"/>
      <c r="K410" s="48"/>
      <c r="L410" s="48"/>
      <c r="M410" s="48"/>
      <c r="N410" s="75"/>
      <c r="O410" s="48"/>
      <c r="P410" s="35"/>
      <c r="Q410" s="35"/>
      <c r="R410" s="35"/>
      <c r="S410" s="35"/>
      <c r="T410" s="35"/>
      <c r="U410" s="35"/>
      <c r="V410" s="35"/>
      <c r="W410" s="35"/>
      <c r="X410" s="35"/>
      <c r="Y410" s="35"/>
      <c r="Z410" s="35"/>
    </row>
    <row r="411" ht="15.75" customHeight="1">
      <c r="A411" s="48"/>
      <c r="B411" s="48"/>
      <c r="C411" s="26" t="str">
        <f t="array" ref="C411">IF($B411="","",INDEX('Gap reference'!$C$2:$C$60,MATCH($B411,'Gap reference'!$A$2:$A$60,0)))</f>
        <v/>
      </c>
      <c r="D411" s="26" t="str">
        <f t="array" ref="D411">IF($B411="","",INDEX('Gap reference'!$D$2:$D$60,MATCH($B411,'Gap reference'!$A$2:$A$60,0)))</f>
        <v/>
      </c>
      <c r="E411" s="26" t="str">
        <f t="array" ref="E411">IF($B411="","",INDEX('Gap reference'!$G$2:$G$60,MATCH($B411,'Gap reference'!$A$2:$A$60,0)))</f>
        <v/>
      </c>
      <c r="F411" s="48"/>
      <c r="G411" s="48"/>
      <c r="H411" s="48"/>
      <c r="I411" s="48"/>
      <c r="J411" s="48"/>
      <c r="K411" s="48"/>
      <c r="L411" s="48"/>
      <c r="M411" s="48"/>
      <c r="N411" s="75"/>
      <c r="O411" s="48"/>
      <c r="P411" s="35"/>
      <c r="Q411" s="35"/>
      <c r="R411" s="35"/>
      <c r="S411" s="35"/>
      <c r="T411" s="35"/>
      <c r="U411" s="35"/>
      <c r="V411" s="35"/>
      <c r="W411" s="35"/>
      <c r="X411" s="35"/>
      <c r="Y411" s="35"/>
      <c r="Z411" s="35"/>
    </row>
    <row r="412" ht="15.75" customHeight="1">
      <c r="A412" s="48"/>
      <c r="B412" s="48"/>
      <c r="C412" s="26" t="str">
        <f t="array" ref="C412">IF($B412="","",INDEX('Gap reference'!$C$2:$C$60,MATCH($B412,'Gap reference'!$A$2:$A$60,0)))</f>
        <v/>
      </c>
      <c r="D412" s="26" t="str">
        <f t="array" ref="D412">IF($B412="","",INDEX('Gap reference'!$D$2:$D$60,MATCH($B412,'Gap reference'!$A$2:$A$60,0)))</f>
        <v/>
      </c>
      <c r="E412" s="26" t="str">
        <f t="array" ref="E412">IF($B412="","",INDEX('Gap reference'!$G$2:$G$60,MATCH($B412,'Gap reference'!$A$2:$A$60,0)))</f>
        <v/>
      </c>
      <c r="F412" s="48"/>
      <c r="G412" s="48"/>
      <c r="H412" s="48"/>
      <c r="I412" s="48"/>
      <c r="J412" s="48"/>
      <c r="K412" s="48"/>
      <c r="L412" s="48"/>
      <c r="M412" s="48"/>
      <c r="N412" s="75"/>
      <c r="O412" s="48"/>
      <c r="P412" s="35"/>
      <c r="Q412" s="35"/>
      <c r="R412" s="35"/>
      <c r="S412" s="35"/>
      <c r="T412" s="35"/>
      <c r="U412" s="35"/>
      <c r="V412" s="35"/>
      <c r="W412" s="35"/>
      <c r="X412" s="35"/>
      <c r="Y412" s="35"/>
      <c r="Z412" s="35"/>
    </row>
    <row r="413" ht="15.75" customHeight="1">
      <c r="A413" s="48"/>
      <c r="B413" s="48"/>
      <c r="C413" s="26" t="str">
        <f t="array" ref="C413">IF($B413="","",INDEX('Gap reference'!$C$2:$C$60,MATCH($B413,'Gap reference'!$A$2:$A$60,0)))</f>
        <v/>
      </c>
      <c r="D413" s="26" t="str">
        <f t="array" ref="D413">IF($B413="","",INDEX('Gap reference'!$D$2:$D$60,MATCH($B413,'Gap reference'!$A$2:$A$60,0)))</f>
        <v/>
      </c>
      <c r="E413" s="26" t="str">
        <f t="array" ref="E413">IF($B413="","",INDEX('Gap reference'!$G$2:$G$60,MATCH($B413,'Gap reference'!$A$2:$A$60,0)))</f>
        <v/>
      </c>
      <c r="F413" s="48"/>
      <c r="G413" s="48"/>
      <c r="H413" s="48"/>
      <c r="I413" s="48"/>
      <c r="J413" s="48"/>
      <c r="K413" s="48"/>
      <c r="L413" s="48"/>
      <c r="M413" s="48"/>
      <c r="N413" s="75"/>
      <c r="O413" s="48"/>
      <c r="P413" s="35"/>
      <c r="Q413" s="35"/>
      <c r="R413" s="35"/>
      <c r="S413" s="35"/>
      <c r="T413" s="35"/>
      <c r="U413" s="35"/>
      <c r="V413" s="35"/>
      <c r="W413" s="35"/>
      <c r="X413" s="35"/>
      <c r="Y413" s="35"/>
      <c r="Z413" s="35"/>
    </row>
    <row r="414" ht="15.75" customHeight="1">
      <c r="A414" s="48"/>
      <c r="B414" s="48"/>
      <c r="C414" s="26" t="str">
        <f t="array" ref="C414">IF($B414="","",INDEX('Gap reference'!$C$2:$C$60,MATCH($B414,'Gap reference'!$A$2:$A$60,0)))</f>
        <v/>
      </c>
      <c r="D414" s="26" t="str">
        <f t="array" ref="D414">IF($B414="","",INDEX('Gap reference'!$D$2:$D$60,MATCH($B414,'Gap reference'!$A$2:$A$60,0)))</f>
        <v/>
      </c>
      <c r="E414" s="26" t="str">
        <f t="array" ref="E414">IF($B414="","",INDEX('Gap reference'!$G$2:$G$60,MATCH($B414,'Gap reference'!$A$2:$A$60,0)))</f>
        <v/>
      </c>
      <c r="F414" s="48"/>
      <c r="G414" s="48"/>
      <c r="H414" s="48"/>
      <c r="I414" s="48"/>
      <c r="J414" s="48"/>
      <c r="K414" s="48"/>
      <c r="L414" s="48"/>
      <c r="M414" s="48"/>
      <c r="N414" s="75"/>
      <c r="O414" s="48"/>
      <c r="P414" s="35"/>
      <c r="Q414" s="35"/>
      <c r="R414" s="35"/>
      <c r="S414" s="35"/>
      <c r="T414" s="35"/>
      <c r="U414" s="35"/>
      <c r="V414" s="35"/>
      <c r="W414" s="35"/>
      <c r="X414" s="35"/>
      <c r="Y414" s="35"/>
      <c r="Z414" s="35"/>
    </row>
    <row r="415" ht="15.75" customHeight="1">
      <c r="A415" s="48"/>
      <c r="B415" s="48"/>
      <c r="C415" s="26" t="str">
        <f t="array" ref="C415">IF($B415="","",INDEX('Gap reference'!$C$2:$C$60,MATCH($B415,'Gap reference'!$A$2:$A$60,0)))</f>
        <v/>
      </c>
      <c r="D415" s="26" t="str">
        <f t="array" ref="D415">IF($B415="","",INDEX('Gap reference'!$D$2:$D$60,MATCH($B415,'Gap reference'!$A$2:$A$60,0)))</f>
        <v/>
      </c>
      <c r="E415" s="26" t="str">
        <f t="array" ref="E415">IF($B415="","",INDEX('Gap reference'!$G$2:$G$60,MATCH($B415,'Gap reference'!$A$2:$A$60,0)))</f>
        <v/>
      </c>
      <c r="F415" s="48"/>
      <c r="G415" s="48"/>
      <c r="H415" s="48"/>
      <c r="I415" s="48"/>
      <c r="J415" s="48"/>
      <c r="K415" s="48"/>
      <c r="L415" s="48"/>
      <c r="M415" s="48"/>
      <c r="N415" s="75"/>
      <c r="O415" s="48"/>
      <c r="P415" s="35"/>
      <c r="Q415" s="35"/>
      <c r="R415" s="35"/>
      <c r="S415" s="35"/>
      <c r="T415" s="35"/>
      <c r="U415" s="35"/>
      <c r="V415" s="35"/>
      <c r="W415" s="35"/>
      <c r="X415" s="35"/>
      <c r="Y415" s="35"/>
      <c r="Z415" s="35"/>
    </row>
    <row r="416" ht="15.75" customHeight="1">
      <c r="A416" s="48"/>
      <c r="B416" s="48"/>
      <c r="C416" s="26" t="str">
        <f t="array" ref="C416">IF($B416="","",INDEX('Gap reference'!$C$2:$C$60,MATCH($B416,'Gap reference'!$A$2:$A$60,0)))</f>
        <v/>
      </c>
      <c r="D416" s="26" t="str">
        <f t="array" ref="D416">IF($B416="","",INDEX('Gap reference'!$D$2:$D$60,MATCH($B416,'Gap reference'!$A$2:$A$60,0)))</f>
        <v/>
      </c>
      <c r="E416" s="26" t="str">
        <f t="array" ref="E416">IF($B416="","",INDEX('Gap reference'!$G$2:$G$60,MATCH($B416,'Gap reference'!$A$2:$A$60,0)))</f>
        <v/>
      </c>
      <c r="F416" s="48"/>
      <c r="G416" s="48"/>
      <c r="H416" s="48"/>
      <c r="I416" s="48"/>
      <c r="J416" s="48"/>
      <c r="K416" s="48"/>
      <c r="L416" s="48"/>
      <c r="M416" s="48"/>
      <c r="N416" s="75"/>
      <c r="O416" s="48"/>
      <c r="P416" s="35"/>
      <c r="Q416" s="35"/>
      <c r="R416" s="35"/>
      <c r="S416" s="35"/>
      <c r="T416" s="35"/>
      <c r="U416" s="35"/>
      <c r="V416" s="35"/>
      <c r="W416" s="35"/>
      <c r="X416" s="35"/>
      <c r="Y416" s="35"/>
      <c r="Z416" s="35"/>
    </row>
    <row r="417" ht="15.75" customHeight="1">
      <c r="A417" s="48"/>
      <c r="B417" s="48"/>
      <c r="C417" s="26" t="str">
        <f t="array" ref="C417">IF($B417="","",INDEX('Gap reference'!$C$2:$C$60,MATCH($B417,'Gap reference'!$A$2:$A$60,0)))</f>
        <v/>
      </c>
      <c r="D417" s="26" t="str">
        <f t="array" ref="D417">IF($B417="","",INDEX('Gap reference'!$D$2:$D$60,MATCH($B417,'Gap reference'!$A$2:$A$60,0)))</f>
        <v/>
      </c>
      <c r="E417" s="26" t="str">
        <f t="array" ref="E417">IF($B417="","",INDEX('Gap reference'!$G$2:$G$60,MATCH($B417,'Gap reference'!$A$2:$A$60,0)))</f>
        <v/>
      </c>
      <c r="F417" s="48"/>
      <c r="G417" s="48"/>
      <c r="H417" s="48"/>
      <c r="I417" s="48"/>
      <c r="J417" s="48"/>
      <c r="K417" s="48"/>
      <c r="L417" s="48"/>
      <c r="M417" s="48"/>
      <c r="N417" s="75"/>
      <c r="O417" s="48"/>
      <c r="P417" s="35"/>
      <c r="Q417" s="35"/>
      <c r="R417" s="35"/>
      <c r="S417" s="35"/>
      <c r="T417" s="35"/>
      <c r="U417" s="35"/>
      <c r="V417" s="35"/>
      <c r="W417" s="35"/>
      <c r="X417" s="35"/>
      <c r="Y417" s="35"/>
      <c r="Z417" s="35"/>
    </row>
    <row r="418" ht="15.75" customHeight="1">
      <c r="A418" s="48"/>
      <c r="B418" s="48"/>
      <c r="C418" s="26" t="str">
        <f t="array" ref="C418">IF($B418="","",INDEX('Gap reference'!$C$2:$C$60,MATCH($B418,'Gap reference'!$A$2:$A$60,0)))</f>
        <v/>
      </c>
      <c r="D418" s="26" t="str">
        <f t="array" ref="D418">IF($B418="","",INDEX('Gap reference'!$D$2:$D$60,MATCH($B418,'Gap reference'!$A$2:$A$60,0)))</f>
        <v/>
      </c>
      <c r="E418" s="26" t="str">
        <f t="array" ref="E418">IF($B418="","",INDEX('Gap reference'!$G$2:$G$60,MATCH($B418,'Gap reference'!$A$2:$A$60,0)))</f>
        <v/>
      </c>
      <c r="F418" s="48"/>
      <c r="G418" s="48"/>
      <c r="H418" s="48"/>
      <c r="I418" s="48"/>
      <c r="J418" s="48"/>
      <c r="K418" s="48"/>
      <c r="L418" s="48"/>
      <c r="M418" s="48"/>
      <c r="N418" s="75"/>
      <c r="O418" s="48"/>
      <c r="P418" s="35"/>
      <c r="Q418" s="35"/>
      <c r="R418" s="35"/>
      <c r="S418" s="35"/>
      <c r="T418" s="35"/>
      <c r="U418" s="35"/>
      <c r="V418" s="35"/>
      <c r="W418" s="35"/>
      <c r="X418" s="35"/>
      <c r="Y418" s="35"/>
      <c r="Z418" s="35"/>
    </row>
    <row r="419" ht="15.75" customHeight="1">
      <c r="A419" s="48"/>
      <c r="B419" s="48"/>
      <c r="C419" s="26" t="str">
        <f t="array" ref="C419">IF($B419="","",INDEX('Gap reference'!$C$2:$C$60,MATCH($B419,'Gap reference'!$A$2:$A$60,0)))</f>
        <v/>
      </c>
      <c r="D419" s="26" t="str">
        <f t="array" ref="D419">IF($B419="","",INDEX('Gap reference'!$D$2:$D$60,MATCH($B419,'Gap reference'!$A$2:$A$60,0)))</f>
        <v/>
      </c>
      <c r="E419" s="26" t="str">
        <f t="array" ref="E419">IF($B419="","",INDEX('Gap reference'!$G$2:$G$60,MATCH($B419,'Gap reference'!$A$2:$A$60,0)))</f>
        <v/>
      </c>
      <c r="F419" s="48"/>
      <c r="G419" s="48"/>
      <c r="H419" s="48"/>
      <c r="I419" s="48"/>
      <c r="J419" s="48"/>
      <c r="K419" s="48"/>
      <c r="L419" s="48"/>
      <c r="M419" s="48"/>
      <c r="N419" s="75"/>
      <c r="O419" s="48"/>
      <c r="P419" s="35"/>
      <c r="Q419" s="35"/>
      <c r="R419" s="35"/>
      <c r="S419" s="35"/>
      <c r="T419" s="35"/>
      <c r="U419" s="35"/>
      <c r="V419" s="35"/>
      <c r="W419" s="35"/>
      <c r="X419" s="35"/>
      <c r="Y419" s="35"/>
      <c r="Z419" s="35"/>
    </row>
    <row r="420" ht="15.75" customHeight="1">
      <c r="A420" s="48"/>
      <c r="B420" s="48"/>
      <c r="C420" s="26" t="str">
        <f t="array" ref="C420">IF($B420="","",INDEX('Gap reference'!$C$2:$C$60,MATCH($B420,'Gap reference'!$A$2:$A$60,0)))</f>
        <v/>
      </c>
      <c r="D420" s="26" t="str">
        <f t="array" ref="D420">IF($B420="","",INDEX('Gap reference'!$D$2:$D$60,MATCH($B420,'Gap reference'!$A$2:$A$60,0)))</f>
        <v/>
      </c>
      <c r="E420" s="26" t="str">
        <f t="array" ref="E420">IF($B420="","",INDEX('Gap reference'!$G$2:$G$60,MATCH($B420,'Gap reference'!$A$2:$A$60,0)))</f>
        <v/>
      </c>
      <c r="F420" s="48"/>
      <c r="G420" s="48"/>
      <c r="H420" s="48"/>
      <c r="I420" s="48"/>
      <c r="J420" s="48"/>
      <c r="K420" s="48"/>
      <c r="L420" s="48"/>
      <c r="M420" s="48"/>
      <c r="N420" s="75"/>
      <c r="O420" s="48"/>
      <c r="P420" s="35"/>
      <c r="Q420" s="35"/>
      <c r="R420" s="35"/>
      <c r="S420" s="35"/>
      <c r="T420" s="35"/>
      <c r="U420" s="35"/>
      <c r="V420" s="35"/>
      <c r="W420" s="35"/>
      <c r="X420" s="35"/>
      <c r="Y420" s="35"/>
      <c r="Z420" s="35"/>
    </row>
    <row r="421" ht="15.75" customHeight="1">
      <c r="A421" s="48"/>
      <c r="B421" s="48"/>
      <c r="C421" s="26" t="str">
        <f t="array" ref="C421">IF($B421="","",INDEX('Gap reference'!$C$2:$C$60,MATCH($B421,'Gap reference'!$A$2:$A$60,0)))</f>
        <v/>
      </c>
      <c r="D421" s="26" t="str">
        <f t="array" ref="D421">IF($B421="","",INDEX('Gap reference'!$D$2:$D$60,MATCH($B421,'Gap reference'!$A$2:$A$60,0)))</f>
        <v/>
      </c>
      <c r="E421" s="26" t="str">
        <f t="array" ref="E421">IF($B421="","",INDEX('Gap reference'!$G$2:$G$60,MATCH($B421,'Gap reference'!$A$2:$A$60,0)))</f>
        <v/>
      </c>
      <c r="F421" s="48"/>
      <c r="G421" s="48"/>
      <c r="H421" s="48"/>
      <c r="I421" s="48"/>
      <c r="J421" s="48"/>
      <c r="K421" s="48"/>
      <c r="L421" s="48"/>
      <c r="M421" s="48"/>
      <c r="N421" s="75"/>
      <c r="O421" s="48"/>
      <c r="P421" s="35"/>
      <c r="Q421" s="35"/>
      <c r="R421" s="35"/>
      <c r="S421" s="35"/>
      <c r="T421" s="35"/>
      <c r="U421" s="35"/>
      <c r="V421" s="35"/>
      <c r="W421" s="35"/>
      <c r="X421" s="35"/>
      <c r="Y421" s="35"/>
      <c r="Z421" s="35"/>
    </row>
    <row r="422" ht="15.75" customHeight="1">
      <c r="A422" s="48"/>
      <c r="B422" s="48"/>
      <c r="C422" s="26" t="str">
        <f t="array" ref="C422">IF($B422="","",INDEX('Gap reference'!$C$2:$C$60,MATCH($B422,'Gap reference'!$A$2:$A$60,0)))</f>
        <v/>
      </c>
      <c r="D422" s="26" t="str">
        <f t="array" ref="D422">IF($B422="","",INDEX('Gap reference'!$D$2:$D$60,MATCH($B422,'Gap reference'!$A$2:$A$60,0)))</f>
        <v/>
      </c>
      <c r="E422" s="26" t="str">
        <f t="array" ref="E422">IF($B422="","",INDEX('Gap reference'!$G$2:$G$60,MATCH($B422,'Gap reference'!$A$2:$A$60,0)))</f>
        <v/>
      </c>
      <c r="F422" s="48"/>
      <c r="G422" s="48"/>
      <c r="H422" s="48"/>
      <c r="I422" s="48"/>
      <c r="J422" s="48"/>
      <c r="K422" s="48"/>
      <c r="L422" s="48"/>
      <c r="M422" s="48"/>
      <c r="N422" s="75"/>
      <c r="O422" s="48"/>
      <c r="P422" s="35"/>
      <c r="Q422" s="35"/>
      <c r="R422" s="35"/>
      <c r="S422" s="35"/>
      <c r="T422" s="35"/>
      <c r="U422" s="35"/>
      <c r="V422" s="35"/>
      <c r="W422" s="35"/>
      <c r="X422" s="35"/>
      <c r="Y422" s="35"/>
      <c r="Z422" s="35"/>
    </row>
    <row r="423" ht="15.75" customHeight="1">
      <c r="A423" s="48"/>
      <c r="B423" s="48"/>
      <c r="C423" s="26" t="str">
        <f t="array" ref="C423">IF($B423="","",INDEX('Gap reference'!$C$2:$C$60,MATCH($B423,'Gap reference'!$A$2:$A$60,0)))</f>
        <v/>
      </c>
      <c r="D423" s="26" t="str">
        <f t="array" ref="D423">IF($B423="","",INDEX('Gap reference'!$D$2:$D$60,MATCH($B423,'Gap reference'!$A$2:$A$60,0)))</f>
        <v/>
      </c>
      <c r="E423" s="26" t="str">
        <f t="array" ref="E423">IF($B423="","",INDEX('Gap reference'!$G$2:$G$60,MATCH($B423,'Gap reference'!$A$2:$A$60,0)))</f>
        <v/>
      </c>
      <c r="F423" s="48"/>
      <c r="G423" s="48"/>
      <c r="H423" s="48"/>
      <c r="I423" s="48"/>
      <c r="J423" s="48"/>
      <c r="K423" s="48"/>
      <c r="L423" s="48"/>
      <c r="M423" s="48"/>
      <c r="N423" s="75"/>
      <c r="O423" s="48"/>
      <c r="P423" s="35"/>
      <c r="Q423" s="35"/>
      <c r="R423" s="35"/>
      <c r="S423" s="35"/>
      <c r="T423" s="35"/>
      <c r="U423" s="35"/>
      <c r="V423" s="35"/>
      <c r="W423" s="35"/>
      <c r="X423" s="35"/>
      <c r="Y423" s="35"/>
      <c r="Z423" s="35"/>
    </row>
    <row r="424" ht="15.75" customHeight="1">
      <c r="A424" s="48"/>
      <c r="B424" s="48"/>
      <c r="C424" s="26" t="str">
        <f t="array" ref="C424">IF($B424="","",INDEX('Gap reference'!$C$2:$C$60,MATCH($B424,'Gap reference'!$A$2:$A$60,0)))</f>
        <v/>
      </c>
      <c r="D424" s="26" t="str">
        <f t="array" ref="D424">IF($B424="","",INDEX('Gap reference'!$D$2:$D$60,MATCH($B424,'Gap reference'!$A$2:$A$60,0)))</f>
        <v/>
      </c>
      <c r="E424" s="26" t="str">
        <f t="array" ref="E424">IF($B424="","",INDEX('Gap reference'!$G$2:$G$60,MATCH($B424,'Gap reference'!$A$2:$A$60,0)))</f>
        <v/>
      </c>
      <c r="F424" s="48"/>
      <c r="G424" s="48"/>
      <c r="H424" s="48"/>
      <c r="I424" s="48"/>
      <c r="J424" s="48"/>
      <c r="K424" s="48"/>
      <c r="L424" s="48"/>
      <c r="M424" s="48"/>
      <c r="N424" s="75"/>
      <c r="O424" s="48"/>
      <c r="P424" s="35"/>
      <c r="Q424" s="35"/>
      <c r="R424" s="35"/>
      <c r="S424" s="35"/>
      <c r="T424" s="35"/>
      <c r="U424" s="35"/>
      <c r="V424" s="35"/>
      <c r="W424" s="35"/>
      <c r="X424" s="35"/>
      <c r="Y424" s="35"/>
      <c r="Z424" s="35"/>
    </row>
    <row r="425" ht="15.75" customHeight="1">
      <c r="A425" s="48"/>
      <c r="B425" s="48"/>
      <c r="C425" s="26" t="str">
        <f t="array" ref="C425">IF($B425="","",INDEX('Gap reference'!$C$2:$C$60,MATCH($B425,'Gap reference'!$A$2:$A$60,0)))</f>
        <v/>
      </c>
      <c r="D425" s="26" t="str">
        <f t="array" ref="D425">IF($B425="","",INDEX('Gap reference'!$D$2:$D$60,MATCH($B425,'Gap reference'!$A$2:$A$60,0)))</f>
        <v/>
      </c>
      <c r="E425" s="26" t="str">
        <f t="array" ref="E425">IF($B425="","",INDEX('Gap reference'!$G$2:$G$60,MATCH($B425,'Gap reference'!$A$2:$A$60,0)))</f>
        <v/>
      </c>
      <c r="F425" s="48"/>
      <c r="G425" s="48"/>
      <c r="H425" s="48"/>
      <c r="I425" s="48"/>
      <c r="J425" s="48"/>
      <c r="K425" s="48"/>
      <c r="L425" s="48"/>
      <c r="M425" s="48"/>
      <c r="N425" s="75"/>
      <c r="O425" s="48"/>
      <c r="P425" s="35"/>
      <c r="Q425" s="35"/>
      <c r="R425" s="35"/>
      <c r="S425" s="35"/>
      <c r="T425" s="35"/>
      <c r="U425" s="35"/>
      <c r="V425" s="35"/>
      <c r="W425" s="35"/>
      <c r="X425" s="35"/>
      <c r="Y425" s="35"/>
      <c r="Z425" s="35"/>
    </row>
    <row r="426" ht="15.75" customHeight="1">
      <c r="A426" s="48"/>
      <c r="B426" s="48"/>
      <c r="C426" s="26" t="str">
        <f t="array" ref="C426">IF($B426="","",INDEX('Gap reference'!$C$2:$C$60,MATCH($B426,'Gap reference'!$A$2:$A$60,0)))</f>
        <v/>
      </c>
      <c r="D426" s="26" t="str">
        <f t="array" ref="D426">IF($B426="","",INDEX('Gap reference'!$D$2:$D$60,MATCH($B426,'Gap reference'!$A$2:$A$60,0)))</f>
        <v/>
      </c>
      <c r="E426" s="26" t="str">
        <f t="array" ref="E426">IF($B426="","",INDEX('Gap reference'!$G$2:$G$60,MATCH($B426,'Gap reference'!$A$2:$A$60,0)))</f>
        <v/>
      </c>
      <c r="F426" s="48"/>
      <c r="G426" s="48"/>
      <c r="H426" s="48"/>
      <c r="I426" s="48"/>
      <c r="J426" s="48"/>
      <c r="K426" s="48"/>
      <c r="L426" s="48"/>
      <c r="M426" s="48"/>
      <c r="N426" s="75"/>
      <c r="O426" s="48"/>
      <c r="P426" s="35"/>
      <c r="Q426" s="35"/>
      <c r="R426" s="35"/>
      <c r="S426" s="35"/>
      <c r="T426" s="35"/>
      <c r="U426" s="35"/>
      <c r="V426" s="35"/>
      <c r="W426" s="35"/>
      <c r="X426" s="35"/>
      <c r="Y426" s="35"/>
      <c r="Z426" s="35"/>
    </row>
    <row r="427" ht="15.75" customHeight="1">
      <c r="A427" s="48"/>
      <c r="B427" s="48"/>
      <c r="C427" s="26" t="str">
        <f t="array" ref="C427">IF($B427="","",INDEX('Gap reference'!$C$2:$C$60,MATCH($B427,'Gap reference'!$A$2:$A$60,0)))</f>
        <v/>
      </c>
      <c r="D427" s="26" t="str">
        <f t="array" ref="D427">IF($B427="","",INDEX('Gap reference'!$D$2:$D$60,MATCH($B427,'Gap reference'!$A$2:$A$60,0)))</f>
        <v/>
      </c>
      <c r="E427" s="26" t="str">
        <f t="array" ref="E427">IF($B427="","",INDEX('Gap reference'!$G$2:$G$60,MATCH($B427,'Gap reference'!$A$2:$A$60,0)))</f>
        <v/>
      </c>
      <c r="F427" s="48"/>
      <c r="G427" s="48"/>
      <c r="H427" s="48"/>
      <c r="I427" s="48"/>
      <c r="J427" s="48"/>
      <c r="K427" s="48"/>
      <c r="L427" s="48"/>
      <c r="M427" s="48"/>
      <c r="N427" s="75"/>
      <c r="O427" s="48"/>
      <c r="P427" s="35"/>
      <c r="Q427" s="35"/>
      <c r="R427" s="35"/>
      <c r="S427" s="35"/>
      <c r="T427" s="35"/>
      <c r="U427" s="35"/>
      <c r="V427" s="35"/>
      <c r="W427" s="35"/>
      <c r="X427" s="35"/>
      <c r="Y427" s="35"/>
      <c r="Z427" s="35"/>
    </row>
    <row r="428" ht="15.75" customHeight="1">
      <c r="A428" s="48"/>
      <c r="B428" s="48"/>
      <c r="C428" s="26" t="str">
        <f t="array" ref="C428">IF($B428="","",INDEX('Gap reference'!$C$2:$C$60,MATCH($B428,'Gap reference'!$A$2:$A$60,0)))</f>
        <v/>
      </c>
      <c r="D428" s="26" t="str">
        <f t="array" ref="D428">IF($B428="","",INDEX('Gap reference'!$D$2:$D$60,MATCH($B428,'Gap reference'!$A$2:$A$60,0)))</f>
        <v/>
      </c>
      <c r="E428" s="26" t="str">
        <f t="array" ref="E428">IF($B428="","",INDEX('Gap reference'!$G$2:$G$60,MATCH($B428,'Gap reference'!$A$2:$A$60,0)))</f>
        <v/>
      </c>
      <c r="F428" s="48"/>
      <c r="G428" s="48"/>
      <c r="H428" s="48"/>
      <c r="I428" s="48"/>
      <c r="J428" s="48"/>
      <c r="K428" s="48"/>
      <c r="L428" s="48"/>
      <c r="M428" s="48"/>
      <c r="N428" s="75"/>
      <c r="O428" s="48"/>
      <c r="P428" s="35"/>
      <c r="Q428" s="35"/>
      <c r="R428" s="35"/>
      <c r="S428" s="35"/>
      <c r="T428" s="35"/>
      <c r="U428" s="35"/>
      <c r="V428" s="35"/>
      <c r="W428" s="35"/>
      <c r="X428" s="35"/>
      <c r="Y428" s="35"/>
      <c r="Z428" s="35"/>
    </row>
    <row r="429" ht="15.75" customHeight="1">
      <c r="A429" s="48"/>
      <c r="B429" s="48"/>
      <c r="C429" s="26" t="str">
        <f t="array" ref="C429">IF($B429="","",INDEX('Gap reference'!$C$2:$C$60,MATCH($B429,'Gap reference'!$A$2:$A$60,0)))</f>
        <v/>
      </c>
      <c r="D429" s="26" t="str">
        <f t="array" ref="D429">IF($B429="","",INDEX('Gap reference'!$D$2:$D$60,MATCH($B429,'Gap reference'!$A$2:$A$60,0)))</f>
        <v/>
      </c>
      <c r="E429" s="26" t="str">
        <f t="array" ref="E429">IF($B429="","",INDEX('Gap reference'!$G$2:$G$60,MATCH($B429,'Gap reference'!$A$2:$A$60,0)))</f>
        <v/>
      </c>
      <c r="F429" s="48"/>
      <c r="G429" s="48"/>
      <c r="H429" s="48"/>
      <c r="I429" s="48"/>
      <c r="J429" s="48"/>
      <c r="K429" s="48"/>
      <c r="L429" s="48"/>
      <c r="M429" s="48"/>
      <c r="N429" s="75"/>
      <c r="O429" s="48"/>
      <c r="P429" s="35"/>
      <c r="Q429" s="35"/>
      <c r="R429" s="35"/>
      <c r="S429" s="35"/>
      <c r="T429" s="35"/>
      <c r="U429" s="35"/>
      <c r="V429" s="35"/>
      <c r="W429" s="35"/>
      <c r="X429" s="35"/>
      <c r="Y429" s="35"/>
      <c r="Z429" s="35"/>
    </row>
    <row r="430" ht="15.75" customHeight="1">
      <c r="A430" s="48"/>
      <c r="B430" s="48"/>
      <c r="C430" s="26" t="str">
        <f t="array" ref="C430">IF($B430="","",INDEX('Gap reference'!$C$2:$C$60,MATCH($B430,'Gap reference'!$A$2:$A$60,0)))</f>
        <v/>
      </c>
      <c r="D430" s="26" t="str">
        <f t="array" ref="D430">IF($B430="","",INDEX('Gap reference'!$D$2:$D$60,MATCH($B430,'Gap reference'!$A$2:$A$60,0)))</f>
        <v/>
      </c>
      <c r="E430" s="26" t="str">
        <f t="array" ref="E430">IF($B430="","",INDEX('Gap reference'!$G$2:$G$60,MATCH($B430,'Gap reference'!$A$2:$A$60,0)))</f>
        <v/>
      </c>
      <c r="F430" s="48"/>
      <c r="G430" s="48"/>
      <c r="H430" s="48"/>
      <c r="I430" s="48"/>
      <c r="J430" s="48"/>
      <c r="K430" s="48"/>
      <c r="L430" s="48"/>
      <c r="M430" s="48"/>
      <c r="N430" s="75"/>
      <c r="O430" s="48"/>
      <c r="P430" s="35"/>
      <c r="Q430" s="35"/>
      <c r="R430" s="35"/>
      <c r="S430" s="35"/>
      <c r="T430" s="35"/>
      <c r="U430" s="35"/>
      <c r="V430" s="35"/>
      <c r="W430" s="35"/>
      <c r="X430" s="35"/>
      <c r="Y430" s="35"/>
      <c r="Z430" s="35"/>
    </row>
    <row r="431" ht="15.75" customHeight="1">
      <c r="A431" s="48"/>
      <c r="B431" s="48"/>
      <c r="C431" s="26" t="str">
        <f t="array" ref="C431">IF($B431="","",INDEX('Gap reference'!$C$2:$C$60,MATCH($B431,'Gap reference'!$A$2:$A$60,0)))</f>
        <v/>
      </c>
      <c r="D431" s="26" t="str">
        <f t="array" ref="D431">IF($B431="","",INDEX('Gap reference'!$D$2:$D$60,MATCH($B431,'Gap reference'!$A$2:$A$60,0)))</f>
        <v/>
      </c>
      <c r="E431" s="26" t="str">
        <f t="array" ref="E431">IF($B431="","",INDEX('Gap reference'!$G$2:$G$60,MATCH($B431,'Gap reference'!$A$2:$A$60,0)))</f>
        <v/>
      </c>
      <c r="F431" s="48"/>
      <c r="G431" s="48"/>
      <c r="H431" s="48"/>
      <c r="I431" s="48"/>
      <c r="J431" s="48"/>
      <c r="K431" s="48"/>
      <c r="L431" s="48"/>
      <c r="M431" s="48"/>
      <c r="N431" s="75"/>
      <c r="O431" s="48"/>
      <c r="P431" s="35"/>
      <c r="Q431" s="35"/>
      <c r="R431" s="35"/>
      <c r="S431" s="35"/>
      <c r="T431" s="35"/>
      <c r="U431" s="35"/>
      <c r="V431" s="35"/>
      <c r="W431" s="35"/>
      <c r="X431" s="35"/>
      <c r="Y431" s="35"/>
      <c r="Z431" s="35"/>
    </row>
    <row r="432" ht="15.75" customHeight="1">
      <c r="A432" s="48"/>
      <c r="B432" s="48"/>
      <c r="C432" s="26" t="str">
        <f t="array" ref="C432">IF($B432="","",INDEX('Gap reference'!$C$2:$C$60,MATCH($B432,'Gap reference'!$A$2:$A$60,0)))</f>
        <v/>
      </c>
      <c r="D432" s="26" t="str">
        <f t="array" ref="D432">IF($B432="","",INDEX('Gap reference'!$D$2:$D$60,MATCH($B432,'Gap reference'!$A$2:$A$60,0)))</f>
        <v/>
      </c>
      <c r="E432" s="26" t="str">
        <f t="array" ref="E432">IF($B432="","",INDEX('Gap reference'!$G$2:$G$60,MATCH($B432,'Gap reference'!$A$2:$A$60,0)))</f>
        <v/>
      </c>
      <c r="F432" s="48"/>
      <c r="G432" s="48"/>
      <c r="H432" s="48"/>
      <c r="I432" s="48"/>
      <c r="J432" s="48"/>
      <c r="K432" s="48"/>
      <c r="L432" s="48"/>
      <c r="M432" s="48"/>
      <c r="N432" s="75"/>
      <c r="O432" s="48"/>
      <c r="P432" s="35"/>
      <c r="Q432" s="35"/>
      <c r="R432" s="35"/>
      <c r="S432" s="35"/>
      <c r="T432" s="35"/>
      <c r="U432" s="35"/>
      <c r="V432" s="35"/>
      <c r="W432" s="35"/>
      <c r="X432" s="35"/>
      <c r="Y432" s="35"/>
      <c r="Z432" s="35"/>
    </row>
    <row r="433" ht="15.75" customHeight="1">
      <c r="A433" s="48"/>
      <c r="B433" s="48"/>
      <c r="C433" s="26" t="str">
        <f t="array" ref="C433">IF($B433="","",INDEX('Gap reference'!$C$2:$C$60,MATCH($B433,'Gap reference'!$A$2:$A$60,0)))</f>
        <v/>
      </c>
      <c r="D433" s="26" t="str">
        <f t="array" ref="D433">IF($B433="","",INDEX('Gap reference'!$D$2:$D$60,MATCH($B433,'Gap reference'!$A$2:$A$60,0)))</f>
        <v/>
      </c>
      <c r="E433" s="26" t="str">
        <f t="array" ref="E433">IF($B433="","",INDEX('Gap reference'!$G$2:$G$60,MATCH($B433,'Gap reference'!$A$2:$A$60,0)))</f>
        <v/>
      </c>
      <c r="F433" s="48"/>
      <c r="G433" s="48"/>
      <c r="H433" s="48"/>
      <c r="I433" s="48"/>
      <c r="J433" s="48"/>
      <c r="K433" s="48"/>
      <c r="L433" s="48"/>
      <c r="M433" s="48"/>
      <c r="N433" s="75"/>
      <c r="O433" s="48"/>
      <c r="P433" s="35"/>
      <c r="Q433" s="35"/>
      <c r="R433" s="35"/>
      <c r="S433" s="35"/>
      <c r="T433" s="35"/>
      <c r="U433" s="35"/>
      <c r="V433" s="35"/>
      <c r="W433" s="35"/>
      <c r="X433" s="35"/>
      <c r="Y433" s="35"/>
      <c r="Z433" s="35"/>
    </row>
    <row r="434" ht="15.75" customHeight="1">
      <c r="A434" s="48"/>
      <c r="B434" s="48"/>
      <c r="C434" s="26" t="str">
        <f t="array" ref="C434">IF($B434="","",INDEX('Gap reference'!$C$2:$C$60,MATCH($B434,'Gap reference'!$A$2:$A$60,0)))</f>
        <v/>
      </c>
      <c r="D434" s="26" t="str">
        <f t="array" ref="D434">IF($B434="","",INDEX('Gap reference'!$D$2:$D$60,MATCH($B434,'Gap reference'!$A$2:$A$60,0)))</f>
        <v/>
      </c>
      <c r="E434" s="26" t="str">
        <f t="array" ref="E434">IF($B434="","",INDEX('Gap reference'!$G$2:$G$60,MATCH($B434,'Gap reference'!$A$2:$A$60,0)))</f>
        <v/>
      </c>
      <c r="F434" s="48"/>
      <c r="G434" s="48"/>
      <c r="H434" s="48"/>
      <c r="I434" s="48"/>
      <c r="J434" s="48"/>
      <c r="K434" s="48"/>
      <c r="L434" s="48"/>
      <c r="M434" s="48"/>
      <c r="N434" s="75"/>
      <c r="O434" s="48"/>
      <c r="P434" s="35"/>
      <c r="Q434" s="35"/>
      <c r="R434" s="35"/>
      <c r="S434" s="35"/>
      <c r="T434" s="35"/>
      <c r="U434" s="35"/>
      <c r="V434" s="35"/>
      <c r="W434" s="35"/>
      <c r="X434" s="35"/>
      <c r="Y434" s="35"/>
      <c r="Z434" s="35"/>
    </row>
    <row r="435" ht="15.75" customHeight="1">
      <c r="A435" s="48"/>
      <c r="B435" s="48"/>
      <c r="C435" s="26" t="str">
        <f t="array" ref="C435">IF($B435="","",INDEX('Gap reference'!$C$2:$C$60,MATCH($B435,'Gap reference'!$A$2:$A$60,0)))</f>
        <v/>
      </c>
      <c r="D435" s="26" t="str">
        <f t="array" ref="D435">IF($B435="","",INDEX('Gap reference'!$D$2:$D$60,MATCH($B435,'Gap reference'!$A$2:$A$60,0)))</f>
        <v/>
      </c>
      <c r="E435" s="26" t="str">
        <f t="array" ref="E435">IF($B435="","",INDEX('Gap reference'!$G$2:$G$60,MATCH($B435,'Gap reference'!$A$2:$A$60,0)))</f>
        <v/>
      </c>
      <c r="F435" s="48"/>
      <c r="G435" s="48"/>
      <c r="H435" s="48"/>
      <c r="I435" s="48"/>
      <c r="J435" s="48"/>
      <c r="K435" s="48"/>
      <c r="L435" s="48"/>
      <c r="M435" s="48"/>
      <c r="N435" s="75"/>
      <c r="O435" s="48"/>
      <c r="P435" s="35"/>
      <c r="Q435" s="35"/>
      <c r="R435" s="35"/>
      <c r="S435" s="35"/>
      <c r="T435" s="35"/>
      <c r="U435" s="35"/>
      <c r="V435" s="35"/>
      <c r="W435" s="35"/>
      <c r="X435" s="35"/>
      <c r="Y435" s="35"/>
      <c r="Z435" s="35"/>
    </row>
    <row r="436" ht="15.75" customHeight="1">
      <c r="A436" s="48"/>
      <c r="B436" s="48"/>
      <c r="C436" s="26" t="str">
        <f t="array" ref="C436">IF($B436="","",INDEX('Gap reference'!$C$2:$C$60,MATCH($B436,'Gap reference'!$A$2:$A$60,0)))</f>
        <v/>
      </c>
      <c r="D436" s="26" t="str">
        <f t="array" ref="D436">IF($B436="","",INDEX('Gap reference'!$D$2:$D$60,MATCH($B436,'Gap reference'!$A$2:$A$60,0)))</f>
        <v/>
      </c>
      <c r="E436" s="26" t="str">
        <f t="array" ref="E436">IF($B436="","",INDEX('Gap reference'!$G$2:$G$60,MATCH($B436,'Gap reference'!$A$2:$A$60,0)))</f>
        <v/>
      </c>
      <c r="F436" s="48"/>
      <c r="G436" s="48"/>
      <c r="H436" s="48"/>
      <c r="I436" s="48"/>
      <c r="J436" s="48"/>
      <c r="K436" s="48"/>
      <c r="L436" s="48"/>
      <c r="M436" s="48"/>
      <c r="N436" s="75"/>
      <c r="O436" s="48"/>
      <c r="P436" s="35"/>
      <c r="Q436" s="35"/>
      <c r="R436" s="35"/>
      <c r="S436" s="35"/>
      <c r="T436" s="35"/>
      <c r="U436" s="35"/>
      <c r="V436" s="35"/>
      <c r="W436" s="35"/>
      <c r="X436" s="35"/>
      <c r="Y436" s="35"/>
      <c r="Z436" s="35"/>
    </row>
    <row r="437" ht="15.75" customHeight="1">
      <c r="A437" s="48"/>
      <c r="B437" s="48"/>
      <c r="C437" s="26" t="str">
        <f t="array" ref="C437">IF($B437="","",INDEX('Gap reference'!$C$2:$C$60,MATCH($B437,'Gap reference'!$A$2:$A$60,0)))</f>
        <v/>
      </c>
      <c r="D437" s="26" t="str">
        <f t="array" ref="D437">IF($B437="","",INDEX('Gap reference'!$D$2:$D$60,MATCH($B437,'Gap reference'!$A$2:$A$60,0)))</f>
        <v/>
      </c>
      <c r="E437" s="26" t="str">
        <f t="array" ref="E437">IF($B437="","",INDEX('Gap reference'!$G$2:$G$60,MATCH($B437,'Gap reference'!$A$2:$A$60,0)))</f>
        <v/>
      </c>
      <c r="F437" s="48"/>
      <c r="G437" s="48"/>
      <c r="H437" s="48"/>
      <c r="I437" s="48"/>
      <c r="J437" s="48"/>
      <c r="K437" s="48"/>
      <c r="L437" s="48"/>
      <c r="M437" s="48"/>
      <c r="N437" s="75"/>
      <c r="O437" s="48"/>
      <c r="P437" s="35"/>
      <c r="Q437" s="35"/>
      <c r="R437" s="35"/>
      <c r="S437" s="35"/>
      <c r="T437" s="35"/>
      <c r="U437" s="35"/>
      <c r="V437" s="35"/>
      <c r="W437" s="35"/>
      <c r="X437" s="35"/>
      <c r="Y437" s="35"/>
      <c r="Z437" s="35"/>
    </row>
    <row r="438" ht="15.75" customHeight="1">
      <c r="A438" s="48"/>
      <c r="B438" s="48"/>
      <c r="C438" s="26" t="str">
        <f t="array" ref="C438">IF($B438="","",INDEX('Gap reference'!$C$2:$C$60,MATCH($B438,'Gap reference'!$A$2:$A$60,0)))</f>
        <v/>
      </c>
      <c r="D438" s="26" t="str">
        <f t="array" ref="D438">IF($B438="","",INDEX('Gap reference'!$D$2:$D$60,MATCH($B438,'Gap reference'!$A$2:$A$60,0)))</f>
        <v/>
      </c>
      <c r="E438" s="26" t="str">
        <f t="array" ref="E438">IF($B438="","",INDEX('Gap reference'!$G$2:$G$60,MATCH($B438,'Gap reference'!$A$2:$A$60,0)))</f>
        <v/>
      </c>
      <c r="F438" s="48"/>
      <c r="G438" s="48"/>
      <c r="H438" s="48"/>
      <c r="I438" s="48"/>
      <c r="J438" s="48"/>
      <c r="K438" s="48"/>
      <c r="L438" s="48"/>
      <c r="M438" s="48"/>
      <c r="N438" s="75"/>
      <c r="O438" s="48"/>
      <c r="P438" s="35"/>
      <c r="Q438" s="35"/>
      <c r="R438" s="35"/>
      <c r="S438" s="35"/>
      <c r="T438" s="35"/>
      <c r="U438" s="35"/>
      <c r="V438" s="35"/>
      <c r="W438" s="35"/>
      <c r="X438" s="35"/>
      <c r="Y438" s="35"/>
      <c r="Z438" s="35"/>
    </row>
    <row r="439" ht="15.75" customHeight="1">
      <c r="A439" s="48"/>
      <c r="B439" s="48"/>
      <c r="C439" s="26" t="str">
        <f t="array" ref="C439">IF($B439="","",INDEX('Gap reference'!$C$2:$C$60,MATCH($B439,'Gap reference'!$A$2:$A$60,0)))</f>
        <v/>
      </c>
      <c r="D439" s="26" t="str">
        <f t="array" ref="D439">IF($B439="","",INDEX('Gap reference'!$D$2:$D$60,MATCH($B439,'Gap reference'!$A$2:$A$60,0)))</f>
        <v/>
      </c>
      <c r="E439" s="26" t="str">
        <f t="array" ref="E439">IF($B439="","",INDEX('Gap reference'!$G$2:$G$60,MATCH($B439,'Gap reference'!$A$2:$A$60,0)))</f>
        <v/>
      </c>
      <c r="F439" s="48"/>
      <c r="G439" s="48"/>
      <c r="H439" s="48"/>
      <c r="I439" s="48"/>
      <c r="J439" s="48"/>
      <c r="K439" s="48"/>
      <c r="L439" s="48"/>
      <c r="M439" s="48"/>
      <c r="N439" s="75"/>
      <c r="O439" s="48"/>
      <c r="P439" s="35"/>
      <c r="Q439" s="35"/>
      <c r="R439" s="35"/>
      <c r="S439" s="35"/>
      <c r="T439" s="35"/>
      <c r="U439" s="35"/>
      <c r="V439" s="35"/>
      <c r="W439" s="35"/>
      <c r="X439" s="35"/>
      <c r="Y439" s="35"/>
      <c r="Z439" s="35"/>
    </row>
    <row r="440" ht="15.75" customHeight="1">
      <c r="A440" s="48"/>
      <c r="B440" s="48"/>
      <c r="C440" s="26" t="str">
        <f t="array" ref="C440">IF($B440="","",INDEX('Gap reference'!$C$2:$C$60,MATCH($B440,'Gap reference'!$A$2:$A$60,0)))</f>
        <v/>
      </c>
      <c r="D440" s="26" t="str">
        <f t="array" ref="D440">IF($B440="","",INDEX('Gap reference'!$D$2:$D$60,MATCH($B440,'Gap reference'!$A$2:$A$60,0)))</f>
        <v/>
      </c>
      <c r="E440" s="26" t="str">
        <f t="array" ref="E440">IF($B440="","",INDEX('Gap reference'!$G$2:$G$60,MATCH($B440,'Gap reference'!$A$2:$A$60,0)))</f>
        <v/>
      </c>
      <c r="F440" s="48"/>
      <c r="G440" s="48"/>
      <c r="H440" s="48"/>
      <c r="I440" s="48"/>
      <c r="J440" s="48"/>
      <c r="K440" s="48"/>
      <c r="L440" s="48"/>
      <c r="M440" s="48"/>
      <c r="N440" s="75"/>
      <c r="O440" s="48"/>
      <c r="P440" s="35"/>
      <c r="Q440" s="35"/>
      <c r="R440" s="35"/>
      <c r="S440" s="35"/>
      <c r="T440" s="35"/>
      <c r="U440" s="35"/>
      <c r="V440" s="35"/>
      <c r="W440" s="35"/>
      <c r="X440" s="35"/>
      <c r="Y440" s="35"/>
      <c r="Z440" s="35"/>
    </row>
    <row r="441" ht="15.75" customHeight="1">
      <c r="A441" s="48"/>
      <c r="B441" s="48"/>
      <c r="C441" s="26" t="str">
        <f t="array" ref="C441">IF($B441="","",INDEX('Gap reference'!$C$2:$C$60,MATCH($B441,'Gap reference'!$A$2:$A$60,0)))</f>
        <v/>
      </c>
      <c r="D441" s="26" t="str">
        <f t="array" ref="D441">IF($B441="","",INDEX('Gap reference'!$D$2:$D$60,MATCH($B441,'Gap reference'!$A$2:$A$60,0)))</f>
        <v/>
      </c>
      <c r="E441" s="26" t="str">
        <f t="array" ref="E441">IF($B441="","",INDEX('Gap reference'!$G$2:$G$60,MATCH($B441,'Gap reference'!$A$2:$A$60,0)))</f>
        <v/>
      </c>
      <c r="F441" s="48"/>
      <c r="G441" s="48"/>
      <c r="H441" s="48"/>
      <c r="I441" s="48"/>
      <c r="J441" s="48"/>
      <c r="K441" s="48"/>
      <c r="L441" s="48"/>
      <c r="M441" s="48"/>
      <c r="N441" s="75"/>
      <c r="O441" s="48"/>
      <c r="P441" s="35"/>
      <c r="Q441" s="35"/>
      <c r="R441" s="35"/>
      <c r="S441" s="35"/>
      <c r="T441" s="35"/>
      <c r="U441" s="35"/>
      <c r="V441" s="35"/>
      <c r="W441" s="35"/>
      <c r="X441" s="35"/>
      <c r="Y441" s="35"/>
      <c r="Z441" s="35"/>
    </row>
    <row r="442" ht="15.75" customHeight="1">
      <c r="A442" s="48"/>
      <c r="B442" s="48"/>
      <c r="C442" s="26" t="str">
        <f t="array" ref="C442">IF($B442="","",INDEX('Gap reference'!$C$2:$C$60,MATCH($B442,'Gap reference'!$A$2:$A$60,0)))</f>
        <v/>
      </c>
      <c r="D442" s="26" t="str">
        <f t="array" ref="D442">IF($B442="","",INDEX('Gap reference'!$D$2:$D$60,MATCH($B442,'Gap reference'!$A$2:$A$60,0)))</f>
        <v/>
      </c>
      <c r="E442" s="26" t="str">
        <f t="array" ref="E442">IF($B442="","",INDEX('Gap reference'!$G$2:$G$60,MATCH($B442,'Gap reference'!$A$2:$A$60,0)))</f>
        <v/>
      </c>
      <c r="F442" s="48"/>
      <c r="G442" s="48"/>
      <c r="H442" s="48"/>
      <c r="I442" s="48"/>
      <c r="J442" s="48"/>
      <c r="K442" s="48"/>
      <c r="L442" s="48"/>
      <c r="M442" s="48"/>
      <c r="N442" s="75"/>
      <c r="O442" s="48"/>
      <c r="P442" s="35"/>
      <c r="Q442" s="35"/>
      <c r="R442" s="35"/>
      <c r="S442" s="35"/>
      <c r="T442" s="35"/>
      <c r="U442" s="35"/>
      <c r="V442" s="35"/>
      <c r="W442" s="35"/>
      <c r="X442" s="35"/>
      <c r="Y442" s="35"/>
      <c r="Z442" s="35"/>
    </row>
    <row r="443" ht="15.75" customHeight="1">
      <c r="A443" s="48"/>
      <c r="B443" s="48"/>
      <c r="C443" s="26" t="str">
        <f t="array" ref="C443">IF($B443="","",INDEX('Gap reference'!$C$2:$C$60,MATCH($B443,'Gap reference'!$A$2:$A$60,0)))</f>
        <v/>
      </c>
      <c r="D443" s="26" t="str">
        <f t="array" ref="D443">IF($B443="","",INDEX('Gap reference'!$D$2:$D$60,MATCH($B443,'Gap reference'!$A$2:$A$60,0)))</f>
        <v/>
      </c>
      <c r="E443" s="26" t="str">
        <f t="array" ref="E443">IF($B443="","",INDEX('Gap reference'!$G$2:$G$60,MATCH($B443,'Gap reference'!$A$2:$A$60,0)))</f>
        <v/>
      </c>
      <c r="F443" s="48"/>
      <c r="G443" s="48"/>
      <c r="H443" s="48"/>
      <c r="I443" s="48"/>
      <c r="J443" s="48"/>
      <c r="K443" s="48"/>
      <c r="L443" s="48"/>
      <c r="M443" s="48"/>
      <c r="N443" s="75"/>
      <c r="O443" s="48"/>
      <c r="P443" s="35"/>
      <c r="Q443" s="35"/>
      <c r="R443" s="35"/>
      <c r="S443" s="35"/>
      <c r="T443" s="35"/>
      <c r="U443" s="35"/>
      <c r="V443" s="35"/>
      <c r="W443" s="35"/>
      <c r="X443" s="35"/>
      <c r="Y443" s="35"/>
      <c r="Z443" s="35"/>
    </row>
    <row r="444" ht="15.75" customHeight="1">
      <c r="A444" s="48"/>
      <c r="B444" s="48"/>
      <c r="C444" s="26" t="str">
        <f t="array" ref="C444">IF($B444="","",INDEX('Gap reference'!$C$2:$C$60,MATCH($B444,'Gap reference'!$A$2:$A$60,0)))</f>
        <v/>
      </c>
      <c r="D444" s="26" t="str">
        <f t="array" ref="D444">IF($B444="","",INDEX('Gap reference'!$D$2:$D$60,MATCH($B444,'Gap reference'!$A$2:$A$60,0)))</f>
        <v/>
      </c>
      <c r="E444" s="26" t="str">
        <f t="array" ref="E444">IF($B444="","",INDEX('Gap reference'!$G$2:$G$60,MATCH($B444,'Gap reference'!$A$2:$A$60,0)))</f>
        <v/>
      </c>
      <c r="F444" s="48"/>
      <c r="G444" s="48"/>
      <c r="H444" s="48"/>
      <c r="I444" s="48"/>
      <c r="J444" s="48"/>
      <c r="K444" s="48"/>
      <c r="L444" s="48"/>
      <c r="M444" s="48"/>
      <c r="N444" s="75"/>
      <c r="O444" s="48"/>
      <c r="P444" s="35"/>
      <c r="Q444" s="35"/>
      <c r="R444" s="35"/>
      <c r="S444" s="35"/>
      <c r="T444" s="35"/>
      <c r="U444" s="35"/>
      <c r="V444" s="35"/>
      <c r="W444" s="35"/>
      <c r="X444" s="35"/>
      <c r="Y444" s="35"/>
      <c r="Z444" s="35"/>
    </row>
    <row r="445" ht="15.75" customHeight="1">
      <c r="A445" s="48"/>
      <c r="B445" s="48"/>
      <c r="C445" s="26" t="str">
        <f t="array" ref="C445">IF($B445="","",INDEX('Gap reference'!$C$2:$C$60,MATCH($B445,'Gap reference'!$A$2:$A$60,0)))</f>
        <v/>
      </c>
      <c r="D445" s="26" t="str">
        <f t="array" ref="D445">IF($B445="","",INDEX('Gap reference'!$D$2:$D$60,MATCH($B445,'Gap reference'!$A$2:$A$60,0)))</f>
        <v/>
      </c>
      <c r="E445" s="26" t="str">
        <f t="array" ref="E445">IF($B445="","",INDEX('Gap reference'!$G$2:$G$60,MATCH($B445,'Gap reference'!$A$2:$A$60,0)))</f>
        <v/>
      </c>
      <c r="F445" s="48"/>
      <c r="G445" s="48"/>
      <c r="H445" s="48"/>
      <c r="I445" s="48"/>
      <c r="J445" s="48"/>
      <c r="K445" s="48"/>
      <c r="L445" s="48"/>
      <c r="M445" s="48"/>
      <c r="N445" s="75"/>
      <c r="O445" s="48"/>
      <c r="P445" s="35"/>
      <c r="Q445" s="35"/>
      <c r="R445" s="35"/>
      <c r="S445" s="35"/>
      <c r="T445" s="35"/>
      <c r="U445" s="35"/>
      <c r="V445" s="35"/>
      <c r="W445" s="35"/>
      <c r="X445" s="35"/>
      <c r="Y445" s="35"/>
      <c r="Z445" s="35"/>
    </row>
    <row r="446" ht="15.75" customHeight="1">
      <c r="A446" s="48"/>
      <c r="B446" s="48"/>
      <c r="C446" s="26" t="str">
        <f t="array" ref="C446">IF($B446="","",INDEX('Gap reference'!$C$2:$C$60,MATCH($B446,'Gap reference'!$A$2:$A$60,0)))</f>
        <v/>
      </c>
      <c r="D446" s="26" t="str">
        <f t="array" ref="D446">IF($B446="","",INDEX('Gap reference'!$D$2:$D$60,MATCH($B446,'Gap reference'!$A$2:$A$60,0)))</f>
        <v/>
      </c>
      <c r="E446" s="26" t="str">
        <f t="array" ref="E446">IF($B446="","",INDEX('Gap reference'!$G$2:$G$60,MATCH($B446,'Gap reference'!$A$2:$A$60,0)))</f>
        <v/>
      </c>
      <c r="F446" s="48"/>
      <c r="G446" s="48"/>
      <c r="H446" s="48"/>
      <c r="I446" s="48"/>
      <c r="J446" s="48"/>
      <c r="K446" s="48"/>
      <c r="L446" s="48"/>
      <c r="M446" s="48"/>
      <c r="N446" s="75"/>
      <c r="O446" s="48"/>
      <c r="P446" s="35"/>
      <c r="Q446" s="35"/>
      <c r="R446" s="35"/>
      <c r="S446" s="35"/>
      <c r="T446" s="35"/>
      <c r="U446" s="35"/>
      <c r="V446" s="35"/>
      <c r="W446" s="35"/>
      <c r="X446" s="35"/>
      <c r="Y446" s="35"/>
      <c r="Z446" s="35"/>
    </row>
    <row r="447" ht="15.75" customHeight="1">
      <c r="A447" s="48"/>
      <c r="B447" s="48"/>
      <c r="C447" s="26" t="str">
        <f t="array" ref="C447">IF($B447="","",INDEX('Gap reference'!$C$2:$C$60,MATCH($B447,'Gap reference'!$A$2:$A$60,0)))</f>
        <v/>
      </c>
      <c r="D447" s="26" t="str">
        <f t="array" ref="D447">IF($B447="","",INDEX('Gap reference'!$D$2:$D$60,MATCH($B447,'Gap reference'!$A$2:$A$60,0)))</f>
        <v/>
      </c>
      <c r="E447" s="26" t="str">
        <f t="array" ref="E447">IF($B447="","",INDEX('Gap reference'!$G$2:$G$60,MATCH($B447,'Gap reference'!$A$2:$A$60,0)))</f>
        <v/>
      </c>
      <c r="F447" s="48"/>
      <c r="G447" s="48"/>
      <c r="H447" s="48"/>
      <c r="I447" s="48"/>
      <c r="J447" s="48"/>
      <c r="K447" s="48"/>
      <c r="L447" s="48"/>
      <c r="M447" s="48"/>
      <c r="N447" s="75"/>
      <c r="O447" s="48"/>
      <c r="P447" s="35"/>
      <c r="Q447" s="35"/>
      <c r="R447" s="35"/>
      <c r="S447" s="35"/>
      <c r="T447" s="35"/>
      <c r="U447" s="35"/>
      <c r="V447" s="35"/>
      <c r="W447" s="35"/>
      <c r="X447" s="35"/>
      <c r="Y447" s="35"/>
      <c r="Z447" s="35"/>
    </row>
    <row r="448" ht="15.75" customHeight="1">
      <c r="A448" s="48"/>
      <c r="B448" s="48"/>
      <c r="C448" s="26" t="str">
        <f t="array" ref="C448">IF($B448="","",INDEX('Gap reference'!$C$2:$C$60,MATCH($B448,'Gap reference'!$A$2:$A$60,0)))</f>
        <v/>
      </c>
      <c r="D448" s="26" t="str">
        <f t="array" ref="D448">IF($B448="","",INDEX('Gap reference'!$D$2:$D$60,MATCH($B448,'Gap reference'!$A$2:$A$60,0)))</f>
        <v/>
      </c>
      <c r="E448" s="26" t="str">
        <f t="array" ref="E448">IF($B448="","",INDEX('Gap reference'!$G$2:$G$60,MATCH($B448,'Gap reference'!$A$2:$A$60,0)))</f>
        <v/>
      </c>
      <c r="F448" s="48"/>
      <c r="G448" s="48"/>
      <c r="H448" s="48"/>
      <c r="I448" s="48"/>
      <c r="J448" s="48"/>
      <c r="K448" s="48"/>
      <c r="L448" s="48"/>
      <c r="M448" s="48"/>
      <c r="N448" s="75"/>
      <c r="O448" s="48"/>
      <c r="P448" s="35"/>
      <c r="Q448" s="35"/>
      <c r="R448" s="35"/>
      <c r="S448" s="35"/>
      <c r="T448" s="35"/>
      <c r="U448" s="35"/>
      <c r="V448" s="35"/>
      <c r="W448" s="35"/>
      <c r="X448" s="35"/>
      <c r="Y448" s="35"/>
      <c r="Z448" s="35"/>
    </row>
    <row r="449" ht="15.75" customHeight="1">
      <c r="A449" s="48"/>
      <c r="B449" s="48"/>
      <c r="C449" s="26" t="str">
        <f t="array" ref="C449">IF($B449="","",INDEX('Gap reference'!$C$2:$C$60,MATCH($B449,'Gap reference'!$A$2:$A$60,0)))</f>
        <v/>
      </c>
      <c r="D449" s="26" t="str">
        <f t="array" ref="D449">IF($B449="","",INDEX('Gap reference'!$D$2:$D$60,MATCH($B449,'Gap reference'!$A$2:$A$60,0)))</f>
        <v/>
      </c>
      <c r="E449" s="26" t="str">
        <f t="array" ref="E449">IF($B449="","",INDEX('Gap reference'!$G$2:$G$60,MATCH($B449,'Gap reference'!$A$2:$A$60,0)))</f>
        <v/>
      </c>
      <c r="F449" s="48"/>
      <c r="G449" s="48"/>
      <c r="H449" s="48"/>
      <c r="I449" s="48"/>
      <c r="J449" s="48"/>
      <c r="K449" s="48"/>
      <c r="L449" s="48"/>
      <c r="M449" s="48"/>
      <c r="N449" s="75"/>
      <c r="O449" s="48"/>
      <c r="P449" s="35"/>
      <c r="Q449" s="35"/>
      <c r="R449" s="35"/>
      <c r="S449" s="35"/>
      <c r="T449" s="35"/>
      <c r="U449" s="35"/>
      <c r="V449" s="35"/>
      <c r="W449" s="35"/>
      <c r="X449" s="35"/>
      <c r="Y449" s="35"/>
      <c r="Z449" s="35"/>
    </row>
    <row r="450" ht="15.75" customHeight="1">
      <c r="A450" s="48"/>
      <c r="B450" s="48"/>
      <c r="C450" s="26" t="str">
        <f t="array" ref="C450">IF($B450="","",INDEX('Gap reference'!$C$2:$C$60,MATCH($B450,'Gap reference'!$A$2:$A$60,0)))</f>
        <v/>
      </c>
      <c r="D450" s="26" t="str">
        <f t="array" ref="D450">IF($B450="","",INDEX('Gap reference'!$D$2:$D$60,MATCH($B450,'Gap reference'!$A$2:$A$60,0)))</f>
        <v/>
      </c>
      <c r="E450" s="26" t="str">
        <f t="array" ref="E450">IF($B450="","",INDEX('Gap reference'!$G$2:$G$60,MATCH($B450,'Gap reference'!$A$2:$A$60,0)))</f>
        <v/>
      </c>
      <c r="F450" s="48"/>
      <c r="G450" s="48"/>
      <c r="H450" s="48"/>
      <c r="I450" s="48"/>
      <c r="J450" s="48"/>
      <c r="K450" s="48"/>
      <c r="L450" s="48"/>
      <c r="M450" s="48"/>
      <c r="N450" s="75"/>
      <c r="O450" s="48"/>
      <c r="P450" s="35"/>
      <c r="Q450" s="35"/>
      <c r="R450" s="35"/>
      <c r="S450" s="35"/>
      <c r="T450" s="35"/>
      <c r="U450" s="35"/>
      <c r="V450" s="35"/>
      <c r="W450" s="35"/>
      <c r="X450" s="35"/>
      <c r="Y450" s="35"/>
      <c r="Z450" s="35"/>
    </row>
    <row r="451" ht="15.75" customHeight="1">
      <c r="A451" s="48"/>
      <c r="B451" s="48"/>
      <c r="C451" s="26" t="str">
        <f t="array" ref="C451">IF($B451="","",INDEX('Gap reference'!$C$2:$C$60,MATCH($B451,'Gap reference'!$A$2:$A$60,0)))</f>
        <v/>
      </c>
      <c r="D451" s="26" t="str">
        <f t="array" ref="D451">IF($B451="","",INDEX('Gap reference'!$D$2:$D$60,MATCH($B451,'Gap reference'!$A$2:$A$60,0)))</f>
        <v/>
      </c>
      <c r="E451" s="26" t="str">
        <f t="array" ref="E451">IF($B451="","",INDEX('Gap reference'!$G$2:$G$60,MATCH($B451,'Gap reference'!$A$2:$A$60,0)))</f>
        <v/>
      </c>
      <c r="F451" s="48"/>
      <c r="G451" s="48"/>
      <c r="H451" s="48"/>
      <c r="I451" s="48"/>
      <c r="J451" s="48"/>
      <c r="K451" s="48"/>
      <c r="L451" s="48"/>
      <c r="M451" s="48"/>
      <c r="N451" s="75"/>
      <c r="O451" s="48"/>
      <c r="P451" s="35"/>
      <c r="Q451" s="35"/>
      <c r="R451" s="35"/>
      <c r="S451" s="35"/>
      <c r="T451" s="35"/>
      <c r="U451" s="35"/>
      <c r="V451" s="35"/>
      <c r="W451" s="35"/>
      <c r="X451" s="35"/>
      <c r="Y451" s="35"/>
      <c r="Z451" s="35"/>
    </row>
    <row r="452" ht="15.75" customHeight="1">
      <c r="A452" s="48"/>
      <c r="B452" s="48"/>
      <c r="C452" s="26" t="str">
        <f t="array" ref="C452">IF($B452="","",INDEX('Gap reference'!$C$2:$C$60,MATCH($B452,'Gap reference'!$A$2:$A$60,0)))</f>
        <v/>
      </c>
      <c r="D452" s="26" t="str">
        <f t="array" ref="D452">IF($B452="","",INDEX('Gap reference'!$D$2:$D$60,MATCH($B452,'Gap reference'!$A$2:$A$60,0)))</f>
        <v/>
      </c>
      <c r="E452" s="26" t="str">
        <f t="array" ref="E452">IF($B452="","",INDEX('Gap reference'!$G$2:$G$60,MATCH($B452,'Gap reference'!$A$2:$A$60,0)))</f>
        <v/>
      </c>
      <c r="F452" s="48"/>
      <c r="G452" s="48"/>
      <c r="H452" s="48"/>
      <c r="I452" s="48"/>
      <c r="J452" s="48"/>
      <c r="K452" s="48"/>
      <c r="L452" s="48"/>
      <c r="M452" s="48"/>
      <c r="N452" s="75"/>
      <c r="O452" s="48"/>
      <c r="P452" s="35"/>
      <c r="Q452" s="35"/>
      <c r="R452" s="35"/>
      <c r="S452" s="35"/>
      <c r="T452" s="35"/>
      <c r="U452" s="35"/>
      <c r="V452" s="35"/>
      <c r="W452" s="35"/>
      <c r="X452" s="35"/>
      <c r="Y452" s="35"/>
      <c r="Z452" s="35"/>
    </row>
    <row r="453" ht="15.75" customHeight="1">
      <c r="A453" s="48"/>
      <c r="B453" s="48"/>
      <c r="C453" s="26" t="str">
        <f t="array" ref="C453">IF($B453="","",INDEX('Gap reference'!$C$2:$C$60,MATCH($B453,'Gap reference'!$A$2:$A$60,0)))</f>
        <v/>
      </c>
      <c r="D453" s="26" t="str">
        <f t="array" ref="D453">IF($B453="","",INDEX('Gap reference'!$D$2:$D$60,MATCH($B453,'Gap reference'!$A$2:$A$60,0)))</f>
        <v/>
      </c>
      <c r="E453" s="26" t="str">
        <f t="array" ref="E453">IF($B453="","",INDEX('Gap reference'!$G$2:$G$60,MATCH($B453,'Gap reference'!$A$2:$A$60,0)))</f>
        <v/>
      </c>
      <c r="F453" s="48"/>
      <c r="G453" s="48"/>
      <c r="H453" s="48"/>
      <c r="I453" s="48"/>
      <c r="J453" s="48"/>
      <c r="K453" s="48"/>
      <c r="L453" s="48"/>
      <c r="M453" s="48"/>
      <c r="N453" s="75"/>
      <c r="O453" s="48"/>
      <c r="P453" s="35"/>
      <c r="Q453" s="35"/>
      <c r="R453" s="35"/>
      <c r="S453" s="35"/>
      <c r="T453" s="35"/>
      <c r="U453" s="35"/>
      <c r="V453" s="35"/>
      <c r="W453" s="35"/>
      <c r="X453" s="35"/>
      <c r="Y453" s="35"/>
      <c r="Z453" s="35"/>
    </row>
    <row r="454" ht="15.75" customHeight="1">
      <c r="A454" s="48"/>
      <c r="B454" s="48"/>
      <c r="C454" s="26" t="str">
        <f t="array" ref="C454">IF($B454="","",INDEX('Gap reference'!$C$2:$C$60,MATCH($B454,'Gap reference'!$A$2:$A$60,0)))</f>
        <v/>
      </c>
      <c r="D454" s="26" t="str">
        <f t="array" ref="D454">IF($B454="","",INDEX('Gap reference'!$D$2:$D$60,MATCH($B454,'Gap reference'!$A$2:$A$60,0)))</f>
        <v/>
      </c>
      <c r="E454" s="26" t="str">
        <f t="array" ref="E454">IF($B454="","",INDEX('Gap reference'!$G$2:$G$60,MATCH($B454,'Gap reference'!$A$2:$A$60,0)))</f>
        <v/>
      </c>
      <c r="F454" s="48"/>
      <c r="G454" s="48"/>
      <c r="H454" s="48"/>
      <c r="I454" s="48"/>
      <c r="J454" s="48"/>
      <c r="K454" s="48"/>
      <c r="L454" s="48"/>
      <c r="M454" s="48"/>
      <c r="N454" s="75"/>
      <c r="O454" s="48"/>
      <c r="P454" s="35"/>
      <c r="Q454" s="35"/>
      <c r="R454" s="35"/>
      <c r="S454" s="35"/>
      <c r="T454" s="35"/>
      <c r="U454" s="35"/>
      <c r="V454" s="35"/>
      <c r="W454" s="35"/>
      <c r="X454" s="35"/>
      <c r="Y454" s="35"/>
      <c r="Z454" s="35"/>
    </row>
    <row r="455" ht="15.75" customHeight="1">
      <c r="A455" s="48"/>
      <c r="B455" s="48"/>
      <c r="C455" s="26" t="str">
        <f t="array" ref="C455">IF($B455="","",INDEX('Gap reference'!$C$2:$C$60,MATCH($B455,'Gap reference'!$A$2:$A$60,0)))</f>
        <v/>
      </c>
      <c r="D455" s="26" t="str">
        <f t="array" ref="D455">IF($B455="","",INDEX('Gap reference'!$D$2:$D$60,MATCH($B455,'Gap reference'!$A$2:$A$60,0)))</f>
        <v/>
      </c>
      <c r="E455" s="26" t="str">
        <f t="array" ref="E455">IF($B455="","",INDEX('Gap reference'!$G$2:$G$60,MATCH($B455,'Gap reference'!$A$2:$A$60,0)))</f>
        <v/>
      </c>
      <c r="F455" s="48"/>
      <c r="G455" s="48"/>
      <c r="H455" s="48"/>
      <c r="I455" s="48"/>
      <c r="J455" s="48"/>
      <c r="K455" s="48"/>
      <c r="L455" s="48"/>
      <c r="M455" s="48"/>
      <c r="N455" s="75"/>
      <c r="O455" s="48"/>
      <c r="P455" s="35"/>
      <c r="Q455" s="35"/>
      <c r="R455" s="35"/>
      <c r="S455" s="35"/>
      <c r="T455" s="35"/>
      <c r="U455" s="35"/>
      <c r="V455" s="35"/>
      <c r="W455" s="35"/>
      <c r="X455" s="35"/>
      <c r="Y455" s="35"/>
      <c r="Z455" s="35"/>
    </row>
    <row r="456" ht="15.75" customHeight="1">
      <c r="A456" s="48"/>
      <c r="B456" s="48"/>
      <c r="C456" s="26" t="str">
        <f t="array" ref="C456">IF($B456="","",INDEX('Gap reference'!$C$2:$C$60,MATCH($B456,'Gap reference'!$A$2:$A$60,0)))</f>
        <v/>
      </c>
      <c r="D456" s="26" t="str">
        <f t="array" ref="D456">IF($B456="","",INDEX('Gap reference'!$D$2:$D$60,MATCH($B456,'Gap reference'!$A$2:$A$60,0)))</f>
        <v/>
      </c>
      <c r="E456" s="26" t="str">
        <f t="array" ref="E456">IF($B456="","",INDEX('Gap reference'!$G$2:$G$60,MATCH($B456,'Gap reference'!$A$2:$A$60,0)))</f>
        <v/>
      </c>
      <c r="F456" s="48"/>
      <c r="G456" s="48"/>
      <c r="H456" s="48"/>
      <c r="I456" s="48"/>
      <c r="J456" s="48"/>
      <c r="K456" s="48"/>
      <c r="L456" s="48"/>
      <c r="M456" s="48"/>
      <c r="N456" s="75"/>
      <c r="O456" s="48"/>
      <c r="P456" s="35"/>
      <c r="Q456" s="35"/>
      <c r="R456" s="35"/>
      <c r="S456" s="35"/>
      <c r="T456" s="35"/>
      <c r="U456" s="35"/>
      <c r="V456" s="35"/>
      <c r="W456" s="35"/>
      <c r="X456" s="35"/>
      <c r="Y456" s="35"/>
      <c r="Z456" s="35"/>
    </row>
    <row r="457" ht="15.75" customHeight="1">
      <c r="A457" s="48"/>
      <c r="B457" s="48"/>
      <c r="C457" s="26" t="str">
        <f t="array" ref="C457">IF($B457="","",INDEX('Gap reference'!$C$2:$C$60,MATCH($B457,'Gap reference'!$A$2:$A$60,0)))</f>
        <v/>
      </c>
      <c r="D457" s="26" t="str">
        <f t="array" ref="D457">IF($B457="","",INDEX('Gap reference'!$D$2:$D$60,MATCH($B457,'Gap reference'!$A$2:$A$60,0)))</f>
        <v/>
      </c>
      <c r="E457" s="26" t="str">
        <f t="array" ref="E457">IF($B457="","",INDEX('Gap reference'!$G$2:$G$60,MATCH($B457,'Gap reference'!$A$2:$A$60,0)))</f>
        <v/>
      </c>
      <c r="F457" s="48"/>
      <c r="G457" s="48"/>
      <c r="H457" s="48"/>
      <c r="I457" s="48"/>
      <c r="J457" s="48"/>
      <c r="K457" s="48"/>
      <c r="L457" s="48"/>
      <c r="M457" s="48"/>
      <c r="N457" s="75"/>
      <c r="O457" s="48"/>
      <c r="P457" s="35"/>
      <c r="Q457" s="35"/>
      <c r="R457" s="35"/>
      <c r="S457" s="35"/>
      <c r="T457" s="35"/>
      <c r="U457" s="35"/>
      <c r="V457" s="35"/>
      <c r="W457" s="35"/>
      <c r="X457" s="35"/>
      <c r="Y457" s="35"/>
      <c r="Z457" s="35"/>
    </row>
    <row r="458" ht="15.75" customHeight="1">
      <c r="A458" s="48"/>
      <c r="B458" s="48"/>
      <c r="C458" s="26" t="str">
        <f t="array" ref="C458">IF($B458="","",INDEX('Gap reference'!$C$2:$C$60,MATCH($B458,'Gap reference'!$A$2:$A$60,0)))</f>
        <v/>
      </c>
      <c r="D458" s="26" t="str">
        <f t="array" ref="D458">IF($B458="","",INDEX('Gap reference'!$D$2:$D$60,MATCH($B458,'Gap reference'!$A$2:$A$60,0)))</f>
        <v/>
      </c>
      <c r="E458" s="26" t="str">
        <f t="array" ref="E458">IF($B458="","",INDEX('Gap reference'!$G$2:$G$60,MATCH($B458,'Gap reference'!$A$2:$A$60,0)))</f>
        <v/>
      </c>
      <c r="F458" s="48"/>
      <c r="G458" s="48"/>
      <c r="H458" s="48"/>
      <c r="I458" s="48"/>
      <c r="J458" s="48"/>
      <c r="K458" s="48"/>
      <c r="L458" s="48"/>
      <c r="M458" s="48"/>
      <c r="N458" s="75"/>
      <c r="O458" s="48"/>
      <c r="P458" s="35"/>
      <c r="Q458" s="35"/>
      <c r="R458" s="35"/>
      <c r="S458" s="35"/>
      <c r="T458" s="35"/>
      <c r="U458" s="35"/>
      <c r="V458" s="35"/>
      <c r="W458" s="35"/>
      <c r="X458" s="35"/>
      <c r="Y458" s="35"/>
      <c r="Z458" s="35"/>
    </row>
    <row r="459" ht="15.75" customHeight="1">
      <c r="A459" s="48"/>
      <c r="B459" s="48"/>
      <c r="C459" s="26" t="str">
        <f t="array" ref="C459">IF($B459="","",INDEX('Gap reference'!$C$2:$C$60,MATCH($B459,'Gap reference'!$A$2:$A$60,0)))</f>
        <v/>
      </c>
      <c r="D459" s="26" t="str">
        <f t="array" ref="D459">IF($B459="","",INDEX('Gap reference'!$D$2:$D$60,MATCH($B459,'Gap reference'!$A$2:$A$60,0)))</f>
        <v/>
      </c>
      <c r="E459" s="26" t="str">
        <f t="array" ref="E459">IF($B459="","",INDEX('Gap reference'!$G$2:$G$60,MATCH($B459,'Gap reference'!$A$2:$A$60,0)))</f>
        <v/>
      </c>
      <c r="F459" s="48"/>
      <c r="G459" s="48"/>
      <c r="H459" s="48"/>
      <c r="I459" s="48"/>
      <c r="J459" s="48"/>
      <c r="K459" s="48"/>
      <c r="L459" s="48"/>
      <c r="M459" s="48"/>
      <c r="N459" s="75"/>
      <c r="O459" s="48"/>
      <c r="P459" s="35"/>
      <c r="Q459" s="35"/>
      <c r="R459" s="35"/>
      <c r="S459" s="35"/>
      <c r="T459" s="35"/>
      <c r="U459" s="35"/>
      <c r="V459" s="35"/>
      <c r="W459" s="35"/>
      <c r="X459" s="35"/>
      <c r="Y459" s="35"/>
      <c r="Z459" s="35"/>
    </row>
    <row r="460" ht="15.75" customHeight="1">
      <c r="A460" s="48"/>
      <c r="B460" s="48"/>
      <c r="C460" s="26" t="str">
        <f t="array" ref="C460">IF($B460="","",INDEX('Gap reference'!$C$2:$C$60,MATCH($B460,'Gap reference'!$A$2:$A$60,0)))</f>
        <v/>
      </c>
      <c r="D460" s="26" t="str">
        <f t="array" ref="D460">IF($B460="","",INDEX('Gap reference'!$D$2:$D$60,MATCH($B460,'Gap reference'!$A$2:$A$60,0)))</f>
        <v/>
      </c>
      <c r="E460" s="26" t="str">
        <f t="array" ref="E460">IF($B460="","",INDEX('Gap reference'!$G$2:$G$60,MATCH($B460,'Gap reference'!$A$2:$A$60,0)))</f>
        <v/>
      </c>
      <c r="F460" s="48"/>
      <c r="G460" s="48"/>
      <c r="H460" s="48"/>
      <c r="I460" s="48"/>
      <c r="J460" s="48"/>
      <c r="K460" s="48"/>
      <c r="L460" s="48"/>
      <c r="M460" s="48"/>
      <c r="N460" s="75"/>
      <c r="O460" s="48"/>
      <c r="P460" s="35"/>
      <c r="Q460" s="35"/>
      <c r="R460" s="35"/>
      <c r="S460" s="35"/>
      <c r="T460" s="35"/>
      <c r="U460" s="35"/>
      <c r="V460" s="35"/>
      <c r="W460" s="35"/>
      <c r="X460" s="35"/>
      <c r="Y460" s="35"/>
      <c r="Z460" s="35"/>
    </row>
    <row r="461" ht="15.75" customHeight="1">
      <c r="A461" s="48"/>
      <c r="B461" s="48"/>
      <c r="C461" s="26" t="str">
        <f t="array" ref="C461">IF($B461="","",INDEX('Gap reference'!$C$2:$C$60,MATCH($B461,'Gap reference'!$A$2:$A$60,0)))</f>
        <v/>
      </c>
      <c r="D461" s="26" t="str">
        <f t="array" ref="D461">IF($B461="","",INDEX('Gap reference'!$D$2:$D$60,MATCH($B461,'Gap reference'!$A$2:$A$60,0)))</f>
        <v/>
      </c>
      <c r="E461" s="26" t="str">
        <f t="array" ref="E461">IF($B461="","",INDEX('Gap reference'!$G$2:$G$60,MATCH($B461,'Gap reference'!$A$2:$A$60,0)))</f>
        <v/>
      </c>
      <c r="F461" s="48"/>
      <c r="G461" s="48"/>
      <c r="H461" s="48"/>
      <c r="I461" s="48"/>
      <c r="J461" s="48"/>
      <c r="K461" s="48"/>
      <c r="L461" s="48"/>
      <c r="M461" s="48"/>
      <c r="N461" s="75"/>
      <c r="O461" s="48"/>
      <c r="P461" s="35"/>
      <c r="Q461" s="35"/>
      <c r="R461" s="35"/>
      <c r="S461" s="35"/>
      <c r="T461" s="35"/>
      <c r="U461" s="35"/>
      <c r="V461" s="35"/>
      <c r="W461" s="35"/>
      <c r="X461" s="35"/>
      <c r="Y461" s="35"/>
      <c r="Z461" s="35"/>
    </row>
    <row r="462" ht="15.75" customHeight="1">
      <c r="A462" s="48"/>
      <c r="B462" s="48"/>
      <c r="C462" s="26" t="str">
        <f t="array" ref="C462">IF($B462="","",INDEX('Gap reference'!$C$2:$C$60,MATCH($B462,'Gap reference'!$A$2:$A$60,0)))</f>
        <v/>
      </c>
      <c r="D462" s="26" t="str">
        <f t="array" ref="D462">IF($B462="","",INDEX('Gap reference'!$D$2:$D$60,MATCH($B462,'Gap reference'!$A$2:$A$60,0)))</f>
        <v/>
      </c>
      <c r="E462" s="26" t="str">
        <f t="array" ref="E462">IF($B462="","",INDEX('Gap reference'!$G$2:$G$60,MATCH($B462,'Gap reference'!$A$2:$A$60,0)))</f>
        <v/>
      </c>
      <c r="F462" s="48"/>
      <c r="G462" s="48"/>
      <c r="H462" s="48"/>
      <c r="I462" s="48"/>
      <c r="J462" s="48"/>
      <c r="K462" s="48"/>
      <c r="L462" s="48"/>
      <c r="M462" s="48"/>
      <c r="N462" s="75"/>
      <c r="O462" s="48"/>
      <c r="P462" s="35"/>
      <c r="Q462" s="35"/>
      <c r="R462" s="35"/>
      <c r="S462" s="35"/>
      <c r="T462" s="35"/>
      <c r="U462" s="35"/>
      <c r="V462" s="35"/>
      <c r="W462" s="35"/>
      <c r="X462" s="35"/>
      <c r="Y462" s="35"/>
      <c r="Z462" s="35"/>
    </row>
    <row r="463" ht="15.75" customHeight="1">
      <c r="A463" s="48"/>
      <c r="B463" s="48"/>
      <c r="C463" s="26" t="str">
        <f t="array" ref="C463">IF($B463="","",INDEX('Gap reference'!$C$2:$C$60,MATCH($B463,'Gap reference'!$A$2:$A$60,0)))</f>
        <v/>
      </c>
      <c r="D463" s="26" t="str">
        <f t="array" ref="D463">IF($B463="","",INDEX('Gap reference'!$D$2:$D$60,MATCH($B463,'Gap reference'!$A$2:$A$60,0)))</f>
        <v/>
      </c>
      <c r="E463" s="26" t="str">
        <f t="array" ref="E463">IF($B463="","",INDEX('Gap reference'!$G$2:$G$60,MATCH($B463,'Gap reference'!$A$2:$A$60,0)))</f>
        <v/>
      </c>
      <c r="F463" s="48"/>
      <c r="G463" s="48"/>
      <c r="H463" s="48"/>
      <c r="I463" s="48"/>
      <c r="J463" s="48"/>
      <c r="K463" s="48"/>
      <c r="L463" s="48"/>
      <c r="M463" s="48"/>
      <c r="N463" s="75"/>
      <c r="O463" s="48"/>
      <c r="P463" s="35"/>
      <c r="Q463" s="35"/>
      <c r="R463" s="35"/>
      <c r="S463" s="35"/>
      <c r="T463" s="35"/>
      <c r="U463" s="35"/>
      <c r="V463" s="35"/>
      <c r="W463" s="35"/>
      <c r="X463" s="35"/>
      <c r="Y463" s="35"/>
      <c r="Z463" s="35"/>
    </row>
    <row r="464" ht="15.75" customHeight="1">
      <c r="A464" s="48"/>
      <c r="B464" s="48"/>
      <c r="C464" s="26" t="str">
        <f t="array" ref="C464">IF($B464="","",INDEX('Gap reference'!$C$2:$C$60,MATCH($B464,'Gap reference'!$A$2:$A$60,0)))</f>
        <v/>
      </c>
      <c r="D464" s="26" t="str">
        <f t="array" ref="D464">IF($B464="","",INDEX('Gap reference'!$D$2:$D$60,MATCH($B464,'Gap reference'!$A$2:$A$60,0)))</f>
        <v/>
      </c>
      <c r="E464" s="26" t="str">
        <f t="array" ref="E464">IF($B464="","",INDEX('Gap reference'!$G$2:$G$60,MATCH($B464,'Gap reference'!$A$2:$A$60,0)))</f>
        <v/>
      </c>
      <c r="F464" s="48"/>
      <c r="G464" s="48"/>
      <c r="H464" s="48"/>
      <c r="I464" s="48"/>
      <c r="J464" s="48"/>
      <c r="K464" s="48"/>
      <c r="L464" s="48"/>
      <c r="M464" s="48"/>
      <c r="N464" s="75"/>
      <c r="O464" s="48"/>
      <c r="P464" s="35"/>
      <c r="Q464" s="35"/>
      <c r="R464" s="35"/>
      <c r="S464" s="35"/>
      <c r="T464" s="35"/>
      <c r="U464" s="35"/>
      <c r="V464" s="35"/>
      <c r="W464" s="35"/>
      <c r="X464" s="35"/>
      <c r="Y464" s="35"/>
      <c r="Z464" s="35"/>
    </row>
    <row r="465" ht="15.75" customHeight="1">
      <c r="A465" s="48"/>
      <c r="B465" s="48"/>
      <c r="C465" s="26" t="str">
        <f t="array" ref="C465">IF($B465="","",INDEX('Gap reference'!$C$2:$C$60,MATCH($B465,'Gap reference'!$A$2:$A$60,0)))</f>
        <v/>
      </c>
      <c r="D465" s="26" t="str">
        <f t="array" ref="D465">IF($B465="","",INDEX('Gap reference'!$D$2:$D$60,MATCH($B465,'Gap reference'!$A$2:$A$60,0)))</f>
        <v/>
      </c>
      <c r="E465" s="26" t="str">
        <f t="array" ref="E465">IF($B465="","",INDEX('Gap reference'!$G$2:$G$60,MATCH($B465,'Gap reference'!$A$2:$A$60,0)))</f>
        <v/>
      </c>
      <c r="F465" s="48"/>
      <c r="G465" s="48"/>
      <c r="H465" s="48"/>
      <c r="I465" s="48"/>
      <c r="J465" s="48"/>
      <c r="K465" s="48"/>
      <c r="L465" s="48"/>
      <c r="M465" s="48"/>
      <c r="N465" s="75"/>
      <c r="O465" s="48"/>
      <c r="P465" s="35"/>
      <c r="Q465" s="35"/>
      <c r="R465" s="35"/>
      <c r="S465" s="35"/>
      <c r="T465" s="35"/>
      <c r="U465" s="35"/>
      <c r="V465" s="35"/>
      <c r="W465" s="35"/>
      <c r="X465" s="35"/>
      <c r="Y465" s="35"/>
      <c r="Z465" s="35"/>
    </row>
    <row r="466" ht="15.75" customHeight="1">
      <c r="A466" s="48"/>
      <c r="B466" s="48"/>
      <c r="C466" s="26" t="str">
        <f t="array" ref="C466">IF($B466="","",INDEX('Gap reference'!$C$2:$C$60,MATCH($B466,'Gap reference'!$A$2:$A$60,0)))</f>
        <v/>
      </c>
      <c r="D466" s="26" t="str">
        <f t="array" ref="D466">IF($B466="","",INDEX('Gap reference'!$D$2:$D$60,MATCH($B466,'Gap reference'!$A$2:$A$60,0)))</f>
        <v/>
      </c>
      <c r="E466" s="26" t="str">
        <f t="array" ref="E466">IF($B466="","",INDEX('Gap reference'!$G$2:$G$60,MATCH($B466,'Gap reference'!$A$2:$A$60,0)))</f>
        <v/>
      </c>
      <c r="F466" s="48"/>
      <c r="G466" s="48"/>
      <c r="H466" s="48"/>
      <c r="I466" s="48"/>
      <c r="J466" s="48"/>
      <c r="K466" s="48"/>
      <c r="L466" s="48"/>
      <c r="M466" s="48"/>
      <c r="N466" s="75"/>
      <c r="O466" s="48"/>
      <c r="P466" s="35"/>
      <c r="Q466" s="35"/>
      <c r="R466" s="35"/>
      <c r="S466" s="35"/>
      <c r="T466" s="35"/>
      <c r="U466" s="35"/>
      <c r="V466" s="35"/>
      <c r="W466" s="35"/>
      <c r="X466" s="35"/>
      <c r="Y466" s="35"/>
      <c r="Z466" s="35"/>
    </row>
    <row r="467" ht="15.75" customHeight="1">
      <c r="A467" s="48"/>
      <c r="B467" s="48"/>
      <c r="C467" s="26" t="str">
        <f t="array" ref="C467">IF($B467="","",INDEX('Gap reference'!$C$2:$C$60,MATCH($B467,'Gap reference'!$A$2:$A$60,0)))</f>
        <v/>
      </c>
      <c r="D467" s="26" t="str">
        <f t="array" ref="D467">IF($B467="","",INDEX('Gap reference'!$D$2:$D$60,MATCH($B467,'Gap reference'!$A$2:$A$60,0)))</f>
        <v/>
      </c>
      <c r="E467" s="26" t="str">
        <f t="array" ref="E467">IF($B467="","",INDEX('Gap reference'!$G$2:$G$60,MATCH($B467,'Gap reference'!$A$2:$A$60,0)))</f>
        <v/>
      </c>
      <c r="F467" s="48"/>
      <c r="G467" s="48"/>
      <c r="H467" s="48"/>
      <c r="I467" s="48"/>
      <c r="J467" s="48"/>
      <c r="K467" s="48"/>
      <c r="L467" s="48"/>
      <c r="M467" s="48"/>
      <c r="N467" s="75"/>
      <c r="O467" s="48"/>
      <c r="P467" s="35"/>
      <c r="Q467" s="35"/>
      <c r="R467" s="35"/>
      <c r="S467" s="35"/>
      <c r="T467" s="35"/>
      <c r="U467" s="35"/>
      <c r="V467" s="35"/>
      <c r="W467" s="35"/>
      <c r="X467" s="35"/>
      <c r="Y467" s="35"/>
      <c r="Z467" s="35"/>
    </row>
    <row r="468" ht="15.75" customHeight="1">
      <c r="A468" s="48"/>
      <c r="B468" s="48"/>
      <c r="C468" s="26" t="str">
        <f t="array" ref="C468">IF($B468="","",INDEX('Gap reference'!$C$2:$C$60,MATCH($B468,'Gap reference'!$A$2:$A$60,0)))</f>
        <v/>
      </c>
      <c r="D468" s="26" t="str">
        <f t="array" ref="D468">IF($B468="","",INDEX('Gap reference'!$D$2:$D$60,MATCH($B468,'Gap reference'!$A$2:$A$60,0)))</f>
        <v/>
      </c>
      <c r="E468" s="26" t="str">
        <f t="array" ref="E468">IF($B468="","",INDEX('Gap reference'!$G$2:$G$60,MATCH($B468,'Gap reference'!$A$2:$A$60,0)))</f>
        <v/>
      </c>
      <c r="F468" s="48"/>
      <c r="G468" s="48"/>
      <c r="H468" s="48"/>
      <c r="I468" s="48"/>
      <c r="J468" s="48"/>
      <c r="K468" s="48"/>
      <c r="L468" s="48"/>
      <c r="M468" s="48"/>
      <c r="N468" s="75"/>
      <c r="O468" s="48"/>
      <c r="P468" s="35"/>
      <c r="Q468" s="35"/>
      <c r="R468" s="35"/>
      <c r="S468" s="35"/>
      <c r="T468" s="35"/>
      <c r="U468" s="35"/>
      <c r="V468" s="35"/>
      <c r="W468" s="35"/>
      <c r="X468" s="35"/>
      <c r="Y468" s="35"/>
      <c r="Z468" s="35"/>
    </row>
    <row r="469" ht="15.75" customHeight="1">
      <c r="A469" s="48"/>
      <c r="B469" s="48"/>
      <c r="C469" s="26" t="str">
        <f t="array" ref="C469">IF($B469="","",INDEX('Gap reference'!$C$2:$C$60,MATCH($B469,'Gap reference'!$A$2:$A$60,0)))</f>
        <v/>
      </c>
      <c r="D469" s="26" t="str">
        <f t="array" ref="D469">IF($B469="","",INDEX('Gap reference'!$D$2:$D$60,MATCH($B469,'Gap reference'!$A$2:$A$60,0)))</f>
        <v/>
      </c>
      <c r="E469" s="26" t="str">
        <f t="array" ref="E469">IF($B469="","",INDEX('Gap reference'!$G$2:$G$60,MATCH($B469,'Gap reference'!$A$2:$A$60,0)))</f>
        <v/>
      </c>
      <c r="F469" s="48"/>
      <c r="G469" s="48"/>
      <c r="H469" s="48"/>
      <c r="I469" s="48"/>
      <c r="J469" s="48"/>
      <c r="K469" s="48"/>
      <c r="L469" s="48"/>
      <c r="M469" s="48"/>
      <c r="N469" s="75"/>
      <c r="O469" s="48"/>
      <c r="P469" s="35"/>
      <c r="Q469" s="35"/>
      <c r="R469" s="35"/>
      <c r="S469" s="35"/>
      <c r="T469" s="35"/>
      <c r="U469" s="35"/>
      <c r="V469" s="35"/>
      <c r="W469" s="35"/>
      <c r="X469" s="35"/>
      <c r="Y469" s="35"/>
      <c r="Z469" s="35"/>
    </row>
    <row r="470" ht="15.75" customHeight="1">
      <c r="A470" s="48"/>
      <c r="B470" s="48"/>
      <c r="C470" s="26" t="str">
        <f t="array" ref="C470">IF($B470="","",INDEX('Gap reference'!$C$2:$C$60,MATCH($B470,'Gap reference'!$A$2:$A$60,0)))</f>
        <v/>
      </c>
      <c r="D470" s="26" t="str">
        <f t="array" ref="D470">IF($B470="","",INDEX('Gap reference'!$D$2:$D$60,MATCH($B470,'Gap reference'!$A$2:$A$60,0)))</f>
        <v/>
      </c>
      <c r="E470" s="26" t="str">
        <f t="array" ref="E470">IF($B470="","",INDEX('Gap reference'!$G$2:$G$60,MATCH($B470,'Gap reference'!$A$2:$A$60,0)))</f>
        <v/>
      </c>
      <c r="F470" s="48"/>
      <c r="G470" s="48"/>
      <c r="H470" s="48"/>
      <c r="I470" s="48"/>
      <c r="J470" s="48"/>
      <c r="K470" s="48"/>
      <c r="L470" s="48"/>
      <c r="M470" s="48"/>
      <c r="N470" s="75"/>
      <c r="O470" s="48"/>
      <c r="P470" s="35"/>
      <c r="Q470" s="35"/>
      <c r="R470" s="35"/>
      <c r="S470" s="35"/>
      <c r="T470" s="35"/>
      <c r="U470" s="35"/>
      <c r="V470" s="35"/>
      <c r="W470" s="35"/>
      <c r="X470" s="35"/>
      <c r="Y470" s="35"/>
      <c r="Z470" s="35"/>
    </row>
    <row r="471" ht="15.75" customHeight="1">
      <c r="A471" s="48"/>
      <c r="B471" s="48"/>
      <c r="C471" s="26" t="str">
        <f t="array" ref="C471">IF($B471="","",INDEX('Gap reference'!$C$2:$C$60,MATCH($B471,'Gap reference'!$A$2:$A$60,0)))</f>
        <v/>
      </c>
      <c r="D471" s="26" t="str">
        <f t="array" ref="D471">IF($B471="","",INDEX('Gap reference'!$D$2:$D$60,MATCH($B471,'Gap reference'!$A$2:$A$60,0)))</f>
        <v/>
      </c>
      <c r="E471" s="26" t="str">
        <f t="array" ref="E471">IF($B471="","",INDEX('Gap reference'!$G$2:$G$60,MATCH($B471,'Gap reference'!$A$2:$A$60,0)))</f>
        <v/>
      </c>
      <c r="F471" s="48"/>
      <c r="G471" s="48"/>
      <c r="H471" s="48"/>
      <c r="I471" s="48"/>
      <c r="J471" s="48"/>
      <c r="K471" s="48"/>
      <c r="L471" s="48"/>
      <c r="M471" s="48"/>
      <c r="N471" s="75"/>
      <c r="O471" s="48"/>
      <c r="P471" s="35"/>
      <c r="Q471" s="35"/>
      <c r="R471" s="35"/>
      <c r="S471" s="35"/>
      <c r="T471" s="35"/>
      <c r="U471" s="35"/>
      <c r="V471" s="35"/>
      <c r="W471" s="35"/>
      <c r="X471" s="35"/>
      <c r="Y471" s="35"/>
      <c r="Z471" s="35"/>
    </row>
    <row r="472" ht="15.75" customHeight="1">
      <c r="A472" s="48"/>
      <c r="B472" s="48"/>
      <c r="C472" s="26" t="str">
        <f t="array" ref="C472">IF($B472="","",INDEX('Gap reference'!$C$2:$C$60,MATCH($B472,'Gap reference'!$A$2:$A$60,0)))</f>
        <v/>
      </c>
      <c r="D472" s="26" t="str">
        <f t="array" ref="D472">IF($B472="","",INDEX('Gap reference'!$D$2:$D$60,MATCH($B472,'Gap reference'!$A$2:$A$60,0)))</f>
        <v/>
      </c>
      <c r="E472" s="26" t="str">
        <f t="array" ref="E472">IF($B472="","",INDEX('Gap reference'!$G$2:$G$60,MATCH($B472,'Gap reference'!$A$2:$A$60,0)))</f>
        <v/>
      </c>
      <c r="F472" s="48"/>
      <c r="G472" s="48"/>
      <c r="H472" s="48"/>
      <c r="I472" s="48"/>
      <c r="J472" s="48"/>
      <c r="K472" s="48"/>
      <c r="L472" s="48"/>
      <c r="M472" s="48"/>
      <c r="N472" s="75"/>
      <c r="O472" s="48"/>
      <c r="P472" s="35"/>
      <c r="Q472" s="35"/>
      <c r="R472" s="35"/>
      <c r="S472" s="35"/>
      <c r="T472" s="35"/>
      <c r="U472" s="35"/>
      <c r="V472" s="35"/>
      <c r="W472" s="35"/>
      <c r="X472" s="35"/>
      <c r="Y472" s="35"/>
      <c r="Z472" s="35"/>
    </row>
    <row r="473" ht="15.75" customHeight="1">
      <c r="A473" s="48"/>
      <c r="B473" s="48"/>
      <c r="C473" s="26" t="str">
        <f t="array" ref="C473">IF($B473="","",INDEX('Gap reference'!$C$2:$C$60,MATCH($B473,'Gap reference'!$A$2:$A$60,0)))</f>
        <v/>
      </c>
      <c r="D473" s="26" t="str">
        <f t="array" ref="D473">IF($B473="","",INDEX('Gap reference'!$D$2:$D$60,MATCH($B473,'Gap reference'!$A$2:$A$60,0)))</f>
        <v/>
      </c>
      <c r="E473" s="26" t="str">
        <f t="array" ref="E473">IF($B473="","",INDEX('Gap reference'!$G$2:$G$60,MATCH($B473,'Gap reference'!$A$2:$A$60,0)))</f>
        <v/>
      </c>
      <c r="F473" s="48"/>
      <c r="G473" s="48"/>
      <c r="H473" s="48"/>
      <c r="I473" s="48"/>
      <c r="J473" s="48"/>
      <c r="K473" s="48"/>
      <c r="L473" s="48"/>
      <c r="M473" s="48"/>
      <c r="N473" s="75"/>
      <c r="O473" s="48"/>
      <c r="P473" s="35"/>
      <c r="Q473" s="35"/>
      <c r="R473" s="35"/>
      <c r="S473" s="35"/>
      <c r="T473" s="35"/>
      <c r="U473" s="35"/>
      <c r="V473" s="35"/>
      <c r="W473" s="35"/>
      <c r="X473" s="35"/>
      <c r="Y473" s="35"/>
      <c r="Z473" s="35"/>
    </row>
    <row r="474" ht="15.75" customHeight="1">
      <c r="A474" s="48"/>
      <c r="B474" s="48"/>
      <c r="C474" s="26" t="str">
        <f t="array" ref="C474">IF($B474="","",INDEX('Gap reference'!$C$2:$C$60,MATCH($B474,'Gap reference'!$A$2:$A$60,0)))</f>
        <v/>
      </c>
      <c r="D474" s="26" t="str">
        <f t="array" ref="D474">IF($B474="","",INDEX('Gap reference'!$D$2:$D$60,MATCH($B474,'Gap reference'!$A$2:$A$60,0)))</f>
        <v/>
      </c>
      <c r="E474" s="26" t="str">
        <f t="array" ref="E474">IF($B474="","",INDEX('Gap reference'!$G$2:$G$60,MATCH($B474,'Gap reference'!$A$2:$A$60,0)))</f>
        <v/>
      </c>
      <c r="F474" s="48"/>
      <c r="G474" s="48"/>
      <c r="H474" s="48"/>
      <c r="I474" s="48"/>
      <c r="J474" s="48"/>
      <c r="K474" s="48"/>
      <c r="L474" s="48"/>
      <c r="M474" s="48"/>
      <c r="N474" s="75"/>
      <c r="O474" s="48"/>
      <c r="P474" s="35"/>
      <c r="Q474" s="35"/>
      <c r="R474" s="35"/>
      <c r="S474" s="35"/>
      <c r="T474" s="35"/>
      <c r="U474" s="35"/>
      <c r="V474" s="35"/>
      <c r="W474" s="35"/>
      <c r="X474" s="35"/>
      <c r="Y474" s="35"/>
      <c r="Z474" s="35"/>
    </row>
    <row r="475" ht="15.75" customHeight="1">
      <c r="A475" s="48"/>
      <c r="B475" s="48"/>
      <c r="C475" s="26" t="str">
        <f t="array" ref="C475">IF($B475="","",INDEX('Gap reference'!$C$2:$C$60,MATCH($B475,'Gap reference'!$A$2:$A$60,0)))</f>
        <v/>
      </c>
      <c r="D475" s="26" t="str">
        <f t="array" ref="D475">IF($B475="","",INDEX('Gap reference'!$D$2:$D$60,MATCH($B475,'Gap reference'!$A$2:$A$60,0)))</f>
        <v/>
      </c>
      <c r="E475" s="26" t="str">
        <f t="array" ref="E475">IF($B475="","",INDEX('Gap reference'!$G$2:$G$60,MATCH($B475,'Gap reference'!$A$2:$A$60,0)))</f>
        <v/>
      </c>
      <c r="F475" s="48"/>
      <c r="G475" s="48"/>
      <c r="H475" s="48"/>
      <c r="I475" s="48"/>
      <c r="J475" s="48"/>
      <c r="K475" s="48"/>
      <c r="L475" s="48"/>
      <c r="M475" s="48"/>
      <c r="N475" s="75"/>
      <c r="O475" s="48"/>
      <c r="P475" s="35"/>
      <c r="Q475" s="35"/>
      <c r="R475" s="35"/>
      <c r="S475" s="35"/>
      <c r="T475" s="35"/>
      <c r="U475" s="35"/>
      <c r="V475" s="35"/>
      <c r="W475" s="35"/>
      <c r="X475" s="35"/>
      <c r="Y475" s="35"/>
      <c r="Z475" s="35"/>
    </row>
    <row r="476" ht="15.75" customHeight="1">
      <c r="A476" s="48"/>
      <c r="B476" s="48"/>
      <c r="C476" s="26" t="str">
        <f t="array" ref="C476">IF($B476="","",INDEX('Gap reference'!$C$2:$C$60,MATCH($B476,'Gap reference'!$A$2:$A$60,0)))</f>
        <v/>
      </c>
      <c r="D476" s="26" t="str">
        <f t="array" ref="D476">IF($B476="","",INDEX('Gap reference'!$D$2:$D$60,MATCH($B476,'Gap reference'!$A$2:$A$60,0)))</f>
        <v/>
      </c>
      <c r="E476" s="26" t="str">
        <f t="array" ref="E476">IF($B476="","",INDEX('Gap reference'!$G$2:$G$60,MATCH($B476,'Gap reference'!$A$2:$A$60,0)))</f>
        <v/>
      </c>
      <c r="F476" s="48"/>
      <c r="G476" s="48"/>
      <c r="H476" s="48"/>
      <c r="I476" s="48"/>
      <c r="J476" s="48"/>
      <c r="K476" s="48"/>
      <c r="L476" s="48"/>
      <c r="M476" s="48"/>
      <c r="N476" s="75"/>
      <c r="O476" s="48"/>
      <c r="P476" s="35"/>
      <c r="Q476" s="35"/>
      <c r="R476" s="35"/>
      <c r="S476" s="35"/>
      <c r="T476" s="35"/>
      <c r="U476" s="35"/>
      <c r="V476" s="35"/>
      <c r="W476" s="35"/>
      <c r="X476" s="35"/>
      <c r="Y476" s="35"/>
      <c r="Z476" s="35"/>
    </row>
    <row r="477" ht="15.75" customHeight="1">
      <c r="A477" s="48"/>
      <c r="B477" s="48"/>
      <c r="C477" s="26" t="str">
        <f t="array" ref="C477">IF($B477="","",INDEX('Gap reference'!$C$2:$C$60,MATCH($B477,'Gap reference'!$A$2:$A$60,0)))</f>
        <v/>
      </c>
      <c r="D477" s="26" t="str">
        <f t="array" ref="D477">IF($B477="","",INDEX('Gap reference'!$D$2:$D$60,MATCH($B477,'Gap reference'!$A$2:$A$60,0)))</f>
        <v/>
      </c>
      <c r="E477" s="26" t="str">
        <f t="array" ref="E477">IF($B477="","",INDEX('Gap reference'!$G$2:$G$60,MATCH($B477,'Gap reference'!$A$2:$A$60,0)))</f>
        <v/>
      </c>
      <c r="F477" s="48"/>
      <c r="G477" s="48"/>
      <c r="H477" s="48"/>
      <c r="I477" s="48"/>
      <c r="J477" s="48"/>
      <c r="K477" s="48"/>
      <c r="L477" s="48"/>
      <c r="M477" s="48"/>
      <c r="N477" s="75"/>
      <c r="O477" s="48"/>
      <c r="P477" s="35"/>
      <c r="Q477" s="35"/>
      <c r="R477" s="35"/>
      <c r="S477" s="35"/>
      <c r="T477" s="35"/>
      <c r="U477" s="35"/>
      <c r="V477" s="35"/>
      <c r="W477" s="35"/>
      <c r="X477" s="35"/>
      <c r="Y477" s="35"/>
      <c r="Z477" s="35"/>
    </row>
    <row r="478" ht="15.75" customHeight="1">
      <c r="A478" s="48"/>
      <c r="B478" s="48"/>
      <c r="C478" s="26" t="str">
        <f t="array" ref="C478">IF($B478="","",INDEX('Gap reference'!$C$2:$C$60,MATCH($B478,'Gap reference'!$A$2:$A$60,0)))</f>
        <v/>
      </c>
      <c r="D478" s="26" t="str">
        <f t="array" ref="D478">IF($B478="","",INDEX('Gap reference'!$D$2:$D$60,MATCH($B478,'Gap reference'!$A$2:$A$60,0)))</f>
        <v/>
      </c>
      <c r="E478" s="26" t="str">
        <f t="array" ref="E478">IF($B478="","",INDEX('Gap reference'!$G$2:$G$60,MATCH($B478,'Gap reference'!$A$2:$A$60,0)))</f>
        <v/>
      </c>
      <c r="F478" s="48"/>
      <c r="G478" s="48"/>
      <c r="H478" s="48"/>
      <c r="I478" s="48"/>
      <c r="J478" s="48"/>
      <c r="K478" s="48"/>
      <c r="L478" s="48"/>
      <c r="M478" s="48"/>
      <c r="N478" s="75"/>
      <c r="O478" s="48"/>
      <c r="P478" s="35"/>
      <c r="Q478" s="35"/>
      <c r="R478" s="35"/>
      <c r="S478" s="35"/>
      <c r="T478" s="35"/>
      <c r="U478" s="35"/>
      <c r="V478" s="35"/>
      <c r="W478" s="35"/>
      <c r="X478" s="35"/>
      <c r="Y478" s="35"/>
      <c r="Z478" s="35"/>
    </row>
    <row r="479" ht="15.75" customHeight="1">
      <c r="A479" s="48"/>
      <c r="B479" s="48"/>
      <c r="C479" s="26" t="str">
        <f t="array" ref="C479">IF($B479="","",INDEX('Gap reference'!$C$2:$C$60,MATCH($B479,'Gap reference'!$A$2:$A$60,0)))</f>
        <v/>
      </c>
      <c r="D479" s="26" t="str">
        <f t="array" ref="D479">IF($B479="","",INDEX('Gap reference'!$D$2:$D$60,MATCH($B479,'Gap reference'!$A$2:$A$60,0)))</f>
        <v/>
      </c>
      <c r="E479" s="26" t="str">
        <f t="array" ref="E479">IF($B479="","",INDEX('Gap reference'!$G$2:$G$60,MATCH($B479,'Gap reference'!$A$2:$A$60,0)))</f>
        <v/>
      </c>
      <c r="F479" s="48"/>
      <c r="G479" s="48"/>
      <c r="H479" s="48"/>
      <c r="I479" s="48"/>
      <c r="J479" s="48"/>
      <c r="K479" s="48"/>
      <c r="L479" s="48"/>
      <c r="M479" s="48"/>
      <c r="N479" s="75"/>
      <c r="O479" s="48"/>
      <c r="P479" s="35"/>
      <c r="Q479" s="35"/>
      <c r="R479" s="35"/>
      <c r="S479" s="35"/>
      <c r="T479" s="35"/>
      <c r="U479" s="35"/>
      <c r="V479" s="35"/>
      <c r="W479" s="35"/>
      <c r="X479" s="35"/>
      <c r="Y479" s="35"/>
      <c r="Z479" s="35"/>
    </row>
    <row r="480" ht="15.75" customHeight="1">
      <c r="A480" s="48"/>
      <c r="B480" s="48"/>
      <c r="C480" s="26" t="str">
        <f t="array" ref="C480">IF($B480="","",INDEX('Gap reference'!$C$2:$C$60,MATCH($B480,'Gap reference'!$A$2:$A$60,0)))</f>
        <v/>
      </c>
      <c r="D480" s="26" t="str">
        <f t="array" ref="D480">IF($B480="","",INDEX('Gap reference'!$D$2:$D$60,MATCH($B480,'Gap reference'!$A$2:$A$60,0)))</f>
        <v/>
      </c>
      <c r="E480" s="26" t="str">
        <f t="array" ref="E480">IF($B480="","",INDEX('Gap reference'!$G$2:$G$60,MATCH($B480,'Gap reference'!$A$2:$A$60,0)))</f>
        <v/>
      </c>
      <c r="F480" s="48"/>
      <c r="G480" s="48"/>
      <c r="H480" s="48"/>
      <c r="I480" s="48"/>
      <c r="J480" s="48"/>
      <c r="K480" s="48"/>
      <c r="L480" s="48"/>
      <c r="M480" s="48"/>
      <c r="N480" s="75"/>
      <c r="O480" s="48"/>
      <c r="P480" s="35"/>
      <c r="Q480" s="35"/>
      <c r="R480" s="35"/>
      <c r="S480" s="35"/>
      <c r="T480" s="35"/>
      <c r="U480" s="35"/>
      <c r="V480" s="35"/>
      <c r="W480" s="35"/>
      <c r="X480" s="35"/>
      <c r="Y480" s="35"/>
      <c r="Z480" s="35"/>
    </row>
    <row r="481" ht="15.75" customHeight="1">
      <c r="A481" s="48"/>
      <c r="B481" s="48"/>
      <c r="C481" s="26" t="str">
        <f t="array" ref="C481">IF($B481="","",INDEX('Gap reference'!$C$2:$C$60,MATCH($B481,'Gap reference'!$A$2:$A$60,0)))</f>
        <v/>
      </c>
      <c r="D481" s="26" t="str">
        <f t="array" ref="D481">IF($B481="","",INDEX('Gap reference'!$D$2:$D$60,MATCH($B481,'Gap reference'!$A$2:$A$60,0)))</f>
        <v/>
      </c>
      <c r="E481" s="26" t="str">
        <f t="array" ref="E481">IF($B481="","",INDEX('Gap reference'!$G$2:$G$60,MATCH($B481,'Gap reference'!$A$2:$A$60,0)))</f>
        <v/>
      </c>
      <c r="F481" s="48"/>
      <c r="G481" s="48"/>
      <c r="H481" s="48"/>
      <c r="I481" s="48"/>
      <c r="J481" s="48"/>
      <c r="K481" s="48"/>
      <c r="L481" s="48"/>
      <c r="M481" s="48"/>
      <c r="N481" s="75"/>
      <c r="O481" s="48"/>
      <c r="P481" s="35"/>
      <c r="Q481" s="35"/>
      <c r="R481" s="35"/>
      <c r="S481" s="35"/>
      <c r="T481" s="35"/>
      <c r="U481" s="35"/>
      <c r="V481" s="35"/>
      <c r="W481" s="35"/>
      <c r="X481" s="35"/>
      <c r="Y481" s="35"/>
      <c r="Z481" s="35"/>
    </row>
    <row r="482" ht="15.75" customHeight="1">
      <c r="A482" s="48"/>
      <c r="B482" s="48"/>
      <c r="C482" s="26" t="str">
        <f t="array" ref="C482">IF($B482="","",INDEX('Gap reference'!$C$2:$C$60,MATCH($B482,'Gap reference'!$A$2:$A$60,0)))</f>
        <v/>
      </c>
      <c r="D482" s="26" t="str">
        <f t="array" ref="D482">IF($B482="","",INDEX('Gap reference'!$D$2:$D$60,MATCH($B482,'Gap reference'!$A$2:$A$60,0)))</f>
        <v/>
      </c>
      <c r="E482" s="26" t="str">
        <f t="array" ref="E482">IF($B482="","",INDEX('Gap reference'!$G$2:$G$60,MATCH($B482,'Gap reference'!$A$2:$A$60,0)))</f>
        <v/>
      </c>
      <c r="F482" s="48"/>
      <c r="G482" s="48"/>
      <c r="H482" s="48"/>
      <c r="I482" s="48"/>
      <c r="J482" s="48"/>
      <c r="K482" s="48"/>
      <c r="L482" s="48"/>
      <c r="M482" s="48"/>
      <c r="N482" s="75"/>
      <c r="O482" s="48"/>
      <c r="P482" s="35"/>
      <c r="Q482" s="35"/>
      <c r="R482" s="35"/>
      <c r="S482" s="35"/>
      <c r="T482" s="35"/>
      <c r="U482" s="35"/>
      <c r="V482" s="35"/>
      <c r="W482" s="35"/>
      <c r="X482" s="35"/>
      <c r="Y482" s="35"/>
      <c r="Z482" s="35"/>
    </row>
    <row r="483" ht="15.75" customHeight="1">
      <c r="A483" s="48"/>
      <c r="B483" s="48"/>
      <c r="C483" s="26" t="str">
        <f t="array" ref="C483">IF($B483="","",INDEX('Gap reference'!$C$2:$C$60,MATCH($B483,'Gap reference'!$A$2:$A$60,0)))</f>
        <v/>
      </c>
      <c r="D483" s="26" t="str">
        <f t="array" ref="D483">IF($B483="","",INDEX('Gap reference'!$D$2:$D$60,MATCH($B483,'Gap reference'!$A$2:$A$60,0)))</f>
        <v/>
      </c>
      <c r="E483" s="26" t="str">
        <f t="array" ref="E483">IF($B483="","",INDEX('Gap reference'!$G$2:$G$60,MATCH($B483,'Gap reference'!$A$2:$A$60,0)))</f>
        <v/>
      </c>
      <c r="F483" s="48"/>
      <c r="G483" s="48"/>
      <c r="H483" s="48"/>
      <c r="I483" s="48"/>
      <c r="J483" s="48"/>
      <c r="K483" s="48"/>
      <c r="L483" s="48"/>
      <c r="M483" s="48"/>
      <c r="N483" s="75"/>
      <c r="O483" s="48"/>
      <c r="P483" s="35"/>
      <c r="Q483" s="35"/>
      <c r="R483" s="35"/>
      <c r="S483" s="35"/>
      <c r="T483" s="35"/>
      <c r="U483" s="35"/>
      <c r="V483" s="35"/>
      <c r="W483" s="35"/>
      <c r="X483" s="35"/>
      <c r="Y483" s="35"/>
      <c r="Z483" s="35"/>
    </row>
    <row r="484" ht="15.75" customHeight="1">
      <c r="A484" s="48"/>
      <c r="B484" s="48"/>
      <c r="C484" s="26" t="str">
        <f t="array" ref="C484">IF($B484="","",INDEX('Gap reference'!$C$2:$C$60,MATCH($B484,'Gap reference'!$A$2:$A$60,0)))</f>
        <v/>
      </c>
      <c r="D484" s="26" t="str">
        <f t="array" ref="D484">IF($B484="","",INDEX('Gap reference'!$D$2:$D$60,MATCH($B484,'Gap reference'!$A$2:$A$60,0)))</f>
        <v/>
      </c>
      <c r="E484" s="26" t="str">
        <f t="array" ref="E484">IF($B484="","",INDEX('Gap reference'!$G$2:$G$60,MATCH($B484,'Gap reference'!$A$2:$A$60,0)))</f>
        <v/>
      </c>
      <c r="F484" s="48"/>
      <c r="G484" s="48"/>
      <c r="H484" s="48"/>
      <c r="I484" s="48"/>
      <c r="J484" s="48"/>
      <c r="K484" s="48"/>
      <c r="L484" s="48"/>
      <c r="M484" s="48"/>
      <c r="N484" s="75"/>
      <c r="O484" s="48"/>
      <c r="P484" s="35"/>
      <c r="Q484" s="35"/>
      <c r="R484" s="35"/>
      <c r="S484" s="35"/>
      <c r="T484" s="35"/>
      <c r="U484" s="35"/>
      <c r="V484" s="35"/>
      <c r="W484" s="35"/>
      <c r="X484" s="35"/>
      <c r="Y484" s="35"/>
      <c r="Z484" s="35"/>
    </row>
    <row r="485" ht="15.75" customHeight="1">
      <c r="A485" s="48"/>
      <c r="B485" s="48"/>
      <c r="C485" s="26" t="str">
        <f t="array" ref="C485">IF($B485="","",INDEX('Gap reference'!$C$2:$C$60,MATCH($B485,'Gap reference'!$A$2:$A$60,0)))</f>
        <v/>
      </c>
      <c r="D485" s="26" t="str">
        <f t="array" ref="D485">IF($B485="","",INDEX('Gap reference'!$D$2:$D$60,MATCH($B485,'Gap reference'!$A$2:$A$60,0)))</f>
        <v/>
      </c>
      <c r="E485" s="26" t="str">
        <f t="array" ref="E485">IF($B485="","",INDEX('Gap reference'!$G$2:$G$60,MATCH($B485,'Gap reference'!$A$2:$A$60,0)))</f>
        <v/>
      </c>
      <c r="F485" s="48"/>
      <c r="G485" s="48"/>
      <c r="H485" s="48"/>
      <c r="I485" s="48"/>
      <c r="J485" s="48"/>
      <c r="K485" s="48"/>
      <c r="L485" s="48"/>
      <c r="M485" s="48"/>
      <c r="N485" s="75"/>
      <c r="O485" s="48"/>
      <c r="P485" s="35"/>
      <c r="Q485" s="35"/>
      <c r="R485" s="35"/>
      <c r="S485" s="35"/>
      <c r="T485" s="35"/>
      <c r="U485" s="35"/>
      <c r="V485" s="35"/>
      <c r="W485" s="35"/>
      <c r="X485" s="35"/>
      <c r="Y485" s="35"/>
      <c r="Z485" s="35"/>
    </row>
    <row r="486" ht="15.75" customHeight="1">
      <c r="A486" s="48"/>
      <c r="B486" s="48"/>
      <c r="C486" s="26" t="str">
        <f t="array" ref="C486">IF($B486="","",INDEX('Gap reference'!$C$2:$C$60,MATCH($B486,'Gap reference'!$A$2:$A$60,0)))</f>
        <v/>
      </c>
      <c r="D486" s="26" t="str">
        <f t="array" ref="D486">IF($B486="","",INDEX('Gap reference'!$D$2:$D$60,MATCH($B486,'Gap reference'!$A$2:$A$60,0)))</f>
        <v/>
      </c>
      <c r="E486" s="26" t="str">
        <f t="array" ref="E486">IF($B486="","",INDEX('Gap reference'!$G$2:$G$60,MATCH($B486,'Gap reference'!$A$2:$A$60,0)))</f>
        <v/>
      </c>
      <c r="F486" s="48"/>
      <c r="G486" s="48"/>
      <c r="H486" s="48"/>
      <c r="I486" s="48"/>
      <c r="J486" s="48"/>
      <c r="K486" s="48"/>
      <c r="L486" s="48"/>
      <c r="M486" s="48"/>
      <c r="N486" s="75"/>
      <c r="O486" s="48"/>
      <c r="P486" s="35"/>
      <c r="Q486" s="35"/>
      <c r="R486" s="35"/>
      <c r="S486" s="35"/>
      <c r="T486" s="35"/>
      <c r="U486" s="35"/>
      <c r="V486" s="35"/>
      <c r="W486" s="35"/>
      <c r="X486" s="35"/>
      <c r="Y486" s="35"/>
      <c r="Z486" s="35"/>
    </row>
    <row r="487" ht="15.75" customHeight="1">
      <c r="A487" s="48"/>
      <c r="B487" s="48"/>
      <c r="C487" s="26" t="str">
        <f t="array" ref="C487">IF($B487="","",INDEX('Gap reference'!$C$2:$C$60,MATCH($B487,'Gap reference'!$A$2:$A$60,0)))</f>
        <v/>
      </c>
      <c r="D487" s="26" t="str">
        <f t="array" ref="D487">IF($B487="","",INDEX('Gap reference'!$D$2:$D$60,MATCH($B487,'Gap reference'!$A$2:$A$60,0)))</f>
        <v/>
      </c>
      <c r="E487" s="26" t="str">
        <f t="array" ref="E487">IF($B487="","",INDEX('Gap reference'!$G$2:$G$60,MATCH($B487,'Gap reference'!$A$2:$A$60,0)))</f>
        <v/>
      </c>
      <c r="F487" s="48"/>
      <c r="G487" s="48"/>
      <c r="H487" s="48"/>
      <c r="I487" s="48"/>
      <c r="J487" s="48"/>
      <c r="K487" s="48"/>
      <c r="L487" s="48"/>
      <c r="M487" s="48"/>
      <c r="N487" s="75"/>
      <c r="O487" s="48"/>
      <c r="P487" s="35"/>
      <c r="Q487" s="35"/>
      <c r="R487" s="35"/>
      <c r="S487" s="35"/>
      <c r="T487" s="35"/>
      <c r="U487" s="35"/>
      <c r="V487" s="35"/>
      <c r="W487" s="35"/>
      <c r="X487" s="35"/>
      <c r="Y487" s="35"/>
      <c r="Z487" s="35"/>
    </row>
    <row r="488" ht="15.75" customHeight="1">
      <c r="A488" s="48"/>
      <c r="B488" s="48"/>
      <c r="C488" s="26" t="str">
        <f t="array" ref="C488">IF($B488="","",INDEX('Gap reference'!$C$2:$C$60,MATCH($B488,'Gap reference'!$A$2:$A$60,0)))</f>
        <v/>
      </c>
      <c r="D488" s="26" t="str">
        <f t="array" ref="D488">IF($B488="","",INDEX('Gap reference'!$D$2:$D$60,MATCH($B488,'Gap reference'!$A$2:$A$60,0)))</f>
        <v/>
      </c>
      <c r="E488" s="26" t="str">
        <f t="array" ref="E488">IF($B488="","",INDEX('Gap reference'!$G$2:$G$60,MATCH($B488,'Gap reference'!$A$2:$A$60,0)))</f>
        <v/>
      </c>
      <c r="F488" s="48"/>
      <c r="G488" s="48"/>
      <c r="H488" s="48"/>
      <c r="I488" s="48"/>
      <c r="J488" s="48"/>
      <c r="K488" s="48"/>
      <c r="L488" s="48"/>
      <c r="M488" s="48"/>
      <c r="N488" s="75"/>
      <c r="O488" s="48"/>
      <c r="P488" s="35"/>
      <c r="Q488" s="35"/>
      <c r="R488" s="35"/>
      <c r="S488" s="35"/>
      <c r="T488" s="35"/>
      <c r="U488" s="35"/>
      <c r="V488" s="35"/>
      <c r="W488" s="35"/>
      <c r="X488" s="35"/>
      <c r="Y488" s="35"/>
      <c r="Z488" s="35"/>
    </row>
    <row r="489" ht="15.75" customHeight="1">
      <c r="A489" s="48"/>
      <c r="B489" s="48"/>
      <c r="C489" s="26" t="str">
        <f t="array" ref="C489">IF($B489="","",INDEX('Gap reference'!$C$2:$C$60,MATCH($B489,'Gap reference'!$A$2:$A$60,0)))</f>
        <v/>
      </c>
      <c r="D489" s="26" t="str">
        <f t="array" ref="D489">IF($B489="","",INDEX('Gap reference'!$D$2:$D$60,MATCH($B489,'Gap reference'!$A$2:$A$60,0)))</f>
        <v/>
      </c>
      <c r="E489" s="26" t="str">
        <f t="array" ref="E489">IF($B489="","",INDEX('Gap reference'!$G$2:$G$60,MATCH($B489,'Gap reference'!$A$2:$A$60,0)))</f>
        <v/>
      </c>
      <c r="F489" s="48"/>
      <c r="G489" s="48"/>
      <c r="H489" s="48"/>
      <c r="I489" s="48"/>
      <c r="J489" s="48"/>
      <c r="K489" s="48"/>
      <c r="L489" s="48"/>
      <c r="M489" s="48"/>
      <c r="N489" s="75"/>
      <c r="O489" s="48"/>
      <c r="P489" s="35"/>
      <c r="Q489" s="35"/>
      <c r="R489" s="35"/>
      <c r="S489" s="35"/>
      <c r="T489" s="35"/>
      <c r="U489" s="35"/>
      <c r="V489" s="35"/>
      <c r="W489" s="35"/>
      <c r="X489" s="35"/>
      <c r="Y489" s="35"/>
      <c r="Z489" s="35"/>
    </row>
    <row r="490" ht="15.75" customHeight="1">
      <c r="A490" s="48"/>
      <c r="B490" s="48"/>
      <c r="C490" s="26" t="str">
        <f t="array" ref="C490">IF($B490="","",INDEX('Gap reference'!$C$2:$C$60,MATCH($B490,'Gap reference'!$A$2:$A$60,0)))</f>
        <v/>
      </c>
      <c r="D490" s="26" t="str">
        <f t="array" ref="D490">IF($B490="","",INDEX('Gap reference'!$D$2:$D$60,MATCH($B490,'Gap reference'!$A$2:$A$60,0)))</f>
        <v/>
      </c>
      <c r="E490" s="26" t="str">
        <f t="array" ref="E490">IF($B490="","",INDEX('Gap reference'!$G$2:$G$60,MATCH($B490,'Gap reference'!$A$2:$A$60,0)))</f>
        <v/>
      </c>
      <c r="F490" s="48"/>
      <c r="G490" s="48"/>
      <c r="H490" s="48"/>
      <c r="I490" s="48"/>
      <c r="J490" s="48"/>
      <c r="K490" s="48"/>
      <c r="L490" s="48"/>
      <c r="M490" s="48"/>
      <c r="N490" s="75"/>
      <c r="O490" s="48"/>
      <c r="P490" s="35"/>
      <c r="Q490" s="35"/>
      <c r="R490" s="35"/>
      <c r="S490" s="35"/>
      <c r="T490" s="35"/>
      <c r="U490" s="35"/>
      <c r="V490" s="35"/>
      <c r="W490" s="35"/>
      <c r="X490" s="35"/>
      <c r="Y490" s="35"/>
      <c r="Z490" s="35"/>
    </row>
    <row r="491" ht="15.75" customHeight="1">
      <c r="A491" s="48"/>
      <c r="B491" s="48"/>
      <c r="C491" s="26" t="str">
        <f t="array" ref="C491">IF($B491="","",INDEX('Gap reference'!$C$2:$C$60,MATCH($B491,'Gap reference'!$A$2:$A$60,0)))</f>
        <v/>
      </c>
      <c r="D491" s="26" t="str">
        <f t="array" ref="D491">IF($B491="","",INDEX('Gap reference'!$D$2:$D$60,MATCH($B491,'Gap reference'!$A$2:$A$60,0)))</f>
        <v/>
      </c>
      <c r="E491" s="26" t="str">
        <f t="array" ref="E491">IF($B491="","",INDEX('Gap reference'!$G$2:$G$60,MATCH($B491,'Gap reference'!$A$2:$A$60,0)))</f>
        <v/>
      </c>
      <c r="F491" s="48"/>
      <c r="G491" s="48"/>
      <c r="H491" s="48"/>
      <c r="I491" s="48"/>
      <c r="J491" s="48"/>
      <c r="K491" s="48"/>
      <c r="L491" s="48"/>
      <c r="M491" s="48"/>
      <c r="N491" s="75"/>
      <c r="O491" s="48"/>
      <c r="P491" s="35"/>
      <c r="Q491" s="35"/>
      <c r="R491" s="35"/>
      <c r="S491" s="35"/>
      <c r="T491" s="35"/>
      <c r="U491" s="35"/>
      <c r="V491" s="35"/>
      <c r="W491" s="35"/>
      <c r="X491" s="35"/>
      <c r="Y491" s="35"/>
      <c r="Z491" s="35"/>
    </row>
    <row r="492" ht="15.75" customHeight="1">
      <c r="A492" s="48"/>
      <c r="B492" s="48"/>
      <c r="C492" s="26" t="str">
        <f t="array" ref="C492">IF($B492="","",INDEX('Gap reference'!$C$2:$C$60,MATCH($B492,'Gap reference'!$A$2:$A$60,0)))</f>
        <v/>
      </c>
      <c r="D492" s="26" t="str">
        <f t="array" ref="D492">IF($B492="","",INDEX('Gap reference'!$D$2:$D$60,MATCH($B492,'Gap reference'!$A$2:$A$60,0)))</f>
        <v/>
      </c>
      <c r="E492" s="26" t="str">
        <f t="array" ref="E492">IF($B492="","",INDEX('Gap reference'!$G$2:$G$60,MATCH($B492,'Gap reference'!$A$2:$A$60,0)))</f>
        <v/>
      </c>
      <c r="F492" s="48"/>
      <c r="G492" s="48"/>
      <c r="H492" s="48"/>
      <c r="I492" s="48"/>
      <c r="J492" s="48"/>
      <c r="K492" s="48"/>
      <c r="L492" s="48"/>
      <c r="M492" s="48"/>
      <c r="N492" s="75"/>
      <c r="O492" s="48"/>
      <c r="P492" s="35"/>
      <c r="Q492" s="35"/>
      <c r="R492" s="35"/>
      <c r="S492" s="35"/>
      <c r="T492" s="35"/>
      <c r="U492" s="35"/>
      <c r="V492" s="35"/>
      <c r="W492" s="35"/>
      <c r="X492" s="35"/>
      <c r="Y492" s="35"/>
      <c r="Z492" s="35"/>
    </row>
    <row r="493" ht="15.75" customHeight="1">
      <c r="A493" s="48"/>
      <c r="B493" s="48"/>
      <c r="C493" s="26" t="str">
        <f t="array" ref="C493">IF($B493="","",INDEX('Gap reference'!$C$2:$C$60,MATCH($B493,'Gap reference'!$A$2:$A$60,0)))</f>
        <v/>
      </c>
      <c r="D493" s="26" t="str">
        <f t="array" ref="D493">IF($B493="","",INDEX('Gap reference'!$D$2:$D$60,MATCH($B493,'Gap reference'!$A$2:$A$60,0)))</f>
        <v/>
      </c>
      <c r="E493" s="26" t="str">
        <f t="array" ref="E493">IF($B493="","",INDEX('Gap reference'!$G$2:$G$60,MATCH($B493,'Gap reference'!$A$2:$A$60,0)))</f>
        <v/>
      </c>
      <c r="F493" s="48"/>
      <c r="G493" s="48"/>
      <c r="H493" s="48"/>
      <c r="I493" s="48"/>
      <c r="J493" s="48"/>
      <c r="K493" s="48"/>
      <c r="L493" s="48"/>
      <c r="M493" s="48"/>
      <c r="N493" s="75"/>
      <c r="O493" s="48"/>
      <c r="P493" s="35"/>
      <c r="Q493" s="35"/>
      <c r="R493" s="35"/>
      <c r="S493" s="35"/>
      <c r="T493" s="35"/>
      <c r="U493" s="35"/>
      <c r="V493" s="35"/>
      <c r="W493" s="35"/>
      <c r="X493" s="35"/>
      <c r="Y493" s="35"/>
      <c r="Z493" s="35"/>
    </row>
    <row r="494" ht="15.75" customHeight="1">
      <c r="A494" s="48"/>
      <c r="B494" s="48"/>
      <c r="C494" s="26" t="str">
        <f t="array" ref="C494">IF($B494="","",INDEX('Gap reference'!$C$2:$C$60,MATCH($B494,'Gap reference'!$A$2:$A$60,0)))</f>
        <v/>
      </c>
      <c r="D494" s="26" t="str">
        <f t="array" ref="D494">IF($B494="","",INDEX('Gap reference'!$D$2:$D$60,MATCH($B494,'Gap reference'!$A$2:$A$60,0)))</f>
        <v/>
      </c>
      <c r="E494" s="26" t="str">
        <f t="array" ref="E494">IF($B494="","",INDEX('Gap reference'!$G$2:$G$60,MATCH($B494,'Gap reference'!$A$2:$A$60,0)))</f>
        <v/>
      </c>
      <c r="F494" s="48"/>
      <c r="G494" s="48"/>
      <c r="H494" s="48"/>
      <c r="I494" s="48"/>
      <c r="J494" s="48"/>
      <c r="K494" s="48"/>
      <c r="L494" s="48"/>
      <c r="M494" s="48"/>
      <c r="N494" s="75"/>
      <c r="O494" s="48"/>
      <c r="P494" s="35"/>
      <c r="Q494" s="35"/>
      <c r="R494" s="35"/>
      <c r="S494" s="35"/>
      <c r="T494" s="35"/>
      <c r="U494" s="35"/>
      <c r="V494" s="35"/>
      <c r="W494" s="35"/>
      <c r="X494" s="35"/>
      <c r="Y494" s="35"/>
      <c r="Z494" s="35"/>
    </row>
    <row r="495" ht="15.75" customHeight="1">
      <c r="A495" s="48"/>
      <c r="B495" s="48"/>
      <c r="C495" s="26" t="str">
        <f t="array" ref="C495">IF($B495="","",INDEX('Gap reference'!$C$2:$C$60,MATCH($B495,'Gap reference'!$A$2:$A$60,0)))</f>
        <v/>
      </c>
      <c r="D495" s="26" t="str">
        <f t="array" ref="D495">IF($B495="","",INDEX('Gap reference'!$D$2:$D$60,MATCH($B495,'Gap reference'!$A$2:$A$60,0)))</f>
        <v/>
      </c>
      <c r="E495" s="26" t="str">
        <f t="array" ref="E495">IF($B495="","",INDEX('Gap reference'!$G$2:$G$60,MATCH($B495,'Gap reference'!$A$2:$A$60,0)))</f>
        <v/>
      </c>
      <c r="F495" s="48"/>
      <c r="G495" s="48"/>
      <c r="H495" s="48"/>
      <c r="I495" s="48"/>
      <c r="J495" s="48"/>
      <c r="K495" s="48"/>
      <c r="L495" s="48"/>
      <c r="M495" s="48"/>
      <c r="N495" s="75"/>
      <c r="O495" s="48"/>
      <c r="P495" s="35"/>
      <c r="Q495" s="35"/>
      <c r="R495" s="35"/>
      <c r="S495" s="35"/>
      <c r="T495" s="35"/>
      <c r="U495" s="35"/>
      <c r="V495" s="35"/>
      <c r="W495" s="35"/>
      <c r="X495" s="35"/>
      <c r="Y495" s="35"/>
      <c r="Z495" s="35"/>
    </row>
    <row r="496" ht="15.75" customHeight="1">
      <c r="A496" s="48"/>
      <c r="B496" s="48"/>
      <c r="C496" s="26" t="str">
        <f t="array" ref="C496">IF($B496="","",INDEX('Gap reference'!$C$2:$C$60,MATCH($B496,'Gap reference'!$A$2:$A$60,0)))</f>
        <v/>
      </c>
      <c r="D496" s="26" t="str">
        <f t="array" ref="D496">IF($B496="","",INDEX('Gap reference'!$D$2:$D$60,MATCH($B496,'Gap reference'!$A$2:$A$60,0)))</f>
        <v/>
      </c>
      <c r="E496" s="26" t="str">
        <f t="array" ref="E496">IF($B496="","",INDEX('Gap reference'!$G$2:$G$60,MATCH($B496,'Gap reference'!$A$2:$A$60,0)))</f>
        <v/>
      </c>
      <c r="F496" s="48"/>
      <c r="G496" s="48"/>
      <c r="H496" s="48"/>
      <c r="I496" s="48"/>
      <c r="J496" s="48"/>
      <c r="K496" s="48"/>
      <c r="L496" s="48"/>
      <c r="M496" s="48"/>
      <c r="N496" s="75"/>
      <c r="O496" s="48"/>
      <c r="P496" s="35"/>
      <c r="Q496" s="35"/>
      <c r="R496" s="35"/>
      <c r="S496" s="35"/>
      <c r="T496" s="35"/>
      <c r="U496" s="35"/>
      <c r="V496" s="35"/>
      <c r="W496" s="35"/>
      <c r="X496" s="35"/>
      <c r="Y496" s="35"/>
      <c r="Z496" s="35"/>
    </row>
    <row r="497" ht="15.75" customHeight="1">
      <c r="A497" s="48"/>
      <c r="B497" s="48"/>
      <c r="C497" s="26" t="str">
        <f t="array" ref="C497">IF($B497="","",INDEX('Gap reference'!$C$2:$C$60,MATCH($B497,'Gap reference'!$A$2:$A$60,0)))</f>
        <v/>
      </c>
      <c r="D497" s="26" t="str">
        <f t="array" ref="D497">IF($B497="","",INDEX('Gap reference'!$D$2:$D$60,MATCH($B497,'Gap reference'!$A$2:$A$60,0)))</f>
        <v/>
      </c>
      <c r="E497" s="26" t="str">
        <f t="array" ref="E497">IF($B497="","",INDEX('Gap reference'!$G$2:$G$60,MATCH($B497,'Gap reference'!$A$2:$A$60,0)))</f>
        <v/>
      </c>
      <c r="F497" s="48"/>
      <c r="G497" s="48"/>
      <c r="H497" s="48"/>
      <c r="I497" s="48"/>
      <c r="J497" s="48"/>
      <c r="K497" s="48"/>
      <c r="L497" s="48"/>
      <c r="M497" s="48"/>
      <c r="N497" s="75"/>
      <c r="O497" s="48"/>
      <c r="P497" s="35"/>
      <c r="Q497" s="35"/>
      <c r="R497" s="35"/>
      <c r="S497" s="35"/>
      <c r="T497" s="35"/>
      <c r="U497" s="35"/>
      <c r="V497" s="35"/>
      <c r="W497" s="35"/>
      <c r="X497" s="35"/>
      <c r="Y497" s="35"/>
      <c r="Z497" s="35"/>
    </row>
    <row r="498" ht="15.75" customHeight="1">
      <c r="A498" s="35"/>
      <c r="B498" s="35"/>
      <c r="C498" s="26" t="str">
        <f t="array" ref="C498">IF($B498="","",INDEX('Gap reference'!$C$2:$C$60,MATCH($B498,'Gap reference'!$A$2:$A$60,0)))</f>
        <v/>
      </c>
      <c r="D498" s="26" t="str">
        <f t="array" ref="D498">IF($B498="","",INDEX('Gap reference'!$D$2:$D$60,MATCH($B498,'Gap reference'!$A$2:$A$60,0)))</f>
        <v/>
      </c>
      <c r="E498" s="26" t="str">
        <f t="array" ref="E498">IF($B498="","",INDEX('Gap reference'!$G$2:$G$60,MATCH($B498,'Gap reference'!$A$2:$A$60,0)))</f>
        <v/>
      </c>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26" t="str">
        <f t="array" ref="C499">IF($B499="","",INDEX('Gap reference'!$C$2:$C$60,MATCH($B499,'Gap reference'!$A$2:$A$60,0)))</f>
        <v/>
      </c>
      <c r="D499" s="26" t="str">
        <f t="array" ref="D499">IF($B499="","",INDEX('Gap reference'!$D$2:$D$60,MATCH($B499,'Gap reference'!$A$2:$A$60,0)))</f>
        <v/>
      </c>
      <c r="E499" s="26" t="str">
        <f t="array" ref="E499">IF($B499="","",INDEX('Gap reference'!$G$2:$G$60,MATCH($B499,'Gap reference'!$A$2:$A$60,0)))</f>
        <v/>
      </c>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26" t="str">
        <f t="array" ref="C500">IF($B500="","",INDEX('Gap reference'!$C$2:$C$60,MATCH($B500,'Gap reference'!$A$2:$A$60,0)))</f>
        <v/>
      </c>
      <c r="D500" s="26" t="str">
        <f t="array" ref="D500">IF($B500="","",INDEX('Gap reference'!$D$2:$D$60,MATCH($B500,'Gap reference'!$A$2:$A$60,0)))</f>
        <v/>
      </c>
      <c r="E500" s="26" t="str">
        <f t="array" ref="E500">IF($B500="","",INDEX('Gap reference'!$G$2:$G$60,MATCH($B500,'Gap reference'!$A$2:$A$60,0)))</f>
        <v/>
      </c>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26" t="str">
        <f t="array" ref="C501">IF($B501="","",INDEX('Gap reference'!$C$2:$C$60,MATCH($B501,'Gap reference'!$A$2:$A$60,0)))</f>
        <v/>
      </c>
      <c r="D501" s="26" t="str">
        <f t="array" ref="D501">IF($B501="","",INDEX('Gap reference'!$D$2:$D$60,MATCH($B501,'Gap reference'!$A$2:$A$60,0)))</f>
        <v/>
      </c>
      <c r="E501" s="26" t="str">
        <f t="array" ref="E501">IF($B501="","",INDEX('Gap reference'!$G$2:$G$60,MATCH($B501,'Gap reference'!$A$2:$A$60,0)))</f>
        <v/>
      </c>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26" t="str">
        <f t="array" ref="C502">IF($B502="","",INDEX('Gap reference'!$C$2:$C$60,MATCH($B502,'Gap reference'!$A$2:$A$60,0)))</f>
        <v/>
      </c>
      <c r="D502" s="26" t="str">
        <f t="array" ref="D502">IF($B502="","",INDEX('Gap reference'!$D$2:$D$60,MATCH($B502,'Gap reference'!$A$2:$A$60,0)))</f>
        <v/>
      </c>
      <c r="E502" s="26" t="str">
        <f t="array" ref="E502">IF($B502="","",INDEX('Gap reference'!$G$2:$G$60,MATCH($B502,'Gap reference'!$A$2:$A$60,0)))</f>
        <v/>
      </c>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26" t="str">
        <f t="array" ref="C503">IF($B503="","",INDEX('Gap reference'!$C$2:$C$60,MATCH($B503,'Gap reference'!$A$2:$A$60,0)))</f>
        <v/>
      </c>
      <c r="D503" s="26" t="str">
        <f t="array" ref="D503">IF($B503="","",INDEX('Gap reference'!$D$2:$D$60,MATCH($B503,'Gap reference'!$A$2:$A$60,0)))</f>
        <v/>
      </c>
      <c r="E503" s="26" t="str">
        <f t="array" ref="E503">IF($B503="","",INDEX('Gap reference'!$G$2:$G$60,MATCH($B503,'Gap reference'!$A$2:$A$60,0)))</f>
        <v/>
      </c>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26" t="str">
        <f t="array" ref="C504">IF($B504="","",INDEX('Gap reference'!$C$2:$C$60,MATCH($B504,'Gap reference'!$A$2:$A$60,0)))</f>
        <v/>
      </c>
      <c r="D504" s="26" t="str">
        <f t="array" ref="D504">IF($B504="","",INDEX('Gap reference'!$D$2:$D$60,MATCH($B504,'Gap reference'!$A$2:$A$60,0)))</f>
        <v/>
      </c>
      <c r="E504" s="26" t="str">
        <f t="array" ref="E504">IF($B504="","",INDEX('Gap reference'!$G$2:$G$60,MATCH($B504,'Gap reference'!$A$2:$A$60,0)))</f>
        <v/>
      </c>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26" t="str">
        <f t="array" ref="C505">IF($B505="","",INDEX('Gap reference'!$C$2:$C$60,MATCH($B505,'Gap reference'!$A$2:$A$60,0)))</f>
        <v/>
      </c>
      <c r="D505" s="26" t="str">
        <f t="array" ref="D505">IF($B505="","",INDEX('Gap reference'!$D$2:$D$60,MATCH($B505,'Gap reference'!$A$2:$A$60,0)))</f>
        <v/>
      </c>
      <c r="E505" s="26" t="str">
        <f t="array" ref="E505">IF($B505="","",INDEX('Gap reference'!$G$2:$G$60,MATCH($B505,'Gap reference'!$A$2:$A$60,0)))</f>
        <v/>
      </c>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26" t="str">
        <f t="array" ref="C506">IF($B506="","",INDEX('Gap reference'!$C$2:$C$60,MATCH($B506,'Gap reference'!$A$2:$A$60,0)))</f>
        <v/>
      </c>
      <c r="D506" s="26" t="str">
        <f t="array" ref="D506">IF($B506="","",INDEX('Gap reference'!$D$2:$D$60,MATCH($B506,'Gap reference'!$A$2:$A$60,0)))</f>
        <v/>
      </c>
      <c r="E506" s="26" t="str">
        <f t="array" ref="E506">IF($B506="","",INDEX('Gap reference'!$G$2:$G$60,MATCH($B506,'Gap reference'!$A$2:$A$60,0)))</f>
        <v/>
      </c>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26" t="str">
        <f t="array" ref="C507">IF($B507="","",INDEX('Gap reference'!$C$2:$C$60,MATCH($B507,'Gap reference'!$A$2:$A$60,0)))</f>
        <v/>
      </c>
      <c r="D507" s="26" t="str">
        <f t="array" ref="D507">IF($B507="","",INDEX('Gap reference'!$D$2:$D$60,MATCH($B507,'Gap reference'!$A$2:$A$60,0)))</f>
        <v/>
      </c>
      <c r="E507" s="26" t="str">
        <f t="array" ref="E507">IF($B507="","",INDEX('Gap reference'!$G$2:$G$60,MATCH($B507,'Gap reference'!$A$2:$A$60,0)))</f>
        <v/>
      </c>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26" t="str">
        <f t="array" ref="C508">IF($B508="","",INDEX('Gap reference'!$C$2:$C$60,MATCH($B508,'Gap reference'!$A$2:$A$60,0)))</f>
        <v/>
      </c>
      <c r="D508" s="26" t="str">
        <f t="array" ref="D508">IF($B508="","",INDEX('Gap reference'!$D$2:$D$60,MATCH($B508,'Gap reference'!$A$2:$A$60,0)))</f>
        <v/>
      </c>
      <c r="E508" s="26" t="str">
        <f t="array" ref="E508">IF($B508="","",INDEX('Gap reference'!$G$2:$G$60,MATCH($B508,'Gap reference'!$A$2:$A$60,0)))</f>
        <v/>
      </c>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26" t="str">
        <f t="array" ref="C509">IF($B509="","",INDEX('Gap reference'!$C$2:$C$60,MATCH($B509,'Gap reference'!$A$2:$A$60,0)))</f>
        <v/>
      </c>
      <c r="D509" s="26" t="str">
        <f t="array" ref="D509">IF($B509="","",INDEX('Gap reference'!$D$2:$D$60,MATCH($B509,'Gap reference'!$A$2:$A$60,0)))</f>
        <v/>
      </c>
      <c r="E509" s="26" t="str">
        <f t="array" ref="E509">IF($B509="","",INDEX('Gap reference'!$G$2:$G$60,MATCH($B509,'Gap reference'!$A$2:$A$60,0)))</f>
        <v/>
      </c>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26" t="str">
        <f t="array" ref="C510">IF($B510="","",INDEX('Gap reference'!$C$2:$C$60,MATCH($B510,'Gap reference'!$A$2:$A$60,0)))</f>
        <v/>
      </c>
      <c r="D510" s="26" t="str">
        <f t="array" ref="D510">IF($B510="","",INDEX('Gap reference'!$D$2:$D$60,MATCH($B510,'Gap reference'!$A$2:$A$60,0)))</f>
        <v/>
      </c>
      <c r="E510" s="26" t="str">
        <f t="array" ref="E510">IF($B510="","",INDEX('Gap reference'!$G$2:$G$60,MATCH($B510,'Gap reference'!$A$2:$A$60,0)))</f>
        <v/>
      </c>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26" t="str">
        <f t="array" ref="C511">IF($B511="","",INDEX('Gap reference'!$C$2:$C$60,MATCH($B511,'Gap reference'!$A$2:$A$60,0)))</f>
        <v/>
      </c>
      <c r="D511" s="26" t="str">
        <f t="array" ref="D511">IF($B511="","",INDEX('Gap reference'!$D$2:$D$60,MATCH($B511,'Gap reference'!$A$2:$A$60,0)))</f>
        <v/>
      </c>
      <c r="E511" s="26" t="str">
        <f t="array" ref="E511">IF($B511="","",INDEX('Gap reference'!$G$2:$G$60,MATCH($B511,'Gap reference'!$A$2:$A$60,0)))</f>
        <v/>
      </c>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26" t="str">
        <f t="array" ref="C512">IF($B512="","",INDEX('Gap reference'!$C$2:$C$60,MATCH($B512,'Gap reference'!$A$2:$A$60,0)))</f>
        <v/>
      </c>
      <c r="D512" s="26" t="str">
        <f t="array" ref="D512">IF($B512="","",INDEX('Gap reference'!$D$2:$D$60,MATCH($B512,'Gap reference'!$A$2:$A$60,0)))</f>
        <v/>
      </c>
      <c r="E512" s="26" t="str">
        <f t="array" ref="E512">IF($B512="","",INDEX('Gap reference'!$G$2:$G$60,MATCH($B512,'Gap reference'!$A$2:$A$60,0)))</f>
        <v/>
      </c>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26" t="str">
        <f t="array" ref="C513">IF($B513="","",INDEX('Gap reference'!$C$2:$C$60,MATCH($B513,'Gap reference'!$A$2:$A$60,0)))</f>
        <v/>
      </c>
      <c r="D513" s="26" t="str">
        <f t="array" ref="D513">IF($B513="","",INDEX('Gap reference'!$D$2:$D$60,MATCH($B513,'Gap reference'!$A$2:$A$60,0)))</f>
        <v/>
      </c>
      <c r="E513" s="26" t="str">
        <f t="array" ref="E513">IF($B513="","",INDEX('Gap reference'!$G$2:$G$60,MATCH($B513,'Gap reference'!$A$2:$A$60,0)))</f>
        <v/>
      </c>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26" t="str">
        <f t="array" ref="C514">IF($B514="","",INDEX('Gap reference'!$C$2:$C$60,MATCH($B514,'Gap reference'!$A$2:$A$60,0)))</f>
        <v/>
      </c>
      <c r="D514" s="26" t="str">
        <f t="array" ref="D514">IF($B514="","",INDEX('Gap reference'!$D$2:$D$60,MATCH($B514,'Gap reference'!$A$2:$A$60,0)))</f>
        <v/>
      </c>
      <c r="E514" s="26" t="str">
        <f t="array" ref="E514">IF($B514="","",INDEX('Gap reference'!$G$2:$G$60,MATCH($B514,'Gap reference'!$A$2:$A$60,0)))</f>
        <v/>
      </c>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26" t="str">
        <f t="array" ref="C515">IF($B515="","",INDEX('Gap reference'!$C$2:$C$60,MATCH($B515,'Gap reference'!$A$2:$A$60,0)))</f>
        <v/>
      </c>
      <c r="D515" s="26" t="str">
        <f t="array" ref="D515">IF($B515="","",INDEX('Gap reference'!$D$2:$D$60,MATCH($B515,'Gap reference'!$A$2:$A$60,0)))</f>
        <v/>
      </c>
      <c r="E515" s="26" t="str">
        <f t="array" ref="E515">IF($B515="","",INDEX('Gap reference'!$G$2:$G$60,MATCH($B515,'Gap reference'!$A$2:$A$60,0)))</f>
        <v/>
      </c>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26" t="str">
        <f t="array" ref="C516">IF($B516="","",INDEX('Gap reference'!$C$2:$C$60,MATCH($B516,'Gap reference'!$A$2:$A$60,0)))</f>
        <v/>
      </c>
      <c r="D516" s="26" t="str">
        <f t="array" ref="D516">IF($B516="","",INDEX('Gap reference'!$D$2:$D$60,MATCH($B516,'Gap reference'!$A$2:$A$60,0)))</f>
        <v/>
      </c>
      <c r="E516" s="26" t="str">
        <f t="array" ref="E516">IF($B516="","",INDEX('Gap reference'!$G$2:$G$60,MATCH($B516,'Gap reference'!$A$2:$A$60,0)))</f>
        <v/>
      </c>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26" t="str">
        <f t="array" ref="C517">IF($B517="","",INDEX('Gap reference'!$C$2:$C$60,MATCH($B517,'Gap reference'!$A$2:$A$60,0)))</f>
        <v/>
      </c>
      <c r="D517" s="26" t="str">
        <f t="array" ref="D517">IF($B517="","",INDEX('Gap reference'!$D$2:$D$60,MATCH($B517,'Gap reference'!$A$2:$A$60,0)))</f>
        <v/>
      </c>
      <c r="E517" s="26" t="str">
        <f t="array" ref="E517">IF($B517="","",INDEX('Gap reference'!$G$2:$G$60,MATCH($B517,'Gap reference'!$A$2:$A$60,0)))</f>
        <v/>
      </c>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26" t="str">
        <f t="array" ref="C518">IF($B518="","",INDEX('Gap reference'!$C$2:$C$60,MATCH($B518,'Gap reference'!$A$2:$A$60,0)))</f>
        <v/>
      </c>
      <c r="D518" s="26" t="str">
        <f t="array" ref="D518">IF($B518="","",INDEX('Gap reference'!$D$2:$D$60,MATCH($B518,'Gap reference'!$A$2:$A$60,0)))</f>
        <v/>
      </c>
      <c r="E518" s="26" t="str">
        <f t="array" ref="E518">IF($B518="","",INDEX('Gap reference'!$G$2:$G$60,MATCH($B518,'Gap reference'!$A$2:$A$60,0)))</f>
        <v/>
      </c>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26" t="str">
        <f t="array" ref="C519">IF($B519="","",INDEX('Gap reference'!$C$2:$C$60,MATCH($B519,'Gap reference'!$A$2:$A$60,0)))</f>
        <v/>
      </c>
      <c r="D519" s="26" t="str">
        <f t="array" ref="D519">IF($B519="","",INDEX('Gap reference'!$D$2:$D$60,MATCH($B519,'Gap reference'!$A$2:$A$60,0)))</f>
        <v/>
      </c>
      <c r="E519" s="26" t="str">
        <f t="array" ref="E519">IF($B519="","",INDEX('Gap reference'!$G$2:$G$60,MATCH($B519,'Gap reference'!$A$2:$A$60,0)))</f>
        <v/>
      </c>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26" t="str">
        <f t="array" ref="C520">IF($B520="","",INDEX('Gap reference'!$C$2:$C$60,MATCH($B520,'Gap reference'!$A$2:$A$60,0)))</f>
        <v/>
      </c>
      <c r="D520" s="26" t="str">
        <f t="array" ref="D520">IF($B520="","",INDEX('Gap reference'!$D$2:$D$60,MATCH($B520,'Gap reference'!$A$2:$A$60,0)))</f>
        <v/>
      </c>
      <c r="E520" s="26" t="str">
        <f t="array" ref="E520">IF($B520="","",INDEX('Gap reference'!$G$2:$G$60,MATCH($B520,'Gap reference'!$A$2:$A$60,0)))</f>
        <v/>
      </c>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26" t="str">
        <f t="array" ref="C521">IF($B521="","",INDEX('Gap reference'!$C$2:$C$60,MATCH($B521,'Gap reference'!$A$2:$A$60,0)))</f>
        <v/>
      </c>
      <c r="D521" s="26" t="str">
        <f t="array" ref="D521">IF($B521="","",INDEX('Gap reference'!$D$2:$D$60,MATCH($B521,'Gap reference'!$A$2:$A$60,0)))</f>
        <v/>
      </c>
      <c r="E521" s="26" t="str">
        <f t="array" ref="E521">IF($B521="","",INDEX('Gap reference'!$G$2:$G$60,MATCH($B521,'Gap reference'!$A$2:$A$60,0)))</f>
        <v/>
      </c>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26" t="str">
        <f t="array" ref="C522">IF($B522="","",INDEX('Gap reference'!$C$2:$C$60,MATCH($B522,'Gap reference'!$A$2:$A$60,0)))</f>
        <v/>
      </c>
      <c r="D522" s="26" t="str">
        <f t="array" ref="D522">IF($B522="","",INDEX('Gap reference'!$D$2:$D$60,MATCH($B522,'Gap reference'!$A$2:$A$60,0)))</f>
        <v/>
      </c>
      <c r="E522" s="26" t="str">
        <f t="array" ref="E522">IF($B522="","",INDEX('Gap reference'!$G$2:$G$60,MATCH($B522,'Gap reference'!$A$2:$A$60,0)))</f>
        <v/>
      </c>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26" t="str">
        <f t="array" ref="C523">IF($B523="","",INDEX('Gap reference'!$C$2:$C$60,MATCH($B523,'Gap reference'!$A$2:$A$60,0)))</f>
        <v/>
      </c>
      <c r="D523" s="26" t="str">
        <f t="array" ref="D523">IF($B523="","",INDEX('Gap reference'!$D$2:$D$60,MATCH($B523,'Gap reference'!$A$2:$A$60,0)))</f>
        <v/>
      </c>
      <c r="E523" s="26" t="str">
        <f t="array" ref="E523">IF($B523="","",INDEX('Gap reference'!$G$2:$G$60,MATCH($B523,'Gap reference'!$A$2:$A$60,0)))</f>
        <v/>
      </c>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26" t="str">
        <f t="array" ref="C524">IF($B524="","",INDEX('Gap reference'!$C$2:$C$60,MATCH($B524,'Gap reference'!$A$2:$A$60,0)))</f>
        <v/>
      </c>
      <c r="D524" s="26" t="str">
        <f t="array" ref="D524">IF($B524="","",INDEX('Gap reference'!$D$2:$D$60,MATCH($B524,'Gap reference'!$A$2:$A$60,0)))</f>
        <v/>
      </c>
      <c r="E524" s="26" t="str">
        <f t="array" ref="E524">IF($B524="","",INDEX('Gap reference'!$G$2:$G$60,MATCH($B524,'Gap reference'!$A$2:$A$60,0)))</f>
        <v/>
      </c>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26" t="str">
        <f t="array" ref="C525">IF($B525="","",INDEX('Gap reference'!$C$2:$C$60,MATCH($B525,'Gap reference'!$A$2:$A$60,0)))</f>
        <v/>
      </c>
      <c r="D525" s="26" t="str">
        <f t="array" ref="D525">IF($B525="","",INDEX('Gap reference'!$D$2:$D$60,MATCH($B525,'Gap reference'!$A$2:$A$60,0)))</f>
        <v/>
      </c>
      <c r="E525" s="26" t="str">
        <f t="array" ref="E525">IF($B525="","",INDEX('Gap reference'!$G$2:$G$60,MATCH($B525,'Gap reference'!$A$2:$A$60,0)))</f>
        <v/>
      </c>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26" t="str">
        <f t="array" ref="C526">IF($B526="","",INDEX('Gap reference'!$C$2:$C$60,MATCH($B526,'Gap reference'!$A$2:$A$60,0)))</f>
        <v/>
      </c>
      <c r="D526" s="26" t="str">
        <f t="array" ref="D526">IF($B526="","",INDEX('Gap reference'!$D$2:$D$60,MATCH($B526,'Gap reference'!$A$2:$A$60,0)))</f>
        <v/>
      </c>
      <c r="E526" s="26" t="str">
        <f t="array" ref="E526">IF($B526="","",INDEX('Gap reference'!$G$2:$G$60,MATCH($B526,'Gap reference'!$A$2:$A$60,0)))</f>
        <v/>
      </c>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26" t="str">
        <f t="array" ref="C527">IF($B527="","",INDEX('Gap reference'!$C$2:$C$60,MATCH($B527,'Gap reference'!$A$2:$A$60,0)))</f>
        <v/>
      </c>
      <c r="D527" s="26" t="str">
        <f t="array" ref="D527">IF($B527="","",INDEX('Gap reference'!$D$2:$D$60,MATCH($B527,'Gap reference'!$A$2:$A$60,0)))</f>
        <v/>
      </c>
      <c r="E527" s="26" t="str">
        <f t="array" ref="E527">IF($B527="","",INDEX('Gap reference'!$G$2:$G$60,MATCH($B527,'Gap reference'!$A$2:$A$60,0)))</f>
        <v/>
      </c>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26" t="str">
        <f t="array" ref="C528">IF($B528="","",INDEX('Gap reference'!$C$2:$C$60,MATCH($B528,'Gap reference'!$A$2:$A$60,0)))</f>
        <v/>
      </c>
      <c r="D528" s="26" t="str">
        <f t="array" ref="D528">IF($B528="","",INDEX('Gap reference'!$D$2:$D$60,MATCH($B528,'Gap reference'!$A$2:$A$60,0)))</f>
        <v/>
      </c>
      <c r="E528" s="26" t="str">
        <f t="array" ref="E528">IF($B528="","",INDEX('Gap reference'!$G$2:$G$60,MATCH($B528,'Gap reference'!$A$2:$A$60,0)))</f>
        <v/>
      </c>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26" t="str">
        <f t="array" ref="C529">IF($B529="","",INDEX('Gap reference'!$C$2:$C$60,MATCH($B529,'Gap reference'!$A$2:$A$60,0)))</f>
        <v/>
      </c>
      <c r="D529" s="26" t="str">
        <f t="array" ref="D529">IF($B529="","",INDEX('Gap reference'!$D$2:$D$60,MATCH($B529,'Gap reference'!$A$2:$A$60,0)))</f>
        <v/>
      </c>
      <c r="E529" s="26" t="str">
        <f t="array" ref="E529">IF($B529="","",INDEX('Gap reference'!$G$2:$G$60,MATCH($B529,'Gap reference'!$A$2:$A$60,0)))</f>
        <v/>
      </c>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26" t="str">
        <f t="array" ref="C530">IF($B530="","",INDEX('Gap reference'!$C$2:$C$60,MATCH($B530,'Gap reference'!$A$2:$A$60,0)))</f>
        <v/>
      </c>
      <c r="D530" s="26" t="str">
        <f t="array" ref="D530">IF($B530="","",INDEX('Gap reference'!$D$2:$D$60,MATCH($B530,'Gap reference'!$A$2:$A$60,0)))</f>
        <v/>
      </c>
      <c r="E530" s="26" t="str">
        <f t="array" ref="E530">IF($B530="","",INDEX('Gap reference'!$G$2:$G$60,MATCH($B530,'Gap reference'!$A$2:$A$60,0)))</f>
        <v/>
      </c>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26" t="str">
        <f t="array" ref="C531">IF($B531="","",INDEX('Gap reference'!$C$2:$C$60,MATCH($B531,'Gap reference'!$A$2:$A$60,0)))</f>
        <v/>
      </c>
      <c r="D531" s="26" t="str">
        <f t="array" ref="D531">IF($B531="","",INDEX('Gap reference'!$D$2:$D$60,MATCH($B531,'Gap reference'!$A$2:$A$60,0)))</f>
        <v/>
      </c>
      <c r="E531" s="26" t="str">
        <f t="array" ref="E531">IF($B531="","",INDEX('Gap reference'!$G$2:$G$60,MATCH($B531,'Gap reference'!$A$2:$A$60,0)))</f>
        <v/>
      </c>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26" t="str">
        <f t="array" ref="C532">IF($B532="","",INDEX('Gap reference'!$C$2:$C$60,MATCH($B532,'Gap reference'!$A$2:$A$60,0)))</f>
        <v/>
      </c>
      <c r="D532" s="26" t="str">
        <f t="array" ref="D532">IF($B532="","",INDEX('Gap reference'!$D$2:$D$60,MATCH($B532,'Gap reference'!$A$2:$A$60,0)))</f>
        <v/>
      </c>
      <c r="E532" s="26" t="str">
        <f t="array" ref="E532">IF($B532="","",INDEX('Gap reference'!$G$2:$G$60,MATCH($B532,'Gap reference'!$A$2:$A$60,0)))</f>
        <v/>
      </c>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26" t="str">
        <f t="array" ref="C533">IF($B533="","",INDEX('Gap reference'!$C$2:$C$60,MATCH($B533,'Gap reference'!$A$2:$A$60,0)))</f>
        <v/>
      </c>
      <c r="D533" s="26" t="str">
        <f t="array" ref="D533">IF($B533="","",INDEX('Gap reference'!$D$2:$D$60,MATCH($B533,'Gap reference'!$A$2:$A$60,0)))</f>
        <v/>
      </c>
      <c r="E533" s="26" t="str">
        <f t="array" ref="E533">IF($B533="","",INDEX('Gap reference'!$G$2:$G$60,MATCH($B533,'Gap reference'!$A$2:$A$60,0)))</f>
        <v/>
      </c>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26" t="str">
        <f t="array" ref="C534">IF($B534="","",INDEX('Gap reference'!$C$2:$C$60,MATCH($B534,'Gap reference'!$A$2:$A$60,0)))</f>
        <v/>
      </c>
      <c r="D534" s="26" t="str">
        <f t="array" ref="D534">IF($B534="","",INDEX('Gap reference'!$D$2:$D$60,MATCH($B534,'Gap reference'!$A$2:$A$60,0)))</f>
        <v/>
      </c>
      <c r="E534" s="26" t="str">
        <f t="array" ref="E534">IF($B534="","",INDEX('Gap reference'!$G$2:$G$60,MATCH($B534,'Gap reference'!$A$2:$A$60,0)))</f>
        <v/>
      </c>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26" t="str">
        <f t="array" ref="C535">IF($B535="","",INDEX('Gap reference'!$C$2:$C$60,MATCH($B535,'Gap reference'!$A$2:$A$60,0)))</f>
        <v/>
      </c>
      <c r="D535" s="26" t="str">
        <f t="array" ref="D535">IF($B535="","",INDEX('Gap reference'!$D$2:$D$60,MATCH($B535,'Gap reference'!$A$2:$A$60,0)))</f>
        <v/>
      </c>
      <c r="E535" s="26" t="str">
        <f t="array" ref="E535">IF($B535="","",INDEX('Gap reference'!$G$2:$G$60,MATCH($B535,'Gap reference'!$A$2:$A$60,0)))</f>
        <v/>
      </c>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26" t="str">
        <f t="array" ref="C536">IF($B536="","",INDEX('Gap reference'!$C$2:$C$60,MATCH($B536,'Gap reference'!$A$2:$A$60,0)))</f>
        <v/>
      </c>
      <c r="D536" s="26" t="str">
        <f t="array" ref="D536">IF($B536="","",INDEX('Gap reference'!$D$2:$D$60,MATCH($B536,'Gap reference'!$A$2:$A$60,0)))</f>
        <v/>
      </c>
      <c r="E536" s="26" t="str">
        <f t="array" ref="E536">IF($B536="","",INDEX('Gap reference'!$G$2:$G$60,MATCH($B536,'Gap reference'!$A$2:$A$60,0)))</f>
        <v/>
      </c>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26" t="str">
        <f t="array" ref="C537">IF($B537="","",INDEX('Gap reference'!$C$2:$C$60,MATCH($B537,'Gap reference'!$A$2:$A$60,0)))</f>
        <v/>
      </c>
      <c r="D537" s="26" t="str">
        <f t="array" ref="D537">IF($B537="","",INDEX('Gap reference'!$D$2:$D$60,MATCH($B537,'Gap reference'!$A$2:$A$60,0)))</f>
        <v/>
      </c>
      <c r="E537" s="26" t="str">
        <f t="array" ref="E537">IF($B537="","",INDEX('Gap reference'!$G$2:$G$60,MATCH($B537,'Gap reference'!$A$2:$A$60,0)))</f>
        <v/>
      </c>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26" t="str">
        <f t="array" ref="C538">IF($B538="","",INDEX('Gap reference'!$C$2:$C$60,MATCH($B538,'Gap reference'!$A$2:$A$60,0)))</f>
        <v/>
      </c>
      <c r="D538" s="26" t="str">
        <f t="array" ref="D538">IF($B538="","",INDEX('Gap reference'!$D$2:$D$60,MATCH($B538,'Gap reference'!$A$2:$A$60,0)))</f>
        <v/>
      </c>
      <c r="E538" s="26" t="str">
        <f t="array" ref="E538">IF($B538="","",INDEX('Gap reference'!$G$2:$G$60,MATCH($B538,'Gap reference'!$A$2:$A$60,0)))</f>
        <v/>
      </c>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26" t="str">
        <f t="array" ref="C539">IF($B539="","",INDEX('Gap reference'!$C$2:$C$60,MATCH($B539,'Gap reference'!$A$2:$A$60,0)))</f>
        <v/>
      </c>
      <c r="D539" s="26" t="str">
        <f t="array" ref="D539">IF($B539="","",INDEX('Gap reference'!$D$2:$D$60,MATCH($B539,'Gap reference'!$A$2:$A$60,0)))</f>
        <v/>
      </c>
      <c r="E539" s="26" t="str">
        <f t="array" ref="E539">IF($B539="","",INDEX('Gap reference'!$G$2:$G$60,MATCH($B539,'Gap reference'!$A$2:$A$60,0)))</f>
        <v/>
      </c>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26" t="str">
        <f t="array" ref="C540">IF($B540="","",INDEX('Gap reference'!$C$2:$C$60,MATCH($B540,'Gap reference'!$A$2:$A$60,0)))</f>
        <v/>
      </c>
      <c r="D540" s="26" t="str">
        <f t="array" ref="D540">IF($B540="","",INDEX('Gap reference'!$D$2:$D$60,MATCH($B540,'Gap reference'!$A$2:$A$60,0)))</f>
        <v/>
      </c>
      <c r="E540" s="26" t="str">
        <f t="array" ref="E540">IF($B540="","",INDEX('Gap reference'!$G$2:$G$60,MATCH($B540,'Gap reference'!$A$2:$A$60,0)))</f>
        <v/>
      </c>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26" t="str">
        <f t="array" ref="C541">IF($B541="","",INDEX('Gap reference'!$C$2:$C$60,MATCH($B541,'Gap reference'!$A$2:$A$60,0)))</f>
        <v/>
      </c>
      <c r="D541" s="26" t="str">
        <f t="array" ref="D541">IF($B541="","",INDEX('Gap reference'!$D$2:$D$60,MATCH($B541,'Gap reference'!$A$2:$A$60,0)))</f>
        <v/>
      </c>
      <c r="E541" s="26" t="str">
        <f t="array" ref="E541">IF($B541="","",INDEX('Gap reference'!$G$2:$G$60,MATCH($B541,'Gap reference'!$A$2:$A$60,0)))</f>
        <v/>
      </c>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26" t="str">
        <f t="array" ref="C542">IF($B542="","",INDEX('Gap reference'!$C$2:$C$60,MATCH($B542,'Gap reference'!$A$2:$A$60,0)))</f>
        <v/>
      </c>
      <c r="D542" s="26" t="str">
        <f t="array" ref="D542">IF($B542="","",INDEX('Gap reference'!$D$2:$D$60,MATCH($B542,'Gap reference'!$A$2:$A$60,0)))</f>
        <v/>
      </c>
      <c r="E542" s="26" t="str">
        <f t="array" ref="E542">IF($B542="","",INDEX('Gap reference'!$G$2:$G$60,MATCH($B542,'Gap reference'!$A$2:$A$60,0)))</f>
        <v/>
      </c>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26" t="str">
        <f t="array" ref="C543">IF($B543="","",INDEX('Gap reference'!$C$2:$C$60,MATCH($B543,'Gap reference'!$A$2:$A$60,0)))</f>
        <v/>
      </c>
      <c r="D543" s="26" t="str">
        <f t="array" ref="D543">IF($B543="","",INDEX('Gap reference'!$D$2:$D$60,MATCH($B543,'Gap reference'!$A$2:$A$60,0)))</f>
        <v/>
      </c>
      <c r="E543" s="26" t="str">
        <f t="array" ref="E543">IF($B543="","",INDEX('Gap reference'!$G$2:$G$60,MATCH($B543,'Gap reference'!$A$2:$A$60,0)))</f>
        <v/>
      </c>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26" t="str">
        <f t="array" ref="C544">IF($B544="","",INDEX('Gap reference'!$C$2:$C$60,MATCH($B544,'Gap reference'!$A$2:$A$60,0)))</f>
        <v/>
      </c>
      <c r="D544" s="26" t="str">
        <f t="array" ref="D544">IF($B544="","",INDEX('Gap reference'!$D$2:$D$60,MATCH($B544,'Gap reference'!$A$2:$A$60,0)))</f>
        <v/>
      </c>
      <c r="E544" s="26" t="str">
        <f t="array" ref="E544">IF($B544="","",INDEX('Gap reference'!$G$2:$G$60,MATCH($B544,'Gap reference'!$A$2:$A$60,0)))</f>
        <v/>
      </c>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26" t="str">
        <f t="array" ref="C545">IF($B545="","",INDEX('Gap reference'!$C$2:$C$60,MATCH($B545,'Gap reference'!$A$2:$A$60,0)))</f>
        <v/>
      </c>
      <c r="D545" s="26" t="str">
        <f t="array" ref="D545">IF($B545="","",INDEX('Gap reference'!$D$2:$D$60,MATCH($B545,'Gap reference'!$A$2:$A$60,0)))</f>
        <v/>
      </c>
      <c r="E545" s="26" t="str">
        <f t="array" ref="E545">IF($B545="","",INDEX('Gap reference'!$G$2:$G$60,MATCH($B545,'Gap reference'!$A$2:$A$60,0)))</f>
        <v/>
      </c>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26" t="str">
        <f t="array" ref="C546">IF($B546="","",INDEX('Gap reference'!$C$2:$C$60,MATCH($B546,'Gap reference'!$A$2:$A$60,0)))</f>
        <v/>
      </c>
      <c r="D546" s="26" t="str">
        <f t="array" ref="D546">IF($B546="","",INDEX('Gap reference'!$D$2:$D$60,MATCH($B546,'Gap reference'!$A$2:$A$60,0)))</f>
        <v/>
      </c>
      <c r="E546" s="26" t="str">
        <f t="array" ref="E546">IF($B546="","",INDEX('Gap reference'!$G$2:$G$60,MATCH($B546,'Gap reference'!$A$2:$A$60,0)))</f>
        <v/>
      </c>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26" t="str">
        <f t="array" ref="C547">IF($B547="","",INDEX('Gap reference'!$C$2:$C$60,MATCH($B547,'Gap reference'!$A$2:$A$60,0)))</f>
        <v/>
      </c>
      <c r="D547" s="26" t="str">
        <f t="array" ref="D547">IF($B547="","",INDEX('Gap reference'!$D$2:$D$60,MATCH($B547,'Gap reference'!$A$2:$A$60,0)))</f>
        <v/>
      </c>
      <c r="E547" s="26" t="str">
        <f t="array" ref="E547">IF($B547="","",INDEX('Gap reference'!$G$2:$G$60,MATCH($B547,'Gap reference'!$A$2:$A$60,0)))</f>
        <v/>
      </c>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26" t="str">
        <f t="array" ref="C548">IF($B548="","",INDEX('Gap reference'!$C$2:$C$60,MATCH($B548,'Gap reference'!$A$2:$A$60,0)))</f>
        <v/>
      </c>
      <c r="D548" s="26" t="str">
        <f t="array" ref="D548">IF($B548="","",INDEX('Gap reference'!$D$2:$D$60,MATCH($B548,'Gap reference'!$A$2:$A$60,0)))</f>
        <v/>
      </c>
      <c r="E548" s="26" t="str">
        <f t="array" ref="E548">IF($B548="","",INDEX('Gap reference'!$G$2:$G$60,MATCH($B548,'Gap reference'!$A$2:$A$60,0)))</f>
        <v/>
      </c>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26" t="str">
        <f t="array" ref="C549">IF($B549="","",INDEX('Gap reference'!$C$2:$C$60,MATCH($B549,'Gap reference'!$A$2:$A$60,0)))</f>
        <v/>
      </c>
      <c r="D549" s="26" t="str">
        <f t="array" ref="D549">IF($B549="","",INDEX('Gap reference'!$D$2:$D$60,MATCH($B549,'Gap reference'!$A$2:$A$60,0)))</f>
        <v/>
      </c>
      <c r="E549" s="26" t="str">
        <f t="array" ref="E549">IF($B549="","",INDEX('Gap reference'!$G$2:$G$60,MATCH($B549,'Gap reference'!$A$2:$A$60,0)))</f>
        <v/>
      </c>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26" t="str">
        <f t="array" ref="C550">IF($B550="","",INDEX('Gap reference'!$C$2:$C$60,MATCH($B550,'Gap reference'!$A$2:$A$60,0)))</f>
        <v/>
      </c>
      <c r="D550" s="26" t="str">
        <f t="array" ref="D550">IF($B550="","",INDEX('Gap reference'!$D$2:$D$60,MATCH($B550,'Gap reference'!$A$2:$A$60,0)))</f>
        <v/>
      </c>
      <c r="E550" s="26" t="str">
        <f t="array" ref="E550">IF($B550="","",INDEX('Gap reference'!$G$2:$G$60,MATCH($B550,'Gap reference'!$A$2:$A$60,0)))</f>
        <v/>
      </c>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26" t="str">
        <f t="array" ref="C551">IF($B551="","",INDEX('Gap reference'!$C$2:$C$60,MATCH($B551,'Gap reference'!$A$2:$A$60,0)))</f>
        <v/>
      </c>
      <c r="D551" s="26" t="str">
        <f t="array" ref="D551">IF($B551="","",INDEX('Gap reference'!$D$2:$D$60,MATCH($B551,'Gap reference'!$A$2:$A$60,0)))</f>
        <v/>
      </c>
      <c r="E551" s="26" t="str">
        <f t="array" ref="E551">IF($B551="","",INDEX('Gap reference'!$G$2:$G$60,MATCH($B551,'Gap reference'!$A$2:$A$60,0)))</f>
        <v/>
      </c>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26" t="str">
        <f t="array" ref="C552">IF($B552="","",INDEX('Gap reference'!$C$2:$C$60,MATCH($B552,'Gap reference'!$A$2:$A$60,0)))</f>
        <v/>
      </c>
      <c r="D552" s="26" t="str">
        <f t="array" ref="D552">IF($B552="","",INDEX('Gap reference'!$D$2:$D$60,MATCH($B552,'Gap reference'!$A$2:$A$60,0)))</f>
        <v/>
      </c>
      <c r="E552" s="26" t="str">
        <f t="array" ref="E552">IF($B552="","",INDEX('Gap reference'!$G$2:$G$60,MATCH($B552,'Gap reference'!$A$2:$A$60,0)))</f>
        <v/>
      </c>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26" t="str">
        <f t="array" ref="C553">IF($B553="","",INDEX('Gap reference'!$C$2:$C$60,MATCH($B553,'Gap reference'!$A$2:$A$60,0)))</f>
        <v/>
      </c>
      <c r="D553" s="26" t="str">
        <f t="array" ref="D553">IF($B553="","",INDEX('Gap reference'!$D$2:$D$60,MATCH($B553,'Gap reference'!$A$2:$A$60,0)))</f>
        <v/>
      </c>
      <c r="E553" s="26" t="str">
        <f t="array" ref="E553">IF($B553="","",INDEX('Gap reference'!$G$2:$G$60,MATCH($B553,'Gap reference'!$A$2:$A$60,0)))</f>
        <v/>
      </c>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26" t="str">
        <f t="array" ref="C554">IF($B554="","",INDEX('Gap reference'!$C$2:$C$60,MATCH($B554,'Gap reference'!$A$2:$A$60,0)))</f>
        <v/>
      </c>
      <c r="D554" s="26" t="str">
        <f t="array" ref="D554">IF($B554="","",INDEX('Gap reference'!$D$2:$D$60,MATCH($B554,'Gap reference'!$A$2:$A$60,0)))</f>
        <v/>
      </c>
      <c r="E554" s="26" t="str">
        <f t="array" ref="E554">IF($B554="","",INDEX('Gap reference'!$G$2:$G$60,MATCH($B554,'Gap reference'!$A$2:$A$60,0)))</f>
        <v/>
      </c>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26" t="str">
        <f t="array" ref="C555">IF($B555="","",INDEX('Gap reference'!$C$2:$C$60,MATCH($B555,'Gap reference'!$A$2:$A$60,0)))</f>
        <v/>
      </c>
      <c r="D555" s="26" t="str">
        <f t="array" ref="D555">IF($B555="","",INDEX('Gap reference'!$D$2:$D$60,MATCH($B555,'Gap reference'!$A$2:$A$60,0)))</f>
        <v/>
      </c>
      <c r="E555" s="26" t="str">
        <f t="array" ref="E555">IF($B555="","",INDEX('Gap reference'!$G$2:$G$60,MATCH($B555,'Gap reference'!$A$2:$A$60,0)))</f>
        <v/>
      </c>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26" t="str">
        <f t="array" ref="C556">IF($B556="","",INDEX('Gap reference'!$C$2:$C$60,MATCH($B556,'Gap reference'!$A$2:$A$60,0)))</f>
        <v/>
      </c>
      <c r="D556" s="26" t="str">
        <f t="array" ref="D556">IF($B556="","",INDEX('Gap reference'!$D$2:$D$60,MATCH($B556,'Gap reference'!$A$2:$A$60,0)))</f>
        <v/>
      </c>
      <c r="E556" s="26" t="str">
        <f t="array" ref="E556">IF($B556="","",INDEX('Gap reference'!$G$2:$G$60,MATCH($B556,'Gap reference'!$A$2:$A$60,0)))</f>
        <v/>
      </c>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26" t="str">
        <f t="array" ref="C557">IF($B557="","",INDEX('Gap reference'!$C$2:$C$60,MATCH($B557,'Gap reference'!$A$2:$A$60,0)))</f>
        <v/>
      </c>
      <c r="D557" s="26" t="str">
        <f t="array" ref="D557">IF($B557="","",INDEX('Gap reference'!$D$2:$D$60,MATCH($B557,'Gap reference'!$A$2:$A$60,0)))</f>
        <v/>
      </c>
      <c r="E557" s="26" t="str">
        <f t="array" ref="E557">IF($B557="","",INDEX('Gap reference'!$G$2:$G$60,MATCH($B557,'Gap reference'!$A$2:$A$60,0)))</f>
        <v/>
      </c>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26" t="str">
        <f t="array" ref="C558">IF($B558="","",INDEX('Gap reference'!$C$2:$C$60,MATCH($B558,'Gap reference'!$A$2:$A$60,0)))</f>
        <v/>
      </c>
      <c r="D558" s="26" t="str">
        <f t="array" ref="D558">IF($B558="","",INDEX('Gap reference'!$D$2:$D$60,MATCH($B558,'Gap reference'!$A$2:$A$60,0)))</f>
        <v/>
      </c>
      <c r="E558" s="26" t="str">
        <f t="array" ref="E558">IF($B558="","",INDEX('Gap reference'!$G$2:$G$60,MATCH($B558,'Gap reference'!$A$2:$A$60,0)))</f>
        <v/>
      </c>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26" t="str">
        <f t="array" ref="C559">IF($B559="","",INDEX('Gap reference'!$C$2:$C$60,MATCH($B559,'Gap reference'!$A$2:$A$60,0)))</f>
        <v/>
      </c>
      <c r="D559" s="26" t="str">
        <f t="array" ref="D559">IF($B559="","",INDEX('Gap reference'!$D$2:$D$60,MATCH($B559,'Gap reference'!$A$2:$A$60,0)))</f>
        <v/>
      </c>
      <c r="E559" s="26" t="str">
        <f t="array" ref="E559">IF($B559="","",INDEX('Gap reference'!$G$2:$G$60,MATCH($B559,'Gap reference'!$A$2:$A$60,0)))</f>
        <v/>
      </c>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26" t="str">
        <f t="array" ref="C560">IF($B560="","",INDEX('Gap reference'!$C$2:$C$60,MATCH($B560,'Gap reference'!$A$2:$A$60,0)))</f>
        <v/>
      </c>
      <c r="D560" s="26" t="str">
        <f t="array" ref="D560">IF($B560="","",INDEX('Gap reference'!$D$2:$D$60,MATCH($B560,'Gap reference'!$A$2:$A$60,0)))</f>
        <v/>
      </c>
      <c r="E560" s="26" t="str">
        <f t="array" ref="E560">IF($B560="","",INDEX('Gap reference'!$G$2:$G$60,MATCH($B560,'Gap reference'!$A$2:$A$60,0)))</f>
        <v/>
      </c>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26" t="str">
        <f t="array" ref="C561">IF($B561="","",INDEX('Gap reference'!$C$2:$C$60,MATCH($B561,'Gap reference'!$A$2:$A$60,0)))</f>
        <v/>
      </c>
      <c r="D561" s="26" t="str">
        <f t="array" ref="D561">IF($B561="","",INDEX('Gap reference'!$D$2:$D$60,MATCH($B561,'Gap reference'!$A$2:$A$60,0)))</f>
        <v/>
      </c>
      <c r="E561" s="26" t="str">
        <f t="array" ref="E561">IF($B561="","",INDEX('Gap reference'!$G$2:$G$60,MATCH($B561,'Gap reference'!$A$2:$A$60,0)))</f>
        <v/>
      </c>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26" t="str">
        <f t="array" ref="C562">IF($B562="","",INDEX('Gap reference'!$C$2:$C$60,MATCH($B562,'Gap reference'!$A$2:$A$60,0)))</f>
        <v/>
      </c>
      <c r="D562" s="26" t="str">
        <f t="array" ref="D562">IF($B562="","",INDEX('Gap reference'!$D$2:$D$60,MATCH($B562,'Gap reference'!$A$2:$A$60,0)))</f>
        <v/>
      </c>
      <c r="E562" s="26" t="str">
        <f t="array" ref="E562">IF($B562="","",INDEX('Gap reference'!$G$2:$G$60,MATCH($B562,'Gap reference'!$A$2:$A$60,0)))</f>
        <v/>
      </c>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26" t="str">
        <f t="array" ref="C563">IF($B563="","",INDEX('Gap reference'!$C$2:$C$60,MATCH($B563,'Gap reference'!$A$2:$A$60,0)))</f>
        <v/>
      </c>
      <c r="D563" s="26" t="str">
        <f t="array" ref="D563">IF($B563="","",INDEX('Gap reference'!$D$2:$D$60,MATCH($B563,'Gap reference'!$A$2:$A$60,0)))</f>
        <v/>
      </c>
      <c r="E563" s="26" t="str">
        <f t="array" ref="E563">IF($B563="","",INDEX('Gap reference'!$G$2:$G$60,MATCH($B563,'Gap reference'!$A$2:$A$60,0)))</f>
        <v/>
      </c>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26" t="str">
        <f t="array" ref="C564">IF($B564="","",INDEX('Gap reference'!$C$2:$C$60,MATCH($B564,'Gap reference'!$A$2:$A$60,0)))</f>
        <v/>
      </c>
      <c r="D564" s="26" t="str">
        <f t="array" ref="D564">IF($B564="","",INDEX('Gap reference'!$D$2:$D$60,MATCH($B564,'Gap reference'!$A$2:$A$60,0)))</f>
        <v/>
      </c>
      <c r="E564" s="26" t="str">
        <f t="array" ref="E564">IF($B564="","",INDEX('Gap reference'!$G$2:$G$60,MATCH($B564,'Gap reference'!$A$2:$A$60,0)))</f>
        <v/>
      </c>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26" t="str">
        <f t="array" ref="C565">IF($B565="","",INDEX('Gap reference'!$C$2:$C$60,MATCH($B565,'Gap reference'!$A$2:$A$60,0)))</f>
        <v/>
      </c>
      <c r="D565" s="26" t="str">
        <f t="array" ref="D565">IF($B565="","",INDEX('Gap reference'!$D$2:$D$60,MATCH($B565,'Gap reference'!$A$2:$A$60,0)))</f>
        <v/>
      </c>
      <c r="E565" s="26" t="str">
        <f t="array" ref="E565">IF($B565="","",INDEX('Gap reference'!$G$2:$G$60,MATCH($B565,'Gap reference'!$A$2:$A$60,0)))</f>
        <v/>
      </c>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26" t="str">
        <f t="array" ref="C566">IF($B566="","",INDEX('Gap reference'!$C$2:$C$60,MATCH($B566,'Gap reference'!$A$2:$A$60,0)))</f>
        <v/>
      </c>
      <c r="D566" s="26" t="str">
        <f t="array" ref="D566">IF($B566="","",INDEX('Gap reference'!$D$2:$D$60,MATCH($B566,'Gap reference'!$A$2:$A$60,0)))</f>
        <v/>
      </c>
      <c r="E566" s="26" t="str">
        <f t="array" ref="E566">IF($B566="","",INDEX('Gap reference'!$G$2:$G$60,MATCH($B566,'Gap reference'!$A$2:$A$60,0)))</f>
        <v/>
      </c>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26" t="str">
        <f t="array" ref="C567">IF($B567="","",INDEX('Gap reference'!$C$2:$C$60,MATCH($B567,'Gap reference'!$A$2:$A$60,0)))</f>
        <v/>
      </c>
      <c r="D567" s="26" t="str">
        <f t="array" ref="D567">IF($B567="","",INDEX('Gap reference'!$D$2:$D$60,MATCH($B567,'Gap reference'!$A$2:$A$60,0)))</f>
        <v/>
      </c>
      <c r="E567" s="26" t="str">
        <f t="array" ref="E567">IF($B567="","",INDEX('Gap reference'!$G$2:$G$60,MATCH($B567,'Gap reference'!$A$2:$A$60,0)))</f>
        <v/>
      </c>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26" t="str">
        <f t="array" ref="C568">IF($B568="","",INDEX('Gap reference'!$C$2:$C$60,MATCH($B568,'Gap reference'!$A$2:$A$60,0)))</f>
        <v/>
      </c>
      <c r="D568" s="26" t="str">
        <f t="array" ref="D568">IF($B568="","",INDEX('Gap reference'!$D$2:$D$60,MATCH($B568,'Gap reference'!$A$2:$A$60,0)))</f>
        <v/>
      </c>
      <c r="E568" s="26" t="str">
        <f t="array" ref="E568">IF($B568="","",INDEX('Gap reference'!$G$2:$G$60,MATCH($B568,'Gap reference'!$A$2:$A$60,0)))</f>
        <v/>
      </c>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26" t="str">
        <f t="array" ref="C569">IF($B569="","",INDEX('Gap reference'!$C$2:$C$60,MATCH($B569,'Gap reference'!$A$2:$A$60,0)))</f>
        <v/>
      </c>
      <c r="D569" s="26" t="str">
        <f t="array" ref="D569">IF($B569="","",INDEX('Gap reference'!$D$2:$D$60,MATCH($B569,'Gap reference'!$A$2:$A$60,0)))</f>
        <v/>
      </c>
      <c r="E569" s="26" t="str">
        <f t="array" ref="E569">IF($B569="","",INDEX('Gap reference'!$G$2:$G$60,MATCH($B569,'Gap reference'!$A$2:$A$60,0)))</f>
        <v/>
      </c>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26" t="str">
        <f t="array" ref="C570">IF($B570="","",INDEX('Gap reference'!$C$2:$C$60,MATCH($B570,'Gap reference'!$A$2:$A$60,0)))</f>
        <v/>
      </c>
      <c r="D570" s="26" t="str">
        <f t="array" ref="D570">IF($B570="","",INDEX('Gap reference'!$D$2:$D$60,MATCH($B570,'Gap reference'!$A$2:$A$60,0)))</f>
        <v/>
      </c>
      <c r="E570" s="26" t="str">
        <f t="array" ref="E570">IF($B570="","",INDEX('Gap reference'!$G$2:$G$60,MATCH($B570,'Gap reference'!$A$2:$A$60,0)))</f>
        <v/>
      </c>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26" t="str">
        <f t="array" ref="C571">IF($B571="","",INDEX('Gap reference'!$C$2:$C$60,MATCH($B571,'Gap reference'!$A$2:$A$60,0)))</f>
        <v/>
      </c>
      <c r="D571" s="26" t="str">
        <f t="array" ref="D571">IF($B571="","",INDEX('Gap reference'!$D$2:$D$60,MATCH($B571,'Gap reference'!$A$2:$A$60,0)))</f>
        <v/>
      </c>
      <c r="E571" s="26" t="str">
        <f t="array" ref="E571">IF($B571="","",INDEX('Gap reference'!$G$2:$G$60,MATCH($B571,'Gap reference'!$A$2:$A$60,0)))</f>
        <v/>
      </c>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26" t="str">
        <f t="array" ref="C572">IF($B572="","",INDEX('Gap reference'!$C$2:$C$60,MATCH($B572,'Gap reference'!$A$2:$A$60,0)))</f>
        <v/>
      </c>
      <c r="D572" s="26" t="str">
        <f t="array" ref="D572">IF($B572="","",INDEX('Gap reference'!$D$2:$D$60,MATCH($B572,'Gap reference'!$A$2:$A$60,0)))</f>
        <v/>
      </c>
      <c r="E572" s="26" t="str">
        <f t="array" ref="E572">IF($B572="","",INDEX('Gap reference'!$G$2:$G$60,MATCH($B572,'Gap reference'!$A$2:$A$60,0)))</f>
        <v/>
      </c>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26" t="str">
        <f t="array" ref="C573">IF($B573="","",INDEX('Gap reference'!$C$2:$C$60,MATCH($B573,'Gap reference'!$A$2:$A$60,0)))</f>
        <v/>
      </c>
      <c r="D573" s="26" t="str">
        <f t="array" ref="D573">IF($B573="","",INDEX('Gap reference'!$D$2:$D$60,MATCH($B573,'Gap reference'!$A$2:$A$60,0)))</f>
        <v/>
      </c>
      <c r="E573" s="26" t="str">
        <f t="array" ref="E573">IF($B573="","",INDEX('Gap reference'!$G$2:$G$60,MATCH($B573,'Gap reference'!$A$2:$A$60,0)))</f>
        <v/>
      </c>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26" t="str">
        <f t="array" ref="C574">IF($B574="","",INDEX('Gap reference'!$C$2:$C$60,MATCH($B574,'Gap reference'!$A$2:$A$60,0)))</f>
        <v/>
      </c>
      <c r="D574" s="26" t="str">
        <f t="array" ref="D574">IF($B574="","",INDEX('Gap reference'!$D$2:$D$60,MATCH($B574,'Gap reference'!$A$2:$A$60,0)))</f>
        <v/>
      </c>
      <c r="E574" s="26" t="str">
        <f t="array" ref="E574">IF($B574="","",INDEX('Gap reference'!$G$2:$G$60,MATCH($B574,'Gap reference'!$A$2:$A$60,0)))</f>
        <v/>
      </c>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26" t="str">
        <f t="array" ref="C575">IF($B575="","",INDEX('Gap reference'!$C$2:$C$60,MATCH($B575,'Gap reference'!$A$2:$A$60,0)))</f>
        <v/>
      </c>
      <c r="D575" s="26" t="str">
        <f t="array" ref="D575">IF($B575="","",INDEX('Gap reference'!$D$2:$D$60,MATCH($B575,'Gap reference'!$A$2:$A$60,0)))</f>
        <v/>
      </c>
      <c r="E575" s="26" t="str">
        <f t="array" ref="E575">IF($B575="","",INDEX('Gap reference'!$G$2:$G$60,MATCH($B575,'Gap reference'!$A$2:$A$60,0)))</f>
        <v/>
      </c>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26" t="str">
        <f t="array" ref="C576">IF($B576="","",INDEX('Gap reference'!$C$2:$C$60,MATCH($B576,'Gap reference'!$A$2:$A$60,0)))</f>
        <v/>
      </c>
      <c r="D576" s="26" t="str">
        <f t="array" ref="D576">IF($B576="","",INDEX('Gap reference'!$D$2:$D$60,MATCH($B576,'Gap reference'!$A$2:$A$60,0)))</f>
        <v/>
      </c>
      <c r="E576" s="26" t="str">
        <f t="array" ref="E576">IF($B576="","",INDEX('Gap reference'!$G$2:$G$60,MATCH($B576,'Gap reference'!$A$2:$A$60,0)))</f>
        <v/>
      </c>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26" t="str">
        <f t="array" ref="C577">IF($B577="","",INDEX('Gap reference'!$C$2:$C$60,MATCH($B577,'Gap reference'!$A$2:$A$60,0)))</f>
        <v/>
      </c>
      <c r="D577" s="26" t="str">
        <f t="array" ref="D577">IF($B577="","",INDEX('Gap reference'!$D$2:$D$60,MATCH($B577,'Gap reference'!$A$2:$A$60,0)))</f>
        <v/>
      </c>
      <c r="E577" s="26" t="str">
        <f t="array" ref="E577">IF($B577="","",INDEX('Gap reference'!$G$2:$G$60,MATCH($B577,'Gap reference'!$A$2:$A$60,0)))</f>
        <v/>
      </c>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26" t="str">
        <f t="array" ref="C578">IF($B578="","",INDEX('Gap reference'!$C$2:$C$60,MATCH($B578,'Gap reference'!$A$2:$A$60,0)))</f>
        <v/>
      </c>
      <c r="D578" s="26" t="str">
        <f t="array" ref="D578">IF($B578="","",INDEX('Gap reference'!$D$2:$D$60,MATCH($B578,'Gap reference'!$A$2:$A$60,0)))</f>
        <v/>
      </c>
      <c r="E578" s="26" t="str">
        <f t="array" ref="E578">IF($B578="","",INDEX('Gap reference'!$G$2:$G$60,MATCH($B578,'Gap reference'!$A$2:$A$60,0)))</f>
        <v/>
      </c>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26" t="str">
        <f t="array" ref="C579">IF($B579="","",INDEX('Gap reference'!$C$2:$C$60,MATCH($B579,'Gap reference'!$A$2:$A$60,0)))</f>
        <v/>
      </c>
      <c r="D579" s="26" t="str">
        <f t="array" ref="D579">IF($B579="","",INDEX('Gap reference'!$D$2:$D$60,MATCH($B579,'Gap reference'!$A$2:$A$60,0)))</f>
        <v/>
      </c>
      <c r="E579" s="26" t="str">
        <f t="array" ref="E579">IF($B579="","",INDEX('Gap reference'!$G$2:$G$60,MATCH($B579,'Gap reference'!$A$2:$A$60,0)))</f>
        <v/>
      </c>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26" t="str">
        <f t="array" ref="C580">IF($B580="","",INDEX('Gap reference'!$C$2:$C$60,MATCH($B580,'Gap reference'!$A$2:$A$60,0)))</f>
        <v/>
      </c>
      <c r="D580" s="26" t="str">
        <f t="array" ref="D580">IF($B580="","",INDEX('Gap reference'!$D$2:$D$60,MATCH($B580,'Gap reference'!$A$2:$A$60,0)))</f>
        <v/>
      </c>
      <c r="E580" s="26" t="str">
        <f t="array" ref="E580">IF($B580="","",INDEX('Gap reference'!$G$2:$G$60,MATCH($B580,'Gap reference'!$A$2:$A$60,0)))</f>
        <v/>
      </c>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26" t="str">
        <f t="array" ref="C581">IF($B581="","",INDEX('Gap reference'!$C$2:$C$60,MATCH($B581,'Gap reference'!$A$2:$A$60,0)))</f>
        <v/>
      </c>
      <c r="D581" s="26" t="str">
        <f t="array" ref="D581">IF($B581="","",INDEX('Gap reference'!$D$2:$D$60,MATCH($B581,'Gap reference'!$A$2:$A$60,0)))</f>
        <v/>
      </c>
      <c r="E581" s="26" t="str">
        <f t="array" ref="E581">IF($B581="","",INDEX('Gap reference'!$G$2:$G$60,MATCH($B581,'Gap reference'!$A$2:$A$60,0)))</f>
        <v/>
      </c>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26" t="str">
        <f t="array" ref="C582">IF($B582="","",INDEX('Gap reference'!$C$2:$C$60,MATCH($B582,'Gap reference'!$A$2:$A$60,0)))</f>
        <v/>
      </c>
      <c r="D582" s="26" t="str">
        <f t="array" ref="D582">IF($B582="","",INDEX('Gap reference'!$D$2:$D$60,MATCH($B582,'Gap reference'!$A$2:$A$60,0)))</f>
        <v/>
      </c>
      <c r="E582" s="26" t="str">
        <f t="array" ref="E582">IF($B582="","",INDEX('Gap reference'!$G$2:$G$60,MATCH($B582,'Gap reference'!$A$2:$A$60,0)))</f>
        <v/>
      </c>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26" t="str">
        <f t="array" ref="C583">IF($B583="","",INDEX('Gap reference'!$C$2:$C$60,MATCH($B583,'Gap reference'!$A$2:$A$60,0)))</f>
        <v/>
      </c>
      <c r="D583" s="26" t="str">
        <f t="array" ref="D583">IF($B583="","",INDEX('Gap reference'!$D$2:$D$60,MATCH($B583,'Gap reference'!$A$2:$A$60,0)))</f>
        <v/>
      </c>
      <c r="E583" s="26" t="str">
        <f t="array" ref="E583">IF($B583="","",INDEX('Gap reference'!$G$2:$G$60,MATCH($B583,'Gap reference'!$A$2:$A$60,0)))</f>
        <v/>
      </c>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26" t="str">
        <f t="array" ref="C584">IF($B584="","",INDEX('Gap reference'!$C$2:$C$60,MATCH($B584,'Gap reference'!$A$2:$A$60,0)))</f>
        <v/>
      </c>
      <c r="D584" s="26" t="str">
        <f t="array" ref="D584">IF($B584="","",INDEX('Gap reference'!$D$2:$D$60,MATCH($B584,'Gap reference'!$A$2:$A$60,0)))</f>
        <v/>
      </c>
      <c r="E584" s="26" t="str">
        <f t="array" ref="E584">IF($B584="","",INDEX('Gap reference'!$G$2:$G$60,MATCH($B584,'Gap reference'!$A$2:$A$60,0)))</f>
        <v/>
      </c>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26" t="str">
        <f t="array" ref="C585">IF($B585="","",INDEX('Gap reference'!$C$2:$C$60,MATCH($B585,'Gap reference'!$A$2:$A$60,0)))</f>
        <v/>
      </c>
      <c r="D585" s="26" t="str">
        <f t="array" ref="D585">IF($B585="","",INDEX('Gap reference'!$D$2:$D$60,MATCH($B585,'Gap reference'!$A$2:$A$60,0)))</f>
        <v/>
      </c>
      <c r="E585" s="26" t="str">
        <f t="array" ref="E585">IF($B585="","",INDEX('Gap reference'!$G$2:$G$60,MATCH($B585,'Gap reference'!$A$2:$A$60,0)))</f>
        <v/>
      </c>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26" t="str">
        <f t="array" ref="C586">IF($B586="","",INDEX('Gap reference'!$C$2:$C$60,MATCH($B586,'Gap reference'!$A$2:$A$60,0)))</f>
        <v/>
      </c>
      <c r="D586" s="26" t="str">
        <f t="array" ref="D586">IF($B586="","",INDEX('Gap reference'!$D$2:$D$60,MATCH($B586,'Gap reference'!$A$2:$A$60,0)))</f>
        <v/>
      </c>
      <c r="E586" s="26" t="str">
        <f t="array" ref="E586">IF($B586="","",INDEX('Gap reference'!$G$2:$G$60,MATCH($B586,'Gap reference'!$A$2:$A$60,0)))</f>
        <v/>
      </c>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26" t="str">
        <f t="array" ref="C587">IF($B587="","",INDEX('Gap reference'!$C$2:$C$60,MATCH($B587,'Gap reference'!$A$2:$A$60,0)))</f>
        <v/>
      </c>
      <c r="D587" s="26" t="str">
        <f t="array" ref="D587">IF($B587="","",INDEX('Gap reference'!$D$2:$D$60,MATCH($B587,'Gap reference'!$A$2:$A$60,0)))</f>
        <v/>
      </c>
      <c r="E587" s="26" t="str">
        <f t="array" ref="E587">IF($B587="","",INDEX('Gap reference'!$G$2:$G$60,MATCH($B587,'Gap reference'!$A$2:$A$60,0)))</f>
        <v/>
      </c>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26" t="str">
        <f t="array" ref="C588">IF($B588="","",INDEX('Gap reference'!$C$2:$C$60,MATCH($B588,'Gap reference'!$A$2:$A$60,0)))</f>
        <v/>
      </c>
      <c r="D588" s="26" t="str">
        <f t="array" ref="D588">IF($B588="","",INDEX('Gap reference'!$D$2:$D$60,MATCH($B588,'Gap reference'!$A$2:$A$60,0)))</f>
        <v/>
      </c>
      <c r="E588" s="26" t="str">
        <f t="array" ref="E588">IF($B588="","",INDEX('Gap reference'!$G$2:$G$60,MATCH($B588,'Gap reference'!$A$2:$A$60,0)))</f>
        <v/>
      </c>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26" t="str">
        <f t="array" ref="C589">IF($B589="","",INDEX('Gap reference'!$C$2:$C$60,MATCH($B589,'Gap reference'!$A$2:$A$60,0)))</f>
        <v/>
      </c>
      <c r="D589" s="26" t="str">
        <f t="array" ref="D589">IF($B589="","",INDEX('Gap reference'!$D$2:$D$60,MATCH($B589,'Gap reference'!$A$2:$A$60,0)))</f>
        <v/>
      </c>
      <c r="E589" s="26" t="str">
        <f t="array" ref="E589">IF($B589="","",INDEX('Gap reference'!$G$2:$G$60,MATCH($B589,'Gap reference'!$A$2:$A$60,0)))</f>
        <v/>
      </c>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26" t="str">
        <f t="array" ref="C590">IF($B590="","",INDEX('Gap reference'!$C$2:$C$60,MATCH($B590,'Gap reference'!$A$2:$A$60,0)))</f>
        <v/>
      </c>
      <c r="D590" s="26" t="str">
        <f t="array" ref="D590">IF($B590="","",INDEX('Gap reference'!$D$2:$D$60,MATCH($B590,'Gap reference'!$A$2:$A$60,0)))</f>
        <v/>
      </c>
      <c r="E590" s="26" t="str">
        <f t="array" ref="E590">IF($B590="","",INDEX('Gap reference'!$G$2:$G$60,MATCH($B590,'Gap reference'!$A$2:$A$60,0)))</f>
        <v/>
      </c>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26" t="str">
        <f t="array" ref="C591">IF($B591="","",INDEX('Gap reference'!$C$2:$C$60,MATCH($B591,'Gap reference'!$A$2:$A$60,0)))</f>
        <v/>
      </c>
      <c r="D591" s="26" t="str">
        <f t="array" ref="D591">IF($B591="","",INDEX('Gap reference'!$D$2:$D$60,MATCH($B591,'Gap reference'!$A$2:$A$60,0)))</f>
        <v/>
      </c>
      <c r="E591" s="26" t="str">
        <f t="array" ref="E591">IF($B591="","",INDEX('Gap reference'!$G$2:$G$60,MATCH($B591,'Gap reference'!$A$2:$A$60,0)))</f>
        <v/>
      </c>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26" t="str">
        <f t="array" ref="C592">IF($B592="","",INDEX('Gap reference'!$C$2:$C$60,MATCH($B592,'Gap reference'!$A$2:$A$60,0)))</f>
        <v/>
      </c>
      <c r="D592" s="26" t="str">
        <f t="array" ref="D592">IF($B592="","",INDEX('Gap reference'!$D$2:$D$60,MATCH($B592,'Gap reference'!$A$2:$A$60,0)))</f>
        <v/>
      </c>
      <c r="E592" s="26" t="str">
        <f t="array" ref="E592">IF($B592="","",INDEX('Gap reference'!$G$2:$G$60,MATCH($B592,'Gap reference'!$A$2:$A$60,0)))</f>
        <v/>
      </c>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26" t="str">
        <f t="array" ref="C593">IF($B593="","",INDEX('Gap reference'!$C$2:$C$60,MATCH($B593,'Gap reference'!$A$2:$A$60,0)))</f>
        <v/>
      </c>
      <c r="D593" s="26" t="str">
        <f t="array" ref="D593">IF($B593="","",INDEX('Gap reference'!$D$2:$D$60,MATCH($B593,'Gap reference'!$A$2:$A$60,0)))</f>
        <v/>
      </c>
      <c r="E593" s="26" t="str">
        <f t="array" ref="E593">IF($B593="","",INDEX('Gap reference'!$G$2:$G$60,MATCH($B593,'Gap reference'!$A$2:$A$60,0)))</f>
        <v/>
      </c>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26" t="str">
        <f t="array" ref="C594">IF($B594="","",INDEX('Gap reference'!$C$2:$C$60,MATCH($B594,'Gap reference'!$A$2:$A$60,0)))</f>
        <v/>
      </c>
      <c r="D594" s="26" t="str">
        <f t="array" ref="D594">IF($B594="","",INDEX('Gap reference'!$D$2:$D$60,MATCH($B594,'Gap reference'!$A$2:$A$60,0)))</f>
        <v/>
      </c>
      <c r="E594" s="26" t="str">
        <f t="array" ref="E594">IF($B594="","",INDEX('Gap reference'!$G$2:$G$60,MATCH($B594,'Gap reference'!$A$2:$A$60,0)))</f>
        <v/>
      </c>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26" t="str">
        <f t="array" ref="C595">IF($B595="","",INDEX('Gap reference'!$C$2:$C$60,MATCH($B595,'Gap reference'!$A$2:$A$60,0)))</f>
        <v/>
      </c>
      <c r="D595" s="26" t="str">
        <f t="array" ref="D595">IF($B595="","",INDEX('Gap reference'!$D$2:$D$60,MATCH($B595,'Gap reference'!$A$2:$A$60,0)))</f>
        <v/>
      </c>
      <c r="E595" s="26" t="str">
        <f t="array" ref="E595">IF($B595="","",INDEX('Gap reference'!$G$2:$G$60,MATCH($B595,'Gap reference'!$A$2:$A$60,0)))</f>
        <v/>
      </c>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26" t="str">
        <f t="array" ref="C596">IF($B596="","",INDEX('Gap reference'!$C$2:$C$60,MATCH($B596,'Gap reference'!$A$2:$A$60,0)))</f>
        <v/>
      </c>
      <c r="D596" s="26" t="str">
        <f t="array" ref="D596">IF($B596="","",INDEX('Gap reference'!$D$2:$D$60,MATCH($B596,'Gap reference'!$A$2:$A$60,0)))</f>
        <v/>
      </c>
      <c r="E596" s="26" t="str">
        <f t="array" ref="E596">IF($B596="","",INDEX('Gap reference'!$G$2:$G$60,MATCH($B596,'Gap reference'!$A$2:$A$60,0)))</f>
        <v/>
      </c>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26" t="str">
        <f t="array" ref="C597">IF($B597="","",INDEX('Gap reference'!$C$2:$C$60,MATCH($B597,'Gap reference'!$A$2:$A$60,0)))</f>
        <v/>
      </c>
      <c r="D597" s="26" t="str">
        <f t="array" ref="D597">IF($B597="","",INDEX('Gap reference'!$D$2:$D$60,MATCH($B597,'Gap reference'!$A$2:$A$60,0)))</f>
        <v/>
      </c>
      <c r="E597" s="26" t="str">
        <f t="array" ref="E597">IF($B597="","",INDEX('Gap reference'!$G$2:$G$60,MATCH($B597,'Gap reference'!$A$2:$A$60,0)))</f>
        <v/>
      </c>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26" t="str">
        <f t="array" ref="C598">IF($B598="","",INDEX('Gap reference'!$C$2:$C$60,MATCH($B598,'Gap reference'!$A$2:$A$60,0)))</f>
        <v/>
      </c>
      <c r="D598" s="26" t="str">
        <f t="array" ref="D598">IF($B598="","",INDEX('Gap reference'!$D$2:$D$60,MATCH($B598,'Gap reference'!$A$2:$A$60,0)))</f>
        <v/>
      </c>
      <c r="E598" s="26" t="str">
        <f t="array" ref="E598">IF($B598="","",INDEX('Gap reference'!$G$2:$G$60,MATCH($B598,'Gap reference'!$A$2:$A$60,0)))</f>
        <v/>
      </c>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26" t="str">
        <f t="array" ref="C599">IF($B599="","",INDEX('Gap reference'!$C$2:$C$60,MATCH($B599,'Gap reference'!$A$2:$A$60,0)))</f>
        <v/>
      </c>
      <c r="D599" s="26" t="str">
        <f t="array" ref="D599">IF($B599="","",INDEX('Gap reference'!$D$2:$D$60,MATCH($B599,'Gap reference'!$A$2:$A$60,0)))</f>
        <v/>
      </c>
      <c r="E599" s="26" t="str">
        <f t="array" ref="E599">IF($B599="","",INDEX('Gap reference'!$G$2:$G$60,MATCH($B599,'Gap reference'!$A$2:$A$60,0)))</f>
        <v/>
      </c>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26" t="str">
        <f t="array" ref="C600">IF($B600="","",INDEX('Gap reference'!$C$2:$C$60,MATCH($B600,'Gap reference'!$A$2:$A$60,0)))</f>
        <v/>
      </c>
      <c r="D600" s="26" t="str">
        <f t="array" ref="D600">IF($B600="","",INDEX('Gap reference'!$D$2:$D$60,MATCH($B600,'Gap reference'!$A$2:$A$60,0)))</f>
        <v/>
      </c>
      <c r="E600" s="26" t="str">
        <f t="array" ref="E600">IF($B600="","",INDEX('Gap reference'!$G$2:$G$60,MATCH($B600,'Gap reference'!$A$2:$A$60,0)))</f>
        <v/>
      </c>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26" t="str">
        <f t="array" ref="C601">IF($B601="","",INDEX('Gap reference'!$C$2:$C$60,MATCH($B601,'Gap reference'!$A$2:$A$60,0)))</f>
        <v/>
      </c>
      <c r="D601" s="26" t="str">
        <f t="array" ref="D601">IF($B601="","",INDEX('Gap reference'!$D$2:$D$60,MATCH($B601,'Gap reference'!$A$2:$A$60,0)))</f>
        <v/>
      </c>
      <c r="E601" s="26" t="str">
        <f t="array" ref="E601">IF($B601="","",INDEX('Gap reference'!$G$2:$G$60,MATCH($B601,'Gap reference'!$A$2:$A$60,0)))</f>
        <v/>
      </c>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26" t="str">
        <f t="array" ref="C602">IF($B602="","",INDEX('Gap reference'!$C$2:$C$60,MATCH($B602,'Gap reference'!$A$2:$A$60,0)))</f>
        <v/>
      </c>
      <c r="D602" s="26" t="str">
        <f t="array" ref="D602">IF($B602="","",INDEX('Gap reference'!$D$2:$D$60,MATCH($B602,'Gap reference'!$A$2:$A$60,0)))</f>
        <v/>
      </c>
      <c r="E602" s="26" t="str">
        <f t="array" ref="E602">IF($B602="","",INDEX('Gap reference'!$G$2:$G$60,MATCH($B602,'Gap reference'!$A$2:$A$60,0)))</f>
        <v/>
      </c>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26" t="str">
        <f t="array" ref="C603">IF($B603="","",INDEX('Gap reference'!$C$2:$C$60,MATCH($B603,'Gap reference'!$A$2:$A$60,0)))</f>
        <v/>
      </c>
      <c r="D603" s="26" t="str">
        <f t="array" ref="D603">IF($B603="","",INDEX('Gap reference'!$D$2:$D$60,MATCH($B603,'Gap reference'!$A$2:$A$60,0)))</f>
        <v/>
      </c>
      <c r="E603" s="26" t="str">
        <f t="array" ref="E603">IF($B603="","",INDEX('Gap reference'!$G$2:$G$60,MATCH($B603,'Gap reference'!$A$2:$A$60,0)))</f>
        <v/>
      </c>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26" t="str">
        <f t="array" ref="C604">IF($B604="","",INDEX('Gap reference'!$C$2:$C$60,MATCH($B604,'Gap reference'!$A$2:$A$60,0)))</f>
        <v/>
      </c>
      <c r="D604" s="26" t="str">
        <f t="array" ref="D604">IF($B604="","",INDEX('Gap reference'!$D$2:$D$60,MATCH($B604,'Gap reference'!$A$2:$A$60,0)))</f>
        <v/>
      </c>
      <c r="E604" s="26" t="str">
        <f t="array" ref="E604">IF($B604="","",INDEX('Gap reference'!$G$2:$G$60,MATCH($B604,'Gap reference'!$A$2:$A$60,0)))</f>
        <v/>
      </c>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26" t="str">
        <f t="array" ref="C605">IF($B605="","",INDEX('Gap reference'!$C$2:$C$60,MATCH($B605,'Gap reference'!$A$2:$A$60,0)))</f>
        <v/>
      </c>
      <c r="D605" s="26" t="str">
        <f t="array" ref="D605">IF($B605="","",INDEX('Gap reference'!$D$2:$D$60,MATCH($B605,'Gap reference'!$A$2:$A$60,0)))</f>
        <v/>
      </c>
      <c r="E605" s="26" t="str">
        <f t="array" ref="E605">IF($B605="","",INDEX('Gap reference'!$G$2:$G$60,MATCH($B605,'Gap reference'!$A$2:$A$60,0)))</f>
        <v/>
      </c>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26" t="str">
        <f t="array" ref="C606">IF($B606="","",INDEX('Gap reference'!$C$2:$C$60,MATCH($B606,'Gap reference'!$A$2:$A$60,0)))</f>
        <v/>
      </c>
      <c r="D606" s="26" t="str">
        <f t="array" ref="D606">IF($B606="","",INDEX('Gap reference'!$D$2:$D$60,MATCH($B606,'Gap reference'!$A$2:$A$60,0)))</f>
        <v/>
      </c>
      <c r="E606" s="26" t="str">
        <f t="array" ref="E606">IF($B606="","",INDEX('Gap reference'!$G$2:$G$60,MATCH($B606,'Gap reference'!$A$2:$A$60,0)))</f>
        <v/>
      </c>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26" t="str">
        <f t="array" ref="C607">IF($B607="","",INDEX('Gap reference'!$C$2:$C$60,MATCH($B607,'Gap reference'!$A$2:$A$60,0)))</f>
        <v/>
      </c>
      <c r="D607" s="26" t="str">
        <f t="array" ref="D607">IF($B607="","",INDEX('Gap reference'!$D$2:$D$60,MATCH($B607,'Gap reference'!$A$2:$A$60,0)))</f>
        <v/>
      </c>
      <c r="E607" s="26" t="str">
        <f t="array" ref="E607">IF($B607="","",INDEX('Gap reference'!$G$2:$G$60,MATCH($B607,'Gap reference'!$A$2:$A$60,0)))</f>
        <v/>
      </c>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26" t="str">
        <f t="array" ref="C608">IF($B608="","",INDEX('Gap reference'!$C$2:$C$60,MATCH($B608,'Gap reference'!$A$2:$A$60,0)))</f>
        <v/>
      </c>
      <c r="D608" s="26" t="str">
        <f t="array" ref="D608">IF($B608="","",INDEX('Gap reference'!$D$2:$D$60,MATCH($B608,'Gap reference'!$A$2:$A$60,0)))</f>
        <v/>
      </c>
      <c r="E608" s="26" t="str">
        <f t="array" ref="E608">IF($B608="","",INDEX('Gap reference'!$G$2:$G$60,MATCH($B608,'Gap reference'!$A$2:$A$60,0)))</f>
        <v/>
      </c>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26" t="str">
        <f t="array" ref="C609">IF($B609="","",INDEX('Gap reference'!$C$2:$C$60,MATCH($B609,'Gap reference'!$A$2:$A$60,0)))</f>
        <v/>
      </c>
      <c r="D609" s="26" t="str">
        <f t="array" ref="D609">IF($B609="","",INDEX('Gap reference'!$D$2:$D$60,MATCH($B609,'Gap reference'!$A$2:$A$60,0)))</f>
        <v/>
      </c>
      <c r="E609" s="26" t="str">
        <f t="array" ref="E609">IF($B609="","",INDEX('Gap reference'!$G$2:$G$60,MATCH($B609,'Gap reference'!$A$2:$A$60,0)))</f>
        <v/>
      </c>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26" t="str">
        <f t="array" ref="C610">IF($B610="","",INDEX('Gap reference'!$C$2:$C$60,MATCH($B610,'Gap reference'!$A$2:$A$60,0)))</f>
        <v/>
      </c>
      <c r="D610" s="26" t="str">
        <f t="array" ref="D610">IF($B610="","",INDEX('Gap reference'!$D$2:$D$60,MATCH($B610,'Gap reference'!$A$2:$A$60,0)))</f>
        <v/>
      </c>
      <c r="E610" s="26" t="str">
        <f t="array" ref="E610">IF($B610="","",INDEX('Gap reference'!$G$2:$G$60,MATCH($B610,'Gap reference'!$A$2:$A$60,0)))</f>
        <v/>
      </c>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26" t="str">
        <f t="array" ref="C611">IF($B611="","",INDEX('Gap reference'!$C$2:$C$60,MATCH($B611,'Gap reference'!$A$2:$A$60,0)))</f>
        <v/>
      </c>
      <c r="D611" s="26" t="str">
        <f t="array" ref="D611">IF($B611="","",INDEX('Gap reference'!$D$2:$D$60,MATCH($B611,'Gap reference'!$A$2:$A$60,0)))</f>
        <v/>
      </c>
      <c r="E611" s="26" t="str">
        <f t="array" ref="E611">IF($B611="","",INDEX('Gap reference'!$G$2:$G$60,MATCH($B611,'Gap reference'!$A$2:$A$60,0)))</f>
        <v/>
      </c>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26" t="str">
        <f t="array" ref="C612">IF($B612="","",INDEX('Gap reference'!$C$2:$C$60,MATCH($B612,'Gap reference'!$A$2:$A$60,0)))</f>
        <v/>
      </c>
      <c r="D612" s="26" t="str">
        <f t="array" ref="D612">IF($B612="","",INDEX('Gap reference'!$D$2:$D$60,MATCH($B612,'Gap reference'!$A$2:$A$60,0)))</f>
        <v/>
      </c>
      <c r="E612" s="26" t="str">
        <f t="array" ref="E612">IF($B612="","",INDEX('Gap reference'!$G$2:$G$60,MATCH($B612,'Gap reference'!$A$2:$A$60,0)))</f>
        <v/>
      </c>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26" t="str">
        <f t="array" ref="C613">IF($B613="","",INDEX('Gap reference'!$C$2:$C$60,MATCH($B613,'Gap reference'!$A$2:$A$60,0)))</f>
        <v/>
      </c>
      <c r="D613" s="26" t="str">
        <f t="array" ref="D613">IF($B613="","",INDEX('Gap reference'!$D$2:$D$60,MATCH($B613,'Gap reference'!$A$2:$A$60,0)))</f>
        <v/>
      </c>
      <c r="E613" s="26" t="str">
        <f t="array" ref="E613">IF($B613="","",INDEX('Gap reference'!$G$2:$G$60,MATCH($B613,'Gap reference'!$A$2:$A$60,0)))</f>
        <v/>
      </c>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26" t="str">
        <f t="array" ref="C614">IF($B614="","",INDEX('Gap reference'!$C$2:$C$60,MATCH($B614,'Gap reference'!$A$2:$A$60,0)))</f>
        <v/>
      </c>
      <c r="D614" s="26" t="str">
        <f t="array" ref="D614">IF($B614="","",INDEX('Gap reference'!$D$2:$D$60,MATCH($B614,'Gap reference'!$A$2:$A$60,0)))</f>
        <v/>
      </c>
      <c r="E614" s="26" t="str">
        <f t="array" ref="E614">IF($B614="","",INDEX('Gap reference'!$G$2:$G$60,MATCH($B614,'Gap reference'!$A$2:$A$60,0)))</f>
        <v/>
      </c>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26" t="str">
        <f t="array" ref="C615">IF($B615="","",INDEX('Gap reference'!$C$2:$C$60,MATCH($B615,'Gap reference'!$A$2:$A$60,0)))</f>
        <v/>
      </c>
      <c r="D615" s="26" t="str">
        <f t="array" ref="D615">IF($B615="","",INDEX('Gap reference'!$D$2:$D$60,MATCH($B615,'Gap reference'!$A$2:$A$60,0)))</f>
        <v/>
      </c>
      <c r="E615" s="26" t="str">
        <f t="array" ref="E615">IF($B615="","",INDEX('Gap reference'!$G$2:$G$60,MATCH($B615,'Gap reference'!$A$2:$A$60,0)))</f>
        <v/>
      </c>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26" t="str">
        <f t="array" ref="C616">IF($B616="","",INDEX('Gap reference'!$C$2:$C$60,MATCH($B616,'Gap reference'!$A$2:$A$60,0)))</f>
        <v/>
      </c>
      <c r="D616" s="26" t="str">
        <f t="array" ref="D616">IF($B616="","",INDEX('Gap reference'!$D$2:$D$60,MATCH($B616,'Gap reference'!$A$2:$A$60,0)))</f>
        <v/>
      </c>
      <c r="E616" s="26" t="str">
        <f t="array" ref="E616">IF($B616="","",INDEX('Gap reference'!$G$2:$G$60,MATCH($B616,'Gap reference'!$A$2:$A$60,0)))</f>
        <v/>
      </c>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26" t="str">
        <f t="array" ref="C617">IF($B617="","",INDEX('Gap reference'!$C$2:$C$60,MATCH($B617,'Gap reference'!$A$2:$A$60,0)))</f>
        <v/>
      </c>
      <c r="D617" s="26" t="str">
        <f t="array" ref="D617">IF($B617="","",INDEX('Gap reference'!$D$2:$D$60,MATCH($B617,'Gap reference'!$A$2:$A$60,0)))</f>
        <v/>
      </c>
      <c r="E617" s="26" t="str">
        <f t="array" ref="E617">IF($B617="","",INDEX('Gap reference'!$G$2:$G$60,MATCH($B617,'Gap reference'!$A$2:$A$60,0)))</f>
        <v/>
      </c>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26" t="str">
        <f t="array" ref="C618">IF($B618="","",INDEX('Gap reference'!$C$2:$C$60,MATCH($B618,'Gap reference'!$A$2:$A$60,0)))</f>
        <v/>
      </c>
      <c r="D618" s="26" t="str">
        <f t="array" ref="D618">IF($B618="","",INDEX('Gap reference'!$D$2:$D$60,MATCH($B618,'Gap reference'!$A$2:$A$60,0)))</f>
        <v/>
      </c>
      <c r="E618" s="26" t="str">
        <f t="array" ref="E618">IF($B618="","",INDEX('Gap reference'!$G$2:$G$60,MATCH($B618,'Gap reference'!$A$2:$A$60,0)))</f>
        <v/>
      </c>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26" t="str">
        <f t="array" ref="C619">IF($B619="","",INDEX('Gap reference'!$C$2:$C$60,MATCH($B619,'Gap reference'!$A$2:$A$60,0)))</f>
        <v/>
      </c>
      <c r="D619" s="26" t="str">
        <f t="array" ref="D619">IF($B619="","",INDEX('Gap reference'!$D$2:$D$60,MATCH($B619,'Gap reference'!$A$2:$A$60,0)))</f>
        <v/>
      </c>
      <c r="E619" s="26" t="str">
        <f t="array" ref="E619">IF($B619="","",INDEX('Gap reference'!$G$2:$G$60,MATCH($B619,'Gap reference'!$A$2:$A$60,0)))</f>
        <v/>
      </c>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26" t="str">
        <f t="array" ref="C620">IF($B620="","",INDEX('Gap reference'!$C$2:$C$60,MATCH($B620,'Gap reference'!$A$2:$A$60,0)))</f>
        <v/>
      </c>
      <c r="D620" s="26" t="str">
        <f t="array" ref="D620">IF($B620="","",INDEX('Gap reference'!$D$2:$D$60,MATCH($B620,'Gap reference'!$A$2:$A$60,0)))</f>
        <v/>
      </c>
      <c r="E620" s="26" t="str">
        <f t="array" ref="E620">IF($B620="","",INDEX('Gap reference'!$G$2:$G$60,MATCH($B620,'Gap reference'!$A$2:$A$60,0)))</f>
        <v/>
      </c>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26" t="str">
        <f t="array" ref="C621">IF($B621="","",INDEX('Gap reference'!$C$2:$C$60,MATCH($B621,'Gap reference'!$A$2:$A$60,0)))</f>
        <v/>
      </c>
      <c r="D621" s="26" t="str">
        <f t="array" ref="D621">IF($B621="","",INDEX('Gap reference'!$D$2:$D$60,MATCH($B621,'Gap reference'!$A$2:$A$60,0)))</f>
        <v/>
      </c>
      <c r="E621" s="26" t="str">
        <f t="array" ref="E621">IF($B621="","",INDEX('Gap reference'!$G$2:$G$60,MATCH($B621,'Gap reference'!$A$2:$A$60,0)))</f>
        <v/>
      </c>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26" t="str">
        <f t="array" ref="C622">IF($B622="","",INDEX('Gap reference'!$C$2:$C$60,MATCH($B622,'Gap reference'!$A$2:$A$60,0)))</f>
        <v/>
      </c>
      <c r="D622" s="26" t="str">
        <f t="array" ref="D622">IF($B622="","",INDEX('Gap reference'!$D$2:$D$60,MATCH($B622,'Gap reference'!$A$2:$A$60,0)))</f>
        <v/>
      </c>
      <c r="E622" s="26" t="str">
        <f t="array" ref="E622">IF($B622="","",INDEX('Gap reference'!$G$2:$G$60,MATCH($B622,'Gap reference'!$A$2:$A$60,0)))</f>
        <v/>
      </c>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26" t="str">
        <f t="array" ref="C623">IF($B623="","",INDEX('Gap reference'!$C$2:$C$60,MATCH($B623,'Gap reference'!$A$2:$A$60,0)))</f>
        <v/>
      </c>
      <c r="D623" s="26" t="str">
        <f t="array" ref="D623">IF($B623="","",INDEX('Gap reference'!$D$2:$D$60,MATCH($B623,'Gap reference'!$A$2:$A$60,0)))</f>
        <v/>
      </c>
      <c r="E623" s="26" t="str">
        <f t="array" ref="E623">IF($B623="","",INDEX('Gap reference'!$G$2:$G$60,MATCH($B623,'Gap reference'!$A$2:$A$60,0)))</f>
        <v/>
      </c>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26" t="str">
        <f t="array" ref="C624">IF($B624="","",INDEX('Gap reference'!$C$2:$C$60,MATCH($B624,'Gap reference'!$A$2:$A$60,0)))</f>
        <v/>
      </c>
      <c r="D624" s="26" t="str">
        <f t="array" ref="D624">IF($B624="","",INDEX('Gap reference'!$D$2:$D$60,MATCH($B624,'Gap reference'!$A$2:$A$60,0)))</f>
        <v/>
      </c>
      <c r="E624" s="26" t="str">
        <f t="array" ref="E624">IF($B624="","",INDEX('Gap reference'!$G$2:$G$60,MATCH($B624,'Gap reference'!$A$2:$A$60,0)))</f>
        <v/>
      </c>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26" t="str">
        <f t="array" ref="C625">IF($B625="","",INDEX('Gap reference'!$C$2:$C$60,MATCH($B625,'Gap reference'!$A$2:$A$60,0)))</f>
        <v/>
      </c>
      <c r="D625" s="26" t="str">
        <f t="array" ref="D625">IF($B625="","",INDEX('Gap reference'!$D$2:$D$60,MATCH($B625,'Gap reference'!$A$2:$A$60,0)))</f>
        <v/>
      </c>
      <c r="E625" s="26" t="str">
        <f t="array" ref="E625">IF($B625="","",INDEX('Gap reference'!$G$2:$G$60,MATCH($B625,'Gap reference'!$A$2:$A$60,0)))</f>
        <v/>
      </c>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26" t="str">
        <f t="array" ref="C626">IF($B626="","",INDEX('Gap reference'!$C$2:$C$60,MATCH($B626,'Gap reference'!$A$2:$A$60,0)))</f>
        <v/>
      </c>
      <c r="D626" s="26" t="str">
        <f t="array" ref="D626">IF($B626="","",INDEX('Gap reference'!$D$2:$D$60,MATCH($B626,'Gap reference'!$A$2:$A$60,0)))</f>
        <v/>
      </c>
      <c r="E626" s="26" t="str">
        <f t="array" ref="E626">IF($B626="","",INDEX('Gap reference'!$G$2:$G$60,MATCH($B626,'Gap reference'!$A$2:$A$60,0)))</f>
        <v/>
      </c>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26" t="str">
        <f t="array" ref="C627">IF($B627="","",INDEX('Gap reference'!$C$2:$C$60,MATCH($B627,'Gap reference'!$A$2:$A$60,0)))</f>
        <v/>
      </c>
      <c r="D627" s="26" t="str">
        <f t="array" ref="D627">IF($B627="","",INDEX('Gap reference'!$D$2:$D$60,MATCH($B627,'Gap reference'!$A$2:$A$60,0)))</f>
        <v/>
      </c>
      <c r="E627" s="26" t="str">
        <f t="array" ref="E627">IF($B627="","",INDEX('Gap reference'!$G$2:$G$60,MATCH($B627,'Gap reference'!$A$2:$A$60,0)))</f>
        <v/>
      </c>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26" t="str">
        <f t="array" ref="C628">IF($B628="","",INDEX('Gap reference'!$C$2:$C$60,MATCH($B628,'Gap reference'!$A$2:$A$60,0)))</f>
        <v/>
      </c>
      <c r="D628" s="26" t="str">
        <f t="array" ref="D628">IF($B628="","",INDEX('Gap reference'!$D$2:$D$60,MATCH($B628,'Gap reference'!$A$2:$A$60,0)))</f>
        <v/>
      </c>
      <c r="E628" s="26" t="str">
        <f t="array" ref="E628">IF($B628="","",INDEX('Gap reference'!$G$2:$G$60,MATCH($B628,'Gap reference'!$A$2:$A$60,0)))</f>
        <v/>
      </c>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26" t="str">
        <f t="array" ref="C629">IF($B629="","",INDEX('Gap reference'!$C$2:$C$60,MATCH($B629,'Gap reference'!$A$2:$A$60,0)))</f>
        <v/>
      </c>
      <c r="D629" s="26" t="str">
        <f t="array" ref="D629">IF($B629="","",INDEX('Gap reference'!$D$2:$D$60,MATCH($B629,'Gap reference'!$A$2:$A$60,0)))</f>
        <v/>
      </c>
      <c r="E629" s="26" t="str">
        <f t="array" ref="E629">IF($B629="","",INDEX('Gap reference'!$G$2:$G$60,MATCH($B629,'Gap reference'!$A$2:$A$60,0)))</f>
        <v/>
      </c>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26" t="str">
        <f t="array" ref="C630">IF($B630="","",INDEX('Gap reference'!$C$2:$C$60,MATCH($B630,'Gap reference'!$A$2:$A$60,0)))</f>
        <v/>
      </c>
      <c r="D630" s="26" t="str">
        <f t="array" ref="D630">IF($B630="","",INDEX('Gap reference'!$D$2:$D$60,MATCH($B630,'Gap reference'!$A$2:$A$60,0)))</f>
        <v/>
      </c>
      <c r="E630" s="26" t="str">
        <f t="array" ref="E630">IF($B630="","",INDEX('Gap reference'!$G$2:$G$60,MATCH($B630,'Gap reference'!$A$2:$A$60,0)))</f>
        <v/>
      </c>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26" t="str">
        <f t="array" ref="C631">IF($B631="","",INDEX('Gap reference'!$C$2:$C$60,MATCH($B631,'Gap reference'!$A$2:$A$60,0)))</f>
        <v/>
      </c>
      <c r="D631" s="26" t="str">
        <f t="array" ref="D631">IF($B631="","",INDEX('Gap reference'!$D$2:$D$60,MATCH($B631,'Gap reference'!$A$2:$A$60,0)))</f>
        <v/>
      </c>
      <c r="E631" s="26" t="str">
        <f t="array" ref="E631">IF($B631="","",INDEX('Gap reference'!$G$2:$G$60,MATCH($B631,'Gap reference'!$A$2:$A$60,0)))</f>
        <v/>
      </c>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26" t="str">
        <f t="array" ref="C632">IF($B632="","",INDEX('Gap reference'!$C$2:$C$60,MATCH($B632,'Gap reference'!$A$2:$A$60,0)))</f>
        <v/>
      </c>
      <c r="D632" s="26" t="str">
        <f t="array" ref="D632">IF($B632="","",INDEX('Gap reference'!$D$2:$D$60,MATCH($B632,'Gap reference'!$A$2:$A$60,0)))</f>
        <v/>
      </c>
      <c r="E632" s="26" t="str">
        <f t="array" ref="E632">IF($B632="","",INDEX('Gap reference'!$G$2:$G$60,MATCH($B632,'Gap reference'!$A$2:$A$60,0)))</f>
        <v/>
      </c>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26" t="str">
        <f t="array" ref="C633">IF($B633="","",INDEX('Gap reference'!$C$2:$C$60,MATCH($B633,'Gap reference'!$A$2:$A$60,0)))</f>
        <v/>
      </c>
      <c r="D633" s="26" t="str">
        <f t="array" ref="D633">IF($B633="","",INDEX('Gap reference'!$D$2:$D$60,MATCH($B633,'Gap reference'!$A$2:$A$60,0)))</f>
        <v/>
      </c>
      <c r="E633" s="26" t="str">
        <f t="array" ref="E633">IF($B633="","",INDEX('Gap reference'!$G$2:$G$60,MATCH($B633,'Gap reference'!$A$2:$A$60,0)))</f>
        <v/>
      </c>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26" t="str">
        <f t="array" ref="C634">IF($B634="","",INDEX('Gap reference'!$C$2:$C$60,MATCH($B634,'Gap reference'!$A$2:$A$60,0)))</f>
        <v/>
      </c>
      <c r="D634" s="26" t="str">
        <f t="array" ref="D634">IF($B634="","",INDEX('Gap reference'!$D$2:$D$60,MATCH($B634,'Gap reference'!$A$2:$A$60,0)))</f>
        <v/>
      </c>
      <c r="E634" s="26" t="str">
        <f t="array" ref="E634">IF($B634="","",INDEX('Gap reference'!$G$2:$G$60,MATCH($B634,'Gap reference'!$A$2:$A$60,0)))</f>
        <v/>
      </c>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26" t="str">
        <f t="array" ref="C635">IF($B635="","",INDEX('Gap reference'!$C$2:$C$60,MATCH($B635,'Gap reference'!$A$2:$A$60,0)))</f>
        <v/>
      </c>
      <c r="D635" s="26" t="str">
        <f t="array" ref="D635">IF($B635="","",INDEX('Gap reference'!$D$2:$D$60,MATCH($B635,'Gap reference'!$A$2:$A$60,0)))</f>
        <v/>
      </c>
      <c r="E635" s="26" t="str">
        <f t="array" ref="E635">IF($B635="","",INDEX('Gap reference'!$G$2:$G$60,MATCH($B635,'Gap reference'!$A$2:$A$60,0)))</f>
        <v/>
      </c>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26" t="str">
        <f t="array" ref="C636">IF($B636="","",INDEX('Gap reference'!$C$2:$C$60,MATCH($B636,'Gap reference'!$A$2:$A$60,0)))</f>
        <v/>
      </c>
      <c r="D636" s="26" t="str">
        <f t="array" ref="D636">IF($B636="","",INDEX('Gap reference'!$D$2:$D$60,MATCH($B636,'Gap reference'!$A$2:$A$60,0)))</f>
        <v/>
      </c>
      <c r="E636" s="26" t="str">
        <f t="array" ref="E636">IF($B636="","",INDEX('Gap reference'!$G$2:$G$60,MATCH($B636,'Gap reference'!$A$2:$A$60,0)))</f>
        <v/>
      </c>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26" t="str">
        <f t="array" ref="C637">IF($B637="","",INDEX('Gap reference'!$C$2:$C$60,MATCH($B637,'Gap reference'!$A$2:$A$60,0)))</f>
        <v/>
      </c>
      <c r="D637" s="26" t="str">
        <f t="array" ref="D637">IF($B637="","",INDEX('Gap reference'!$D$2:$D$60,MATCH($B637,'Gap reference'!$A$2:$A$60,0)))</f>
        <v/>
      </c>
      <c r="E637" s="26" t="str">
        <f t="array" ref="E637">IF($B637="","",INDEX('Gap reference'!$G$2:$G$60,MATCH($B637,'Gap reference'!$A$2:$A$60,0)))</f>
        <v/>
      </c>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26" t="str">
        <f t="array" ref="C638">IF($B638="","",INDEX('Gap reference'!$C$2:$C$60,MATCH($B638,'Gap reference'!$A$2:$A$60,0)))</f>
        <v/>
      </c>
      <c r="D638" s="26" t="str">
        <f t="array" ref="D638">IF($B638="","",INDEX('Gap reference'!$D$2:$D$60,MATCH($B638,'Gap reference'!$A$2:$A$60,0)))</f>
        <v/>
      </c>
      <c r="E638" s="26" t="str">
        <f t="array" ref="E638">IF($B638="","",INDEX('Gap reference'!$G$2:$G$60,MATCH($B638,'Gap reference'!$A$2:$A$60,0)))</f>
        <v/>
      </c>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26" t="str">
        <f t="array" ref="C639">IF($B639="","",INDEX('Gap reference'!$C$2:$C$60,MATCH($B639,'Gap reference'!$A$2:$A$60,0)))</f>
        <v/>
      </c>
      <c r="D639" s="26" t="str">
        <f t="array" ref="D639">IF($B639="","",INDEX('Gap reference'!$D$2:$D$60,MATCH($B639,'Gap reference'!$A$2:$A$60,0)))</f>
        <v/>
      </c>
      <c r="E639" s="26" t="str">
        <f t="array" ref="E639">IF($B639="","",INDEX('Gap reference'!$G$2:$G$60,MATCH($B639,'Gap reference'!$A$2:$A$60,0)))</f>
        <v/>
      </c>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26" t="str">
        <f t="array" ref="C640">IF($B640="","",INDEX('Gap reference'!$C$2:$C$60,MATCH($B640,'Gap reference'!$A$2:$A$60,0)))</f>
        <v/>
      </c>
      <c r="D640" s="26" t="str">
        <f t="array" ref="D640">IF($B640="","",INDEX('Gap reference'!$D$2:$D$60,MATCH($B640,'Gap reference'!$A$2:$A$60,0)))</f>
        <v/>
      </c>
      <c r="E640" s="26" t="str">
        <f t="array" ref="E640">IF($B640="","",INDEX('Gap reference'!$G$2:$G$60,MATCH($B640,'Gap reference'!$A$2:$A$60,0)))</f>
        <v/>
      </c>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26" t="str">
        <f t="array" ref="C641">IF($B641="","",INDEX('Gap reference'!$C$2:$C$60,MATCH($B641,'Gap reference'!$A$2:$A$60,0)))</f>
        <v/>
      </c>
      <c r="D641" s="26" t="str">
        <f t="array" ref="D641">IF($B641="","",INDEX('Gap reference'!$D$2:$D$60,MATCH($B641,'Gap reference'!$A$2:$A$60,0)))</f>
        <v/>
      </c>
      <c r="E641" s="26" t="str">
        <f t="array" ref="E641">IF($B641="","",INDEX('Gap reference'!$G$2:$G$60,MATCH($B641,'Gap reference'!$A$2:$A$60,0)))</f>
        <v/>
      </c>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26" t="str">
        <f t="array" ref="C642">IF($B642="","",INDEX('Gap reference'!$C$2:$C$60,MATCH($B642,'Gap reference'!$A$2:$A$60,0)))</f>
        <v/>
      </c>
      <c r="D642" s="26" t="str">
        <f t="array" ref="D642">IF($B642="","",INDEX('Gap reference'!$D$2:$D$60,MATCH($B642,'Gap reference'!$A$2:$A$60,0)))</f>
        <v/>
      </c>
      <c r="E642" s="26" t="str">
        <f t="array" ref="E642">IF($B642="","",INDEX('Gap reference'!$G$2:$G$60,MATCH($B642,'Gap reference'!$A$2:$A$60,0)))</f>
        <v/>
      </c>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26" t="str">
        <f t="array" ref="C643">IF($B643="","",INDEX('Gap reference'!$C$2:$C$60,MATCH($B643,'Gap reference'!$A$2:$A$60,0)))</f>
        <v/>
      </c>
      <c r="D643" s="26" t="str">
        <f t="array" ref="D643">IF($B643="","",INDEX('Gap reference'!$D$2:$D$60,MATCH($B643,'Gap reference'!$A$2:$A$60,0)))</f>
        <v/>
      </c>
      <c r="E643" s="26" t="str">
        <f t="array" ref="E643">IF($B643="","",INDEX('Gap reference'!$G$2:$G$60,MATCH($B643,'Gap reference'!$A$2:$A$60,0)))</f>
        <v/>
      </c>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26" t="str">
        <f t="array" ref="C644">IF($B644="","",INDEX('Gap reference'!$C$2:$C$60,MATCH($B644,'Gap reference'!$A$2:$A$60,0)))</f>
        <v/>
      </c>
      <c r="D644" s="26" t="str">
        <f t="array" ref="D644">IF($B644="","",INDEX('Gap reference'!$D$2:$D$60,MATCH($B644,'Gap reference'!$A$2:$A$60,0)))</f>
        <v/>
      </c>
      <c r="E644" s="26" t="str">
        <f t="array" ref="E644">IF($B644="","",INDEX('Gap reference'!$G$2:$G$60,MATCH($B644,'Gap reference'!$A$2:$A$60,0)))</f>
        <v/>
      </c>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26" t="str">
        <f t="array" ref="C645">IF($B645="","",INDEX('Gap reference'!$C$2:$C$60,MATCH($B645,'Gap reference'!$A$2:$A$60,0)))</f>
        <v/>
      </c>
      <c r="D645" s="26" t="str">
        <f t="array" ref="D645">IF($B645="","",INDEX('Gap reference'!$D$2:$D$60,MATCH($B645,'Gap reference'!$A$2:$A$60,0)))</f>
        <v/>
      </c>
      <c r="E645" s="26" t="str">
        <f t="array" ref="E645">IF($B645="","",INDEX('Gap reference'!$G$2:$G$60,MATCH($B645,'Gap reference'!$A$2:$A$60,0)))</f>
        <v/>
      </c>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26" t="str">
        <f t="array" ref="C646">IF($B646="","",INDEX('Gap reference'!$C$2:$C$60,MATCH($B646,'Gap reference'!$A$2:$A$60,0)))</f>
        <v/>
      </c>
      <c r="D646" s="26" t="str">
        <f t="array" ref="D646">IF($B646="","",INDEX('Gap reference'!$D$2:$D$60,MATCH($B646,'Gap reference'!$A$2:$A$60,0)))</f>
        <v/>
      </c>
      <c r="E646" s="26" t="str">
        <f t="array" ref="E646">IF($B646="","",INDEX('Gap reference'!$G$2:$G$60,MATCH($B646,'Gap reference'!$A$2:$A$60,0)))</f>
        <v/>
      </c>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26" t="str">
        <f t="array" ref="C647">IF($B647="","",INDEX('Gap reference'!$C$2:$C$60,MATCH($B647,'Gap reference'!$A$2:$A$60,0)))</f>
        <v/>
      </c>
      <c r="D647" s="26" t="str">
        <f t="array" ref="D647">IF($B647="","",INDEX('Gap reference'!$D$2:$D$60,MATCH($B647,'Gap reference'!$A$2:$A$60,0)))</f>
        <v/>
      </c>
      <c r="E647" s="26" t="str">
        <f t="array" ref="E647">IF($B647="","",INDEX('Gap reference'!$G$2:$G$60,MATCH($B647,'Gap reference'!$A$2:$A$60,0)))</f>
        <v/>
      </c>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26" t="str">
        <f t="array" ref="C648">IF($B648="","",INDEX('Gap reference'!$C$2:$C$60,MATCH($B648,'Gap reference'!$A$2:$A$60,0)))</f>
        <v/>
      </c>
      <c r="D648" s="26" t="str">
        <f t="array" ref="D648">IF($B648="","",INDEX('Gap reference'!$D$2:$D$60,MATCH($B648,'Gap reference'!$A$2:$A$60,0)))</f>
        <v/>
      </c>
      <c r="E648" s="26" t="str">
        <f t="array" ref="E648">IF($B648="","",INDEX('Gap reference'!$G$2:$G$60,MATCH($B648,'Gap reference'!$A$2:$A$60,0)))</f>
        <v/>
      </c>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26" t="str">
        <f t="array" ref="C649">IF($B649="","",INDEX('Gap reference'!$C$2:$C$60,MATCH($B649,'Gap reference'!$A$2:$A$60,0)))</f>
        <v/>
      </c>
      <c r="D649" s="26" t="str">
        <f t="array" ref="D649">IF($B649="","",INDEX('Gap reference'!$D$2:$D$60,MATCH($B649,'Gap reference'!$A$2:$A$60,0)))</f>
        <v/>
      </c>
      <c r="E649" s="26" t="str">
        <f t="array" ref="E649">IF($B649="","",INDEX('Gap reference'!$G$2:$G$60,MATCH($B649,'Gap reference'!$A$2:$A$60,0)))</f>
        <v/>
      </c>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26" t="str">
        <f t="array" ref="C650">IF($B650="","",INDEX('Gap reference'!$C$2:$C$60,MATCH($B650,'Gap reference'!$A$2:$A$60,0)))</f>
        <v/>
      </c>
      <c r="D650" s="26" t="str">
        <f t="array" ref="D650">IF($B650="","",INDEX('Gap reference'!$D$2:$D$60,MATCH($B650,'Gap reference'!$A$2:$A$60,0)))</f>
        <v/>
      </c>
      <c r="E650" s="26" t="str">
        <f t="array" ref="E650">IF($B650="","",INDEX('Gap reference'!$G$2:$G$60,MATCH($B650,'Gap reference'!$A$2:$A$60,0)))</f>
        <v/>
      </c>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26" t="str">
        <f t="array" ref="C651">IF($B651="","",INDEX('Gap reference'!$C$2:$C$60,MATCH($B651,'Gap reference'!$A$2:$A$60,0)))</f>
        <v/>
      </c>
      <c r="D651" s="26" t="str">
        <f t="array" ref="D651">IF($B651="","",INDEX('Gap reference'!$D$2:$D$60,MATCH($B651,'Gap reference'!$A$2:$A$60,0)))</f>
        <v/>
      </c>
      <c r="E651" s="26" t="str">
        <f t="array" ref="E651">IF($B651="","",INDEX('Gap reference'!$G$2:$G$60,MATCH($B651,'Gap reference'!$A$2:$A$60,0)))</f>
        <v/>
      </c>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26" t="str">
        <f t="array" ref="C652">IF($B652="","",INDEX('Gap reference'!$C$2:$C$60,MATCH($B652,'Gap reference'!$A$2:$A$60,0)))</f>
        <v/>
      </c>
      <c r="D652" s="26" t="str">
        <f t="array" ref="D652">IF($B652="","",INDEX('Gap reference'!$D$2:$D$60,MATCH($B652,'Gap reference'!$A$2:$A$60,0)))</f>
        <v/>
      </c>
      <c r="E652" s="26" t="str">
        <f t="array" ref="E652">IF($B652="","",INDEX('Gap reference'!$G$2:$G$60,MATCH($B652,'Gap reference'!$A$2:$A$60,0)))</f>
        <v/>
      </c>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26" t="str">
        <f t="array" ref="C653">IF($B653="","",INDEX('Gap reference'!$C$2:$C$60,MATCH($B653,'Gap reference'!$A$2:$A$60,0)))</f>
        <v/>
      </c>
      <c r="D653" s="26" t="str">
        <f t="array" ref="D653">IF($B653="","",INDEX('Gap reference'!$D$2:$D$60,MATCH($B653,'Gap reference'!$A$2:$A$60,0)))</f>
        <v/>
      </c>
      <c r="E653" s="26" t="str">
        <f t="array" ref="E653">IF($B653="","",INDEX('Gap reference'!$G$2:$G$60,MATCH($B653,'Gap reference'!$A$2:$A$60,0)))</f>
        <v/>
      </c>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26" t="str">
        <f t="array" ref="C654">IF($B654="","",INDEX('Gap reference'!$C$2:$C$60,MATCH($B654,'Gap reference'!$A$2:$A$60,0)))</f>
        <v/>
      </c>
      <c r="D654" s="26" t="str">
        <f t="array" ref="D654">IF($B654="","",INDEX('Gap reference'!$D$2:$D$60,MATCH($B654,'Gap reference'!$A$2:$A$60,0)))</f>
        <v/>
      </c>
      <c r="E654" s="26" t="str">
        <f t="array" ref="E654">IF($B654="","",INDEX('Gap reference'!$G$2:$G$60,MATCH($B654,'Gap reference'!$A$2:$A$60,0)))</f>
        <v/>
      </c>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26" t="str">
        <f t="array" ref="C655">IF($B655="","",INDEX('Gap reference'!$C$2:$C$60,MATCH($B655,'Gap reference'!$A$2:$A$60,0)))</f>
        <v/>
      </c>
      <c r="D655" s="26" t="str">
        <f t="array" ref="D655">IF($B655="","",INDEX('Gap reference'!$D$2:$D$60,MATCH($B655,'Gap reference'!$A$2:$A$60,0)))</f>
        <v/>
      </c>
      <c r="E655" s="26" t="str">
        <f t="array" ref="E655">IF($B655="","",INDEX('Gap reference'!$G$2:$G$60,MATCH($B655,'Gap reference'!$A$2:$A$60,0)))</f>
        <v/>
      </c>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26" t="str">
        <f t="array" ref="C656">IF($B656="","",INDEX('Gap reference'!$C$2:$C$60,MATCH($B656,'Gap reference'!$A$2:$A$60,0)))</f>
        <v/>
      </c>
      <c r="D656" s="26" t="str">
        <f t="array" ref="D656">IF($B656="","",INDEX('Gap reference'!$D$2:$D$60,MATCH($B656,'Gap reference'!$A$2:$A$60,0)))</f>
        <v/>
      </c>
      <c r="E656" s="26" t="str">
        <f t="array" ref="E656">IF($B656="","",INDEX('Gap reference'!$G$2:$G$60,MATCH($B656,'Gap reference'!$A$2:$A$60,0)))</f>
        <v/>
      </c>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26" t="str">
        <f t="array" ref="C657">IF($B657="","",INDEX('Gap reference'!$C$2:$C$60,MATCH($B657,'Gap reference'!$A$2:$A$60,0)))</f>
        <v/>
      </c>
      <c r="D657" s="26" t="str">
        <f t="array" ref="D657">IF($B657="","",INDEX('Gap reference'!$D$2:$D$60,MATCH($B657,'Gap reference'!$A$2:$A$60,0)))</f>
        <v/>
      </c>
      <c r="E657" s="26" t="str">
        <f t="array" ref="E657">IF($B657="","",INDEX('Gap reference'!$G$2:$G$60,MATCH($B657,'Gap reference'!$A$2:$A$60,0)))</f>
        <v/>
      </c>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26" t="str">
        <f t="array" ref="C658">IF($B658="","",INDEX('Gap reference'!$C$2:$C$60,MATCH($B658,'Gap reference'!$A$2:$A$60,0)))</f>
        <v/>
      </c>
      <c r="D658" s="26" t="str">
        <f t="array" ref="D658">IF($B658="","",INDEX('Gap reference'!$D$2:$D$60,MATCH($B658,'Gap reference'!$A$2:$A$60,0)))</f>
        <v/>
      </c>
      <c r="E658" s="26" t="str">
        <f t="array" ref="E658">IF($B658="","",INDEX('Gap reference'!$G$2:$G$60,MATCH($B658,'Gap reference'!$A$2:$A$60,0)))</f>
        <v/>
      </c>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26" t="str">
        <f t="array" ref="C659">IF($B659="","",INDEX('Gap reference'!$C$2:$C$60,MATCH($B659,'Gap reference'!$A$2:$A$60,0)))</f>
        <v/>
      </c>
      <c r="D659" s="26" t="str">
        <f t="array" ref="D659">IF($B659="","",INDEX('Gap reference'!$D$2:$D$60,MATCH($B659,'Gap reference'!$A$2:$A$60,0)))</f>
        <v/>
      </c>
      <c r="E659" s="26" t="str">
        <f t="array" ref="E659">IF($B659="","",INDEX('Gap reference'!$G$2:$G$60,MATCH($B659,'Gap reference'!$A$2:$A$60,0)))</f>
        <v/>
      </c>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26" t="str">
        <f t="array" ref="C660">IF($B660="","",INDEX('Gap reference'!$C$2:$C$60,MATCH($B660,'Gap reference'!$A$2:$A$60,0)))</f>
        <v/>
      </c>
      <c r="D660" s="26" t="str">
        <f t="array" ref="D660">IF($B660="","",INDEX('Gap reference'!$D$2:$D$60,MATCH($B660,'Gap reference'!$A$2:$A$60,0)))</f>
        <v/>
      </c>
      <c r="E660" s="26" t="str">
        <f t="array" ref="E660">IF($B660="","",INDEX('Gap reference'!$G$2:$G$60,MATCH($B660,'Gap reference'!$A$2:$A$60,0)))</f>
        <v/>
      </c>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26" t="str">
        <f t="array" ref="C661">IF($B661="","",INDEX('Gap reference'!$C$2:$C$60,MATCH($B661,'Gap reference'!$A$2:$A$60,0)))</f>
        <v/>
      </c>
      <c r="D661" s="26" t="str">
        <f t="array" ref="D661">IF($B661="","",INDEX('Gap reference'!$D$2:$D$60,MATCH($B661,'Gap reference'!$A$2:$A$60,0)))</f>
        <v/>
      </c>
      <c r="E661" s="26" t="str">
        <f t="array" ref="E661">IF($B661="","",INDEX('Gap reference'!$G$2:$G$60,MATCH($B661,'Gap reference'!$A$2:$A$60,0)))</f>
        <v/>
      </c>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26" t="str">
        <f t="array" ref="C662">IF($B662="","",INDEX('Gap reference'!$C$2:$C$60,MATCH($B662,'Gap reference'!$A$2:$A$60,0)))</f>
        <v/>
      </c>
      <c r="D662" s="26" t="str">
        <f t="array" ref="D662">IF($B662="","",INDEX('Gap reference'!$D$2:$D$60,MATCH($B662,'Gap reference'!$A$2:$A$60,0)))</f>
        <v/>
      </c>
      <c r="E662" s="26" t="str">
        <f t="array" ref="E662">IF($B662="","",INDEX('Gap reference'!$G$2:$G$60,MATCH($B662,'Gap reference'!$A$2:$A$60,0)))</f>
        <v/>
      </c>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26" t="str">
        <f t="array" ref="C663">IF($B663="","",INDEX('Gap reference'!$C$2:$C$60,MATCH($B663,'Gap reference'!$A$2:$A$60,0)))</f>
        <v/>
      </c>
      <c r="D663" s="26" t="str">
        <f t="array" ref="D663">IF($B663="","",INDEX('Gap reference'!$D$2:$D$60,MATCH($B663,'Gap reference'!$A$2:$A$60,0)))</f>
        <v/>
      </c>
      <c r="E663" s="26" t="str">
        <f t="array" ref="E663">IF($B663="","",INDEX('Gap reference'!$G$2:$G$60,MATCH($B663,'Gap reference'!$A$2:$A$60,0)))</f>
        <v/>
      </c>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26" t="str">
        <f t="array" ref="C664">IF($B664="","",INDEX('Gap reference'!$C$2:$C$60,MATCH($B664,'Gap reference'!$A$2:$A$60,0)))</f>
        <v/>
      </c>
      <c r="D664" s="26" t="str">
        <f t="array" ref="D664">IF($B664="","",INDEX('Gap reference'!$D$2:$D$60,MATCH($B664,'Gap reference'!$A$2:$A$60,0)))</f>
        <v/>
      </c>
      <c r="E664" s="26" t="str">
        <f t="array" ref="E664">IF($B664="","",INDEX('Gap reference'!$G$2:$G$60,MATCH($B664,'Gap reference'!$A$2:$A$60,0)))</f>
        <v/>
      </c>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26" t="str">
        <f t="array" ref="C665">IF($B665="","",INDEX('Gap reference'!$C$2:$C$60,MATCH($B665,'Gap reference'!$A$2:$A$60,0)))</f>
        <v/>
      </c>
      <c r="D665" s="26" t="str">
        <f t="array" ref="D665">IF($B665="","",INDEX('Gap reference'!$D$2:$D$60,MATCH($B665,'Gap reference'!$A$2:$A$60,0)))</f>
        <v/>
      </c>
      <c r="E665" s="26" t="str">
        <f t="array" ref="E665">IF($B665="","",INDEX('Gap reference'!$G$2:$G$60,MATCH($B665,'Gap reference'!$A$2:$A$60,0)))</f>
        <v/>
      </c>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26" t="str">
        <f t="array" ref="C666">IF($B666="","",INDEX('Gap reference'!$C$2:$C$60,MATCH($B666,'Gap reference'!$A$2:$A$60,0)))</f>
        <v/>
      </c>
      <c r="D666" s="26" t="str">
        <f t="array" ref="D666">IF($B666="","",INDEX('Gap reference'!$D$2:$D$60,MATCH($B666,'Gap reference'!$A$2:$A$60,0)))</f>
        <v/>
      </c>
      <c r="E666" s="26" t="str">
        <f t="array" ref="E666">IF($B666="","",INDEX('Gap reference'!$G$2:$G$60,MATCH($B666,'Gap reference'!$A$2:$A$60,0)))</f>
        <v/>
      </c>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26" t="str">
        <f t="array" ref="C667">IF($B667="","",INDEX('Gap reference'!$C$2:$C$60,MATCH($B667,'Gap reference'!$A$2:$A$60,0)))</f>
        <v/>
      </c>
      <c r="D667" s="26" t="str">
        <f t="array" ref="D667">IF($B667="","",INDEX('Gap reference'!$D$2:$D$60,MATCH($B667,'Gap reference'!$A$2:$A$60,0)))</f>
        <v/>
      </c>
      <c r="E667" s="26" t="str">
        <f t="array" ref="E667">IF($B667="","",INDEX('Gap reference'!$G$2:$G$60,MATCH($B667,'Gap reference'!$A$2:$A$60,0)))</f>
        <v/>
      </c>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26" t="str">
        <f t="array" ref="C668">IF($B668="","",INDEX('Gap reference'!$C$2:$C$60,MATCH($B668,'Gap reference'!$A$2:$A$60,0)))</f>
        <v/>
      </c>
      <c r="D668" s="26" t="str">
        <f t="array" ref="D668">IF($B668="","",INDEX('Gap reference'!$D$2:$D$60,MATCH($B668,'Gap reference'!$A$2:$A$60,0)))</f>
        <v/>
      </c>
      <c r="E668" s="26" t="str">
        <f t="array" ref="E668">IF($B668="","",INDEX('Gap reference'!$G$2:$G$60,MATCH($B668,'Gap reference'!$A$2:$A$60,0)))</f>
        <v/>
      </c>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26" t="str">
        <f t="array" ref="C669">IF($B669="","",INDEX('Gap reference'!$C$2:$C$60,MATCH($B669,'Gap reference'!$A$2:$A$60,0)))</f>
        <v/>
      </c>
      <c r="D669" s="26" t="str">
        <f t="array" ref="D669">IF($B669="","",INDEX('Gap reference'!$D$2:$D$60,MATCH($B669,'Gap reference'!$A$2:$A$60,0)))</f>
        <v/>
      </c>
      <c r="E669" s="26" t="str">
        <f t="array" ref="E669">IF($B669="","",INDEX('Gap reference'!$G$2:$G$60,MATCH($B669,'Gap reference'!$A$2:$A$60,0)))</f>
        <v/>
      </c>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26" t="str">
        <f t="array" ref="C670">IF($B670="","",INDEX('Gap reference'!$C$2:$C$60,MATCH($B670,'Gap reference'!$A$2:$A$60,0)))</f>
        <v/>
      </c>
      <c r="D670" s="26" t="str">
        <f t="array" ref="D670">IF($B670="","",INDEX('Gap reference'!$D$2:$D$60,MATCH($B670,'Gap reference'!$A$2:$A$60,0)))</f>
        <v/>
      </c>
      <c r="E670" s="26" t="str">
        <f t="array" ref="E670">IF($B670="","",INDEX('Gap reference'!$G$2:$G$60,MATCH($B670,'Gap reference'!$A$2:$A$60,0)))</f>
        <v/>
      </c>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26" t="str">
        <f t="array" ref="C671">IF($B671="","",INDEX('Gap reference'!$C$2:$C$60,MATCH($B671,'Gap reference'!$A$2:$A$60,0)))</f>
        <v/>
      </c>
      <c r="D671" s="26" t="str">
        <f t="array" ref="D671">IF($B671="","",INDEX('Gap reference'!$D$2:$D$60,MATCH($B671,'Gap reference'!$A$2:$A$60,0)))</f>
        <v/>
      </c>
      <c r="E671" s="26" t="str">
        <f t="array" ref="E671">IF($B671="","",INDEX('Gap reference'!$G$2:$G$60,MATCH($B671,'Gap reference'!$A$2:$A$60,0)))</f>
        <v/>
      </c>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26" t="str">
        <f t="array" ref="C672">IF($B672="","",INDEX('Gap reference'!$C$2:$C$60,MATCH($B672,'Gap reference'!$A$2:$A$60,0)))</f>
        <v/>
      </c>
      <c r="D672" s="26" t="str">
        <f t="array" ref="D672">IF($B672="","",INDEX('Gap reference'!$D$2:$D$60,MATCH($B672,'Gap reference'!$A$2:$A$60,0)))</f>
        <v/>
      </c>
      <c r="E672" s="26" t="str">
        <f t="array" ref="E672">IF($B672="","",INDEX('Gap reference'!$G$2:$G$60,MATCH($B672,'Gap reference'!$A$2:$A$60,0)))</f>
        <v/>
      </c>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26" t="str">
        <f t="array" ref="C673">IF($B673="","",INDEX('Gap reference'!$C$2:$C$60,MATCH($B673,'Gap reference'!$A$2:$A$60,0)))</f>
        <v/>
      </c>
      <c r="D673" s="26" t="str">
        <f t="array" ref="D673">IF($B673="","",INDEX('Gap reference'!$D$2:$D$60,MATCH($B673,'Gap reference'!$A$2:$A$60,0)))</f>
        <v/>
      </c>
      <c r="E673" s="26" t="str">
        <f t="array" ref="E673">IF($B673="","",INDEX('Gap reference'!$G$2:$G$60,MATCH($B673,'Gap reference'!$A$2:$A$60,0)))</f>
        <v/>
      </c>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26" t="str">
        <f t="array" ref="C674">IF($B674="","",INDEX('Gap reference'!$C$2:$C$60,MATCH($B674,'Gap reference'!$A$2:$A$60,0)))</f>
        <v/>
      </c>
      <c r="D674" s="26" t="str">
        <f t="array" ref="D674">IF($B674="","",INDEX('Gap reference'!$D$2:$D$60,MATCH($B674,'Gap reference'!$A$2:$A$60,0)))</f>
        <v/>
      </c>
      <c r="E674" s="26" t="str">
        <f t="array" ref="E674">IF($B674="","",INDEX('Gap reference'!$G$2:$G$60,MATCH($B674,'Gap reference'!$A$2:$A$60,0)))</f>
        <v/>
      </c>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26" t="str">
        <f t="array" ref="C675">IF($B675="","",INDEX('Gap reference'!$C$2:$C$60,MATCH($B675,'Gap reference'!$A$2:$A$60,0)))</f>
        <v/>
      </c>
      <c r="D675" s="26" t="str">
        <f t="array" ref="D675">IF($B675="","",INDEX('Gap reference'!$D$2:$D$60,MATCH($B675,'Gap reference'!$A$2:$A$60,0)))</f>
        <v/>
      </c>
      <c r="E675" s="26" t="str">
        <f t="array" ref="E675">IF($B675="","",INDEX('Gap reference'!$G$2:$G$60,MATCH($B675,'Gap reference'!$A$2:$A$60,0)))</f>
        <v/>
      </c>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26" t="str">
        <f t="array" ref="C676">IF($B676="","",INDEX('Gap reference'!$C$2:$C$60,MATCH($B676,'Gap reference'!$A$2:$A$60,0)))</f>
        <v/>
      </c>
      <c r="D676" s="26" t="str">
        <f t="array" ref="D676">IF($B676="","",INDEX('Gap reference'!$D$2:$D$60,MATCH($B676,'Gap reference'!$A$2:$A$60,0)))</f>
        <v/>
      </c>
      <c r="E676" s="26" t="str">
        <f t="array" ref="E676">IF($B676="","",INDEX('Gap reference'!$G$2:$G$60,MATCH($B676,'Gap reference'!$A$2:$A$60,0)))</f>
        <v/>
      </c>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26" t="str">
        <f t="array" ref="C677">IF($B677="","",INDEX('Gap reference'!$C$2:$C$60,MATCH($B677,'Gap reference'!$A$2:$A$60,0)))</f>
        <v/>
      </c>
      <c r="D677" s="26" t="str">
        <f t="array" ref="D677">IF($B677="","",INDEX('Gap reference'!$D$2:$D$60,MATCH($B677,'Gap reference'!$A$2:$A$60,0)))</f>
        <v/>
      </c>
      <c r="E677" s="26" t="str">
        <f t="array" ref="E677">IF($B677="","",INDEX('Gap reference'!$G$2:$G$60,MATCH($B677,'Gap reference'!$A$2:$A$60,0)))</f>
        <v/>
      </c>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26" t="str">
        <f t="array" ref="C678">IF($B678="","",INDEX('Gap reference'!$C$2:$C$60,MATCH($B678,'Gap reference'!$A$2:$A$60,0)))</f>
        <v/>
      </c>
      <c r="D678" s="26" t="str">
        <f t="array" ref="D678">IF($B678="","",INDEX('Gap reference'!$D$2:$D$60,MATCH($B678,'Gap reference'!$A$2:$A$60,0)))</f>
        <v/>
      </c>
      <c r="E678" s="26" t="str">
        <f t="array" ref="E678">IF($B678="","",INDEX('Gap reference'!$G$2:$G$60,MATCH($B678,'Gap reference'!$A$2:$A$60,0)))</f>
        <v/>
      </c>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26" t="str">
        <f t="array" ref="C679">IF($B679="","",INDEX('Gap reference'!$C$2:$C$60,MATCH($B679,'Gap reference'!$A$2:$A$60,0)))</f>
        <v/>
      </c>
      <c r="D679" s="26" t="str">
        <f t="array" ref="D679">IF($B679="","",INDEX('Gap reference'!$D$2:$D$60,MATCH($B679,'Gap reference'!$A$2:$A$60,0)))</f>
        <v/>
      </c>
      <c r="E679" s="26" t="str">
        <f t="array" ref="E679">IF($B679="","",INDEX('Gap reference'!$G$2:$G$60,MATCH($B679,'Gap reference'!$A$2:$A$60,0)))</f>
        <v/>
      </c>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26" t="str">
        <f t="array" ref="C680">IF($B680="","",INDEX('Gap reference'!$C$2:$C$60,MATCH($B680,'Gap reference'!$A$2:$A$60,0)))</f>
        <v/>
      </c>
      <c r="D680" s="26" t="str">
        <f t="array" ref="D680">IF($B680="","",INDEX('Gap reference'!$D$2:$D$60,MATCH($B680,'Gap reference'!$A$2:$A$60,0)))</f>
        <v/>
      </c>
      <c r="E680" s="26" t="str">
        <f t="array" ref="E680">IF($B680="","",INDEX('Gap reference'!$G$2:$G$60,MATCH($B680,'Gap reference'!$A$2:$A$60,0)))</f>
        <v/>
      </c>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26" t="str">
        <f t="array" ref="C681">IF($B681="","",INDEX('Gap reference'!$C$2:$C$60,MATCH($B681,'Gap reference'!$A$2:$A$60,0)))</f>
        <v/>
      </c>
      <c r="D681" s="26" t="str">
        <f t="array" ref="D681">IF($B681="","",INDEX('Gap reference'!$D$2:$D$60,MATCH($B681,'Gap reference'!$A$2:$A$60,0)))</f>
        <v/>
      </c>
      <c r="E681" s="26" t="str">
        <f t="array" ref="E681">IF($B681="","",INDEX('Gap reference'!$G$2:$G$60,MATCH($B681,'Gap reference'!$A$2:$A$60,0)))</f>
        <v/>
      </c>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26" t="str">
        <f t="array" ref="C682">IF($B682="","",INDEX('Gap reference'!$C$2:$C$60,MATCH($B682,'Gap reference'!$A$2:$A$60,0)))</f>
        <v/>
      </c>
      <c r="D682" s="26" t="str">
        <f t="array" ref="D682">IF($B682="","",INDEX('Gap reference'!$D$2:$D$60,MATCH($B682,'Gap reference'!$A$2:$A$60,0)))</f>
        <v/>
      </c>
      <c r="E682" s="26" t="str">
        <f t="array" ref="E682">IF($B682="","",INDEX('Gap reference'!$G$2:$G$60,MATCH($B682,'Gap reference'!$A$2:$A$60,0)))</f>
        <v/>
      </c>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26" t="str">
        <f t="array" ref="C683">IF($B683="","",INDEX('Gap reference'!$C$2:$C$60,MATCH($B683,'Gap reference'!$A$2:$A$60,0)))</f>
        <v/>
      </c>
      <c r="D683" s="26" t="str">
        <f t="array" ref="D683">IF($B683="","",INDEX('Gap reference'!$D$2:$D$60,MATCH($B683,'Gap reference'!$A$2:$A$60,0)))</f>
        <v/>
      </c>
      <c r="E683" s="26" t="str">
        <f t="array" ref="E683">IF($B683="","",INDEX('Gap reference'!$G$2:$G$60,MATCH($B683,'Gap reference'!$A$2:$A$60,0)))</f>
        <v/>
      </c>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26" t="str">
        <f t="array" ref="C684">IF($B684="","",INDEX('Gap reference'!$C$2:$C$60,MATCH($B684,'Gap reference'!$A$2:$A$60,0)))</f>
        <v/>
      </c>
      <c r="D684" s="26" t="str">
        <f t="array" ref="D684">IF($B684="","",INDEX('Gap reference'!$D$2:$D$60,MATCH($B684,'Gap reference'!$A$2:$A$60,0)))</f>
        <v/>
      </c>
      <c r="E684" s="26" t="str">
        <f t="array" ref="E684">IF($B684="","",INDEX('Gap reference'!$G$2:$G$60,MATCH($B684,'Gap reference'!$A$2:$A$60,0)))</f>
        <v/>
      </c>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26" t="str">
        <f t="array" ref="C685">IF($B685="","",INDEX('Gap reference'!$C$2:$C$60,MATCH($B685,'Gap reference'!$A$2:$A$60,0)))</f>
        <v/>
      </c>
      <c r="D685" s="26" t="str">
        <f t="array" ref="D685">IF($B685="","",INDEX('Gap reference'!$D$2:$D$60,MATCH($B685,'Gap reference'!$A$2:$A$60,0)))</f>
        <v/>
      </c>
      <c r="E685" s="26" t="str">
        <f t="array" ref="E685">IF($B685="","",INDEX('Gap reference'!$G$2:$G$60,MATCH($B685,'Gap reference'!$A$2:$A$60,0)))</f>
        <v/>
      </c>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26" t="str">
        <f t="array" ref="C686">IF($B686="","",INDEX('Gap reference'!$C$2:$C$60,MATCH($B686,'Gap reference'!$A$2:$A$60,0)))</f>
        <v/>
      </c>
      <c r="D686" s="26" t="str">
        <f t="array" ref="D686">IF($B686="","",INDEX('Gap reference'!$D$2:$D$60,MATCH($B686,'Gap reference'!$A$2:$A$60,0)))</f>
        <v/>
      </c>
      <c r="E686" s="26" t="str">
        <f t="array" ref="E686">IF($B686="","",INDEX('Gap reference'!$G$2:$G$60,MATCH($B686,'Gap reference'!$A$2:$A$60,0)))</f>
        <v/>
      </c>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26" t="str">
        <f t="array" ref="C687">IF($B687="","",INDEX('Gap reference'!$C$2:$C$60,MATCH($B687,'Gap reference'!$A$2:$A$60,0)))</f>
        <v/>
      </c>
      <c r="D687" s="26" t="str">
        <f t="array" ref="D687">IF($B687="","",INDEX('Gap reference'!$D$2:$D$60,MATCH($B687,'Gap reference'!$A$2:$A$60,0)))</f>
        <v/>
      </c>
      <c r="E687" s="26" t="str">
        <f t="array" ref="E687">IF($B687="","",INDEX('Gap reference'!$G$2:$G$60,MATCH($B687,'Gap reference'!$A$2:$A$60,0)))</f>
        <v/>
      </c>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26" t="str">
        <f t="array" ref="C688">IF($B688="","",INDEX('Gap reference'!$C$2:$C$60,MATCH($B688,'Gap reference'!$A$2:$A$60,0)))</f>
        <v/>
      </c>
      <c r="D688" s="26" t="str">
        <f t="array" ref="D688">IF($B688="","",INDEX('Gap reference'!$D$2:$D$60,MATCH($B688,'Gap reference'!$A$2:$A$60,0)))</f>
        <v/>
      </c>
      <c r="E688" s="26" t="str">
        <f t="array" ref="E688">IF($B688="","",INDEX('Gap reference'!$G$2:$G$60,MATCH($B688,'Gap reference'!$A$2:$A$60,0)))</f>
        <v/>
      </c>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26" t="str">
        <f t="array" ref="C689">IF($B689="","",INDEX('Gap reference'!$C$2:$C$60,MATCH($B689,'Gap reference'!$A$2:$A$60,0)))</f>
        <v/>
      </c>
      <c r="D689" s="26" t="str">
        <f t="array" ref="D689">IF($B689="","",INDEX('Gap reference'!$D$2:$D$60,MATCH($B689,'Gap reference'!$A$2:$A$60,0)))</f>
        <v/>
      </c>
      <c r="E689" s="26" t="str">
        <f t="array" ref="E689">IF($B689="","",INDEX('Gap reference'!$G$2:$G$60,MATCH($B689,'Gap reference'!$A$2:$A$60,0)))</f>
        <v/>
      </c>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26" t="str">
        <f t="array" ref="C690">IF($B690="","",INDEX('Gap reference'!$C$2:$C$60,MATCH($B690,'Gap reference'!$A$2:$A$60,0)))</f>
        <v/>
      </c>
      <c r="D690" s="26" t="str">
        <f t="array" ref="D690">IF($B690="","",INDEX('Gap reference'!$D$2:$D$60,MATCH($B690,'Gap reference'!$A$2:$A$60,0)))</f>
        <v/>
      </c>
      <c r="E690" s="26" t="str">
        <f t="array" ref="E690">IF($B690="","",INDEX('Gap reference'!$G$2:$G$60,MATCH($B690,'Gap reference'!$A$2:$A$60,0)))</f>
        <v/>
      </c>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26" t="str">
        <f t="array" ref="C691">IF($B691="","",INDEX('Gap reference'!$C$2:$C$60,MATCH($B691,'Gap reference'!$A$2:$A$60,0)))</f>
        <v/>
      </c>
      <c r="D691" s="26" t="str">
        <f t="array" ref="D691">IF($B691="","",INDEX('Gap reference'!$D$2:$D$60,MATCH($B691,'Gap reference'!$A$2:$A$60,0)))</f>
        <v/>
      </c>
      <c r="E691" s="26" t="str">
        <f t="array" ref="E691">IF($B691="","",INDEX('Gap reference'!$G$2:$G$60,MATCH($B691,'Gap reference'!$A$2:$A$60,0)))</f>
        <v/>
      </c>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26" t="str">
        <f t="array" ref="C692">IF($B692="","",INDEX('Gap reference'!$C$2:$C$60,MATCH($B692,'Gap reference'!$A$2:$A$60,0)))</f>
        <v/>
      </c>
      <c r="D692" s="26" t="str">
        <f t="array" ref="D692">IF($B692="","",INDEX('Gap reference'!$D$2:$D$60,MATCH($B692,'Gap reference'!$A$2:$A$60,0)))</f>
        <v/>
      </c>
      <c r="E692" s="26" t="str">
        <f t="array" ref="E692">IF($B692="","",INDEX('Gap reference'!$G$2:$G$60,MATCH($B692,'Gap reference'!$A$2:$A$60,0)))</f>
        <v/>
      </c>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26" t="str">
        <f t="array" ref="C693">IF($B693="","",INDEX('Gap reference'!$C$2:$C$60,MATCH($B693,'Gap reference'!$A$2:$A$60,0)))</f>
        <v/>
      </c>
      <c r="D693" s="26" t="str">
        <f t="array" ref="D693">IF($B693="","",INDEX('Gap reference'!$D$2:$D$60,MATCH($B693,'Gap reference'!$A$2:$A$60,0)))</f>
        <v/>
      </c>
      <c r="E693" s="26" t="str">
        <f t="array" ref="E693">IF($B693="","",INDEX('Gap reference'!$G$2:$G$60,MATCH($B693,'Gap reference'!$A$2:$A$60,0)))</f>
        <v/>
      </c>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26" t="str">
        <f t="array" ref="C694">IF($B694="","",INDEX('Gap reference'!$C$2:$C$60,MATCH($B694,'Gap reference'!$A$2:$A$60,0)))</f>
        <v/>
      </c>
      <c r="D694" s="26" t="str">
        <f t="array" ref="D694">IF($B694="","",INDEX('Gap reference'!$D$2:$D$60,MATCH($B694,'Gap reference'!$A$2:$A$60,0)))</f>
        <v/>
      </c>
      <c r="E694" s="26" t="str">
        <f t="array" ref="E694">IF($B694="","",INDEX('Gap reference'!$G$2:$G$60,MATCH($B694,'Gap reference'!$A$2:$A$60,0)))</f>
        <v/>
      </c>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26" t="str">
        <f t="array" ref="C695">IF($B695="","",INDEX('Gap reference'!$C$2:$C$60,MATCH($B695,'Gap reference'!$A$2:$A$60,0)))</f>
        <v/>
      </c>
      <c r="D695" s="26" t="str">
        <f t="array" ref="D695">IF($B695="","",INDEX('Gap reference'!$D$2:$D$60,MATCH($B695,'Gap reference'!$A$2:$A$60,0)))</f>
        <v/>
      </c>
      <c r="E695" s="26" t="str">
        <f t="array" ref="E695">IF($B695="","",INDEX('Gap reference'!$G$2:$G$60,MATCH($B695,'Gap reference'!$A$2:$A$60,0)))</f>
        <v/>
      </c>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26" t="str">
        <f t="array" ref="C696">IF($B696="","",INDEX('Gap reference'!$C$2:$C$60,MATCH($B696,'Gap reference'!$A$2:$A$60,0)))</f>
        <v/>
      </c>
      <c r="D696" s="26" t="str">
        <f t="array" ref="D696">IF($B696="","",INDEX('Gap reference'!$D$2:$D$60,MATCH($B696,'Gap reference'!$A$2:$A$60,0)))</f>
        <v/>
      </c>
      <c r="E696" s="26" t="str">
        <f t="array" ref="E696">IF($B696="","",INDEX('Gap reference'!$G$2:$G$60,MATCH($B696,'Gap reference'!$A$2:$A$60,0)))</f>
        <v/>
      </c>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26" t="str">
        <f t="array" ref="C697">IF($B697="","",INDEX('Gap reference'!$C$2:$C$60,MATCH($B697,'Gap reference'!$A$2:$A$60,0)))</f>
        <v/>
      </c>
      <c r="D697" s="26" t="str">
        <f t="array" ref="D697">IF($B697="","",INDEX('Gap reference'!$D$2:$D$60,MATCH($B697,'Gap reference'!$A$2:$A$60,0)))</f>
        <v/>
      </c>
      <c r="E697" s="26" t="str">
        <f t="array" ref="E697">IF($B697="","",INDEX('Gap reference'!$G$2:$G$60,MATCH($B697,'Gap reference'!$A$2:$A$60,0)))</f>
        <v/>
      </c>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26" t="str">
        <f t="array" ref="C698">IF($B698="","",INDEX('Gap reference'!$C$2:$C$60,MATCH($B698,'Gap reference'!$A$2:$A$60,0)))</f>
        <v/>
      </c>
      <c r="D698" s="26" t="str">
        <f t="array" ref="D698">IF($B698="","",INDEX('Gap reference'!$D$2:$D$60,MATCH($B698,'Gap reference'!$A$2:$A$60,0)))</f>
        <v/>
      </c>
      <c r="E698" s="26" t="str">
        <f t="array" ref="E698">IF($B698="","",INDEX('Gap reference'!$G$2:$G$60,MATCH($B698,'Gap reference'!$A$2:$A$60,0)))</f>
        <v/>
      </c>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26" t="str">
        <f t="array" ref="C699">IF($B699="","",INDEX('Gap reference'!$C$2:$C$60,MATCH($B699,'Gap reference'!$A$2:$A$60,0)))</f>
        <v/>
      </c>
      <c r="D699" s="26" t="str">
        <f t="array" ref="D699">IF($B699="","",INDEX('Gap reference'!$D$2:$D$60,MATCH($B699,'Gap reference'!$A$2:$A$60,0)))</f>
        <v/>
      </c>
      <c r="E699" s="26" t="str">
        <f t="array" ref="E699">IF($B699="","",INDEX('Gap reference'!$G$2:$G$60,MATCH($B699,'Gap reference'!$A$2:$A$60,0)))</f>
        <v/>
      </c>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26" t="str">
        <f t="array" ref="C700">IF($B700="","",INDEX('Gap reference'!$C$2:$C$60,MATCH($B700,'Gap reference'!$A$2:$A$60,0)))</f>
        <v/>
      </c>
      <c r="D700" s="26" t="str">
        <f t="array" ref="D700">IF($B700="","",INDEX('Gap reference'!$D$2:$D$60,MATCH($B700,'Gap reference'!$A$2:$A$60,0)))</f>
        <v/>
      </c>
      <c r="E700" s="26" t="str">
        <f t="array" ref="E700">IF($B700="","",INDEX('Gap reference'!$G$2:$G$60,MATCH($B700,'Gap reference'!$A$2:$A$60,0)))</f>
        <v/>
      </c>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26" t="str">
        <f t="array" ref="C701">IF($B701="","",INDEX('Gap reference'!$C$2:$C$60,MATCH($B701,'Gap reference'!$A$2:$A$60,0)))</f>
        <v/>
      </c>
      <c r="D701" s="26" t="str">
        <f t="array" ref="D701">IF($B701="","",INDEX('Gap reference'!$D$2:$D$60,MATCH($B701,'Gap reference'!$A$2:$A$60,0)))</f>
        <v/>
      </c>
      <c r="E701" s="26" t="str">
        <f t="array" ref="E701">IF($B701="","",INDEX('Gap reference'!$G$2:$G$60,MATCH($B701,'Gap reference'!$A$2:$A$60,0)))</f>
        <v/>
      </c>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26" t="str">
        <f t="array" ref="C702">IF($B702="","",INDEX('Gap reference'!$C$2:$C$60,MATCH($B702,'Gap reference'!$A$2:$A$60,0)))</f>
        <v/>
      </c>
      <c r="D702" s="26" t="str">
        <f t="array" ref="D702">IF($B702="","",INDEX('Gap reference'!$D$2:$D$60,MATCH($B702,'Gap reference'!$A$2:$A$60,0)))</f>
        <v/>
      </c>
      <c r="E702" s="26" t="str">
        <f t="array" ref="E702">IF($B702="","",INDEX('Gap reference'!$G$2:$G$60,MATCH($B702,'Gap reference'!$A$2:$A$60,0)))</f>
        <v/>
      </c>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26" t="str">
        <f t="array" ref="C703">IF($B703="","",INDEX('Gap reference'!$C$2:$C$60,MATCH($B703,'Gap reference'!$A$2:$A$60,0)))</f>
        <v/>
      </c>
      <c r="D703" s="26" t="str">
        <f t="array" ref="D703">IF($B703="","",INDEX('Gap reference'!$D$2:$D$60,MATCH($B703,'Gap reference'!$A$2:$A$60,0)))</f>
        <v/>
      </c>
      <c r="E703" s="26" t="str">
        <f t="array" ref="E703">IF($B703="","",INDEX('Gap reference'!$G$2:$G$60,MATCH($B703,'Gap reference'!$A$2:$A$60,0)))</f>
        <v/>
      </c>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26" t="str">
        <f t="array" ref="C704">IF($B704="","",INDEX('Gap reference'!$C$2:$C$60,MATCH($B704,'Gap reference'!$A$2:$A$60,0)))</f>
        <v/>
      </c>
      <c r="D704" s="26" t="str">
        <f t="array" ref="D704">IF($B704="","",INDEX('Gap reference'!$D$2:$D$60,MATCH($B704,'Gap reference'!$A$2:$A$60,0)))</f>
        <v/>
      </c>
      <c r="E704" s="26" t="str">
        <f t="array" ref="E704">IF($B704="","",INDEX('Gap reference'!$G$2:$G$60,MATCH($B704,'Gap reference'!$A$2:$A$60,0)))</f>
        <v/>
      </c>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26" t="str">
        <f t="array" ref="C705">IF($B705="","",INDEX('Gap reference'!$C$2:$C$60,MATCH($B705,'Gap reference'!$A$2:$A$60,0)))</f>
        <v/>
      </c>
      <c r="D705" s="26" t="str">
        <f t="array" ref="D705">IF($B705="","",INDEX('Gap reference'!$D$2:$D$60,MATCH($B705,'Gap reference'!$A$2:$A$60,0)))</f>
        <v/>
      </c>
      <c r="E705" s="26" t="str">
        <f t="array" ref="E705">IF($B705="","",INDEX('Gap reference'!$G$2:$G$60,MATCH($B705,'Gap reference'!$A$2:$A$60,0)))</f>
        <v/>
      </c>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26" t="str">
        <f t="array" ref="C706">IF($B706="","",INDEX('Gap reference'!$C$2:$C$60,MATCH($B706,'Gap reference'!$A$2:$A$60,0)))</f>
        <v/>
      </c>
      <c r="D706" s="26" t="str">
        <f t="array" ref="D706">IF($B706="","",INDEX('Gap reference'!$D$2:$D$60,MATCH($B706,'Gap reference'!$A$2:$A$60,0)))</f>
        <v/>
      </c>
      <c r="E706" s="26" t="str">
        <f t="array" ref="E706">IF($B706="","",INDEX('Gap reference'!$G$2:$G$60,MATCH($B706,'Gap reference'!$A$2:$A$60,0)))</f>
        <v/>
      </c>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26" t="str">
        <f t="array" ref="C707">IF($B707="","",INDEX('Gap reference'!$C$2:$C$60,MATCH($B707,'Gap reference'!$A$2:$A$60,0)))</f>
        <v/>
      </c>
      <c r="D707" s="26" t="str">
        <f t="array" ref="D707">IF($B707="","",INDEX('Gap reference'!$D$2:$D$60,MATCH($B707,'Gap reference'!$A$2:$A$60,0)))</f>
        <v/>
      </c>
      <c r="E707" s="26" t="str">
        <f t="array" ref="E707">IF($B707="","",INDEX('Gap reference'!$G$2:$G$60,MATCH($B707,'Gap reference'!$A$2:$A$60,0)))</f>
        <v/>
      </c>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26" t="str">
        <f t="array" ref="C708">IF($B708="","",INDEX('Gap reference'!$C$2:$C$60,MATCH($B708,'Gap reference'!$A$2:$A$60,0)))</f>
        <v/>
      </c>
      <c r="D708" s="26" t="str">
        <f t="array" ref="D708">IF($B708="","",INDEX('Gap reference'!$D$2:$D$60,MATCH($B708,'Gap reference'!$A$2:$A$60,0)))</f>
        <v/>
      </c>
      <c r="E708" s="26" t="str">
        <f t="array" ref="E708">IF($B708="","",INDEX('Gap reference'!$G$2:$G$60,MATCH($B708,'Gap reference'!$A$2:$A$60,0)))</f>
        <v/>
      </c>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26" t="str">
        <f t="array" ref="C709">IF($B709="","",INDEX('Gap reference'!$C$2:$C$60,MATCH($B709,'Gap reference'!$A$2:$A$60,0)))</f>
        <v/>
      </c>
      <c r="D709" s="26" t="str">
        <f t="array" ref="D709">IF($B709="","",INDEX('Gap reference'!$D$2:$D$60,MATCH($B709,'Gap reference'!$A$2:$A$60,0)))</f>
        <v/>
      </c>
      <c r="E709" s="26" t="str">
        <f t="array" ref="E709">IF($B709="","",INDEX('Gap reference'!$G$2:$G$60,MATCH($B709,'Gap reference'!$A$2:$A$60,0)))</f>
        <v/>
      </c>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26" t="str">
        <f t="array" ref="C710">IF($B710="","",INDEX('Gap reference'!$C$2:$C$60,MATCH($B710,'Gap reference'!$A$2:$A$60,0)))</f>
        <v/>
      </c>
      <c r="D710" s="26" t="str">
        <f t="array" ref="D710">IF($B710="","",INDEX('Gap reference'!$D$2:$D$60,MATCH($B710,'Gap reference'!$A$2:$A$60,0)))</f>
        <v/>
      </c>
      <c r="E710" s="26" t="str">
        <f t="array" ref="E710">IF($B710="","",INDEX('Gap reference'!$G$2:$G$60,MATCH($B710,'Gap reference'!$A$2:$A$60,0)))</f>
        <v/>
      </c>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26" t="str">
        <f t="array" ref="C711">IF($B711="","",INDEX('Gap reference'!$C$2:$C$60,MATCH($B711,'Gap reference'!$A$2:$A$60,0)))</f>
        <v/>
      </c>
      <c r="D711" s="26" t="str">
        <f t="array" ref="D711">IF($B711="","",INDEX('Gap reference'!$D$2:$D$60,MATCH($B711,'Gap reference'!$A$2:$A$60,0)))</f>
        <v/>
      </c>
      <c r="E711" s="26" t="str">
        <f t="array" ref="E711">IF($B711="","",INDEX('Gap reference'!$G$2:$G$60,MATCH($B711,'Gap reference'!$A$2:$A$60,0)))</f>
        <v/>
      </c>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26" t="str">
        <f t="array" ref="C712">IF($B712="","",INDEX('Gap reference'!$C$2:$C$60,MATCH($B712,'Gap reference'!$A$2:$A$60,0)))</f>
        <v/>
      </c>
      <c r="D712" s="26" t="str">
        <f t="array" ref="D712">IF($B712="","",INDEX('Gap reference'!$D$2:$D$60,MATCH($B712,'Gap reference'!$A$2:$A$60,0)))</f>
        <v/>
      </c>
      <c r="E712" s="26" t="str">
        <f t="array" ref="E712">IF($B712="","",INDEX('Gap reference'!$G$2:$G$60,MATCH($B712,'Gap reference'!$A$2:$A$60,0)))</f>
        <v/>
      </c>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26" t="str">
        <f t="array" ref="C713">IF($B713="","",INDEX('Gap reference'!$C$2:$C$60,MATCH($B713,'Gap reference'!$A$2:$A$60,0)))</f>
        <v/>
      </c>
      <c r="D713" s="26" t="str">
        <f t="array" ref="D713">IF($B713="","",INDEX('Gap reference'!$D$2:$D$60,MATCH($B713,'Gap reference'!$A$2:$A$60,0)))</f>
        <v/>
      </c>
      <c r="E713" s="26" t="str">
        <f t="array" ref="E713">IF($B713="","",INDEX('Gap reference'!$G$2:$G$60,MATCH($B713,'Gap reference'!$A$2:$A$60,0)))</f>
        <v/>
      </c>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26" t="str">
        <f t="array" ref="C714">IF($B714="","",INDEX('Gap reference'!$C$2:$C$60,MATCH($B714,'Gap reference'!$A$2:$A$60,0)))</f>
        <v/>
      </c>
      <c r="D714" s="26" t="str">
        <f t="array" ref="D714">IF($B714="","",INDEX('Gap reference'!$D$2:$D$60,MATCH($B714,'Gap reference'!$A$2:$A$60,0)))</f>
        <v/>
      </c>
      <c r="E714" s="26" t="str">
        <f t="array" ref="E714">IF($B714="","",INDEX('Gap reference'!$G$2:$G$60,MATCH($B714,'Gap reference'!$A$2:$A$60,0)))</f>
        <v/>
      </c>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26" t="str">
        <f t="array" ref="C715">IF($B715="","",INDEX('Gap reference'!$C$2:$C$60,MATCH($B715,'Gap reference'!$A$2:$A$60,0)))</f>
        <v/>
      </c>
      <c r="D715" s="26" t="str">
        <f t="array" ref="D715">IF($B715="","",INDEX('Gap reference'!$D$2:$D$60,MATCH($B715,'Gap reference'!$A$2:$A$60,0)))</f>
        <v/>
      </c>
      <c r="E715" s="26" t="str">
        <f t="array" ref="E715">IF($B715="","",INDEX('Gap reference'!$G$2:$G$60,MATCH($B715,'Gap reference'!$A$2:$A$60,0)))</f>
        <v/>
      </c>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26" t="str">
        <f t="array" ref="C716">IF($B716="","",INDEX('Gap reference'!$C$2:$C$60,MATCH($B716,'Gap reference'!$A$2:$A$60,0)))</f>
        <v/>
      </c>
      <c r="D716" s="26" t="str">
        <f t="array" ref="D716">IF($B716="","",INDEX('Gap reference'!$D$2:$D$60,MATCH($B716,'Gap reference'!$A$2:$A$60,0)))</f>
        <v/>
      </c>
      <c r="E716" s="26" t="str">
        <f t="array" ref="E716">IF($B716="","",INDEX('Gap reference'!$G$2:$G$60,MATCH($B716,'Gap reference'!$A$2:$A$60,0)))</f>
        <v/>
      </c>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26" t="str">
        <f t="array" ref="C717">IF($B717="","",INDEX('Gap reference'!$C$2:$C$60,MATCH($B717,'Gap reference'!$A$2:$A$60,0)))</f>
        <v/>
      </c>
      <c r="D717" s="26" t="str">
        <f t="array" ref="D717">IF($B717="","",INDEX('Gap reference'!$D$2:$D$60,MATCH($B717,'Gap reference'!$A$2:$A$60,0)))</f>
        <v/>
      </c>
      <c r="E717" s="26" t="str">
        <f t="array" ref="E717">IF($B717="","",INDEX('Gap reference'!$G$2:$G$60,MATCH($B717,'Gap reference'!$A$2:$A$60,0)))</f>
        <v/>
      </c>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26" t="str">
        <f t="array" ref="C718">IF($B718="","",INDEX('Gap reference'!$C$2:$C$60,MATCH($B718,'Gap reference'!$A$2:$A$60,0)))</f>
        <v/>
      </c>
      <c r="D718" s="26" t="str">
        <f t="array" ref="D718">IF($B718="","",INDEX('Gap reference'!$D$2:$D$60,MATCH($B718,'Gap reference'!$A$2:$A$60,0)))</f>
        <v/>
      </c>
      <c r="E718" s="26" t="str">
        <f t="array" ref="E718">IF($B718="","",INDEX('Gap reference'!$G$2:$G$60,MATCH($B718,'Gap reference'!$A$2:$A$60,0)))</f>
        <v/>
      </c>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26" t="str">
        <f t="array" ref="C719">IF($B719="","",INDEX('Gap reference'!$C$2:$C$60,MATCH($B719,'Gap reference'!$A$2:$A$60,0)))</f>
        <v/>
      </c>
      <c r="D719" s="26" t="str">
        <f t="array" ref="D719">IF($B719="","",INDEX('Gap reference'!$D$2:$D$60,MATCH($B719,'Gap reference'!$A$2:$A$60,0)))</f>
        <v/>
      </c>
      <c r="E719" s="26" t="str">
        <f t="array" ref="E719">IF($B719="","",INDEX('Gap reference'!$G$2:$G$60,MATCH($B719,'Gap reference'!$A$2:$A$60,0)))</f>
        <v/>
      </c>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26" t="str">
        <f t="array" ref="C720">IF($B720="","",INDEX('Gap reference'!$C$2:$C$60,MATCH($B720,'Gap reference'!$A$2:$A$60,0)))</f>
        <v/>
      </c>
      <c r="D720" s="26" t="str">
        <f t="array" ref="D720">IF($B720="","",INDEX('Gap reference'!$D$2:$D$60,MATCH($B720,'Gap reference'!$A$2:$A$60,0)))</f>
        <v/>
      </c>
      <c r="E720" s="26" t="str">
        <f t="array" ref="E720">IF($B720="","",INDEX('Gap reference'!$G$2:$G$60,MATCH($B720,'Gap reference'!$A$2:$A$60,0)))</f>
        <v/>
      </c>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26" t="str">
        <f t="array" ref="C721">IF($B721="","",INDEX('Gap reference'!$C$2:$C$60,MATCH($B721,'Gap reference'!$A$2:$A$60,0)))</f>
        <v/>
      </c>
      <c r="D721" s="26" t="str">
        <f t="array" ref="D721">IF($B721="","",INDEX('Gap reference'!$D$2:$D$60,MATCH($B721,'Gap reference'!$A$2:$A$60,0)))</f>
        <v/>
      </c>
      <c r="E721" s="26" t="str">
        <f t="array" ref="E721">IF($B721="","",INDEX('Gap reference'!$G$2:$G$60,MATCH($B721,'Gap reference'!$A$2:$A$60,0)))</f>
        <v/>
      </c>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26" t="str">
        <f t="array" ref="C722">IF($B722="","",INDEX('Gap reference'!$C$2:$C$60,MATCH($B722,'Gap reference'!$A$2:$A$60,0)))</f>
        <v/>
      </c>
      <c r="D722" s="26" t="str">
        <f t="array" ref="D722">IF($B722="","",INDEX('Gap reference'!$D$2:$D$60,MATCH($B722,'Gap reference'!$A$2:$A$60,0)))</f>
        <v/>
      </c>
      <c r="E722" s="26" t="str">
        <f t="array" ref="E722">IF($B722="","",INDEX('Gap reference'!$G$2:$G$60,MATCH($B722,'Gap reference'!$A$2:$A$60,0)))</f>
        <v/>
      </c>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26" t="str">
        <f t="array" ref="C723">IF($B723="","",INDEX('Gap reference'!$C$2:$C$60,MATCH($B723,'Gap reference'!$A$2:$A$60,0)))</f>
        <v/>
      </c>
      <c r="D723" s="26" t="str">
        <f t="array" ref="D723">IF($B723="","",INDEX('Gap reference'!$D$2:$D$60,MATCH($B723,'Gap reference'!$A$2:$A$60,0)))</f>
        <v/>
      </c>
      <c r="E723" s="26" t="str">
        <f t="array" ref="E723">IF($B723="","",INDEX('Gap reference'!$G$2:$G$60,MATCH($B723,'Gap reference'!$A$2:$A$60,0)))</f>
        <v/>
      </c>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26" t="str">
        <f t="array" ref="C724">IF($B724="","",INDEX('Gap reference'!$C$2:$C$60,MATCH($B724,'Gap reference'!$A$2:$A$60,0)))</f>
        <v/>
      </c>
      <c r="D724" s="26" t="str">
        <f t="array" ref="D724">IF($B724="","",INDEX('Gap reference'!$D$2:$D$60,MATCH($B724,'Gap reference'!$A$2:$A$60,0)))</f>
        <v/>
      </c>
      <c r="E724" s="26" t="str">
        <f t="array" ref="E724">IF($B724="","",INDEX('Gap reference'!$G$2:$G$60,MATCH($B724,'Gap reference'!$A$2:$A$60,0)))</f>
        <v/>
      </c>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26" t="str">
        <f t="array" ref="C725">IF($B725="","",INDEX('Gap reference'!$C$2:$C$60,MATCH($B725,'Gap reference'!$A$2:$A$60,0)))</f>
        <v/>
      </c>
      <c r="D725" s="26" t="str">
        <f t="array" ref="D725">IF($B725="","",INDEX('Gap reference'!$D$2:$D$60,MATCH($B725,'Gap reference'!$A$2:$A$60,0)))</f>
        <v/>
      </c>
      <c r="E725" s="26" t="str">
        <f t="array" ref="E725">IF($B725="","",INDEX('Gap reference'!$G$2:$G$60,MATCH($B725,'Gap reference'!$A$2:$A$60,0)))</f>
        <v/>
      </c>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26" t="str">
        <f t="array" ref="C726">IF($B726="","",INDEX('Gap reference'!$C$2:$C$60,MATCH($B726,'Gap reference'!$A$2:$A$60,0)))</f>
        <v/>
      </c>
      <c r="D726" s="26" t="str">
        <f t="array" ref="D726">IF($B726="","",INDEX('Gap reference'!$D$2:$D$60,MATCH($B726,'Gap reference'!$A$2:$A$60,0)))</f>
        <v/>
      </c>
      <c r="E726" s="26" t="str">
        <f t="array" ref="E726">IF($B726="","",INDEX('Gap reference'!$G$2:$G$60,MATCH($B726,'Gap reference'!$A$2:$A$60,0)))</f>
        <v/>
      </c>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26" t="str">
        <f t="array" ref="C727">IF($B727="","",INDEX('Gap reference'!$C$2:$C$60,MATCH($B727,'Gap reference'!$A$2:$A$60,0)))</f>
        <v/>
      </c>
      <c r="D727" s="26" t="str">
        <f t="array" ref="D727">IF($B727="","",INDEX('Gap reference'!$D$2:$D$60,MATCH($B727,'Gap reference'!$A$2:$A$60,0)))</f>
        <v/>
      </c>
      <c r="E727" s="26" t="str">
        <f t="array" ref="E727">IF($B727="","",INDEX('Gap reference'!$G$2:$G$60,MATCH($B727,'Gap reference'!$A$2:$A$60,0)))</f>
        <v/>
      </c>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26" t="str">
        <f t="array" ref="C728">IF($B728="","",INDEX('Gap reference'!$C$2:$C$60,MATCH($B728,'Gap reference'!$A$2:$A$60,0)))</f>
        <v/>
      </c>
      <c r="D728" s="26" t="str">
        <f t="array" ref="D728">IF($B728="","",INDEX('Gap reference'!$D$2:$D$60,MATCH($B728,'Gap reference'!$A$2:$A$60,0)))</f>
        <v/>
      </c>
      <c r="E728" s="26" t="str">
        <f t="array" ref="E728">IF($B728="","",INDEX('Gap reference'!$G$2:$G$60,MATCH($B728,'Gap reference'!$A$2:$A$60,0)))</f>
        <v/>
      </c>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26" t="str">
        <f t="array" ref="C729">IF($B729="","",INDEX('Gap reference'!$C$2:$C$60,MATCH($B729,'Gap reference'!$A$2:$A$60,0)))</f>
        <v/>
      </c>
      <c r="D729" s="26" t="str">
        <f t="array" ref="D729">IF($B729="","",INDEX('Gap reference'!$D$2:$D$60,MATCH($B729,'Gap reference'!$A$2:$A$60,0)))</f>
        <v/>
      </c>
      <c r="E729" s="26" t="str">
        <f t="array" ref="E729">IF($B729="","",INDEX('Gap reference'!$G$2:$G$60,MATCH($B729,'Gap reference'!$A$2:$A$60,0)))</f>
        <v/>
      </c>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26" t="str">
        <f t="array" ref="C730">IF($B730="","",INDEX('Gap reference'!$C$2:$C$60,MATCH($B730,'Gap reference'!$A$2:$A$60,0)))</f>
        <v/>
      </c>
      <c r="D730" s="26" t="str">
        <f t="array" ref="D730">IF($B730="","",INDEX('Gap reference'!$D$2:$D$60,MATCH($B730,'Gap reference'!$A$2:$A$60,0)))</f>
        <v/>
      </c>
      <c r="E730" s="26" t="str">
        <f t="array" ref="E730">IF($B730="","",INDEX('Gap reference'!$G$2:$G$60,MATCH($B730,'Gap reference'!$A$2:$A$60,0)))</f>
        <v/>
      </c>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26" t="str">
        <f t="array" ref="C731">IF($B731="","",INDEX('Gap reference'!$C$2:$C$60,MATCH($B731,'Gap reference'!$A$2:$A$60,0)))</f>
        <v/>
      </c>
      <c r="D731" s="26" t="str">
        <f t="array" ref="D731">IF($B731="","",INDEX('Gap reference'!$D$2:$D$60,MATCH($B731,'Gap reference'!$A$2:$A$60,0)))</f>
        <v/>
      </c>
      <c r="E731" s="26" t="str">
        <f t="array" ref="E731">IF($B731="","",INDEX('Gap reference'!$G$2:$G$60,MATCH($B731,'Gap reference'!$A$2:$A$60,0)))</f>
        <v/>
      </c>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26" t="str">
        <f t="array" ref="C732">IF($B732="","",INDEX('Gap reference'!$C$2:$C$60,MATCH($B732,'Gap reference'!$A$2:$A$60,0)))</f>
        <v/>
      </c>
      <c r="D732" s="26" t="str">
        <f t="array" ref="D732">IF($B732="","",INDEX('Gap reference'!$D$2:$D$60,MATCH($B732,'Gap reference'!$A$2:$A$60,0)))</f>
        <v/>
      </c>
      <c r="E732" s="26" t="str">
        <f t="array" ref="E732">IF($B732="","",INDEX('Gap reference'!$G$2:$G$60,MATCH($B732,'Gap reference'!$A$2:$A$60,0)))</f>
        <v/>
      </c>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26" t="str">
        <f t="array" ref="C733">IF($B733="","",INDEX('Gap reference'!$C$2:$C$60,MATCH($B733,'Gap reference'!$A$2:$A$60,0)))</f>
        <v/>
      </c>
      <c r="D733" s="26" t="str">
        <f t="array" ref="D733">IF($B733="","",INDEX('Gap reference'!$D$2:$D$60,MATCH($B733,'Gap reference'!$A$2:$A$60,0)))</f>
        <v/>
      </c>
      <c r="E733" s="26" t="str">
        <f t="array" ref="E733">IF($B733="","",INDEX('Gap reference'!$G$2:$G$60,MATCH($B733,'Gap reference'!$A$2:$A$60,0)))</f>
        <v/>
      </c>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26" t="str">
        <f t="array" ref="C734">IF($B734="","",INDEX('Gap reference'!$C$2:$C$60,MATCH($B734,'Gap reference'!$A$2:$A$60,0)))</f>
        <v/>
      </c>
      <c r="D734" s="26" t="str">
        <f t="array" ref="D734">IF($B734="","",INDEX('Gap reference'!$D$2:$D$60,MATCH($B734,'Gap reference'!$A$2:$A$60,0)))</f>
        <v/>
      </c>
      <c r="E734" s="26" t="str">
        <f t="array" ref="E734">IF($B734="","",INDEX('Gap reference'!$G$2:$G$60,MATCH($B734,'Gap reference'!$A$2:$A$60,0)))</f>
        <v/>
      </c>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26" t="str">
        <f t="array" ref="C735">IF($B735="","",INDEX('Gap reference'!$C$2:$C$60,MATCH($B735,'Gap reference'!$A$2:$A$60,0)))</f>
        <v/>
      </c>
      <c r="D735" s="26" t="str">
        <f t="array" ref="D735">IF($B735="","",INDEX('Gap reference'!$D$2:$D$60,MATCH($B735,'Gap reference'!$A$2:$A$60,0)))</f>
        <v/>
      </c>
      <c r="E735" s="26" t="str">
        <f t="array" ref="E735">IF($B735="","",INDEX('Gap reference'!$G$2:$G$60,MATCH($B735,'Gap reference'!$A$2:$A$60,0)))</f>
        <v/>
      </c>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26" t="str">
        <f t="array" ref="C736">IF($B736="","",INDEX('Gap reference'!$C$2:$C$60,MATCH($B736,'Gap reference'!$A$2:$A$60,0)))</f>
        <v/>
      </c>
      <c r="D736" s="26" t="str">
        <f t="array" ref="D736">IF($B736="","",INDEX('Gap reference'!$D$2:$D$60,MATCH($B736,'Gap reference'!$A$2:$A$60,0)))</f>
        <v/>
      </c>
      <c r="E736" s="26" t="str">
        <f t="array" ref="E736">IF($B736="","",INDEX('Gap reference'!$G$2:$G$60,MATCH($B736,'Gap reference'!$A$2:$A$60,0)))</f>
        <v/>
      </c>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26" t="str">
        <f t="array" ref="C737">IF($B737="","",INDEX('Gap reference'!$C$2:$C$60,MATCH($B737,'Gap reference'!$A$2:$A$60,0)))</f>
        <v/>
      </c>
      <c r="D737" s="26" t="str">
        <f t="array" ref="D737">IF($B737="","",INDEX('Gap reference'!$D$2:$D$60,MATCH($B737,'Gap reference'!$A$2:$A$60,0)))</f>
        <v/>
      </c>
      <c r="E737" s="26" t="str">
        <f t="array" ref="E737">IF($B737="","",INDEX('Gap reference'!$G$2:$G$60,MATCH($B737,'Gap reference'!$A$2:$A$60,0)))</f>
        <v/>
      </c>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26" t="str">
        <f t="array" ref="C738">IF($B738="","",INDEX('Gap reference'!$C$2:$C$60,MATCH($B738,'Gap reference'!$A$2:$A$60,0)))</f>
        <v/>
      </c>
      <c r="D738" s="26" t="str">
        <f t="array" ref="D738">IF($B738="","",INDEX('Gap reference'!$D$2:$D$60,MATCH($B738,'Gap reference'!$A$2:$A$60,0)))</f>
        <v/>
      </c>
      <c r="E738" s="26" t="str">
        <f t="array" ref="E738">IF($B738="","",INDEX('Gap reference'!$G$2:$G$60,MATCH($B738,'Gap reference'!$A$2:$A$60,0)))</f>
        <v/>
      </c>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26" t="str">
        <f t="array" ref="C739">IF($B739="","",INDEX('Gap reference'!$C$2:$C$60,MATCH($B739,'Gap reference'!$A$2:$A$60,0)))</f>
        <v/>
      </c>
      <c r="D739" s="26" t="str">
        <f t="array" ref="D739">IF($B739="","",INDEX('Gap reference'!$D$2:$D$60,MATCH($B739,'Gap reference'!$A$2:$A$60,0)))</f>
        <v/>
      </c>
      <c r="E739" s="26" t="str">
        <f t="array" ref="E739">IF($B739="","",INDEX('Gap reference'!$G$2:$G$60,MATCH($B739,'Gap reference'!$A$2:$A$60,0)))</f>
        <v/>
      </c>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26" t="str">
        <f t="array" ref="C740">IF($B740="","",INDEX('Gap reference'!$C$2:$C$60,MATCH($B740,'Gap reference'!$A$2:$A$60,0)))</f>
        <v/>
      </c>
      <c r="D740" s="26" t="str">
        <f t="array" ref="D740">IF($B740="","",INDEX('Gap reference'!$D$2:$D$60,MATCH($B740,'Gap reference'!$A$2:$A$60,0)))</f>
        <v/>
      </c>
      <c r="E740" s="26" t="str">
        <f t="array" ref="E740">IF($B740="","",INDEX('Gap reference'!$G$2:$G$60,MATCH($B740,'Gap reference'!$A$2:$A$60,0)))</f>
        <v/>
      </c>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26" t="str">
        <f t="array" ref="C741">IF($B741="","",INDEX('Gap reference'!$C$2:$C$60,MATCH($B741,'Gap reference'!$A$2:$A$60,0)))</f>
        <v/>
      </c>
      <c r="D741" s="26" t="str">
        <f t="array" ref="D741">IF($B741="","",INDEX('Gap reference'!$D$2:$D$60,MATCH($B741,'Gap reference'!$A$2:$A$60,0)))</f>
        <v/>
      </c>
      <c r="E741" s="26" t="str">
        <f t="array" ref="E741">IF($B741="","",INDEX('Gap reference'!$G$2:$G$60,MATCH($B741,'Gap reference'!$A$2:$A$60,0)))</f>
        <v/>
      </c>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26" t="str">
        <f t="array" ref="C742">IF($B742="","",INDEX('Gap reference'!$C$2:$C$60,MATCH($B742,'Gap reference'!$A$2:$A$60,0)))</f>
        <v/>
      </c>
      <c r="D742" s="26" t="str">
        <f t="array" ref="D742">IF($B742="","",INDEX('Gap reference'!$D$2:$D$60,MATCH($B742,'Gap reference'!$A$2:$A$60,0)))</f>
        <v/>
      </c>
      <c r="E742" s="26" t="str">
        <f t="array" ref="E742">IF($B742="","",INDEX('Gap reference'!$G$2:$G$60,MATCH($B742,'Gap reference'!$A$2:$A$60,0)))</f>
        <v/>
      </c>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26" t="str">
        <f t="array" ref="C743">IF($B743="","",INDEX('Gap reference'!$C$2:$C$60,MATCH($B743,'Gap reference'!$A$2:$A$60,0)))</f>
        <v/>
      </c>
      <c r="D743" s="26" t="str">
        <f t="array" ref="D743">IF($B743="","",INDEX('Gap reference'!$D$2:$D$60,MATCH($B743,'Gap reference'!$A$2:$A$60,0)))</f>
        <v/>
      </c>
      <c r="E743" s="26" t="str">
        <f t="array" ref="E743">IF($B743="","",INDEX('Gap reference'!$G$2:$G$60,MATCH($B743,'Gap reference'!$A$2:$A$60,0)))</f>
        <v/>
      </c>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26" t="str">
        <f t="array" ref="C744">IF($B744="","",INDEX('Gap reference'!$C$2:$C$60,MATCH($B744,'Gap reference'!$A$2:$A$60,0)))</f>
        <v/>
      </c>
      <c r="D744" s="26" t="str">
        <f t="array" ref="D744">IF($B744="","",INDEX('Gap reference'!$D$2:$D$60,MATCH($B744,'Gap reference'!$A$2:$A$60,0)))</f>
        <v/>
      </c>
      <c r="E744" s="26" t="str">
        <f t="array" ref="E744">IF($B744="","",INDEX('Gap reference'!$G$2:$G$60,MATCH($B744,'Gap reference'!$A$2:$A$60,0)))</f>
        <v/>
      </c>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26" t="str">
        <f t="array" ref="C745">IF($B745="","",INDEX('Gap reference'!$C$2:$C$60,MATCH($B745,'Gap reference'!$A$2:$A$60,0)))</f>
        <v/>
      </c>
      <c r="D745" s="26" t="str">
        <f t="array" ref="D745">IF($B745="","",INDEX('Gap reference'!$D$2:$D$60,MATCH($B745,'Gap reference'!$A$2:$A$60,0)))</f>
        <v/>
      </c>
      <c r="E745" s="26" t="str">
        <f t="array" ref="E745">IF($B745="","",INDEX('Gap reference'!$G$2:$G$60,MATCH($B745,'Gap reference'!$A$2:$A$60,0)))</f>
        <v/>
      </c>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26" t="str">
        <f t="array" ref="C746">IF($B746="","",INDEX('Gap reference'!$C$2:$C$60,MATCH($B746,'Gap reference'!$A$2:$A$60,0)))</f>
        <v/>
      </c>
      <c r="D746" s="26" t="str">
        <f t="array" ref="D746">IF($B746="","",INDEX('Gap reference'!$D$2:$D$60,MATCH($B746,'Gap reference'!$A$2:$A$60,0)))</f>
        <v/>
      </c>
      <c r="E746" s="26" t="str">
        <f t="array" ref="E746">IF($B746="","",INDEX('Gap reference'!$G$2:$G$60,MATCH($B746,'Gap reference'!$A$2:$A$60,0)))</f>
        <v/>
      </c>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26" t="str">
        <f t="array" ref="C747">IF($B747="","",INDEX('Gap reference'!$C$2:$C$60,MATCH($B747,'Gap reference'!$A$2:$A$60,0)))</f>
        <v/>
      </c>
      <c r="D747" s="26" t="str">
        <f t="array" ref="D747">IF($B747="","",INDEX('Gap reference'!$D$2:$D$60,MATCH($B747,'Gap reference'!$A$2:$A$60,0)))</f>
        <v/>
      </c>
      <c r="E747" s="26" t="str">
        <f t="array" ref="E747">IF($B747="","",INDEX('Gap reference'!$G$2:$G$60,MATCH($B747,'Gap reference'!$A$2:$A$60,0)))</f>
        <v/>
      </c>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26" t="str">
        <f t="array" ref="C748">IF($B748="","",INDEX('Gap reference'!$C$2:$C$60,MATCH($B748,'Gap reference'!$A$2:$A$60,0)))</f>
        <v/>
      </c>
      <c r="D748" s="26" t="str">
        <f t="array" ref="D748">IF($B748="","",INDEX('Gap reference'!$D$2:$D$60,MATCH($B748,'Gap reference'!$A$2:$A$60,0)))</f>
        <v/>
      </c>
      <c r="E748" s="26" t="str">
        <f t="array" ref="E748">IF($B748="","",INDEX('Gap reference'!$G$2:$G$60,MATCH($B748,'Gap reference'!$A$2:$A$60,0)))</f>
        <v/>
      </c>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26" t="str">
        <f t="array" ref="C749">IF($B749="","",INDEX('Gap reference'!$C$2:$C$60,MATCH($B749,'Gap reference'!$A$2:$A$60,0)))</f>
        <v/>
      </c>
      <c r="D749" s="26" t="str">
        <f t="array" ref="D749">IF($B749="","",INDEX('Gap reference'!$D$2:$D$60,MATCH($B749,'Gap reference'!$A$2:$A$60,0)))</f>
        <v/>
      </c>
      <c r="E749" s="26" t="str">
        <f t="array" ref="E749">IF($B749="","",INDEX('Gap reference'!$G$2:$G$60,MATCH($B749,'Gap reference'!$A$2:$A$60,0)))</f>
        <v/>
      </c>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26" t="str">
        <f t="array" ref="C750">IF($B750="","",INDEX('Gap reference'!$C$2:$C$60,MATCH($B750,'Gap reference'!$A$2:$A$60,0)))</f>
        <v/>
      </c>
      <c r="D750" s="26" t="str">
        <f t="array" ref="D750">IF($B750="","",INDEX('Gap reference'!$D$2:$D$60,MATCH($B750,'Gap reference'!$A$2:$A$60,0)))</f>
        <v/>
      </c>
      <c r="E750" s="26" t="str">
        <f t="array" ref="E750">IF($B750="","",INDEX('Gap reference'!$G$2:$G$60,MATCH($B750,'Gap reference'!$A$2:$A$60,0)))</f>
        <v/>
      </c>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26" t="str">
        <f t="array" ref="C751">IF($B751="","",INDEX('Gap reference'!$C$2:$C$60,MATCH($B751,'Gap reference'!$A$2:$A$60,0)))</f>
        <v/>
      </c>
      <c r="D751" s="26" t="str">
        <f t="array" ref="D751">IF($B751="","",INDEX('Gap reference'!$D$2:$D$60,MATCH($B751,'Gap reference'!$A$2:$A$60,0)))</f>
        <v/>
      </c>
      <c r="E751" s="26" t="str">
        <f t="array" ref="E751">IF($B751="","",INDEX('Gap reference'!$G$2:$G$60,MATCH($B751,'Gap reference'!$A$2:$A$60,0)))</f>
        <v/>
      </c>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26" t="str">
        <f t="array" ref="C752">IF($B752="","",INDEX('Gap reference'!$C$2:$C$60,MATCH($B752,'Gap reference'!$A$2:$A$60,0)))</f>
        <v/>
      </c>
      <c r="D752" s="26" t="str">
        <f t="array" ref="D752">IF($B752="","",INDEX('Gap reference'!$D$2:$D$60,MATCH($B752,'Gap reference'!$A$2:$A$60,0)))</f>
        <v/>
      </c>
      <c r="E752" s="26" t="str">
        <f t="array" ref="E752">IF($B752="","",INDEX('Gap reference'!$G$2:$G$60,MATCH($B752,'Gap reference'!$A$2:$A$60,0)))</f>
        <v/>
      </c>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26" t="str">
        <f t="array" ref="C753">IF($B753="","",INDEX('Gap reference'!$C$2:$C$60,MATCH($B753,'Gap reference'!$A$2:$A$60,0)))</f>
        <v/>
      </c>
      <c r="D753" s="26" t="str">
        <f t="array" ref="D753">IF($B753="","",INDEX('Gap reference'!$D$2:$D$60,MATCH($B753,'Gap reference'!$A$2:$A$60,0)))</f>
        <v/>
      </c>
      <c r="E753" s="26" t="str">
        <f t="array" ref="E753">IF($B753="","",INDEX('Gap reference'!$G$2:$G$60,MATCH($B753,'Gap reference'!$A$2:$A$60,0)))</f>
        <v/>
      </c>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26" t="str">
        <f t="array" ref="C754">IF($B754="","",INDEX('Gap reference'!$C$2:$C$60,MATCH($B754,'Gap reference'!$A$2:$A$60,0)))</f>
        <v/>
      </c>
      <c r="D754" s="26" t="str">
        <f t="array" ref="D754">IF($B754="","",INDEX('Gap reference'!$D$2:$D$60,MATCH($B754,'Gap reference'!$A$2:$A$60,0)))</f>
        <v/>
      </c>
      <c r="E754" s="26" t="str">
        <f t="array" ref="E754">IF($B754="","",INDEX('Gap reference'!$G$2:$G$60,MATCH($B754,'Gap reference'!$A$2:$A$60,0)))</f>
        <v/>
      </c>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26" t="str">
        <f t="array" ref="C755">IF($B755="","",INDEX('Gap reference'!$C$2:$C$60,MATCH($B755,'Gap reference'!$A$2:$A$60,0)))</f>
        <v/>
      </c>
      <c r="D755" s="26" t="str">
        <f t="array" ref="D755">IF($B755="","",INDEX('Gap reference'!$D$2:$D$60,MATCH($B755,'Gap reference'!$A$2:$A$60,0)))</f>
        <v/>
      </c>
      <c r="E755" s="26" t="str">
        <f t="array" ref="E755">IF($B755="","",INDEX('Gap reference'!$G$2:$G$60,MATCH($B755,'Gap reference'!$A$2:$A$60,0)))</f>
        <v/>
      </c>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26" t="str">
        <f t="array" ref="C756">IF($B756="","",INDEX('Gap reference'!$C$2:$C$60,MATCH($B756,'Gap reference'!$A$2:$A$60,0)))</f>
        <v/>
      </c>
      <c r="D756" s="26" t="str">
        <f t="array" ref="D756">IF($B756="","",INDEX('Gap reference'!$D$2:$D$60,MATCH($B756,'Gap reference'!$A$2:$A$60,0)))</f>
        <v/>
      </c>
      <c r="E756" s="26" t="str">
        <f t="array" ref="E756">IF($B756="","",INDEX('Gap reference'!$G$2:$G$60,MATCH($B756,'Gap reference'!$A$2:$A$60,0)))</f>
        <v/>
      </c>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26" t="str">
        <f t="array" ref="C757">IF($B757="","",INDEX('Gap reference'!$C$2:$C$60,MATCH($B757,'Gap reference'!$A$2:$A$60,0)))</f>
        <v/>
      </c>
      <c r="D757" s="26" t="str">
        <f t="array" ref="D757">IF($B757="","",INDEX('Gap reference'!$D$2:$D$60,MATCH($B757,'Gap reference'!$A$2:$A$60,0)))</f>
        <v/>
      </c>
      <c r="E757" s="26" t="str">
        <f t="array" ref="E757">IF($B757="","",INDEX('Gap reference'!$G$2:$G$60,MATCH($B757,'Gap reference'!$A$2:$A$60,0)))</f>
        <v/>
      </c>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26" t="str">
        <f t="array" ref="C758">IF($B758="","",INDEX('Gap reference'!$C$2:$C$60,MATCH($B758,'Gap reference'!$A$2:$A$60,0)))</f>
        <v/>
      </c>
      <c r="D758" s="26" t="str">
        <f t="array" ref="D758">IF($B758="","",INDEX('Gap reference'!$D$2:$D$60,MATCH($B758,'Gap reference'!$A$2:$A$60,0)))</f>
        <v/>
      </c>
      <c r="E758" s="26" t="str">
        <f t="array" ref="E758">IF($B758="","",INDEX('Gap reference'!$G$2:$G$60,MATCH($B758,'Gap reference'!$A$2:$A$60,0)))</f>
        <v/>
      </c>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26" t="str">
        <f t="array" ref="C759">IF($B759="","",INDEX('Gap reference'!$C$2:$C$60,MATCH($B759,'Gap reference'!$A$2:$A$60,0)))</f>
        <v/>
      </c>
      <c r="D759" s="26" t="str">
        <f t="array" ref="D759">IF($B759="","",INDEX('Gap reference'!$D$2:$D$60,MATCH($B759,'Gap reference'!$A$2:$A$60,0)))</f>
        <v/>
      </c>
      <c r="E759" s="26" t="str">
        <f t="array" ref="E759">IF($B759="","",INDEX('Gap reference'!$G$2:$G$60,MATCH($B759,'Gap reference'!$A$2:$A$60,0)))</f>
        <v/>
      </c>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26" t="str">
        <f t="array" ref="C760">IF($B760="","",INDEX('Gap reference'!$C$2:$C$60,MATCH($B760,'Gap reference'!$A$2:$A$60,0)))</f>
        <v/>
      </c>
      <c r="D760" s="26" t="str">
        <f t="array" ref="D760">IF($B760="","",INDEX('Gap reference'!$D$2:$D$60,MATCH($B760,'Gap reference'!$A$2:$A$60,0)))</f>
        <v/>
      </c>
      <c r="E760" s="26" t="str">
        <f t="array" ref="E760">IF($B760="","",INDEX('Gap reference'!$G$2:$G$60,MATCH($B760,'Gap reference'!$A$2:$A$60,0)))</f>
        <v/>
      </c>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26" t="str">
        <f t="array" ref="C761">IF($B761="","",INDEX('Gap reference'!$C$2:$C$60,MATCH($B761,'Gap reference'!$A$2:$A$60,0)))</f>
        <v/>
      </c>
      <c r="D761" s="26" t="str">
        <f t="array" ref="D761">IF($B761="","",INDEX('Gap reference'!$D$2:$D$60,MATCH($B761,'Gap reference'!$A$2:$A$60,0)))</f>
        <v/>
      </c>
      <c r="E761" s="26" t="str">
        <f t="array" ref="E761">IF($B761="","",INDEX('Gap reference'!$G$2:$G$60,MATCH($B761,'Gap reference'!$A$2:$A$60,0)))</f>
        <v/>
      </c>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26" t="str">
        <f t="array" ref="C762">IF($B762="","",INDEX('Gap reference'!$C$2:$C$60,MATCH($B762,'Gap reference'!$A$2:$A$60,0)))</f>
        <v/>
      </c>
      <c r="D762" s="26" t="str">
        <f t="array" ref="D762">IF($B762="","",INDEX('Gap reference'!$D$2:$D$60,MATCH($B762,'Gap reference'!$A$2:$A$60,0)))</f>
        <v/>
      </c>
      <c r="E762" s="26" t="str">
        <f t="array" ref="E762">IF($B762="","",INDEX('Gap reference'!$G$2:$G$60,MATCH($B762,'Gap reference'!$A$2:$A$60,0)))</f>
        <v/>
      </c>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26" t="str">
        <f t="array" ref="C763">IF($B763="","",INDEX('Gap reference'!$C$2:$C$60,MATCH($B763,'Gap reference'!$A$2:$A$60,0)))</f>
        <v/>
      </c>
      <c r="D763" s="26" t="str">
        <f t="array" ref="D763">IF($B763="","",INDEX('Gap reference'!$D$2:$D$60,MATCH($B763,'Gap reference'!$A$2:$A$60,0)))</f>
        <v/>
      </c>
      <c r="E763" s="26" t="str">
        <f t="array" ref="E763">IF($B763="","",INDEX('Gap reference'!$G$2:$G$60,MATCH($B763,'Gap reference'!$A$2:$A$60,0)))</f>
        <v/>
      </c>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26" t="str">
        <f t="array" ref="C764">IF($B764="","",INDEX('Gap reference'!$C$2:$C$60,MATCH($B764,'Gap reference'!$A$2:$A$60,0)))</f>
        <v/>
      </c>
      <c r="D764" s="26" t="str">
        <f t="array" ref="D764">IF($B764="","",INDEX('Gap reference'!$D$2:$D$60,MATCH($B764,'Gap reference'!$A$2:$A$60,0)))</f>
        <v/>
      </c>
      <c r="E764" s="26" t="str">
        <f t="array" ref="E764">IF($B764="","",INDEX('Gap reference'!$G$2:$G$60,MATCH($B764,'Gap reference'!$A$2:$A$60,0)))</f>
        <v/>
      </c>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26" t="str">
        <f t="array" ref="C765">IF($B765="","",INDEX('Gap reference'!$C$2:$C$60,MATCH($B765,'Gap reference'!$A$2:$A$60,0)))</f>
        <v/>
      </c>
      <c r="D765" s="26" t="str">
        <f t="array" ref="D765">IF($B765="","",INDEX('Gap reference'!$D$2:$D$60,MATCH($B765,'Gap reference'!$A$2:$A$60,0)))</f>
        <v/>
      </c>
      <c r="E765" s="26" t="str">
        <f t="array" ref="E765">IF($B765="","",INDEX('Gap reference'!$G$2:$G$60,MATCH($B765,'Gap reference'!$A$2:$A$60,0)))</f>
        <v/>
      </c>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26" t="str">
        <f t="array" ref="C766">IF($B766="","",INDEX('Gap reference'!$C$2:$C$60,MATCH($B766,'Gap reference'!$A$2:$A$60,0)))</f>
        <v/>
      </c>
      <c r="D766" s="26" t="str">
        <f t="array" ref="D766">IF($B766="","",INDEX('Gap reference'!$D$2:$D$60,MATCH($B766,'Gap reference'!$A$2:$A$60,0)))</f>
        <v/>
      </c>
      <c r="E766" s="26" t="str">
        <f t="array" ref="E766">IF($B766="","",INDEX('Gap reference'!$G$2:$G$60,MATCH($B766,'Gap reference'!$A$2:$A$60,0)))</f>
        <v/>
      </c>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26" t="str">
        <f t="array" ref="C767">IF($B767="","",INDEX('Gap reference'!$C$2:$C$60,MATCH($B767,'Gap reference'!$A$2:$A$60,0)))</f>
        <v/>
      </c>
      <c r="D767" s="26" t="str">
        <f t="array" ref="D767">IF($B767="","",INDEX('Gap reference'!$D$2:$D$60,MATCH($B767,'Gap reference'!$A$2:$A$60,0)))</f>
        <v/>
      </c>
      <c r="E767" s="26" t="str">
        <f t="array" ref="E767">IF($B767="","",INDEX('Gap reference'!$G$2:$G$60,MATCH($B767,'Gap reference'!$A$2:$A$60,0)))</f>
        <v/>
      </c>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26" t="str">
        <f t="array" ref="C768">IF($B768="","",INDEX('Gap reference'!$C$2:$C$60,MATCH($B768,'Gap reference'!$A$2:$A$60,0)))</f>
        <v/>
      </c>
      <c r="D768" s="26" t="str">
        <f t="array" ref="D768">IF($B768="","",INDEX('Gap reference'!$D$2:$D$60,MATCH($B768,'Gap reference'!$A$2:$A$60,0)))</f>
        <v/>
      </c>
      <c r="E768" s="26" t="str">
        <f t="array" ref="E768">IF($B768="","",INDEX('Gap reference'!$G$2:$G$60,MATCH($B768,'Gap reference'!$A$2:$A$60,0)))</f>
        <v/>
      </c>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26" t="str">
        <f t="array" ref="C769">IF($B769="","",INDEX('Gap reference'!$C$2:$C$60,MATCH($B769,'Gap reference'!$A$2:$A$60,0)))</f>
        <v/>
      </c>
      <c r="D769" s="26" t="str">
        <f t="array" ref="D769">IF($B769="","",INDEX('Gap reference'!$D$2:$D$60,MATCH($B769,'Gap reference'!$A$2:$A$60,0)))</f>
        <v/>
      </c>
      <c r="E769" s="26" t="str">
        <f t="array" ref="E769">IF($B769="","",INDEX('Gap reference'!$G$2:$G$60,MATCH($B769,'Gap reference'!$A$2:$A$60,0)))</f>
        <v/>
      </c>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26" t="str">
        <f t="array" ref="C770">IF($B770="","",INDEX('Gap reference'!$C$2:$C$60,MATCH($B770,'Gap reference'!$A$2:$A$60,0)))</f>
        <v/>
      </c>
      <c r="D770" s="26" t="str">
        <f t="array" ref="D770">IF($B770="","",INDEX('Gap reference'!$D$2:$D$60,MATCH($B770,'Gap reference'!$A$2:$A$60,0)))</f>
        <v/>
      </c>
      <c r="E770" s="26" t="str">
        <f t="array" ref="E770">IF($B770="","",INDEX('Gap reference'!$G$2:$G$60,MATCH($B770,'Gap reference'!$A$2:$A$60,0)))</f>
        <v/>
      </c>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26" t="str">
        <f t="array" ref="C771">IF($B771="","",INDEX('Gap reference'!$C$2:$C$60,MATCH($B771,'Gap reference'!$A$2:$A$60,0)))</f>
        <v/>
      </c>
      <c r="D771" s="26" t="str">
        <f t="array" ref="D771">IF($B771="","",INDEX('Gap reference'!$D$2:$D$60,MATCH($B771,'Gap reference'!$A$2:$A$60,0)))</f>
        <v/>
      </c>
      <c r="E771" s="26" t="str">
        <f t="array" ref="E771">IF($B771="","",INDEX('Gap reference'!$G$2:$G$60,MATCH($B771,'Gap reference'!$A$2:$A$60,0)))</f>
        <v/>
      </c>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26" t="str">
        <f t="array" ref="C772">IF($B772="","",INDEX('Gap reference'!$C$2:$C$60,MATCH($B772,'Gap reference'!$A$2:$A$60,0)))</f>
        <v/>
      </c>
      <c r="D772" s="26" t="str">
        <f t="array" ref="D772">IF($B772="","",INDEX('Gap reference'!$D$2:$D$60,MATCH($B772,'Gap reference'!$A$2:$A$60,0)))</f>
        <v/>
      </c>
      <c r="E772" s="26" t="str">
        <f t="array" ref="E772">IF($B772="","",INDEX('Gap reference'!$G$2:$G$60,MATCH($B772,'Gap reference'!$A$2:$A$60,0)))</f>
        <v/>
      </c>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26" t="str">
        <f t="array" ref="C773">IF($B773="","",INDEX('Gap reference'!$C$2:$C$60,MATCH($B773,'Gap reference'!$A$2:$A$60,0)))</f>
        <v/>
      </c>
      <c r="D773" s="26" t="str">
        <f t="array" ref="D773">IF($B773="","",INDEX('Gap reference'!$D$2:$D$60,MATCH($B773,'Gap reference'!$A$2:$A$60,0)))</f>
        <v/>
      </c>
      <c r="E773" s="26" t="str">
        <f t="array" ref="E773">IF($B773="","",INDEX('Gap reference'!$G$2:$G$60,MATCH($B773,'Gap reference'!$A$2:$A$60,0)))</f>
        <v/>
      </c>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26" t="str">
        <f t="array" ref="C774">IF($B774="","",INDEX('Gap reference'!$C$2:$C$60,MATCH($B774,'Gap reference'!$A$2:$A$60,0)))</f>
        <v/>
      </c>
      <c r="D774" s="26" t="str">
        <f t="array" ref="D774">IF($B774="","",INDEX('Gap reference'!$D$2:$D$60,MATCH($B774,'Gap reference'!$A$2:$A$60,0)))</f>
        <v/>
      </c>
      <c r="E774" s="26" t="str">
        <f t="array" ref="E774">IF($B774="","",INDEX('Gap reference'!$G$2:$G$60,MATCH($B774,'Gap reference'!$A$2:$A$60,0)))</f>
        <v/>
      </c>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26" t="str">
        <f t="array" ref="C775">IF($B775="","",INDEX('Gap reference'!$C$2:$C$60,MATCH($B775,'Gap reference'!$A$2:$A$60,0)))</f>
        <v/>
      </c>
      <c r="D775" s="26" t="str">
        <f t="array" ref="D775">IF($B775="","",INDEX('Gap reference'!$D$2:$D$60,MATCH($B775,'Gap reference'!$A$2:$A$60,0)))</f>
        <v/>
      </c>
      <c r="E775" s="26" t="str">
        <f t="array" ref="E775">IF($B775="","",INDEX('Gap reference'!$G$2:$G$60,MATCH($B775,'Gap reference'!$A$2:$A$60,0)))</f>
        <v/>
      </c>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26" t="str">
        <f t="array" ref="C776">IF($B776="","",INDEX('Gap reference'!$C$2:$C$60,MATCH($B776,'Gap reference'!$A$2:$A$60,0)))</f>
        <v/>
      </c>
      <c r="D776" s="26" t="str">
        <f t="array" ref="D776">IF($B776="","",INDEX('Gap reference'!$D$2:$D$60,MATCH($B776,'Gap reference'!$A$2:$A$60,0)))</f>
        <v/>
      </c>
      <c r="E776" s="26" t="str">
        <f t="array" ref="E776">IF($B776="","",INDEX('Gap reference'!$G$2:$G$60,MATCH($B776,'Gap reference'!$A$2:$A$60,0)))</f>
        <v/>
      </c>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26" t="str">
        <f t="array" ref="C777">IF($B777="","",INDEX('Gap reference'!$C$2:$C$60,MATCH($B777,'Gap reference'!$A$2:$A$60,0)))</f>
        <v/>
      </c>
      <c r="D777" s="26" t="str">
        <f t="array" ref="D777">IF($B777="","",INDEX('Gap reference'!$D$2:$D$60,MATCH($B777,'Gap reference'!$A$2:$A$60,0)))</f>
        <v/>
      </c>
      <c r="E777" s="26" t="str">
        <f t="array" ref="E777">IF($B777="","",INDEX('Gap reference'!$G$2:$G$60,MATCH($B777,'Gap reference'!$A$2:$A$60,0)))</f>
        <v/>
      </c>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26" t="str">
        <f t="array" ref="C778">IF($B778="","",INDEX('Gap reference'!$C$2:$C$60,MATCH($B778,'Gap reference'!$A$2:$A$60,0)))</f>
        <v/>
      </c>
      <c r="D778" s="26" t="str">
        <f t="array" ref="D778">IF($B778="","",INDEX('Gap reference'!$D$2:$D$60,MATCH($B778,'Gap reference'!$A$2:$A$60,0)))</f>
        <v/>
      </c>
      <c r="E778" s="26" t="str">
        <f t="array" ref="E778">IF($B778="","",INDEX('Gap reference'!$G$2:$G$60,MATCH($B778,'Gap reference'!$A$2:$A$60,0)))</f>
        <v/>
      </c>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26" t="str">
        <f t="array" ref="C779">IF($B779="","",INDEX('Gap reference'!$C$2:$C$60,MATCH($B779,'Gap reference'!$A$2:$A$60,0)))</f>
        <v/>
      </c>
      <c r="D779" s="26" t="str">
        <f t="array" ref="D779">IF($B779="","",INDEX('Gap reference'!$D$2:$D$60,MATCH($B779,'Gap reference'!$A$2:$A$60,0)))</f>
        <v/>
      </c>
      <c r="E779" s="26" t="str">
        <f t="array" ref="E779">IF($B779="","",INDEX('Gap reference'!$G$2:$G$60,MATCH($B779,'Gap reference'!$A$2:$A$60,0)))</f>
        <v/>
      </c>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26" t="str">
        <f t="array" ref="C780">IF($B780="","",INDEX('Gap reference'!$C$2:$C$60,MATCH($B780,'Gap reference'!$A$2:$A$60,0)))</f>
        <v/>
      </c>
      <c r="D780" s="26" t="str">
        <f t="array" ref="D780">IF($B780="","",INDEX('Gap reference'!$D$2:$D$60,MATCH($B780,'Gap reference'!$A$2:$A$60,0)))</f>
        <v/>
      </c>
      <c r="E780" s="26" t="str">
        <f t="array" ref="E780">IF($B780="","",INDEX('Gap reference'!$G$2:$G$60,MATCH($B780,'Gap reference'!$A$2:$A$60,0)))</f>
        <v/>
      </c>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26" t="str">
        <f t="array" ref="C781">IF($B781="","",INDEX('Gap reference'!$C$2:$C$60,MATCH($B781,'Gap reference'!$A$2:$A$60,0)))</f>
        <v/>
      </c>
      <c r="D781" s="26" t="str">
        <f t="array" ref="D781">IF($B781="","",INDEX('Gap reference'!$D$2:$D$60,MATCH($B781,'Gap reference'!$A$2:$A$60,0)))</f>
        <v/>
      </c>
      <c r="E781" s="26" t="str">
        <f t="array" ref="E781">IF($B781="","",INDEX('Gap reference'!$G$2:$G$60,MATCH($B781,'Gap reference'!$A$2:$A$60,0)))</f>
        <v/>
      </c>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26" t="str">
        <f t="array" ref="C782">IF($B782="","",INDEX('Gap reference'!$C$2:$C$60,MATCH($B782,'Gap reference'!$A$2:$A$60,0)))</f>
        <v/>
      </c>
      <c r="D782" s="26" t="str">
        <f t="array" ref="D782">IF($B782="","",INDEX('Gap reference'!$D$2:$D$60,MATCH($B782,'Gap reference'!$A$2:$A$60,0)))</f>
        <v/>
      </c>
      <c r="E782" s="26" t="str">
        <f t="array" ref="E782">IF($B782="","",INDEX('Gap reference'!$G$2:$G$60,MATCH($B782,'Gap reference'!$A$2:$A$60,0)))</f>
        <v/>
      </c>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26" t="str">
        <f t="array" ref="C783">IF($B783="","",INDEX('Gap reference'!$C$2:$C$60,MATCH($B783,'Gap reference'!$A$2:$A$60,0)))</f>
        <v/>
      </c>
      <c r="D783" s="26" t="str">
        <f t="array" ref="D783">IF($B783="","",INDEX('Gap reference'!$D$2:$D$60,MATCH($B783,'Gap reference'!$A$2:$A$60,0)))</f>
        <v/>
      </c>
      <c r="E783" s="26" t="str">
        <f t="array" ref="E783">IF($B783="","",INDEX('Gap reference'!$G$2:$G$60,MATCH($B783,'Gap reference'!$A$2:$A$60,0)))</f>
        <v/>
      </c>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26" t="str">
        <f t="array" ref="C784">IF($B784="","",INDEX('Gap reference'!$C$2:$C$60,MATCH($B784,'Gap reference'!$A$2:$A$60,0)))</f>
        <v/>
      </c>
      <c r="D784" s="26" t="str">
        <f t="array" ref="D784">IF($B784="","",INDEX('Gap reference'!$D$2:$D$60,MATCH($B784,'Gap reference'!$A$2:$A$60,0)))</f>
        <v/>
      </c>
      <c r="E784" s="26" t="str">
        <f t="array" ref="E784">IF($B784="","",INDEX('Gap reference'!$G$2:$G$60,MATCH($B784,'Gap reference'!$A$2:$A$60,0)))</f>
        <v/>
      </c>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26" t="str">
        <f t="array" ref="C785">IF($B785="","",INDEX('Gap reference'!$C$2:$C$60,MATCH($B785,'Gap reference'!$A$2:$A$60,0)))</f>
        <v/>
      </c>
      <c r="D785" s="26" t="str">
        <f t="array" ref="D785">IF($B785="","",INDEX('Gap reference'!$D$2:$D$60,MATCH($B785,'Gap reference'!$A$2:$A$60,0)))</f>
        <v/>
      </c>
      <c r="E785" s="26" t="str">
        <f t="array" ref="E785">IF($B785="","",INDEX('Gap reference'!$G$2:$G$60,MATCH($B785,'Gap reference'!$A$2:$A$60,0)))</f>
        <v/>
      </c>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26" t="str">
        <f t="array" ref="C786">IF($B786="","",INDEX('Gap reference'!$C$2:$C$60,MATCH($B786,'Gap reference'!$A$2:$A$60,0)))</f>
        <v/>
      </c>
      <c r="D786" s="26" t="str">
        <f t="array" ref="D786">IF($B786="","",INDEX('Gap reference'!$D$2:$D$60,MATCH($B786,'Gap reference'!$A$2:$A$60,0)))</f>
        <v/>
      </c>
      <c r="E786" s="26" t="str">
        <f t="array" ref="E786">IF($B786="","",INDEX('Gap reference'!$G$2:$G$60,MATCH($B786,'Gap reference'!$A$2:$A$60,0)))</f>
        <v/>
      </c>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26" t="str">
        <f t="array" ref="C787">IF($B787="","",INDEX('Gap reference'!$C$2:$C$60,MATCH($B787,'Gap reference'!$A$2:$A$60,0)))</f>
        <v/>
      </c>
      <c r="D787" s="26" t="str">
        <f t="array" ref="D787">IF($B787="","",INDEX('Gap reference'!$D$2:$D$60,MATCH($B787,'Gap reference'!$A$2:$A$60,0)))</f>
        <v/>
      </c>
      <c r="E787" s="26" t="str">
        <f t="array" ref="E787">IF($B787="","",INDEX('Gap reference'!$G$2:$G$60,MATCH($B787,'Gap reference'!$A$2:$A$60,0)))</f>
        <v/>
      </c>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26" t="str">
        <f t="array" ref="C788">IF($B788="","",INDEX('Gap reference'!$C$2:$C$60,MATCH($B788,'Gap reference'!$A$2:$A$60,0)))</f>
        <v/>
      </c>
      <c r="D788" s="26" t="str">
        <f t="array" ref="D788">IF($B788="","",INDEX('Gap reference'!$D$2:$D$60,MATCH($B788,'Gap reference'!$A$2:$A$60,0)))</f>
        <v/>
      </c>
      <c r="E788" s="26" t="str">
        <f t="array" ref="E788">IF($B788="","",INDEX('Gap reference'!$G$2:$G$60,MATCH($B788,'Gap reference'!$A$2:$A$60,0)))</f>
        <v/>
      </c>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26" t="str">
        <f t="array" ref="C789">IF($B789="","",INDEX('Gap reference'!$C$2:$C$60,MATCH($B789,'Gap reference'!$A$2:$A$60,0)))</f>
        <v/>
      </c>
      <c r="D789" s="26" t="str">
        <f t="array" ref="D789">IF($B789="","",INDEX('Gap reference'!$D$2:$D$60,MATCH($B789,'Gap reference'!$A$2:$A$60,0)))</f>
        <v/>
      </c>
      <c r="E789" s="26" t="str">
        <f t="array" ref="E789">IF($B789="","",INDEX('Gap reference'!$G$2:$G$60,MATCH($B789,'Gap reference'!$A$2:$A$60,0)))</f>
        <v/>
      </c>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26" t="str">
        <f t="array" ref="C790">IF($B790="","",INDEX('Gap reference'!$C$2:$C$60,MATCH($B790,'Gap reference'!$A$2:$A$60,0)))</f>
        <v/>
      </c>
      <c r="D790" s="26" t="str">
        <f t="array" ref="D790">IF($B790="","",INDEX('Gap reference'!$D$2:$D$60,MATCH($B790,'Gap reference'!$A$2:$A$60,0)))</f>
        <v/>
      </c>
      <c r="E790" s="26" t="str">
        <f t="array" ref="E790">IF($B790="","",INDEX('Gap reference'!$G$2:$G$60,MATCH($B790,'Gap reference'!$A$2:$A$60,0)))</f>
        <v/>
      </c>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26" t="str">
        <f t="array" ref="C791">IF($B791="","",INDEX('Gap reference'!$C$2:$C$60,MATCH($B791,'Gap reference'!$A$2:$A$60,0)))</f>
        <v/>
      </c>
      <c r="D791" s="26" t="str">
        <f t="array" ref="D791">IF($B791="","",INDEX('Gap reference'!$D$2:$D$60,MATCH($B791,'Gap reference'!$A$2:$A$60,0)))</f>
        <v/>
      </c>
      <c r="E791" s="26" t="str">
        <f t="array" ref="E791">IF($B791="","",INDEX('Gap reference'!$G$2:$G$60,MATCH($B791,'Gap reference'!$A$2:$A$60,0)))</f>
        <v/>
      </c>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26" t="str">
        <f t="array" ref="C792">IF($B792="","",INDEX('Gap reference'!$C$2:$C$60,MATCH($B792,'Gap reference'!$A$2:$A$60,0)))</f>
        <v/>
      </c>
      <c r="D792" s="26" t="str">
        <f t="array" ref="D792">IF($B792="","",INDEX('Gap reference'!$D$2:$D$60,MATCH($B792,'Gap reference'!$A$2:$A$60,0)))</f>
        <v/>
      </c>
      <c r="E792" s="26" t="str">
        <f t="array" ref="E792">IF($B792="","",INDEX('Gap reference'!$G$2:$G$60,MATCH($B792,'Gap reference'!$A$2:$A$60,0)))</f>
        <v/>
      </c>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26" t="str">
        <f t="array" ref="C793">IF($B793="","",INDEX('Gap reference'!$C$2:$C$60,MATCH($B793,'Gap reference'!$A$2:$A$60,0)))</f>
        <v/>
      </c>
      <c r="D793" s="26" t="str">
        <f t="array" ref="D793">IF($B793="","",INDEX('Gap reference'!$D$2:$D$60,MATCH($B793,'Gap reference'!$A$2:$A$60,0)))</f>
        <v/>
      </c>
      <c r="E793" s="26" t="str">
        <f t="array" ref="E793">IF($B793="","",INDEX('Gap reference'!$G$2:$G$60,MATCH($B793,'Gap reference'!$A$2:$A$60,0)))</f>
        <v/>
      </c>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26" t="str">
        <f t="array" ref="C794">IF($B794="","",INDEX('Gap reference'!$C$2:$C$60,MATCH($B794,'Gap reference'!$A$2:$A$60,0)))</f>
        <v/>
      </c>
      <c r="D794" s="26" t="str">
        <f t="array" ref="D794">IF($B794="","",INDEX('Gap reference'!$D$2:$D$60,MATCH($B794,'Gap reference'!$A$2:$A$60,0)))</f>
        <v/>
      </c>
      <c r="E794" s="26" t="str">
        <f t="array" ref="E794">IF($B794="","",INDEX('Gap reference'!$G$2:$G$60,MATCH($B794,'Gap reference'!$A$2:$A$60,0)))</f>
        <v/>
      </c>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26" t="str">
        <f t="array" ref="C795">IF($B795="","",INDEX('Gap reference'!$C$2:$C$60,MATCH($B795,'Gap reference'!$A$2:$A$60,0)))</f>
        <v/>
      </c>
      <c r="D795" s="26" t="str">
        <f t="array" ref="D795">IF($B795="","",INDEX('Gap reference'!$D$2:$D$60,MATCH($B795,'Gap reference'!$A$2:$A$60,0)))</f>
        <v/>
      </c>
      <c r="E795" s="26" t="str">
        <f t="array" ref="E795">IF($B795="","",INDEX('Gap reference'!$G$2:$G$60,MATCH($B795,'Gap reference'!$A$2:$A$60,0)))</f>
        <v/>
      </c>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26" t="str">
        <f t="array" ref="C796">IF($B796="","",INDEX('Gap reference'!$C$2:$C$60,MATCH($B796,'Gap reference'!$A$2:$A$60,0)))</f>
        <v/>
      </c>
      <c r="D796" s="26" t="str">
        <f t="array" ref="D796">IF($B796="","",INDEX('Gap reference'!$D$2:$D$60,MATCH($B796,'Gap reference'!$A$2:$A$60,0)))</f>
        <v/>
      </c>
      <c r="E796" s="26" t="str">
        <f t="array" ref="E796">IF($B796="","",INDEX('Gap reference'!$G$2:$G$60,MATCH($B796,'Gap reference'!$A$2:$A$60,0)))</f>
        <v/>
      </c>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26" t="str">
        <f t="array" ref="C797">IF($B797="","",INDEX('Gap reference'!$C$2:$C$60,MATCH($B797,'Gap reference'!$A$2:$A$60,0)))</f>
        <v/>
      </c>
      <c r="D797" s="26" t="str">
        <f t="array" ref="D797">IF($B797="","",INDEX('Gap reference'!$D$2:$D$60,MATCH($B797,'Gap reference'!$A$2:$A$60,0)))</f>
        <v/>
      </c>
      <c r="E797" s="26" t="str">
        <f t="array" ref="E797">IF($B797="","",INDEX('Gap reference'!$G$2:$G$60,MATCH($B797,'Gap reference'!$A$2:$A$60,0)))</f>
        <v/>
      </c>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26" t="str">
        <f t="array" ref="C798">IF($B798="","",INDEX('Gap reference'!$C$2:$C$60,MATCH($B798,'Gap reference'!$A$2:$A$60,0)))</f>
        <v/>
      </c>
      <c r="D798" s="26" t="str">
        <f t="array" ref="D798">IF($B798="","",INDEX('Gap reference'!$D$2:$D$60,MATCH($B798,'Gap reference'!$A$2:$A$60,0)))</f>
        <v/>
      </c>
      <c r="E798" s="26" t="str">
        <f t="array" ref="E798">IF($B798="","",INDEX('Gap reference'!$G$2:$G$60,MATCH($B798,'Gap reference'!$A$2:$A$60,0)))</f>
        <v/>
      </c>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26" t="str">
        <f t="array" ref="C799">IF($B799="","",INDEX('Gap reference'!$C$2:$C$60,MATCH($B799,'Gap reference'!$A$2:$A$60,0)))</f>
        <v/>
      </c>
      <c r="D799" s="26" t="str">
        <f t="array" ref="D799">IF($B799="","",INDEX('Gap reference'!$D$2:$D$60,MATCH($B799,'Gap reference'!$A$2:$A$60,0)))</f>
        <v/>
      </c>
      <c r="E799" s="26" t="str">
        <f t="array" ref="E799">IF($B799="","",INDEX('Gap reference'!$G$2:$G$60,MATCH($B799,'Gap reference'!$A$2:$A$60,0)))</f>
        <v/>
      </c>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26" t="str">
        <f t="array" ref="C800">IF($B800="","",INDEX('Gap reference'!$C$2:$C$60,MATCH($B800,'Gap reference'!$A$2:$A$60,0)))</f>
        <v/>
      </c>
      <c r="D800" s="26" t="str">
        <f t="array" ref="D800">IF($B800="","",INDEX('Gap reference'!$D$2:$D$60,MATCH($B800,'Gap reference'!$A$2:$A$60,0)))</f>
        <v/>
      </c>
      <c r="E800" s="26" t="str">
        <f t="array" ref="E800">IF($B800="","",INDEX('Gap reference'!$G$2:$G$60,MATCH($B800,'Gap reference'!$A$2:$A$60,0)))</f>
        <v/>
      </c>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26" t="str">
        <f t="array" ref="C801">IF($B801="","",INDEX('Gap reference'!$C$2:$C$60,MATCH($B801,'Gap reference'!$A$2:$A$60,0)))</f>
        <v/>
      </c>
      <c r="D801" s="26" t="str">
        <f t="array" ref="D801">IF($B801="","",INDEX('Gap reference'!$D$2:$D$60,MATCH($B801,'Gap reference'!$A$2:$A$60,0)))</f>
        <v/>
      </c>
      <c r="E801" s="26" t="str">
        <f t="array" ref="E801">IF($B801="","",INDEX('Gap reference'!$G$2:$G$60,MATCH($B801,'Gap reference'!$A$2:$A$60,0)))</f>
        <v/>
      </c>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26" t="str">
        <f t="array" ref="C802">IF($B802="","",INDEX('Gap reference'!$C$2:$C$60,MATCH($B802,'Gap reference'!$A$2:$A$60,0)))</f>
        <v/>
      </c>
      <c r="D802" s="26" t="str">
        <f t="array" ref="D802">IF($B802="","",INDEX('Gap reference'!$D$2:$D$60,MATCH($B802,'Gap reference'!$A$2:$A$60,0)))</f>
        <v/>
      </c>
      <c r="E802" s="26" t="str">
        <f t="array" ref="E802">IF($B802="","",INDEX('Gap reference'!$G$2:$G$60,MATCH($B802,'Gap reference'!$A$2:$A$60,0)))</f>
        <v/>
      </c>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26" t="str">
        <f t="array" ref="C803">IF($B803="","",INDEX('Gap reference'!$C$2:$C$60,MATCH($B803,'Gap reference'!$A$2:$A$60,0)))</f>
        <v/>
      </c>
      <c r="D803" s="26" t="str">
        <f t="array" ref="D803">IF($B803="","",INDEX('Gap reference'!$D$2:$D$60,MATCH($B803,'Gap reference'!$A$2:$A$60,0)))</f>
        <v/>
      </c>
      <c r="E803" s="26" t="str">
        <f t="array" ref="E803">IF($B803="","",INDEX('Gap reference'!$G$2:$G$60,MATCH($B803,'Gap reference'!$A$2:$A$60,0)))</f>
        <v/>
      </c>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26" t="str">
        <f t="array" ref="C804">IF($B804="","",INDEX('Gap reference'!$C$2:$C$60,MATCH($B804,'Gap reference'!$A$2:$A$60,0)))</f>
        <v/>
      </c>
      <c r="D804" s="26" t="str">
        <f t="array" ref="D804">IF($B804="","",INDEX('Gap reference'!$D$2:$D$60,MATCH($B804,'Gap reference'!$A$2:$A$60,0)))</f>
        <v/>
      </c>
      <c r="E804" s="26" t="str">
        <f t="array" ref="E804">IF($B804="","",INDEX('Gap reference'!$G$2:$G$60,MATCH($B804,'Gap reference'!$A$2:$A$60,0)))</f>
        <v/>
      </c>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26" t="str">
        <f t="array" ref="C805">IF($B805="","",INDEX('Gap reference'!$C$2:$C$60,MATCH($B805,'Gap reference'!$A$2:$A$60,0)))</f>
        <v/>
      </c>
      <c r="D805" s="26" t="str">
        <f t="array" ref="D805">IF($B805="","",INDEX('Gap reference'!$D$2:$D$60,MATCH($B805,'Gap reference'!$A$2:$A$60,0)))</f>
        <v/>
      </c>
      <c r="E805" s="26" t="str">
        <f t="array" ref="E805">IF($B805="","",INDEX('Gap reference'!$G$2:$G$60,MATCH($B805,'Gap reference'!$A$2:$A$60,0)))</f>
        <v/>
      </c>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26" t="str">
        <f t="array" ref="C806">IF($B806="","",INDEX('Gap reference'!$C$2:$C$60,MATCH($B806,'Gap reference'!$A$2:$A$60,0)))</f>
        <v/>
      </c>
      <c r="D806" s="26" t="str">
        <f t="array" ref="D806">IF($B806="","",INDEX('Gap reference'!$D$2:$D$60,MATCH($B806,'Gap reference'!$A$2:$A$60,0)))</f>
        <v/>
      </c>
      <c r="E806" s="26" t="str">
        <f t="array" ref="E806">IF($B806="","",INDEX('Gap reference'!$G$2:$G$60,MATCH($B806,'Gap reference'!$A$2:$A$60,0)))</f>
        <v/>
      </c>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26" t="str">
        <f t="array" ref="C807">IF($B807="","",INDEX('Gap reference'!$C$2:$C$60,MATCH($B807,'Gap reference'!$A$2:$A$60,0)))</f>
        <v/>
      </c>
      <c r="D807" s="26" t="str">
        <f t="array" ref="D807">IF($B807="","",INDEX('Gap reference'!$D$2:$D$60,MATCH($B807,'Gap reference'!$A$2:$A$60,0)))</f>
        <v/>
      </c>
      <c r="E807" s="26" t="str">
        <f t="array" ref="E807">IF($B807="","",INDEX('Gap reference'!$G$2:$G$60,MATCH($B807,'Gap reference'!$A$2:$A$60,0)))</f>
        <v/>
      </c>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26" t="str">
        <f t="array" ref="C808">IF($B808="","",INDEX('Gap reference'!$C$2:$C$60,MATCH($B808,'Gap reference'!$A$2:$A$60,0)))</f>
        <v/>
      </c>
      <c r="D808" s="26" t="str">
        <f t="array" ref="D808">IF($B808="","",INDEX('Gap reference'!$D$2:$D$60,MATCH($B808,'Gap reference'!$A$2:$A$60,0)))</f>
        <v/>
      </c>
      <c r="E808" s="26" t="str">
        <f t="array" ref="E808">IF($B808="","",INDEX('Gap reference'!$G$2:$G$60,MATCH($B808,'Gap reference'!$A$2:$A$60,0)))</f>
        <v/>
      </c>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26" t="str">
        <f t="array" ref="C809">IF($B809="","",INDEX('Gap reference'!$C$2:$C$60,MATCH($B809,'Gap reference'!$A$2:$A$60,0)))</f>
        <v/>
      </c>
      <c r="D809" s="26" t="str">
        <f t="array" ref="D809">IF($B809="","",INDEX('Gap reference'!$D$2:$D$60,MATCH($B809,'Gap reference'!$A$2:$A$60,0)))</f>
        <v/>
      </c>
      <c r="E809" s="26" t="str">
        <f t="array" ref="E809">IF($B809="","",INDEX('Gap reference'!$G$2:$G$60,MATCH($B809,'Gap reference'!$A$2:$A$60,0)))</f>
        <v/>
      </c>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26" t="str">
        <f t="array" ref="C810">IF($B810="","",INDEX('Gap reference'!$C$2:$C$60,MATCH($B810,'Gap reference'!$A$2:$A$60,0)))</f>
        <v/>
      </c>
      <c r="D810" s="26" t="str">
        <f t="array" ref="D810">IF($B810="","",INDEX('Gap reference'!$D$2:$D$60,MATCH($B810,'Gap reference'!$A$2:$A$60,0)))</f>
        <v/>
      </c>
      <c r="E810" s="26" t="str">
        <f t="array" ref="E810">IF($B810="","",INDEX('Gap reference'!$G$2:$G$60,MATCH($B810,'Gap reference'!$A$2:$A$60,0)))</f>
        <v/>
      </c>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26" t="str">
        <f t="array" ref="C811">IF($B811="","",INDEX('Gap reference'!$C$2:$C$60,MATCH($B811,'Gap reference'!$A$2:$A$60,0)))</f>
        <v/>
      </c>
      <c r="D811" s="26" t="str">
        <f t="array" ref="D811">IF($B811="","",INDEX('Gap reference'!$D$2:$D$60,MATCH($B811,'Gap reference'!$A$2:$A$60,0)))</f>
        <v/>
      </c>
      <c r="E811" s="26" t="str">
        <f t="array" ref="E811">IF($B811="","",INDEX('Gap reference'!$G$2:$G$60,MATCH($B811,'Gap reference'!$A$2:$A$60,0)))</f>
        <v/>
      </c>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26" t="str">
        <f t="array" ref="C812">IF($B812="","",INDEX('Gap reference'!$C$2:$C$60,MATCH($B812,'Gap reference'!$A$2:$A$60,0)))</f>
        <v/>
      </c>
      <c r="D812" s="26" t="str">
        <f t="array" ref="D812">IF($B812="","",INDEX('Gap reference'!$D$2:$D$60,MATCH($B812,'Gap reference'!$A$2:$A$60,0)))</f>
        <v/>
      </c>
      <c r="E812" s="26" t="str">
        <f t="array" ref="E812">IF($B812="","",INDEX('Gap reference'!$G$2:$G$60,MATCH($B812,'Gap reference'!$A$2:$A$60,0)))</f>
        <v/>
      </c>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26" t="str">
        <f t="array" ref="C813">IF($B813="","",INDEX('Gap reference'!$C$2:$C$60,MATCH($B813,'Gap reference'!$A$2:$A$60,0)))</f>
        <v/>
      </c>
      <c r="D813" s="26" t="str">
        <f t="array" ref="D813">IF($B813="","",INDEX('Gap reference'!$D$2:$D$60,MATCH($B813,'Gap reference'!$A$2:$A$60,0)))</f>
        <v/>
      </c>
      <c r="E813" s="26" t="str">
        <f t="array" ref="E813">IF($B813="","",INDEX('Gap reference'!$G$2:$G$60,MATCH($B813,'Gap reference'!$A$2:$A$60,0)))</f>
        <v/>
      </c>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26" t="str">
        <f t="array" ref="C814">IF($B814="","",INDEX('Gap reference'!$C$2:$C$60,MATCH($B814,'Gap reference'!$A$2:$A$60,0)))</f>
        <v/>
      </c>
      <c r="D814" s="26" t="str">
        <f t="array" ref="D814">IF($B814="","",INDEX('Gap reference'!$D$2:$D$60,MATCH($B814,'Gap reference'!$A$2:$A$60,0)))</f>
        <v/>
      </c>
      <c r="E814" s="26" t="str">
        <f t="array" ref="E814">IF($B814="","",INDEX('Gap reference'!$G$2:$G$60,MATCH($B814,'Gap reference'!$A$2:$A$60,0)))</f>
        <v/>
      </c>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26" t="str">
        <f t="array" ref="C815">IF($B815="","",INDEX('Gap reference'!$C$2:$C$60,MATCH($B815,'Gap reference'!$A$2:$A$60,0)))</f>
        <v/>
      </c>
      <c r="D815" s="26" t="str">
        <f t="array" ref="D815">IF($B815="","",INDEX('Gap reference'!$D$2:$D$60,MATCH($B815,'Gap reference'!$A$2:$A$60,0)))</f>
        <v/>
      </c>
      <c r="E815" s="26" t="str">
        <f t="array" ref="E815">IF($B815="","",INDEX('Gap reference'!$G$2:$G$60,MATCH($B815,'Gap reference'!$A$2:$A$60,0)))</f>
        <v/>
      </c>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26" t="str">
        <f t="array" ref="C816">IF($B816="","",INDEX('Gap reference'!$C$2:$C$60,MATCH($B816,'Gap reference'!$A$2:$A$60,0)))</f>
        <v/>
      </c>
      <c r="D816" s="26" t="str">
        <f t="array" ref="D816">IF($B816="","",INDEX('Gap reference'!$D$2:$D$60,MATCH($B816,'Gap reference'!$A$2:$A$60,0)))</f>
        <v/>
      </c>
      <c r="E816" s="26" t="str">
        <f t="array" ref="E816">IF($B816="","",INDEX('Gap reference'!$G$2:$G$60,MATCH($B816,'Gap reference'!$A$2:$A$60,0)))</f>
        <v/>
      </c>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26" t="str">
        <f t="array" ref="C817">IF($B817="","",INDEX('Gap reference'!$C$2:$C$60,MATCH($B817,'Gap reference'!$A$2:$A$60,0)))</f>
        <v/>
      </c>
      <c r="D817" s="26" t="str">
        <f t="array" ref="D817">IF($B817="","",INDEX('Gap reference'!$D$2:$D$60,MATCH($B817,'Gap reference'!$A$2:$A$60,0)))</f>
        <v/>
      </c>
      <c r="E817" s="26" t="str">
        <f t="array" ref="E817">IF($B817="","",INDEX('Gap reference'!$G$2:$G$60,MATCH($B817,'Gap reference'!$A$2:$A$60,0)))</f>
        <v/>
      </c>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26" t="str">
        <f t="array" ref="C818">IF($B818="","",INDEX('Gap reference'!$C$2:$C$60,MATCH($B818,'Gap reference'!$A$2:$A$60,0)))</f>
        <v/>
      </c>
      <c r="D818" s="26" t="str">
        <f t="array" ref="D818">IF($B818="","",INDEX('Gap reference'!$D$2:$D$60,MATCH($B818,'Gap reference'!$A$2:$A$60,0)))</f>
        <v/>
      </c>
      <c r="E818" s="26" t="str">
        <f t="array" ref="E818">IF($B818="","",INDEX('Gap reference'!$G$2:$G$60,MATCH($B818,'Gap reference'!$A$2:$A$60,0)))</f>
        <v/>
      </c>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26" t="str">
        <f t="array" ref="C819">IF($B819="","",INDEX('Gap reference'!$C$2:$C$60,MATCH($B819,'Gap reference'!$A$2:$A$60,0)))</f>
        <v/>
      </c>
      <c r="D819" s="26" t="str">
        <f t="array" ref="D819">IF($B819="","",INDEX('Gap reference'!$D$2:$D$60,MATCH($B819,'Gap reference'!$A$2:$A$60,0)))</f>
        <v/>
      </c>
      <c r="E819" s="26" t="str">
        <f t="array" ref="E819">IF($B819="","",INDEX('Gap reference'!$G$2:$G$60,MATCH($B819,'Gap reference'!$A$2:$A$60,0)))</f>
        <v/>
      </c>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26" t="str">
        <f t="array" ref="C820">IF($B820="","",INDEX('Gap reference'!$C$2:$C$60,MATCH($B820,'Gap reference'!$A$2:$A$60,0)))</f>
        <v/>
      </c>
      <c r="D820" s="26" t="str">
        <f t="array" ref="D820">IF($B820="","",INDEX('Gap reference'!$D$2:$D$60,MATCH($B820,'Gap reference'!$A$2:$A$60,0)))</f>
        <v/>
      </c>
      <c r="E820" s="26" t="str">
        <f t="array" ref="E820">IF($B820="","",INDEX('Gap reference'!$G$2:$G$60,MATCH($B820,'Gap reference'!$A$2:$A$60,0)))</f>
        <v/>
      </c>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26" t="str">
        <f t="array" ref="C821">IF($B821="","",INDEX('Gap reference'!$C$2:$C$60,MATCH($B821,'Gap reference'!$A$2:$A$60,0)))</f>
        <v/>
      </c>
      <c r="D821" s="26" t="str">
        <f t="array" ref="D821">IF($B821="","",INDEX('Gap reference'!$D$2:$D$60,MATCH($B821,'Gap reference'!$A$2:$A$60,0)))</f>
        <v/>
      </c>
      <c r="E821" s="26" t="str">
        <f t="array" ref="E821">IF($B821="","",INDEX('Gap reference'!$G$2:$G$60,MATCH($B821,'Gap reference'!$A$2:$A$60,0)))</f>
        <v/>
      </c>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26" t="str">
        <f t="array" ref="C822">IF($B822="","",INDEX('Gap reference'!$C$2:$C$60,MATCH($B822,'Gap reference'!$A$2:$A$60,0)))</f>
        <v/>
      </c>
      <c r="D822" s="26" t="str">
        <f t="array" ref="D822">IF($B822="","",INDEX('Gap reference'!$D$2:$D$60,MATCH($B822,'Gap reference'!$A$2:$A$60,0)))</f>
        <v/>
      </c>
      <c r="E822" s="26" t="str">
        <f t="array" ref="E822">IF($B822="","",INDEX('Gap reference'!$G$2:$G$60,MATCH($B822,'Gap reference'!$A$2:$A$60,0)))</f>
        <v/>
      </c>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26" t="str">
        <f t="array" ref="C823">IF($B823="","",INDEX('Gap reference'!$C$2:$C$60,MATCH($B823,'Gap reference'!$A$2:$A$60,0)))</f>
        <v/>
      </c>
      <c r="D823" s="26" t="str">
        <f t="array" ref="D823">IF($B823="","",INDEX('Gap reference'!$D$2:$D$60,MATCH($B823,'Gap reference'!$A$2:$A$60,0)))</f>
        <v/>
      </c>
      <c r="E823" s="26" t="str">
        <f t="array" ref="E823">IF($B823="","",INDEX('Gap reference'!$G$2:$G$60,MATCH($B823,'Gap reference'!$A$2:$A$60,0)))</f>
        <v/>
      </c>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26" t="str">
        <f t="array" ref="C824">IF($B824="","",INDEX('Gap reference'!$C$2:$C$60,MATCH($B824,'Gap reference'!$A$2:$A$60,0)))</f>
        <v/>
      </c>
      <c r="D824" s="26" t="str">
        <f t="array" ref="D824">IF($B824="","",INDEX('Gap reference'!$D$2:$D$60,MATCH($B824,'Gap reference'!$A$2:$A$60,0)))</f>
        <v/>
      </c>
      <c r="E824" s="26" t="str">
        <f t="array" ref="E824">IF($B824="","",INDEX('Gap reference'!$G$2:$G$60,MATCH($B824,'Gap reference'!$A$2:$A$60,0)))</f>
        <v/>
      </c>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26" t="str">
        <f t="array" ref="C825">IF($B825="","",INDEX('Gap reference'!$C$2:$C$60,MATCH($B825,'Gap reference'!$A$2:$A$60,0)))</f>
        <v/>
      </c>
      <c r="D825" s="26" t="str">
        <f t="array" ref="D825">IF($B825="","",INDEX('Gap reference'!$D$2:$D$60,MATCH($B825,'Gap reference'!$A$2:$A$60,0)))</f>
        <v/>
      </c>
      <c r="E825" s="26" t="str">
        <f t="array" ref="E825">IF($B825="","",INDEX('Gap reference'!$G$2:$G$60,MATCH($B825,'Gap reference'!$A$2:$A$60,0)))</f>
        <v/>
      </c>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26" t="str">
        <f t="array" ref="C826">IF($B826="","",INDEX('Gap reference'!$C$2:$C$60,MATCH($B826,'Gap reference'!$A$2:$A$60,0)))</f>
        <v/>
      </c>
      <c r="D826" s="26" t="str">
        <f t="array" ref="D826">IF($B826="","",INDEX('Gap reference'!$D$2:$D$60,MATCH($B826,'Gap reference'!$A$2:$A$60,0)))</f>
        <v/>
      </c>
      <c r="E826" s="26" t="str">
        <f t="array" ref="E826">IF($B826="","",INDEX('Gap reference'!$G$2:$G$60,MATCH($B826,'Gap reference'!$A$2:$A$60,0)))</f>
        <v/>
      </c>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26" t="str">
        <f t="array" ref="C827">IF($B827="","",INDEX('Gap reference'!$C$2:$C$60,MATCH($B827,'Gap reference'!$A$2:$A$60,0)))</f>
        <v/>
      </c>
      <c r="D827" s="26" t="str">
        <f t="array" ref="D827">IF($B827="","",INDEX('Gap reference'!$D$2:$D$60,MATCH($B827,'Gap reference'!$A$2:$A$60,0)))</f>
        <v/>
      </c>
      <c r="E827" s="26" t="str">
        <f t="array" ref="E827">IF($B827="","",INDEX('Gap reference'!$G$2:$G$60,MATCH($B827,'Gap reference'!$A$2:$A$60,0)))</f>
        <v/>
      </c>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26" t="str">
        <f t="array" ref="C828">IF($B828="","",INDEX('Gap reference'!$C$2:$C$60,MATCH($B828,'Gap reference'!$A$2:$A$60,0)))</f>
        <v/>
      </c>
      <c r="D828" s="26" t="str">
        <f t="array" ref="D828">IF($B828="","",INDEX('Gap reference'!$D$2:$D$60,MATCH($B828,'Gap reference'!$A$2:$A$60,0)))</f>
        <v/>
      </c>
      <c r="E828" s="26" t="str">
        <f t="array" ref="E828">IF($B828="","",INDEX('Gap reference'!$G$2:$G$60,MATCH($B828,'Gap reference'!$A$2:$A$60,0)))</f>
        <v/>
      </c>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26" t="str">
        <f t="array" ref="C829">IF($B829="","",INDEX('Gap reference'!$C$2:$C$60,MATCH($B829,'Gap reference'!$A$2:$A$60,0)))</f>
        <v/>
      </c>
      <c r="D829" s="26" t="str">
        <f t="array" ref="D829">IF($B829="","",INDEX('Gap reference'!$D$2:$D$60,MATCH($B829,'Gap reference'!$A$2:$A$60,0)))</f>
        <v/>
      </c>
      <c r="E829" s="26" t="str">
        <f t="array" ref="E829">IF($B829="","",INDEX('Gap reference'!$G$2:$G$60,MATCH($B829,'Gap reference'!$A$2:$A$60,0)))</f>
        <v/>
      </c>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26" t="str">
        <f t="array" ref="C830">IF($B830="","",INDEX('Gap reference'!$C$2:$C$60,MATCH($B830,'Gap reference'!$A$2:$A$60,0)))</f>
        <v/>
      </c>
      <c r="D830" s="26" t="str">
        <f t="array" ref="D830">IF($B830="","",INDEX('Gap reference'!$D$2:$D$60,MATCH($B830,'Gap reference'!$A$2:$A$60,0)))</f>
        <v/>
      </c>
      <c r="E830" s="26" t="str">
        <f t="array" ref="E830">IF($B830="","",INDEX('Gap reference'!$G$2:$G$60,MATCH($B830,'Gap reference'!$A$2:$A$60,0)))</f>
        <v/>
      </c>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26" t="str">
        <f t="array" ref="C831">IF($B831="","",INDEX('Gap reference'!$C$2:$C$60,MATCH($B831,'Gap reference'!$A$2:$A$60,0)))</f>
        <v/>
      </c>
      <c r="D831" s="26" t="str">
        <f t="array" ref="D831">IF($B831="","",INDEX('Gap reference'!$D$2:$D$60,MATCH($B831,'Gap reference'!$A$2:$A$60,0)))</f>
        <v/>
      </c>
      <c r="E831" s="26" t="str">
        <f t="array" ref="E831">IF($B831="","",INDEX('Gap reference'!$G$2:$G$60,MATCH($B831,'Gap reference'!$A$2:$A$60,0)))</f>
        <v/>
      </c>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26" t="str">
        <f t="array" ref="C832">IF($B832="","",INDEX('Gap reference'!$C$2:$C$60,MATCH($B832,'Gap reference'!$A$2:$A$60,0)))</f>
        <v/>
      </c>
      <c r="D832" s="26" t="str">
        <f t="array" ref="D832">IF($B832="","",INDEX('Gap reference'!$D$2:$D$60,MATCH($B832,'Gap reference'!$A$2:$A$60,0)))</f>
        <v/>
      </c>
      <c r="E832" s="26" t="str">
        <f t="array" ref="E832">IF($B832="","",INDEX('Gap reference'!$G$2:$G$60,MATCH($B832,'Gap reference'!$A$2:$A$60,0)))</f>
        <v/>
      </c>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26" t="str">
        <f t="array" ref="C833">IF($B833="","",INDEX('Gap reference'!$C$2:$C$60,MATCH($B833,'Gap reference'!$A$2:$A$60,0)))</f>
        <v/>
      </c>
      <c r="D833" s="26" t="str">
        <f t="array" ref="D833">IF($B833="","",INDEX('Gap reference'!$D$2:$D$60,MATCH($B833,'Gap reference'!$A$2:$A$60,0)))</f>
        <v/>
      </c>
      <c r="E833" s="26" t="str">
        <f t="array" ref="E833">IF($B833="","",INDEX('Gap reference'!$G$2:$G$60,MATCH($B833,'Gap reference'!$A$2:$A$60,0)))</f>
        <v/>
      </c>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26" t="str">
        <f t="array" ref="C834">IF($B834="","",INDEX('Gap reference'!$C$2:$C$60,MATCH($B834,'Gap reference'!$A$2:$A$60,0)))</f>
        <v/>
      </c>
      <c r="D834" s="26" t="str">
        <f t="array" ref="D834">IF($B834="","",INDEX('Gap reference'!$D$2:$D$60,MATCH($B834,'Gap reference'!$A$2:$A$60,0)))</f>
        <v/>
      </c>
      <c r="E834" s="26" t="str">
        <f t="array" ref="E834">IF($B834="","",INDEX('Gap reference'!$G$2:$G$60,MATCH($B834,'Gap reference'!$A$2:$A$60,0)))</f>
        <v/>
      </c>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26" t="str">
        <f t="array" ref="C835">IF($B835="","",INDEX('Gap reference'!$C$2:$C$60,MATCH($B835,'Gap reference'!$A$2:$A$60,0)))</f>
        <v/>
      </c>
      <c r="D835" s="26" t="str">
        <f t="array" ref="D835">IF($B835="","",INDEX('Gap reference'!$D$2:$D$60,MATCH($B835,'Gap reference'!$A$2:$A$60,0)))</f>
        <v/>
      </c>
      <c r="E835" s="26" t="str">
        <f t="array" ref="E835">IF($B835="","",INDEX('Gap reference'!$G$2:$G$60,MATCH($B835,'Gap reference'!$A$2:$A$60,0)))</f>
        <v/>
      </c>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26" t="str">
        <f t="array" ref="C836">IF($B836="","",INDEX('Gap reference'!$C$2:$C$60,MATCH($B836,'Gap reference'!$A$2:$A$60,0)))</f>
        <v/>
      </c>
      <c r="D836" s="26" t="str">
        <f t="array" ref="D836">IF($B836="","",INDEX('Gap reference'!$D$2:$D$60,MATCH($B836,'Gap reference'!$A$2:$A$60,0)))</f>
        <v/>
      </c>
      <c r="E836" s="26" t="str">
        <f t="array" ref="E836">IF($B836="","",INDEX('Gap reference'!$G$2:$G$60,MATCH($B836,'Gap reference'!$A$2:$A$60,0)))</f>
        <v/>
      </c>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26" t="str">
        <f t="array" ref="C837">IF($B837="","",INDEX('Gap reference'!$C$2:$C$60,MATCH($B837,'Gap reference'!$A$2:$A$60,0)))</f>
        <v/>
      </c>
      <c r="D837" s="26" t="str">
        <f t="array" ref="D837">IF($B837="","",INDEX('Gap reference'!$D$2:$D$60,MATCH($B837,'Gap reference'!$A$2:$A$60,0)))</f>
        <v/>
      </c>
      <c r="E837" s="26" t="str">
        <f t="array" ref="E837">IF($B837="","",INDEX('Gap reference'!$G$2:$G$60,MATCH($B837,'Gap reference'!$A$2:$A$60,0)))</f>
        <v/>
      </c>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26" t="str">
        <f t="array" ref="C838">IF($B838="","",INDEX('Gap reference'!$C$2:$C$60,MATCH($B838,'Gap reference'!$A$2:$A$60,0)))</f>
        <v/>
      </c>
      <c r="D838" s="26" t="str">
        <f t="array" ref="D838">IF($B838="","",INDEX('Gap reference'!$D$2:$D$60,MATCH($B838,'Gap reference'!$A$2:$A$60,0)))</f>
        <v/>
      </c>
      <c r="E838" s="26" t="str">
        <f t="array" ref="E838">IF($B838="","",INDEX('Gap reference'!$G$2:$G$60,MATCH($B838,'Gap reference'!$A$2:$A$60,0)))</f>
        <v/>
      </c>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26" t="str">
        <f t="array" ref="C839">IF($B839="","",INDEX('Gap reference'!$C$2:$C$60,MATCH($B839,'Gap reference'!$A$2:$A$60,0)))</f>
        <v/>
      </c>
      <c r="D839" s="26" t="str">
        <f t="array" ref="D839">IF($B839="","",INDEX('Gap reference'!$D$2:$D$60,MATCH($B839,'Gap reference'!$A$2:$A$60,0)))</f>
        <v/>
      </c>
      <c r="E839" s="26" t="str">
        <f t="array" ref="E839">IF($B839="","",INDEX('Gap reference'!$G$2:$G$60,MATCH($B839,'Gap reference'!$A$2:$A$60,0)))</f>
        <v/>
      </c>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26" t="str">
        <f t="array" ref="C840">IF($B840="","",INDEX('Gap reference'!$C$2:$C$60,MATCH($B840,'Gap reference'!$A$2:$A$60,0)))</f>
        <v/>
      </c>
      <c r="D840" s="26" t="str">
        <f t="array" ref="D840">IF($B840="","",INDEX('Gap reference'!$D$2:$D$60,MATCH($B840,'Gap reference'!$A$2:$A$60,0)))</f>
        <v/>
      </c>
      <c r="E840" s="26" t="str">
        <f t="array" ref="E840">IF($B840="","",INDEX('Gap reference'!$G$2:$G$60,MATCH($B840,'Gap reference'!$A$2:$A$60,0)))</f>
        <v/>
      </c>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26" t="str">
        <f t="array" ref="C841">IF($B841="","",INDEX('Gap reference'!$C$2:$C$60,MATCH($B841,'Gap reference'!$A$2:$A$60,0)))</f>
        <v/>
      </c>
      <c r="D841" s="26" t="str">
        <f t="array" ref="D841">IF($B841="","",INDEX('Gap reference'!$D$2:$D$60,MATCH($B841,'Gap reference'!$A$2:$A$60,0)))</f>
        <v/>
      </c>
      <c r="E841" s="26" t="str">
        <f t="array" ref="E841">IF($B841="","",INDEX('Gap reference'!$G$2:$G$60,MATCH($B841,'Gap reference'!$A$2:$A$60,0)))</f>
        <v/>
      </c>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26" t="str">
        <f t="array" ref="C842">IF($B842="","",INDEX('Gap reference'!$C$2:$C$60,MATCH($B842,'Gap reference'!$A$2:$A$60,0)))</f>
        <v/>
      </c>
      <c r="D842" s="26" t="str">
        <f t="array" ref="D842">IF($B842="","",INDEX('Gap reference'!$D$2:$D$60,MATCH($B842,'Gap reference'!$A$2:$A$60,0)))</f>
        <v/>
      </c>
      <c r="E842" s="26" t="str">
        <f t="array" ref="E842">IF($B842="","",INDEX('Gap reference'!$G$2:$G$60,MATCH($B842,'Gap reference'!$A$2:$A$60,0)))</f>
        <v/>
      </c>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26" t="str">
        <f t="array" ref="C843">IF($B843="","",INDEX('Gap reference'!$C$2:$C$60,MATCH($B843,'Gap reference'!$A$2:$A$60,0)))</f>
        <v/>
      </c>
      <c r="D843" s="26" t="str">
        <f t="array" ref="D843">IF($B843="","",INDEX('Gap reference'!$D$2:$D$60,MATCH($B843,'Gap reference'!$A$2:$A$60,0)))</f>
        <v/>
      </c>
      <c r="E843" s="26" t="str">
        <f t="array" ref="E843">IF($B843="","",INDEX('Gap reference'!$G$2:$G$60,MATCH($B843,'Gap reference'!$A$2:$A$60,0)))</f>
        <v/>
      </c>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26" t="str">
        <f t="array" ref="C844">IF($B844="","",INDEX('Gap reference'!$C$2:$C$60,MATCH($B844,'Gap reference'!$A$2:$A$60,0)))</f>
        <v/>
      </c>
      <c r="D844" s="26" t="str">
        <f t="array" ref="D844">IF($B844="","",INDEX('Gap reference'!$D$2:$D$60,MATCH($B844,'Gap reference'!$A$2:$A$60,0)))</f>
        <v/>
      </c>
      <c r="E844" s="26" t="str">
        <f t="array" ref="E844">IF($B844="","",INDEX('Gap reference'!$G$2:$G$60,MATCH($B844,'Gap reference'!$A$2:$A$60,0)))</f>
        <v/>
      </c>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26" t="str">
        <f t="array" ref="C845">IF($B845="","",INDEX('Gap reference'!$C$2:$C$60,MATCH($B845,'Gap reference'!$A$2:$A$60,0)))</f>
        <v/>
      </c>
      <c r="D845" s="26" t="str">
        <f t="array" ref="D845">IF($B845="","",INDEX('Gap reference'!$D$2:$D$60,MATCH($B845,'Gap reference'!$A$2:$A$60,0)))</f>
        <v/>
      </c>
      <c r="E845" s="26" t="str">
        <f t="array" ref="E845">IF($B845="","",INDEX('Gap reference'!$G$2:$G$60,MATCH($B845,'Gap reference'!$A$2:$A$60,0)))</f>
        <v/>
      </c>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26" t="str">
        <f t="array" ref="C846">IF($B846="","",INDEX('Gap reference'!$C$2:$C$60,MATCH($B846,'Gap reference'!$A$2:$A$60,0)))</f>
        <v/>
      </c>
      <c r="D846" s="26" t="str">
        <f t="array" ref="D846">IF($B846="","",INDEX('Gap reference'!$D$2:$D$60,MATCH($B846,'Gap reference'!$A$2:$A$60,0)))</f>
        <v/>
      </c>
      <c r="E846" s="26" t="str">
        <f t="array" ref="E846">IF($B846="","",INDEX('Gap reference'!$G$2:$G$60,MATCH($B846,'Gap reference'!$A$2:$A$60,0)))</f>
        <v/>
      </c>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26" t="str">
        <f t="array" ref="C847">IF($B847="","",INDEX('Gap reference'!$C$2:$C$60,MATCH($B847,'Gap reference'!$A$2:$A$60,0)))</f>
        <v/>
      </c>
      <c r="D847" s="26" t="str">
        <f t="array" ref="D847">IF($B847="","",INDEX('Gap reference'!$D$2:$D$60,MATCH($B847,'Gap reference'!$A$2:$A$60,0)))</f>
        <v/>
      </c>
      <c r="E847" s="26" t="str">
        <f t="array" ref="E847">IF($B847="","",INDEX('Gap reference'!$G$2:$G$60,MATCH($B847,'Gap reference'!$A$2:$A$60,0)))</f>
        <v/>
      </c>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26" t="str">
        <f t="array" ref="C848">IF($B848="","",INDEX('Gap reference'!$C$2:$C$60,MATCH($B848,'Gap reference'!$A$2:$A$60,0)))</f>
        <v/>
      </c>
      <c r="D848" s="26" t="str">
        <f t="array" ref="D848">IF($B848="","",INDEX('Gap reference'!$D$2:$D$60,MATCH($B848,'Gap reference'!$A$2:$A$60,0)))</f>
        <v/>
      </c>
      <c r="E848" s="26" t="str">
        <f t="array" ref="E848">IF($B848="","",INDEX('Gap reference'!$G$2:$G$60,MATCH($B848,'Gap reference'!$A$2:$A$60,0)))</f>
        <v/>
      </c>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26" t="str">
        <f t="array" ref="C849">IF($B849="","",INDEX('Gap reference'!$C$2:$C$60,MATCH($B849,'Gap reference'!$A$2:$A$60,0)))</f>
        <v/>
      </c>
      <c r="D849" s="26" t="str">
        <f t="array" ref="D849">IF($B849="","",INDEX('Gap reference'!$D$2:$D$60,MATCH($B849,'Gap reference'!$A$2:$A$60,0)))</f>
        <v/>
      </c>
      <c r="E849" s="26" t="str">
        <f t="array" ref="E849">IF($B849="","",INDEX('Gap reference'!$G$2:$G$60,MATCH($B849,'Gap reference'!$A$2:$A$60,0)))</f>
        <v/>
      </c>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26" t="str">
        <f t="array" ref="C850">IF($B850="","",INDEX('Gap reference'!$C$2:$C$60,MATCH($B850,'Gap reference'!$A$2:$A$60,0)))</f>
        <v/>
      </c>
      <c r="D850" s="26" t="str">
        <f t="array" ref="D850">IF($B850="","",INDEX('Gap reference'!$D$2:$D$60,MATCH($B850,'Gap reference'!$A$2:$A$60,0)))</f>
        <v/>
      </c>
      <c r="E850" s="26" t="str">
        <f t="array" ref="E850">IF($B850="","",INDEX('Gap reference'!$G$2:$G$60,MATCH($B850,'Gap reference'!$A$2:$A$60,0)))</f>
        <v/>
      </c>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26" t="str">
        <f t="array" ref="C851">IF($B851="","",INDEX('Gap reference'!$C$2:$C$60,MATCH($B851,'Gap reference'!$A$2:$A$60,0)))</f>
        <v/>
      </c>
      <c r="D851" s="26" t="str">
        <f t="array" ref="D851">IF($B851="","",INDEX('Gap reference'!$D$2:$D$60,MATCH($B851,'Gap reference'!$A$2:$A$60,0)))</f>
        <v/>
      </c>
      <c r="E851" s="26" t="str">
        <f t="array" ref="E851">IF($B851="","",INDEX('Gap reference'!$G$2:$G$60,MATCH($B851,'Gap reference'!$A$2:$A$60,0)))</f>
        <v/>
      </c>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26" t="str">
        <f t="array" ref="C852">IF($B852="","",INDEX('Gap reference'!$C$2:$C$60,MATCH($B852,'Gap reference'!$A$2:$A$60,0)))</f>
        <v/>
      </c>
      <c r="D852" s="26" t="str">
        <f t="array" ref="D852">IF($B852="","",INDEX('Gap reference'!$D$2:$D$60,MATCH($B852,'Gap reference'!$A$2:$A$60,0)))</f>
        <v/>
      </c>
      <c r="E852" s="26" t="str">
        <f t="array" ref="E852">IF($B852="","",INDEX('Gap reference'!$G$2:$G$60,MATCH($B852,'Gap reference'!$A$2:$A$60,0)))</f>
        <v/>
      </c>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26" t="str">
        <f t="array" ref="C853">IF($B853="","",INDEX('Gap reference'!$C$2:$C$60,MATCH($B853,'Gap reference'!$A$2:$A$60,0)))</f>
        <v/>
      </c>
      <c r="D853" s="26" t="str">
        <f t="array" ref="D853">IF($B853="","",INDEX('Gap reference'!$D$2:$D$60,MATCH($B853,'Gap reference'!$A$2:$A$60,0)))</f>
        <v/>
      </c>
      <c r="E853" s="26" t="str">
        <f t="array" ref="E853">IF($B853="","",INDEX('Gap reference'!$G$2:$G$60,MATCH($B853,'Gap reference'!$A$2:$A$60,0)))</f>
        <v/>
      </c>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26" t="str">
        <f t="array" ref="C854">IF($B854="","",INDEX('Gap reference'!$C$2:$C$60,MATCH($B854,'Gap reference'!$A$2:$A$60,0)))</f>
        <v/>
      </c>
      <c r="D854" s="26" t="str">
        <f t="array" ref="D854">IF($B854="","",INDEX('Gap reference'!$D$2:$D$60,MATCH($B854,'Gap reference'!$A$2:$A$60,0)))</f>
        <v/>
      </c>
      <c r="E854" s="26" t="str">
        <f t="array" ref="E854">IF($B854="","",INDEX('Gap reference'!$G$2:$G$60,MATCH($B854,'Gap reference'!$A$2:$A$60,0)))</f>
        <v/>
      </c>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26" t="str">
        <f t="array" ref="C855">IF($B855="","",INDEX('Gap reference'!$C$2:$C$60,MATCH($B855,'Gap reference'!$A$2:$A$60,0)))</f>
        <v/>
      </c>
      <c r="D855" s="26" t="str">
        <f t="array" ref="D855">IF($B855="","",INDEX('Gap reference'!$D$2:$D$60,MATCH($B855,'Gap reference'!$A$2:$A$60,0)))</f>
        <v/>
      </c>
      <c r="E855" s="26" t="str">
        <f t="array" ref="E855">IF($B855="","",INDEX('Gap reference'!$G$2:$G$60,MATCH($B855,'Gap reference'!$A$2:$A$60,0)))</f>
        <v/>
      </c>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26" t="str">
        <f t="array" ref="C856">IF($B856="","",INDEX('Gap reference'!$C$2:$C$60,MATCH($B856,'Gap reference'!$A$2:$A$60,0)))</f>
        <v/>
      </c>
      <c r="D856" s="26" t="str">
        <f t="array" ref="D856">IF($B856="","",INDEX('Gap reference'!$D$2:$D$60,MATCH($B856,'Gap reference'!$A$2:$A$60,0)))</f>
        <v/>
      </c>
      <c r="E856" s="26" t="str">
        <f t="array" ref="E856">IF($B856="","",INDEX('Gap reference'!$G$2:$G$60,MATCH($B856,'Gap reference'!$A$2:$A$60,0)))</f>
        <v/>
      </c>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26" t="str">
        <f t="array" ref="C857">IF($B857="","",INDEX('Gap reference'!$C$2:$C$60,MATCH($B857,'Gap reference'!$A$2:$A$60,0)))</f>
        <v/>
      </c>
      <c r="D857" s="26" t="str">
        <f t="array" ref="D857">IF($B857="","",INDEX('Gap reference'!$D$2:$D$60,MATCH($B857,'Gap reference'!$A$2:$A$60,0)))</f>
        <v/>
      </c>
      <c r="E857" s="26" t="str">
        <f t="array" ref="E857">IF($B857="","",INDEX('Gap reference'!$G$2:$G$60,MATCH($B857,'Gap reference'!$A$2:$A$60,0)))</f>
        <v/>
      </c>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26" t="str">
        <f t="array" ref="C858">IF($B858="","",INDEX('Gap reference'!$C$2:$C$60,MATCH($B858,'Gap reference'!$A$2:$A$60,0)))</f>
        <v/>
      </c>
      <c r="D858" s="26" t="str">
        <f t="array" ref="D858">IF($B858="","",INDEX('Gap reference'!$D$2:$D$60,MATCH($B858,'Gap reference'!$A$2:$A$60,0)))</f>
        <v/>
      </c>
      <c r="E858" s="26" t="str">
        <f t="array" ref="E858">IF($B858="","",INDEX('Gap reference'!$G$2:$G$60,MATCH($B858,'Gap reference'!$A$2:$A$60,0)))</f>
        <v/>
      </c>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26" t="str">
        <f t="array" ref="C859">IF($B859="","",INDEX('Gap reference'!$C$2:$C$60,MATCH($B859,'Gap reference'!$A$2:$A$60,0)))</f>
        <v/>
      </c>
      <c r="D859" s="26" t="str">
        <f t="array" ref="D859">IF($B859="","",INDEX('Gap reference'!$D$2:$D$60,MATCH($B859,'Gap reference'!$A$2:$A$60,0)))</f>
        <v/>
      </c>
      <c r="E859" s="26" t="str">
        <f t="array" ref="E859">IF($B859="","",INDEX('Gap reference'!$G$2:$G$60,MATCH($B859,'Gap reference'!$A$2:$A$60,0)))</f>
        <v/>
      </c>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26" t="str">
        <f t="array" ref="C860">IF($B860="","",INDEX('Gap reference'!$C$2:$C$60,MATCH($B860,'Gap reference'!$A$2:$A$60,0)))</f>
        <v/>
      </c>
      <c r="D860" s="26" t="str">
        <f t="array" ref="D860">IF($B860="","",INDEX('Gap reference'!$D$2:$D$60,MATCH($B860,'Gap reference'!$A$2:$A$60,0)))</f>
        <v/>
      </c>
      <c r="E860" s="26" t="str">
        <f t="array" ref="E860">IF($B860="","",INDEX('Gap reference'!$G$2:$G$60,MATCH($B860,'Gap reference'!$A$2:$A$60,0)))</f>
        <v/>
      </c>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26" t="str">
        <f t="array" ref="C861">IF($B861="","",INDEX('Gap reference'!$C$2:$C$60,MATCH($B861,'Gap reference'!$A$2:$A$60,0)))</f>
        <v/>
      </c>
      <c r="D861" s="26" t="str">
        <f t="array" ref="D861">IF($B861="","",INDEX('Gap reference'!$D$2:$D$60,MATCH($B861,'Gap reference'!$A$2:$A$60,0)))</f>
        <v/>
      </c>
      <c r="E861" s="26" t="str">
        <f t="array" ref="E861">IF($B861="","",INDEX('Gap reference'!$G$2:$G$60,MATCH($B861,'Gap reference'!$A$2:$A$60,0)))</f>
        <v/>
      </c>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26" t="str">
        <f t="array" ref="C862">IF($B862="","",INDEX('Gap reference'!$C$2:$C$60,MATCH($B862,'Gap reference'!$A$2:$A$60,0)))</f>
        <v/>
      </c>
      <c r="D862" s="26" t="str">
        <f t="array" ref="D862">IF($B862="","",INDEX('Gap reference'!$D$2:$D$60,MATCH($B862,'Gap reference'!$A$2:$A$60,0)))</f>
        <v/>
      </c>
      <c r="E862" s="26" t="str">
        <f t="array" ref="E862">IF($B862="","",INDEX('Gap reference'!$G$2:$G$60,MATCH($B862,'Gap reference'!$A$2:$A$60,0)))</f>
        <v/>
      </c>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26" t="str">
        <f t="array" ref="C863">IF($B863="","",INDEX('Gap reference'!$C$2:$C$60,MATCH($B863,'Gap reference'!$A$2:$A$60,0)))</f>
        <v/>
      </c>
      <c r="D863" s="26" t="str">
        <f t="array" ref="D863">IF($B863="","",INDEX('Gap reference'!$D$2:$D$60,MATCH($B863,'Gap reference'!$A$2:$A$60,0)))</f>
        <v/>
      </c>
      <c r="E863" s="26" t="str">
        <f t="array" ref="E863">IF($B863="","",INDEX('Gap reference'!$G$2:$G$60,MATCH($B863,'Gap reference'!$A$2:$A$60,0)))</f>
        <v/>
      </c>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26" t="str">
        <f t="array" ref="C864">IF($B864="","",INDEX('Gap reference'!$C$2:$C$60,MATCH($B864,'Gap reference'!$A$2:$A$60,0)))</f>
        <v/>
      </c>
      <c r="D864" s="26" t="str">
        <f t="array" ref="D864">IF($B864="","",INDEX('Gap reference'!$D$2:$D$60,MATCH($B864,'Gap reference'!$A$2:$A$60,0)))</f>
        <v/>
      </c>
      <c r="E864" s="26" t="str">
        <f t="array" ref="E864">IF($B864="","",INDEX('Gap reference'!$G$2:$G$60,MATCH($B864,'Gap reference'!$A$2:$A$60,0)))</f>
        <v/>
      </c>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26" t="str">
        <f t="array" ref="C865">IF($B865="","",INDEX('Gap reference'!$C$2:$C$60,MATCH($B865,'Gap reference'!$A$2:$A$60,0)))</f>
        <v/>
      </c>
      <c r="D865" s="26" t="str">
        <f t="array" ref="D865">IF($B865="","",INDEX('Gap reference'!$D$2:$D$60,MATCH($B865,'Gap reference'!$A$2:$A$60,0)))</f>
        <v/>
      </c>
      <c r="E865" s="26" t="str">
        <f t="array" ref="E865">IF($B865="","",INDEX('Gap reference'!$G$2:$G$60,MATCH($B865,'Gap reference'!$A$2:$A$60,0)))</f>
        <v/>
      </c>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26" t="str">
        <f t="array" ref="C866">IF($B866="","",INDEX('Gap reference'!$C$2:$C$60,MATCH($B866,'Gap reference'!$A$2:$A$60,0)))</f>
        <v/>
      </c>
      <c r="D866" s="26" t="str">
        <f t="array" ref="D866">IF($B866="","",INDEX('Gap reference'!$D$2:$D$60,MATCH($B866,'Gap reference'!$A$2:$A$60,0)))</f>
        <v/>
      </c>
      <c r="E866" s="26" t="str">
        <f t="array" ref="E866">IF($B866="","",INDEX('Gap reference'!$G$2:$G$60,MATCH($B866,'Gap reference'!$A$2:$A$60,0)))</f>
        <v/>
      </c>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26" t="str">
        <f t="array" ref="C867">IF($B867="","",INDEX('Gap reference'!$C$2:$C$60,MATCH($B867,'Gap reference'!$A$2:$A$60,0)))</f>
        <v/>
      </c>
      <c r="D867" s="26" t="str">
        <f t="array" ref="D867">IF($B867="","",INDEX('Gap reference'!$D$2:$D$60,MATCH($B867,'Gap reference'!$A$2:$A$60,0)))</f>
        <v/>
      </c>
      <c r="E867" s="26" t="str">
        <f t="array" ref="E867">IF($B867="","",INDEX('Gap reference'!$G$2:$G$60,MATCH($B867,'Gap reference'!$A$2:$A$60,0)))</f>
        <v/>
      </c>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26" t="str">
        <f t="array" ref="C868">IF($B868="","",INDEX('Gap reference'!$C$2:$C$60,MATCH($B868,'Gap reference'!$A$2:$A$60,0)))</f>
        <v/>
      </c>
      <c r="D868" s="26" t="str">
        <f t="array" ref="D868">IF($B868="","",INDEX('Gap reference'!$D$2:$D$60,MATCH($B868,'Gap reference'!$A$2:$A$60,0)))</f>
        <v/>
      </c>
      <c r="E868" s="26" t="str">
        <f t="array" ref="E868">IF($B868="","",INDEX('Gap reference'!$G$2:$G$60,MATCH($B868,'Gap reference'!$A$2:$A$60,0)))</f>
        <v/>
      </c>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26" t="str">
        <f t="array" ref="C869">IF($B869="","",INDEX('Gap reference'!$C$2:$C$60,MATCH($B869,'Gap reference'!$A$2:$A$60,0)))</f>
        <v/>
      </c>
      <c r="D869" s="26" t="str">
        <f t="array" ref="D869">IF($B869="","",INDEX('Gap reference'!$D$2:$D$60,MATCH($B869,'Gap reference'!$A$2:$A$60,0)))</f>
        <v/>
      </c>
      <c r="E869" s="26" t="str">
        <f t="array" ref="E869">IF($B869="","",INDEX('Gap reference'!$G$2:$G$60,MATCH($B869,'Gap reference'!$A$2:$A$60,0)))</f>
        <v/>
      </c>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26" t="str">
        <f t="array" ref="C870">IF($B870="","",INDEX('Gap reference'!$C$2:$C$60,MATCH($B870,'Gap reference'!$A$2:$A$60,0)))</f>
        <v/>
      </c>
      <c r="D870" s="26" t="str">
        <f t="array" ref="D870">IF($B870="","",INDEX('Gap reference'!$D$2:$D$60,MATCH($B870,'Gap reference'!$A$2:$A$60,0)))</f>
        <v/>
      </c>
      <c r="E870" s="26" t="str">
        <f t="array" ref="E870">IF($B870="","",INDEX('Gap reference'!$G$2:$G$60,MATCH($B870,'Gap reference'!$A$2:$A$60,0)))</f>
        <v/>
      </c>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26" t="str">
        <f t="array" ref="C871">IF($B871="","",INDEX('Gap reference'!$C$2:$C$60,MATCH($B871,'Gap reference'!$A$2:$A$60,0)))</f>
        <v/>
      </c>
      <c r="D871" s="26" t="str">
        <f t="array" ref="D871">IF($B871="","",INDEX('Gap reference'!$D$2:$D$60,MATCH($B871,'Gap reference'!$A$2:$A$60,0)))</f>
        <v/>
      </c>
      <c r="E871" s="26" t="str">
        <f t="array" ref="E871">IF($B871="","",INDEX('Gap reference'!$G$2:$G$60,MATCH($B871,'Gap reference'!$A$2:$A$60,0)))</f>
        <v/>
      </c>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26" t="str">
        <f t="array" ref="C872">IF($B872="","",INDEX('Gap reference'!$C$2:$C$60,MATCH($B872,'Gap reference'!$A$2:$A$60,0)))</f>
        <v/>
      </c>
      <c r="D872" s="26" t="str">
        <f t="array" ref="D872">IF($B872="","",INDEX('Gap reference'!$D$2:$D$60,MATCH($B872,'Gap reference'!$A$2:$A$60,0)))</f>
        <v/>
      </c>
      <c r="E872" s="26" t="str">
        <f t="array" ref="E872">IF($B872="","",INDEX('Gap reference'!$G$2:$G$60,MATCH($B872,'Gap reference'!$A$2:$A$60,0)))</f>
        <v/>
      </c>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26" t="str">
        <f t="array" ref="C873">IF($B873="","",INDEX('Gap reference'!$C$2:$C$60,MATCH($B873,'Gap reference'!$A$2:$A$60,0)))</f>
        <v/>
      </c>
      <c r="D873" s="26" t="str">
        <f t="array" ref="D873">IF($B873="","",INDEX('Gap reference'!$D$2:$D$60,MATCH($B873,'Gap reference'!$A$2:$A$60,0)))</f>
        <v/>
      </c>
      <c r="E873" s="26" t="str">
        <f t="array" ref="E873">IF($B873="","",INDEX('Gap reference'!$G$2:$G$60,MATCH($B873,'Gap reference'!$A$2:$A$60,0)))</f>
        <v/>
      </c>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26" t="str">
        <f t="array" ref="C874">IF($B874="","",INDEX('Gap reference'!$C$2:$C$60,MATCH($B874,'Gap reference'!$A$2:$A$60,0)))</f>
        <v/>
      </c>
      <c r="D874" s="26" t="str">
        <f t="array" ref="D874">IF($B874="","",INDEX('Gap reference'!$D$2:$D$60,MATCH($B874,'Gap reference'!$A$2:$A$60,0)))</f>
        <v/>
      </c>
      <c r="E874" s="26" t="str">
        <f t="array" ref="E874">IF($B874="","",INDEX('Gap reference'!$G$2:$G$60,MATCH($B874,'Gap reference'!$A$2:$A$60,0)))</f>
        <v/>
      </c>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26" t="str">
        <f t="array" ref="C875">IF($B875="","",INDEX('Gap reference'!$C$2:$C$60,MATCH($B875,'Gap reference'!$A$2:$A$60,0)))</f>
        <v/>
      </c>
      <c r="D875" s="26" t="str">
        <f t="array" ref="D875">IF($B875="","",INDEX('Gap reference'!$D$2:$D$60,MATCH($B875,'Gap reference'!$A$2:$A$60,0)))</f>
        <v/>
      </c>
      <c r="E875" s="26" t="str">
        <f t="array" ref="E875">IF($B875="","",INDEX('Gap reference'!$G$2:$G$60,MATCH($B875,'Gap reference'!$A$2:$A$60,0)))</f>
        <v/>
      </c>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26" t="str">
        <f t="array" ref="C876">IF($B876="","",INDEX('Gap reference'!$C$2:$C$60,MATCH($B876,'Gap reference'!$A$2:$A$60,0)))</f>
        <v/>
      </c>
      <c r="D876" s="26" t="str">
        <f t="array" ref="D876">IF($B876="","",INDEX('Gap reference'!$D$2:$D$60,MATCH($B876,'Gap reference'!$A$2:$A$60,0)))</f>
        <v/>
      </c>
      <c r="E876" s="26" t="str">
        <f t="array" ref="E876">IF($B876="","",INDEX('Gap reference'!$G$2:$G$60,MATCH($B876,'Gap reference'!$A$2:$A$60,0)))</f>
        <v/>
      </c>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26" t="str">
        <f t="array" ref="C877">IF($B877="","",INDEX('Gap reference'!$C$2:$C$60,MATCH($B877,'Gap reference'!$A$2:$A$60,0)))</f>
        <v/>
      </c>
      <c r="D877" s="26" t="str">
        <f t="array" ref="D877">IF($B877="","",INDEX('Gap reference'!$D$2:$D$60,MATCH($B877,'Gap reference'!$A$2:$A$60,0)))</f>
        <v/>
      </c>
      <c r="E877" s="26" t="str">
        <f t="array" ref="E877">IF($B877="","",INDEX('Gap reference'!$G$2:$G$60,MATCH($B877,'Gap reference'!$A$2:$A$60,0)))</f>
        <v/>
      </c>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26" t="str">
        <f t="array" ref="C878">IF($B878="","",INDEX('Gap reference'!$C$2:$C$60,MATCH($B878,'Gap reference'!$A$2:$A$60,0)))</f>
        <v/>
      </c>
      <c r="D878" s="26" t="str">
        <f t="array" ref="D878">IF($B878="","",INDEX('Gap reference'!$D$2:$D$60,MATCH($B878,'Gap reference'!$A$2:$A$60,0)))</f>
        <v/>
      </c>
      <c r="E878" s="26" t="str">
        <f t="array" ref="E878">IF($B878="","",INDEX('Gap reference'!$G$2:$G$60,MATCH($B878,'Gap reference'!$A$2:$A$60,0)))</f>
        <v/>
      </c>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26" t="str">
        <f t="array" ref="C879">IF($B879="","",INDEX('Gap reference'!$C$2:$C$60,MATCH($B879,'Gap reference'!$A$2:$A$60,0)))</f>
        <v/>
      </c>
      <c r="D879" s="26" t="str">
        <f t="array" ref="D879">IF($B879="","",INDEX('Gap reference'!$D$2:$D$60,MATCH($B879,'Gap reference'!$A$2:$A$60,0)))</f>
        <v/>
      </c>
      <c r="E879" s="26" t="str">
        <f t="array" ref="E879">IF($B879="","",INDEX('Gap reference'!$G$2:$G$60,MATCH($B879,'Gap reference'!$A$2:$A$60,0)))</f>
        <v/>
      </c>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26" t="str">
        <f t="array" ref="C880">IF($B880="","",INDEX('Gap reference'!$C$2:$C$60,MATCH($B880,'Gap reference'!$A$2:$A$60,0)))</f>
        <v/>
      </c>
      <c r="D880" s="26" t="str">
        <f t="array" ref="D880">IF($B880="","",INDEX('Gap reference'!$D$2:$D$60,MATCH($B880,'Gap reference'!$A$2:$A$60,0)))</f>
        <v/>
      </c>
      <c r="E880" s="26" t="str">
        <f t="array" ref="E880">IF($B880="","",INDEX('Gap reference'!$G$2:$G$60,MATCH($B880,'Gap reference'!$A$2:$A$60,0)))</f>
        <v/>
      </c>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26" t="str">
        <f t="array" ref="C881">IF($B881="","",INDEX('Gap reference'!$C$2:$C$60,MATCH($B881,'Gap reference'!$A$2:$A$60,0)))</f>
        <v/>
      </c>
      <c r="D881" s="26" t="str">
        <f t="array" ref="D881">IF($B881="","",INDEX('Gap reference'!$D$2:$D$60,MATCH($B881,'Gap reference'!$A$2:$A$60,0)))</f>
        <v/>
      </c>
      <c r="E881" s="26" t="str">
        <f t="array" ref="E881">IF($B881="","",INDEX('Gap reference'!$G$2:$G$60,MATCH($B881,'Gap reference'!$A$2:$A$60,0)))</f>
        <v/>
      </c>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26" t="str">
        <f t="array" ref="C882">IF($B882="","",INDEX('Gap reference'!$C$2:$C$60,MATCH($B882,'Gap reference'!$A$2:$A$60,0)))</f>
        <v/>
      </c>
      <c r="D882" s="26" t="str">
        <f t="array" ref="D882">IF($B882="","",INDEX('Gap reference'!$D$2:$D$60,MATCH($B882,'Gap reference'!$A$2:$A$60,0)))</f>
        <v/>
      </c>
      <c r="E882" s="26" t="str">
        <f t="array" ref="E882">IF($B882="","",INDEX('Gap reference'!$G$2:$G$60,MATCH($B882,'Gap reference'!$A$2:$A$60,0)))</f>
        <v/>
      </c>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26" t="str">
        <f t="array" ref="C883">IF($B883="","",INDEX('Gap reference'!$C$2:$C$60,MATCH($B883,'Gap reference'!$A$2:$A$60,0)))</f>
        <v/>
      </c>
      <c r="D883" s="26" t="str">
        <f t="array" ref="D883">IF($B883="","",INDEX('Gap reference'!$D$2:$D$60,MATCH($B883,'Gap reference'!$A$2:$A$60,0)))</f>
        <v/>
      </c>
      <c r="E883" s="26" t="str">
        <f t="array" ref="E883">IF($B883="","",INDEX('Gap reference'!$G$2:$G$60,MATCH($B883,'Gap reference'!$A$2:$A$60,0)))</f>
        <v/>
      </c>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26" t="str">
        <f t="array" ref="C884">IF($B884="","",INDEX('Gap reference'!$C$2:$C$60,MATCH($B884,'Gap reference'!$A$2:$A$60,0)))</f>
        <v/>
      </c>
      <c r="D884" s="26" t="str">
        <f t="array" ref="D884">IF($B884="","",INDEX('Gap reference'!$D$2:$D$60,MATCH($B884,'Gap reference'!$A$2:$A$60,0)))</f>
        <v/>
      </c>
      <c r="E884" s="26" t="str">
        <f t="array" ref="E884">IF($B884="","",INDEX('Gap reference'!$G$2:$G$60,MATCH($B884,'Gap reference'!$A$2:$A$60,0)))</f>
        <v/>
      </c>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26" t="str">
        <f t="array" ref="C885">IF($B885="","",INDEX('Gap reference'!$C$2:$C$60,MATCH($B885,'Gap reference'!$A$2:$A$60,0)))</f>
        <v/>
      </c>
      <c r="D885" s="26" t="str">
        <f t="array" ref="D885">IF($B885="","",INDEX('Gap reference'!$D$2:$D$60,MATCH($B885,'Gap reference'!$A$2:$A$60,0)))</f>
        <v/>
      </c>
      <c r="E885" s="26" t="str">
        <f t="array" ref="E885">IF($B885="","",INDEX('Gap reference'!$G$2:$G$60,MATCH($B885,'Gap reference'!$A$2:$A$60,0)))</f>
        <v/>
      </c>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26" t="str">
        <f t="array" ref="C886">IF($B886="","",INDEX('Gap reference'!$C$2:$C$60,MATCH($B886,'Gap reference'!$A$2:$A$60,0)))</f>
        <v/>
      </c>
      <c r="D886" s="26" t="str">
        <f t="array" ref="D886">IF($B886="","",INDEX('Gap reference'!$D$2:$D$60,MATCH($B886,'Gap reference'!$A$2:$A$60,0)))</f>
        <v/>
      </c>
      <c r="E886" s="26" t="str">
        <f t="array" ref="E886">IF($B886="","",INDEX('Gap reference'!$G$2:$G$60,MATCH($B886,'Gap reference'!$A$2:$A$60,0)))</f>
        <v/>
      </c>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26" t="str">
        <f t="array" ref="C887">IF($B887="","",INDEX('Gap reference'!$C$2:$C$60,MATCH($B887,'Gap reference'!$A$2:$A$60,0)))</f>
        <v/>
      </c>
      <c r="D887" s="26" t="str">
        <f t="array" ref="D887">IF($B887="","",INDEX('Gap reference'!$D$2:$D$60,MATCH($B887,'Gap reference'!$A$2:$A$60,0)))</f>
        <v/>
      </c>
      <c r="E887" s="26" t="str">
        <f t="array" ref="E887">IF($B887="","",INDEX('Gap reference'!$G$2:$G$60,MATCH($B887,'Gap reference'!$A$2:$A$60,0)))</f>
        <v/>
      </c>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26" t="str">
        <f t="array" ref="C888">IF($B888="","",INDEX('Gap reference'!$C$2:$C$60,MATCH($B888,'Gap reference'!$A$2:$A$60,0)))</f>
        <v/>
      </c>
      <c r="D888" s="26" t="str">
        <f t="array" ref="D888">IF($B888="","",INDEX('Gap reference'!$D$2:$D$60,MATCH($B888,'Gap reference'!$A$2:$A$60,0)))</f>
        <v/>
      </c>
      <c r="E888" s="26" t="str">
        <f t="array" ref="E888">IF($B888="","",INDEX('Gap reference'!$G$2:$G$60,MATCH($B888,'Gap reference'!$A$2:$A$60,0)))</f>
        <v/>
      </c>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26" t="str">
        <f t="array" ref="C889">IF($B889="","",INDEX('Gap reference'!$C$2:$C$60,MATCH($B889,'Gap reference'!$A$2:$A$60,0)))</f>
        <v/>
      </c>
      <c r="D889" s="26" t="str">
        <f t="array" ref="D889">IF($B889="","",INDEX('Gap reference'!$D$2:$D$60,MATCH($B889,'Gap reference'!$A$2:$A$60,0)))</f>
        <v/>
      </c>
      <c r="E889" s="26" t="str">
        <f t="array" ref="E889">IF($B889="","",INDEX('Gap reference'!$G$2:$G$60,MATCH($B889,'Gap reference'!$A$2:$A$60,0)))</f>
        <v/>
      </c>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26" t="str">
        <f t="array" ref="C890">IF($B890="","",INDEX('Gap reference'!$C$2:$C$60,MATCH($B890,'Gap reference'!$A$2:$A$60,0)))</f>
        <v/>
      </c>
      <c r="D890" s="26" t="str">
        <f t="array" ref="D890">IF($B890="","",INDEX('Gap reference'!$D$2:$D$60,MATCH($B890,'Gap reference'!$A$2:$A$60,0)))</f>
        <v/>
      </c>
      <c r="E890" s="26" t="str">
        <f t="array" ref="E890">IF($B890="","",INDEX('Gap reference'!$G$2:$G$60,MATCH($B890,'Gap reference'!$A$2:$A$60,0)))</f>
        <v/>
      </c>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26" t="str">
        <f t="array" ref="C891">IF($B891="","",INDEX('Gap reference'!$C$2:$C$60,MATCH($B891,'Gap reference'!$A$2:$A$60,0)))</f>
        <v/>
      </c>
      <c r="D891" s="26" t="str">
        <f t="array" ref="D891">IF($B891="","",INDEX('Gap reference'!$D$2:$D$60,MATCH($B891,'Gap reference'!$A$2:$A$60,0)))</f>
        <v/>
      </c>
      <c r="E891" s="26" t="str">
        <f t="array" ref="E891">IF($B891="","",INDEX('Gap reference'!$G$2:$G$60,MATCH($B891,'Gap reference'!$A$2:$A$60,0)))</f>
        <v/>
      </c>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26" t="str">
        <f t="array" ref="C892">IF($B892="","",INDEX('Gap reference'!$C$2:$C$60,MATCH($B892,'Gap reference'!$A$2:$A$60,0)))</f>
        <v/>
      </c>
      <c r="D892" s="26" t="str">
        <f t="array" ref="D892">IF($B892="","",INDEX('Gap reference'!$D$2:$D$60,MATCH($B892,'Gap reference'!$A$2:$A$60,0)))</f>
        <v/>
      </c>
      <c r="E892" s="26" t="str">
        <f t="array" ref="E892">IF($B892="","",INDEX('Gap reference'!$G$2:$G$60,MATCH($B892,'Gap reference'!$A$2:$A$60,0)))</f>
        <v/>
      </c>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26" t="str">
        <f t="array" ref="C893">IF($B893="","",INDEX('Gap reference'!$C$2:$C$60,MATCH($B893,'Gap reference'!$A$2:$A$60,0)))</f>
        <v/>
      </c>
      <c r="D893" s="26" t="str">
        <f t="array" ref="D893">IF($B893="","",INDEX('Gap reference'!$D$2:$D$60,MATCH($B893,'Gap reference'!$A$2:$A$60,0)))</f>
        <v/>
      </c>
      <c r="E893" s="26" t="str">
        <f t="array" ref="E893">IF($B893="","",INDEX('Gap reference'!$G$2:$G$60,MATCH($B893,'Gap reference'!$A$2:$A$60,0)))</f>
        <v/>
      </c>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26" t="str">
        <f t="array" ref="C894">IF($B894="","",INDEX('Gap reference'!$C$2:$C$60,MATCH($B894,'Gap reference'!$A$2:$A$60,0)))</f>
        <v/>
      </c>
      <c r="D894" s="26" t="str">
        <f t="array" ref="D894">IF($B894="","",INDEX('Gap reference'!$D$2:$D$60,MATCH($B894,'Gap reference'!$A$2:$A$60,0)))</f>
        <v/>
      </c>
      <c r="E894" s="26" t="str">
        <f t="array" ref="E894">IF($B894="","",INDEX('Gap reference'!$G$2:$G$60,MATCH($B894,'Gap reference'!$A$2:$A$60,0)))</f>
        <v/>
      </c>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26" t="str">
        <f t="array" ref="C895">IF($B895="","",INDEX('Gap reference'!$C$2:$C$60,MATCH($B895,'Gap reference'!$A$2:$A$60,0)))</f>
        <v/>
      </c>
      <c r="D895" s="26" t="str">
        <f t="array" ref="D895">IF($B895="","",INDEX('Gap reference'!$D$2:$D$60,MATCH($B895,'Gap reference'!$A$2:$A$60,0)))</f>
        <v/>
      </c>
      <c r="E895" s="26" t="str">
        <f t="array" ref="E895">IF($B895="","",INDEX('Gap reference'!$G$2:$G$60,MATCH($B895,'Gap reference'!$A$2:$A$60,0)))</f>
        <v/>
      </c>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26" t="str">
        <f t="array" ref="C896">IF($B896="","",INDEX('Gap reference'!$C$2:$C$60,MATCH($B896,'Gap reference'!$A$2:$A$60,0)))</f>
        <v/>
      </c>
      <c r="D896" s="26" t="str">
        <f t="array" ref="D896">IF($B896="","",INDEX('Gap reference'!$D$2:$D$60,MATCH($B896,'Gap reference'!$A$2:$A$60,0)))</f>
        <v/>
      </c>
      <c r="E896" s="26" t="str">
        <f t="array" ref="E896">IF($B896="","",INDEX('Gap reference'!$G$2:$G$60,MATCH($B896,'Gap reference'!$A$2:$A$60,0)))</f>
        <v/>
      </c>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26" t="str">
        <f t="array" ref="C897">IF($B897="","",INDEX('Gap reference'!$C$2:$C$60,MATCH($B897,'Gap reference'!$A$2:$A$60,0)))</f>
        <v/>
      </c>
      <c r="D897" s="26" t="str">
        <f t="array" ref="D897">IF($B897="","",INDEX('Gap reference'!$D$2:$D$60,MATCH($B897,'Gap reference'!$A$2:$A$60,0)))</f>
        <v/>
      </c>
      <c r="E897" s="26" t="str">
        <f t="array" ref="E897">IF($B897="","",INDEX('Gap reference'!$G$2:$G$60,MATCH($B897,'Gap reference'!$A$2:$A$60,0)))</f>
        <v/>
      </c>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26" t="str">
        <f t="array" ref="C898">IF($B898="","",INDEX('Gap reference'!$C$2:$C$60,MATCH($B898,'Gap reference'!$A$2:$A$60,0)))</f>
        <v/>
      </c>
      <c r="D898" s="26" t="str">
        <f t="array" ref="D898">IF($B898="","",INDEX('Gap reference'!$D$2:$D$60,MATCH($B898,'Gap reference'!$A$2:$A$60,0)))</f>
        <v/>
      </c>
      <c r="E898" s="26" t="str">
        <f t="array" ref="E898">IF($B898="","",INDEX('Gap reference'!$G$2:$G$60,MATCH($B898,'Gap reference'!$A$2:$A$60,0)))</f>
        <v/>
      </c>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26" t="str">
        <f t="array" ref="C899">IF($B899="","",INDEX('Gap reference'!$C$2:$C$60,MATCH($B899,'Gap reference'!$A$2:$A$60,0)))</f>
        <v/>
      </c>
      <c r="D899" s="26" t="str">
        <f t="array" ref="D899">IF($B899="","",INDEX('Gap reference'!$D$2:$D$60,MATCH($B899,'Gap reference'!$A$2:$A$60,0)))</f>
        <v/>
      </c>
      <c r="E899" s="26" t="str">
        <f t="array" ref="E899">IF($B899="","",INDEX('Gap reference'!$G$2:$G$60,MATCH($B899,'Gap reference'!$A$2:$A$60,0)))</f>
        <v/>
      </c>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26" t="str">
        <f t="array" ref="C900">IF($B900="","",INDEX('Gap reference'!$C$2:$C$60,MATCH($B900,'Gap reference'!$A$2:$A$60,0)))</f>
        <v/>
      </c>
      <c r="D900" s="26" t="str">
        <f t="array" ref="D900">IF($B900="","",INDEX('Gap reference'!$D$2:$D$60,MATCH($B900,'Gap reference'!$A$2:$A$60,0)))</f>
        <v/>
      </c>
      <c r="E900" s="26" t="str">
        <f t="array" ref="E900">IF($B900="","",INDEX('Gap reference'!$G$2:$G$60,MATCH($B900,'Gap reference'!$A$2:$A$60,0)))</f>
        <v/>
      </c>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26" t="str">
        <f t="array" ref="C901">IF($B901="","",INDEX('Gap reference'!$C$2:$C$60,MATCH($B901,'Gap reference'!$A$2:$A$60,0)))</f>
        <v/>
      </c>
      <c r="D901" s="26" t="str">
        <f t="array" ref="D901">IF($B901="","",INDEX('Gap reference'!$D$2:$D$60,MATCH($B901,'Gap reference'!$A$2:$A$60,0)))</f>
        <v/>
      </c>
      <c r="E901" s="26" t="str">
        <f t="array" ref="E901">IF($B901="","",INDEX('Gap reference'!$G$2:$G$60,MATCH($B901,'Gap reference'!$A$2:$A$60,0)))</f>
        <v/>
      </c>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26" t="str">
        <f t="array" ref="C902">IF($B902="","",INDEX('Gap reference'!$C$2:$C$60,MATCH($B902,'Gap reference'!$A$2:$A$60,0)))</f>
        <v/>
      </c>
      <c r="D902" s="26" t="str">
        <f t="array" ref="D902">IF($B902="","",INDEX('Gap reference'!$D$2:$D$60,MATCH($B902,'Gap reference'!$A$2:$A$60,0)))</f>
        <v/>
      </c>
      <c r="E902" s="26" t="str">
        <f t="array" ref="E902">IF($B902="","",INDEX('Gap reference'!$G$2:$G$60,MATCH($B902,'Gap reference'!$A$2:$A$60,0)))</f>
        <v/>
      </c>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26" t="str">
        <f t="array" ref="C903">IF($B903="","",INDEX('Gap reference'!$C$2:$C$60,MATCH($B903,'Gap reference'!$A$2:$A$60,0)))</f>
        <v/>
      </c>
      <c r="D903" s="26" t="str">
        <f t="array" ref="D903">IF($B903="","",INDEX('Gap reference'!$D$2:$D$60,MATCH($B903,'Gap reference'!$A$2:$A$60,0)))</f>
        <v/>
      </c>
      <c r="E903" s="26" t="str">
        <f t="array" ref="E903">IF($B903="","",INDEX('Gap reference'!$G$2:$G$60,MATCH($B903,'Gap reference'!$A$2:$A$60,0)))</f>
        <v/>
      </c>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26" t="str">
        <f t="array" ref="C904">IF($B904="","",INDEX('Gap reference'!$C$2:$C$60,MATCH($B904,'Gap reference'!$A$2:$A$60,0)))</f>
        <v/>
      </c>
      <c r="D904" s="26" t="str">
        <f t="array" ref="D904">IF($B904="","",INDEX('Gap reference'!$D$2:$D$60,MATCH($B904,'Gap reference'!$A$2:$A$60,0)))</f>
        <v/>
      </c>
      <c r="E904" s="26" t="str">
        <f t="array" ref="E904">IF($B904="","",INDEX('Gap reference'!$G$2:$G$60,MATCH($B904,'Gap reference'!$A$2:$A$60,0)))</f>
        <v/>
      </c>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26" t="str">
        <f t="array" ref="C905">IF($B905="","",INDEX('Gap reference'!$C$2:$C$60,MATCH($B905,'Gap reference'!$A$2:$A$60,0)))</f>
        <v/>
      </c>
      <c r="D905" s="26" t="str">
        <f t="array" ref="D905">IF($B905="","",INDEX('Gap reference'!$D$2:$D$60,MATCH($B905,'Gap reference'!$A$2:$A$60,0)))</f>
        <v/>
      </c>
      <c r="E905" s="26" t="str">
        <f t="array" ref="E905">IF($B905="","",INDEX('Gap reference'!$G$2:$G$60,MATCH($B905,'Gap reference'!$A$2:$A$60,0)))</f>
        <v/>
      </c>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26" t="str">
        <f t="array" ref="C906">IF($B906="","",INDEX('Gap reference'!$C$2:$C$60,MATCH($B906,'Gap reference'!$A$2:$A$60,0)))</f>
        <v/>
      </c>
      <c r="D906" s="26" t="str">
        <f t="array" ref="D906">IF($B906="","",INDEX('Gap reference'!$D$2:$D$60,MATCH($B906,'Gap reference'!$A$2:$A$60,0)))</f>
        <v/>
      </c>
      <c r="E906" s="26" t="str">
        <f t="array" ref="E906">IF($B906="","",INDEX('Gap reference'!$G$2:$G$60,MATCH($B906,'Gap reference'!$A$2:$A$60,0)))</f>
        <v/>
      </c>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26" t="str">
        <f t="array" ref="C907">IF($B907="","",INDEX('Gap reference'!$C$2:$C$60,MATCH($B907,'Gap reference'!$A$2:$A$60,0)))</f>
        <v/>
      </c>
      <c r="D907" s="26" t="str">
        <f t="array" ref="D907">IF($B907="","",INDEX('Gap reference'!$D$2:$D$60,MATCH($B907,'Gap reference'!$A$2:$A$60,0)))</f>
        <v/>
      </c>
      <c r="E907" s="26" t="str">
        <f t="array" ref="E907">IF($B907="","",INDEX('Gap reference'!$G$2:$G$60,MATCH($B907,'Gap reference'!$A$2:$A$60,0)))</f>
        <v/>
      </c>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26" t="str">
        <f t="array" ref="C908">IF($B908="","",INDEX('Gap reference'!$C$2:$C$60,MATCH($B908,'Gap reference'!$A$2:$A$60,0)))</f>
        <v/>
      </c>
      <c r="D908" s="26" t="str">
        <f t="array" ref="D908">IF($B908="","",INDEX('Gap reference'!$D$2:$D$60,MATCH($B908,'Gap reference'!$A$2:$A$60,0)))</f>
        <v/>
      </c>
      <c r="E908" s="26" t="str">
        <f t="array" ref="E908">IF($B908="","",INDEX('Gap reference'!$G$2:$G$60,MATCH($B908,'Gap reference'!$A$2:$A$60,0)))</f>
        <v/>
      </c>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26" t="str">
        <f t="array" ref="C909">IF($B909="","",INDEX('Gap reference'!$C$2:$C$60,MATCH($B909,'Gap reference'!$A$2:$A$60,0)))</f>
        <v/>
      </c>
      <c r="D909" s="26" t="str">
        <f t="array" ref="D909">IF($B909="","",INDEX('Gap reference'!$D$2:$D$60,MATCH($B909,'Gap reference'!$A$2:$A$60,0)))</f>
        <v/>
      </c>
      <c r="E909" s="26" t="str">
        <f t="array" ref="E909">IF($B909="","",INDEX('Gap reference'!$G$2:$G$60,MATCH($B909,'Gap reference'!$A$2:$A$60,0)))</f>
        <v/>
      </c>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26" t="str">
        <f t="array" ref="C910">IF($B910="","",INDEX('Gap reference'!$C$2:$C$60,MATCH($B910,'Gap reference'!$A$2:$A$60,0)))</f>
        <v/>
      </c>
      <c r="D910" s="26" t="str">
        <f t="array" ref="D910">IF($B910="","",INDEX('Gap reference'!$D$2:$D$60,MATCH($B910,'Gap reference'!$A$2:$A$60,0)))</f>
        <v/>
      </c>
      <c r="E910" s="26" t="str">
        <f t="array" ref="E910">IF($B910="","",INDEX('Gap reference'!$G$2:$G$60,MATCH($B910,'Gap reference'!$A$2:$A$60,0)))</f>
        <v/>
      </c>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26" t="str">
        <f t="array" ref="C911">IF($B911="","",INDEX('Gap reference'!$C$2:$C$60,MATCH($B911,'Gap reference'!$A$2:$A$60,0)))</f>
        <v/>
      </c>
      <c r="D911" s="26" t="str">
        <f t="array" ref="D911">IF($B911="","",INDEX('Gap reference'!$D$2:$D$60,MATCH($B911,'Gap reference'!$A$2:$A$60,0)))</f>
        <v/>
      </c>
      <c r="E911" s="26" t="str">
        <f t="array" ref="E911">IF($B911="","",INDEX('Gap reference'!$G$2:$G$60,MATCH($B911,'Gap reference'!$A$2:$A$60,0)))</f>
        <v/>
      </c>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26" t="str">
        <f t="array" ref="C912">IF($B912="","",INDEX('Gap reference'!$C$2:$C$60,MATCH($B912,'Gap reference'!$A$2:$A$60,0)))</f>
        <v/>
      </c>
      <c r="D912" s="26" t="str">
        <f t="array" ref="D912">IF($B912="","",INDEX('Gap reference'!$D$2:$D$60,MATCH($B912,'Gap reference'!$A$2:$A$60,0)))</f>
        <v/>
      </c>
      <c r="E912" s="26" t="str">
        <f t="array" ref="E912">IF($B912="","",INDEX('Gap reference'!$G$2:$G$60,MATCH($B912,'Gap reference'!$A$2:$A$60,0)))</f>
        <v/>
      </c>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26" t="str">
        <f t="array" ref="C913">IF($B913="","",INDEX('Gap reference'!$C$2:$C$60,MATCH($B913,'Gap reference'!$A$2:$A$60,0)))</f>
        <v/>
      </c>
      <c r="D913" s="26" t="str">
        <f t="array" ref="D913">IF($B913="","",INDEX('Gap reference'!$D$2:$D$60,MATCH($B913,'Gap reference'!$A$2:$A$60,0)))</f>
        <v/>
      </c>
      <c r="E913" s="26" t="str">
        <f t="array" ref="E913">IF($B913="","",INDEX('Gap reference'!$G$2:$G$60,MATCH($B913,'Gap reference'!$A$2:$A$60,0)))</f>
        <v/>
      </c>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26" t="str">
        <f t="array" ref="C914">IF($B914="","",INDEX('Gap reference'!$C$2:$C$60,MATCH($B914,'Gap reference'!$A$2:$A$60,0)))</f>
        <v/>
      </c>
      <c r="D914" s="26" t="str">
        <f t="array" ref="D914">IF($B914="","",INDEX('Gap reference'!$D$2:$D$60,MATCH($B914,'Gap reference'!$A$2:$A$60,0)))</f>
        <v/>
      </c>
      <c r="E914" s="26" t="str">
        <f t="array" ref="E914">IF($B914="","",INDEX('Gap reference'!$G$2:$G$60,MATCH($B914,'Gap reference'!$A$2:$A$60,0)))</f>
        <v/>
      </c>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26" t="str">
        <f t="array" ref="C915">IF($B915="","",INDEX('Gap reference'!$C$2:$C$60,MATCH($B915,'Gap reference'!$A$2:$A$60,0)))</f>
        <v/>
      </c>
      <c r="D915" s="26" t="str">
        <f t="array" ref="D915">IF($B915="","",INDEX('Gap reference'!$D$2:$D$60,MATCH($B915,'Gap reference'!$A$2:$A$60,0)))</f>
        <v/>
      </c>
      <c r="E915" s="26" t="str">
        <f t="array" ref="E915">IF($B915="","",INDEX('Gap reference'!$G$2:$G$60,MATCH($B915,'Gap reference'!$A$2:$A$60,0)))</f>
        <v/>
      </c>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26" t="str">
        <f t="array" ref="C916">IF($B916="","",INDEX('Gap reference'!$C$2:$C$60,MATCH($B916,'Gap reference'!$A$2:$A$60,0)))</f>
        <v/>
      </c>
      <c r="D916" s="26" t="str">
        <f t="array" ref="D916">IF($B916="","",INDEX('Gap reference'!$D$2:$D$60,MATCH($B916,'Gap reference'!$A$2:$A$60,0)))</f>
        <v/>
      </c>
      <c r="E916" s="26" t="str">
        <f t="array" ref="E916">IF($B916="","",INDEX('Gap reference'!$G$2:$G$60,MATCH($B916,'Gap reference'!$A$2:$A$60,0)))</f>
        <v/>
      </c>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26" t="str">
        <f t="array" ref="C917">IF($B917="","",INDEX('Gap reference'!$C$2:$C$60,MATCH($B917,'Gap reference'!$A$2:$A$60,0)))</f>
        <v/>
      </c>
      <c r="D917" s="26" t="str">
        <f t="array" ref="D917">IF($B917="","",INDEX('Gap reference'!$D$2:$D$60,MATCH($B917,'Gap reference'!$A$2:$A$60,0)))</f>
        <v/>
      </c>
      <c r="E917" s="26" t="str">
        <f t="array" ref="E917">IF($B917="","",INDEX('Gap reference'!$G$2:$G$60,MATCH($B917,'Gap reference'!$A$2:$A$60,0)))</f>
        <v/>
      </c>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26" t="str">
        <f t="array" ref="C918">IF($B918="","",INDEX('Gap reference'!$C$2:$C$60,MATCH($B918,'Gap reference'!$A$2:$A$60,0)))</f>
        <v/>
      </c>
      <c r="D918" s="26" t="str">
        <f t="array" ref="D918">IF($B918="","",INDEX('Gap reference'!$D$2:$D$60,MATCH($B918,'Gap reference'!$A$2:$A$60,0)))</f>
        <v/>
      </c>
      <c r="E918" s="26" t="str">
        <f t="array" ref="E918">IF($B918="","",INDEX('Gap reference'!$G$2:$G$60,MATCH($B918,'Gap reference'!$A$2:$A$60,0)))</f>
        <v/>
      </c>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26" t="str">
        <f t="array" ref="C919">IF($B919="","",INDEX('Gap reference'!$C$2:$C$60,MATCH($B919,'Gap reference'!$A$2:$A$60,0)))</f>
        <v/>
      </c>
      <c r="D919" s="26" t="str">
        <f t="array" ref="D919">IF($B919="","",INDEX('Gap reference'!$D$2:$D$60,MATCH($B919,'Gap reference'!$A$2:$A$60,0)))</f>
        <v/>
      </c>
      <c r="E919" s="26" t="str">
        <f t="array" ref="E919">IF($B919="","",INDEX('Gap reference'!$G$2:$G$60,MATCH($B919,'Gap reference'!$A$2:$A$60,0)))</f>
        <v/>
      </c>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26" t="str">
        <f t="array" ref="C920">IF($B920="","",INDEX('Gap reference'!$C$2:$C$60,MATCH($B920,'Gap reference'!$A$2:$A$60,0)))</f>
        <v/>
      </c>
      <c r="D920" s="26" t="str">
        <f t="array" ref="D920">IF($B920="","",INDEX('Gap reference'!$D$2:$D$60,MATCH($B920,'Gap reference'!$A$2:$A$60,0)))</f>
        <v/>
      </c>
      <c r="E920" s="26" t="str">
        <f t="array" ref="E920">IF($B920="","",INDEX('Gap reference'!$G$2:$G$60,MATCH($B920,'Gap reference'!$A$2:$A$60,0)))</f>
        <v/>
      </c>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26" t="str">
        <f t="array" ref="C921">IF($B921="","",INDEX('Gap reference'!$C$2:$C$60,MATCH($B921,'Gap reference'!$A$2:$A$60,0)))</f>
        <v/>
      </c>
      <c r="D921" s="26" t="str">
        <f t="array" ref="D921">IF($B921="","",INDEX('Gap reference'!$D$2:$D$60,MATCH($B921,'Gap reference'!$A$2:$A$60,0)))</f>
        <v/>
      </c>
      <c r="E921" s="26" t="str">
        <f t="array" ref="E921">IF($B921="","",INDEX('Gap reference'!$G$2:$G$60,MATCH($B921,'Gap reference'!$A$2:$A$60,0)))</f>
        <v/>
      </c>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26" t="str">
        <f t="array" ref="C922">IF($B922="","",INDEX('Gap reference'!$C$2:$C$60,MATCH($B922,'Gap reference'!$A$2:$A$60,0)))</f>
        <v/>
      </c>
      <c r="D922" s="26" t="str">
        <f t="array" ref="D922">IF($B922="","",INDEX('Gap reference'!$D$2:$D$60,MATCH($B922,'Gap reference'!$A$2:$A$60,0)))</f>
        <v/>
      </c>
      <c r="E922" s="26" t="str">
        <f t="array" ref="E922">IF($B922="","",INDEX('Gap reference'!$G$2:$G$60,MATCH($B922,'Gap reference'!$A$2:$A$60,0)))</f>
        <v/>
      </c>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26" t="str">
        <f t="array" ref="C923">IF($B923="","",INDEX('Gap reference'!$C$2:$C$60,MATCH($B923,'Gap reference'!$A$2:$A$60,0)))</f>
        <v/>
      </c>
      <c r="D923" s="26" t="str">
        <f t="array" ref="D923">IF($B923="","",INDEX('Gap reference'!$D$2:$D$60,MATCH($B923,'Gap reference'!$A$2:$A$60,0)))</f>
        <v/>
      </c>
      <c r="E923" s="26" t="str">
        <f t="array" ref="E923">IF($B923="","",INDEX('Gap reference'!$G$2:$G$60,MATCH($B923,'Gap reference'!$A$2:$A$60,0)))</f>
        <v/>
      </c>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26" t="str">
        <f t="array" ref="C924">IF($B924="","",INDEX('Gap reference'!$C$2:$C$60,MATCH($B924,'Gap reference'!$A$2:$A$60,0)))</f>
        <v/>
      </c>
      <c r="D924" s="26" t="str">
        <f t="array" ref="D924">IF($B924="","",INDEX('Gap reference'!$D$2:$D$60,MATCH($B924,'Gap reference'!$A$2:$A$60,0)))</f>
        <v/>
      </c>
      <c r="E924" s="26" t="str">
        <f t="array" ref="E924">IF($B924="","",INDEX('Gap reference'!$G$2:$G$60,MATCH($B924,'Gap reference'!$A$2:$A$60,0)))</f>
        <v/>
      </c>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26" t="str">
        <f t="array" ref="C925">IF($B925="","",INDEX('Gap reference'!$C$2:$C$60,MATCH($B925,'Gap reference'!$A$2:$A$60,0)))</f>
        <v/>
      </c>
      <c r="D925" s="26" t="str">
        <f t="array" ref="D925">IF($B925="","",INDEX('Gap reference'!$D$2:$D$60,MATCH($B925,'Gap reference'!$A$2:$A$60,0)))</f>
        <v/>
      </c>
      <c r="E925" s="26" t="str">
        <f t="array" ref="E925">IF($B925="","",INDEX('Gap reference'!$G$2:$G$60,MATCH($B925,'Gap reference'!$A$2:$A$60,0)))</f>
        <v/>
      </c>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26" t="str">
        <f t="array" ref="C926">IF($B926="","",INDEX('Gap reference'!$C$2:$C$60,MATCH($B926,'Gap reference'!$A$2:$A$60,0)))</f>
        <v/>
      </c>
      <c r="D926" s="26" t="str">
        <f t="array" ref="D926">IF($B926="","",INDEX('Gap reference'!$D$2:$D$60,MATCH($B926,'Gap reference'!$A$2:$A$60,0)))</f>
        <v/>
      </c>
      <c r="E926" s="26" t="str">
        <f t="array" ref="E926">IF($B926="","",INDEX('Gap reference'!$G$2:$G$60,MATCH($B926,'Gap reference'!$A$2:$A$60,0)))</f>
        <v/>
      </c>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26" t="str">
        <f t="array" ref="C927">IF($B927="","",INDEX('Gap reference'!$C$2:$C$60,MATCH($B927,'Gap reference'!$A$2:$A$60,0)))</f>
        <v/>
      </c>
      <c r="D927" s="26" t="str">
        <f t="array" ref="D927">IF($B927="","",INDEX('Gap reference'!$D$2:$D$60,MATCH($B927,'Gap reference'!$A$2:$A$60,0)))</f>
        <v/>
      </c>
      <c r="E927" s="26" t="str">
        <f t="array" ref="E927">IF($B927="","",INDEX('Gap reference'!$G$2:$G$60,MATCH($B927,'Gap reference'!$A$2:$A$60,0)))</f>
        <v/>
      </c>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26" t="str">
        <f t="array" ref="C928">IF($B928="","",INDEX('Gap reference'!$C$2:$C$60,MATCH($B928,'Gap reference'!$A$2:$A$60,0)))</f>
        <v/>
      </c>
      <c r="D928" s="26" t="str">
        <f t="array" ref="D928">IF($B928="","",INDEX('Gap reference'!$D$2:$D$60,MATCH($B928,'Gap reference'!$A$2:$A$60,0)))</f>
        <v/>
      </c>
      <c r="E928" s="26" t="str">
        <f t="array" ref="E928">IF($B928="","",INDEX('Gap reference'!$G$2:$G$60,MATCH($B928,'Gap reference'!$A$2:$A$60,0)))</f>
        <v/>
      </c>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26" t="str">
        <f t="array" ref="C929">IF($B929="","",INDEX('Gap reference'!$C$2:$C$60,MATCH($B929,'Gap reference'!$A$2:$A$60,0)))</f>
        <v/>
      </c>
      <c r="D929" s="26" t="str">
        <f t="array" ref="D929">IF($B929="","",INDEX('Gap reference'!$D$2:$D$60,MATCH($B929,'Gap reference'!$A$2:$A$60,0)))</f>
        <v/>
      </c>
      <c r="E929" s="26" t="str">
        <f t="array" ref="E929">IF($B929="","",INDEX('Gap reference'!$G$2:$G$60,MATCH($B929,'Gap reference'!$A$2:$A$60,0)))</f>
        <v/>
      </c>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26" t="str">
        <f t="array" ref="C930">IF($B930="","",INDEX('Gap reference'!$C$2:$C$60,MATCH($B930,'Gap reference'!$A$2:$A$60,0)))</f>
        <v/>
      </c>
      <c r="D930" s="26" t="str">
        <f t="array" ref="D930">IF($B930="","",INDEX('Gap reference'!$D$2:$D$60,MATCH($B930,'Gap reference'!$A$2:$A$60,0)))</f>
        <v/>
      </c>
      <c r="E930" s="26" t="str">
        <f t="array" ref="E930">IF($B930="","",INDEX('Gap reference'!$G$2:$G$60,MATCH($B930,'Gap reference'!$A$2:$A$60,0)))</f>
        <v/>
      </c>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26" t="str">
        <f t="array" ref="C931">IF($B931="","",INDEX('Gap reference'!$C$2:$C$60,MATCH($B931,'Gap reference'!$A$2:$A$60,0)))</f>
        <v/>
      </c>
      <c r="D931" s="26" t="str">
        <f t="array" ref="D931">IF($B931="","",INDEX('Gap reference'!$D$2:$D$60,MATCH($B931,'Gap reference'!$A$2:$A$60,0)))</f>
        <v/>
      </c>
      <c r="E931" s="26" t="str">
        <f t="array" ref="E931">IF($B931="","",INDEX('Gap reference'!$G$2:$G$60,MATCH($B931,'Gap reference'!$A$2:$A$60,0)))</f>
        <v/>
      </c>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26" t="str">
        <f t="array" ref="C932">IF($B932="","",INDEX('Gap reference'!$C$2:$C$60,MATCH($B932,'Gap reference'!$A$2:$A$60,0)))</f>
        <v/>
      </c>
      <c r="D932" s="26" t="str">
        <f t="array" ref="D932">IF($B932="","",INDEX('Gap reference'!$D$2:$D$60,MATCH($B932,'Gap reference'!$A$2:$A$60,0)))</f>
        <v/>
      </c>
      <c r="E932" s="26" t="str">
        <f t="array" ref="E932">IF($B932="","",INDEX('Gap reference'!$G$2:$G$60,MATCH($B932,'Gap reference'!$A$2:$A$60,0)))</f>
        <v/>
      </c>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26" t="str">
        <f t="array" ref="C933">IF($B933="","",INDEX('Gap reference'!$C$2:$C$60,MATCH($B933,'Gap reference'!$A$2:$A$60,0)))</f>
        <v/>
      </c>
      <c r="D933" s="26" t="str">
        <f t="array" ref="D933">IF($B933="","",INDEX('Gap reference'!$D$2:$D$60,MATCH($B933,'Gap reference'!$A$2:$A$60,0)))</f>
        <v/>
      </c>
      <c r="E933" s="26" t="str">
        <f t="array" ref="E933">IF($B933="","",INDEX('Gap reference'!$G$2:$G$60,MATCH($B933,'Gap reference'!$A$2:$A$60,0)))</f>
        <v/>
      </c>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26" t="str">
        <f t="array" ref="C934">IF($B934="","",INDEX('Gap reference'!$C$2:$C$60,MATCH($B934,'Gap reference'!$A$2:$A$60,0)))</f>
        <v/>
      </c>
      <c r="D934" s="26" t="str">
        <f t="array" ref="D934">IF($B934="","",INDEX('Gap reference'!$D$2:$D$60,MATCH($B934,'Gap reference'!$A$2:$A$60,0)))</f>
        <v/>
      </c>
      <c r="E934" s="26" t="str">
        <f t="array" ref="E934">IF($B934="","",INDEX('Gap reference'!$G$2:$G$60,MATCH($B934,'Gap reference'!$A$2:$A$60,0)))</f>
        <v/>
      </c>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26" t="str">
        <f t="array" ref="C935">IF($B935="","",INDEX('Gap reference'!$C$2:$C$60,MATCH($B935,'Gap reference'!$A$2:$A$60,0)))</f>
        <v/>
      </c>
      <c r="D935" s="26" t="str">
        <f t="array" ref="D935">IF($B935="","",INDEX('Gap reference'!$D$2:$D$60,MATCH($B935,'Gap reference'!$A$2:$A$60,0)))</f>
        <v/>
      </c>
      <c r="E935" s="26" t="str">
        <f t="array" ref="E935">IF($B935="","",INDEX('Gap reference'!$G$2:$G$60,MATCH($B935,'Gap reference'!$A$2:$A$60,0)))</f>
        <v/>
      </c>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26" t="str">
        <f t="array" ref="C936">IF($B936="","",INDEX('Gap reference'!$C$2:$C$60,MATCH($B936,'Gap reference'!$A$2:$A$60,0)))</f>
        <v/>
      </c>
      <c r="D936" s="26" t="str">
        <f t="array" ref="D936">IF($B936="","",INDEX('Gap reference'!$D$2:$D$60,MATCH($B936,'Gap reference'!$A$2:$A$60,0)))</f>
        <v/>
      </c>
      <c r="E936" s="26" t="str">
        <f t="array" ref="E936">IF($B936="","",INDEX('Gap reference'!$G$2:$G$60,MATCH($B936,'Gap reference'!$A$2:$A$60,0)))</f>
        <v/>
      </c>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26" t="str">
        <f t="array" ref="C937">IF($B937="","",INDEX('Gap reference'!$C$2:$C$60,MATCH($B937,'Gap reference'!$A$2:$A$60,0)))</f>
        <v/>
      </c>
      <c r="D937" s="26" t="str">
        <f t="array" ref="D937">IF($B937="","",INDEX('Gap reference'!$D$2:$D$60,MATCH($B937,'Gap reference'!$A$2:$A$60,0)))</f>
        <v/>
      </c>
      <c r="E937" s="26" t="str">
        <f t="array" ref="E937">IF($B937="","",INDEX('Gap reference'!$G$2:$G$60,MATCH($B937,'Gap reference'!$A$2:$A$60,0)))</f>
        <v/>
      </c>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26" t="str">
        <f t="array" ref="C938">IF($B938="","",INDEX('Gap reference'!$C$2:$C$60,MATCH($B938,'Gap reference'!$A$2:$A$60,0)))</f>
        <v/>
      </c>
      <c r="D938" s="26" t="str">
        <f t="array" ref="D938">IF($B938="","",INDEX('Gap reference'!$D$2:$D$60,MATCH($B938,'Gap reference'!$A$2:$A$60,0)))</f>
        <v/>
      </c>
      <c r="E938" s="26" t="str">
        <f t="array" ref="E938">IF($B938="","",INDEX('Gap reference'!$G$2:$G$60,MATCH($B938,'Gap reference'!$A$2:$A$60,0)))</f>
        <v/>
      </c>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26" t="str">
        <f t="array" ref="C939">IF($B939="","",INDEX('Gap reference'!$C$2:$C$60,MATCH($B939,'Gap reference'!$A$2:$A$60,0)))</f>
        <v/>
      </c>
      <c r="D939" s="26" t="str">
        <f t="array" ref="D939">IF($B939="","",INDEX('Gap reference'!$D$2:$D$60,MATCH($B939,'Gap reference'!$A$2:$A$60,0)))</f>
        <v/>
      </c>
      <c r="E939" s="26" t="str">
        <f t="array" ref="E939">IF($B939="","",INDEX('Gap reference'!$G$2:$G$60,MATCH($B939,'Gap reference'!$A$2:$A$60,0)))</f>
        <v/>
      </c>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26" t="str">
        <f t="array" ref="C940">IF($B940="","",INDEX('Gap reference'!$C$2:$C$60,MATCH($B940,'Gap reference'!$A$2:$A$60,0)))</f>
        <v/>
      </c>
      <c r="D940" s="26" t="str">
        <f t="array" ref="D940">IF($B940="","",INDEX('Gap reference'!$D$2:$D$60,MATCH($B940,'Gap reference'!$A$2:$A$60,0)))</f>
        <v/>
      </c>
      <c r="E940" s="26" t="str">
        <f t="array" ref="E940">IF($B940="","",INDEX('Gap reference'!$G$2:$G$60,MATCH($B940,'Gap reference'!$A$2:$A$60,0)))</f>
        <v/>
      </c>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26" t="str">
        <f t="array" ref="C941">IF($B941="","",INDEX('Gap reference'!$C$2:$C$60,MATCH($B941,'Gap reference'!$A$2:$A$60,0)))</f>
        <v/>
      </c>
      <c r="D941" s="26" t="str">
        <f t="array" ref="D941">IF($B941="","",INDEX('Gap reference'!$D$2:$D$60,MATCH($B941,'Gap reference'!$A$2:$A$60,0)))</f>
        <v/>
      </c>
      <c r="E941" s="26" t="str">
        <f t="array" ref="E941">IF($B941="","",INDEX('Gap reference'!$G$2:$G$60,MATCH($B941,'Gap reference'!$A$2:$A$60,0)))</f>
        <v/>
      </c>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26" t="str">
        <f t="array" ref="C942">IF($B942="","",INDEX('Gap reference'!$C$2:$C$60,MATCH($B942,'Gap reference'!$A$2:$A$60,0)))</f>
        <v/>
      </c>
      <c r="D942" s="26" t="str">
        <f t="array" ref="D942">IF($B942="","",INDEX('Gap reference'!$D$2:$D$60,MATCH($B942,'Gap reference'!$A$2:$A$60,0)))</f>
        <v/>
      </c>
      <c r="E942" s="26" t="str">
        <f t="array" ref="E942">IF($B942="","",INDEX('Gap reference'!$G$2:$G$60,MATCH($B942,'Gap reference'!$A$2:$A$60,0)))</f>
        <v/>
      </c>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26" t="str">
        <f t="array" ref="C943">IF($B943="","",INDEX('Gap reference'!$C$2:$C$60,MATCH($B943,'Gap reference'!$A$2:$A$60,0)))</f>
        <v/>
      </c>
      <c r="D943" s="26" t="str">
        <f t="array" ref="D943">IF($B943="","",INDEX('Gap reference'!$D$2:$D$60,MATCH($B943,'Gap reference'!$A$2:$A$60,0)))</f>
        <v/>
      </c>
      <c r="E943" s="26" t="str">
        <f t="array" ref="E943">IF($B943="","",INDEX('Gap reference'!$G$2:$G$60,MATCH($B943,'Gap reference'!$A$2:$A$60,0)))</f>
        <v/>
      </c>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26" t="str">
        <f t="array" ref="C944">IF($B944="","",INDEX('Gap reference'!$C$2:$C$60,MATCH($B944,'Gap reference'!$A$2:$A$60,0)))</f>
        <v/>
      </c>
      <c r="D944" s="26" t="str">
        <f t="array" ref="D944">IF($B944="","",INDEX('Gap reference'!$D$2:$D$60,MATCH($B944,'Gap reference'!$A$2:$A$60,0)))</f>
        <v/>
      </c>
      <c r="E944" s="26" t="str">
        <f t="array" ref="E944">IF($B944="","",INDEX('Gap reference'!$G$2:$G$60,MATCH($B944,'Gap reference'!$A$2:$A$60,0)))</f>
        <v/>
      </c>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26" t="str">
        <f t="array" ref="C945">IF($B945="","",INDEX('Gap reference'!$C$2:$C$60,MATCH($B945,'Gap reference'!$A$2:$A$60,0)))</f>
        <v/>
      </c>
      <c r="D945" s="26" t="str">
        <f t="array" ref="D945">IF($B945="","",INDEX('Gap reference'!$D$2:$D$60,MATCH($B945,'Gap reference'!$A$2:$A$60,0)))</f>
        <v/>
      </c>
      <c r="E945" s="26" t="str">
        <f t="array" ref="E945">IF($B945="","",INDEX('Gap reference'!$G$2:$G$60,MATCH($B945,'Gap reference'!$A$2:$A$60,0)))</f>
        <v/>
      </c>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26" t="str">
        <f t="array" ref="C946">IF($B946="","",INDEX('Gap reference'!$C$2:$C$60,MATCH($B946,'Gap reference'!$A$2:$A$60,0)))</f>
        <v/>
      </c>
      <c r="D946" s="26" t="str">
        <f t="array" ref="D946">IF($B946="","",INDEX('Gap reference'!$D$2:$D$60,MATCH($B946,'Gap reference'!$A$2:$A$60,0)))</f>
        <v/>
      </c>
      <c r="E946" s="26" t="str">
        <f t="array" ref="E946">IF($B946="","",INDEX('Gap reference'!$G$2:$G$60,MATCH($B946,'Gap reference'!$A$2:$A$60,0)))</f>
        <v/>
      </c>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26" t="str">
        <f t="array" ref="C947">IF($B947="","",INDEX('Gap reference'!$C$2:$C$60,MATCH($B947,'Gap reference'!$A$2:$A$60,0)))</f>
        <v/>
      </c>
      <c r="D947" s="26" t="str">
        <f t="array" ref="D947">IF($B947="","",INDEX('Gap reference'!$D$2:$D$60,MATCH($B947,'Gap reference'!$A$2:$A$60,0)))</f>
        <v/>
      </c>
      <c r="E947" s="26" t="str">
        <f t="array" ref="E947">IF($B947="","",INDEX('Gap reference'!$G$2:$G$60,MATCH($B947,'Gap reference'!$A$2:$A$60,0)))</f>
        <v/>
      </c>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26" t="str">
        <f t="array" ref="C948">IF($B948="","",INDEX('Gap reference'!$C$2:$C$60,MATCH($B948,'Gap reference'!$A$2:$A$60,0)))</f>
        <v/>
      </c>
      <c r="D948" s="26" t="str">
        <f t="array" ref="D948">IF($B948="","",INDEX('Gap reference'!$D$2:$D$60,MATCH($B948,'Gap reference'!$A$2:$A$60,0)))</f>
        <v/>
      </c>
      <c r="E948" s="26" t="str">
        <f t="array" ref="E948">IF($B948="","",INDEX('Gap reference'!$G$2:$G$60,MATCH($B948,'Gap reference'!$A$2:$A$60,0)))</f>
        <v/>
      </c>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26" t="str">
        <f t="array" ref="C949">IF($B949="","",INDEX('Gap reference'!$C$2:$C$60,MATCH($B949,'Gap reference'!$A$2:$A$60,0)))</f>
        <v/>
      </c>
      <c r="D949" s="26" t="str">
        <f t="array" ref="D949">IF($B949="","",INDEX('Gap reference'!$D$2:$D$60,MATCH($B949,'Gap reference'!$A$2:$A$60,0)))</f>
        <v/>
      </c>
      <c r="E949" s="26" t="str">
        <f t="array" ref="E949">IF($B949="","",INDEX('Gap reference'!$G$2:$G$60,MATCH($B949,'Gap reference'!$A$2:$A$60,0)))</f>
        <v/>
      </c>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26" t="str">
        <f t="array" ref="C950">IF($B950="","",INDEX('Gap reference'!$C$2:$C$60,MATCH($B950,'Gap reference'!$A$2:$A$60,0)))</f>
        <v/>
      </c>
      <c r="D950" s="26" t="str">
        <f t="array" ref="D950">IF($B950="","",INDEX('Gap reference'!$D$2:$D$60,MATCH($B950,'Gap reference'!$A$2:$A$60,0)))</f>
        <v/>
      </c>
      <c r="E950" s="26" t="str">
        <f t="array" ref="E950">IF($B950="","",INDEX('Gap reference'!$G$2:$G$60,MATCH($B950,'Gap reference'!$A$2:$A$60,0)))</f>
        <v/>
      </c>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26" t="str">
        <f t="array" ref="C951">IF($B951="","",INDEX('Gap reference'!$C$2:$C$60,MATCH($B951,'Gap reference'!$A$2:$A$60,0)))</f>
        <v/>
      </c>
      <c r="D951" s="26" t="str">
        <f t="array" ref="D951">IF($B951="","",INDEX('Gap reference'!$D$2:$D$60,MATCH($B951,'Gap reference'!$A$2:$A$60,0)))</f>
        <v/>
      </c>
      <c r="E951" s="26" t="str">
        <f t="array" ref="E951">IF($B951="","",INDEX('Gap reference'!$G$2:$G$60,MATCH($B951,'Gap reference'!$A$2:$A$60,0)))</f>
        <v/>
      </c>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26" t="str">
        <f t="array" ref="C952">IF($B952="","",INDEX('Gap reference'!$C$2:$C$60,MATCH($B952,'Gap reference'!$A$2:$A$60,0)))</f>
        <v/>
      </c>
      <c r="D952" s="26" t="str">
        <f t="array" ref="D952">IF($B952="","",INDEX('Gap reference'!$D$2:$D$60,MATCH($B952,'Gap reference'!$A$2:$A$60,0)))</f>
        <v/>
      </c>
      <c r="E952" s="26" t="str">
        <f t="array" ref="E952">IF($B952="","",INDEX('Gap reference'!$G$2:$G$60,MATCH($B952,'Gap reference'!$A$2:$A$60,0)))</f>
        <v/>
      </c>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26" t="str">
        <f t="array" ref="C953">IF($B953="","",INDEX('Gap reference'!$C$2:$C$60,MATCH($B953,'Gap reference'!$A$2:$A$60,0)))</f>
        <v/>
      </c>
      <c r="D953" s="26" t="str">
        <f t="array" ref="D953">IF($B953="","",INDEX('Gap reference'!$D$2:$D$60,MATCH($B953,'Gap reference'!$A$2:$A$60,0)))</f>
        <v/>
      </c>
      <c r="E953" s="26" t="str">
        <f t="array" ref="E953">IF($B953="","",INDEX('Gap reference'!$G$2:$G$60,MATCH($B953,'Gap reference'!$A$2:$A$60,0)))</f>
        <v/>
      </c>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26" t="str">
        <f t="array" ref="C954">IF($B954="","",INDEX('Gap reference'!$C$2:$C$60,MATCH($B954,'Gap reference'!$A$2:$A$60,0)))</f>
        <v/>
      </c>
      <c r="D954" s="26" t="str">
        <f t="array" ref="D954">IF($B954="","",INDEX('Gap reference'!$D$2:$D$60,MATCH($B954,'Gap reference'!$A$2:$A$60,0)))</f>
        <v/>
      </c>
      <c r="E954" s="26" t="str">
        <f t="array" ref="E954">IF($B954="","",INDEX('Gap reference'!$G$2:$G$60,MATCH($B954,'Gap reference'!$A$2:$A$60,0)))</f>
        <v/>
      </c>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26" t="str">
        <f t="array" ref="C955">IF($B955="","",INDEX('Gap reference'!$C$2:$C$60,MATCH($B955,'Gap reference'!$A$2:$A$60,0)))</f>
        <v/>
      </c>
      <c r="D955" s="26" t="str">
        <f t="array" ref="D955">IF($B955="","",INDEX('Gap reference'!$D$2:$D$60,MATCH($B955,'Gap reference'!$A$2:$A$60,0)))</f>
        <v/>
      </c>
      <c r="E955" s="26" t="str">
        <f t="array" ref="E955">IF($B955="","",INDEX('Gap reference'!$G$2:$G$60,MATCH($B955,'Gap reference'!$A$2:$A$60,0)))</f>
        <v/>
      </c>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26" t="str">
        <f t="array" ref="C956">IF($B956="","",INDEX('Gap reference'!$C$2:$C$60,MATCH($B956,'Gap reference'!$A$2:$A$60,0)))</f>
        <v/>
      </c>
      <c r="D956" s="26" t="str">
        <f t="array" ref="D956">IF($B956="","",INDEX('Gap reference'!$D$2:$D$60,MATCH($B956,'Gap reference'!$A$2:$A$60,0)))</f>
        <v/>
      </c>
      <c r="E956" s="26" t="str">
        <f t="array" ref="E956">IF($B956="","",INDEX('Gap reference'!$G$2:$G$60,MATCH($B956,'Gap reference'!$A$2:$A$60,0)))</f>
        <v/>
      </c>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26" t="str">
        <f t="array" ref="C957">IF($B957="","",INDEX('Gap reference'!$C$2:$C$60,MATCH($B957,'Gap reference'!$A$2:$A$60,0)))</f>
        <v/>
      </c>
      <c r="D957" s="26" t="str">
        <f t="array" ref="D957">IF($B957="","",INDEX('Gap reference'!$D$2:$D$60,MATCH($B957,'Gap reference'!$A$2:$A$60,0)))</f>
        <v/>
      </c>
      <c r="E957" s="26" t="str">
        <f t="array" ref="E957">IF($B957="","",INDEX('Gap reference'!$G$2:$G$60,MATCH($B957,'Gap reference'!$A$2:$A$60,0)))</f>
        <v/>
      </c>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26" t="str">
        <f t="array" ref="C958">IF($B958="","",INDEX('Gap reference'!$C$2:$C$60,MATCH($B958,'Gap reference'!$A$2:$A$60,0)))</f>
        <v/>
      </c>
      <c r="D958" s="26" t="str">
        <f t="array" ref="D958">IF($B958="","",INDEX('Gap reference'!$D$2:$D$60,MATCH($B958,'Gap reference'!$A$2:$A$60,0)))</f>
        <v/>
      </c>
      <c r="E958" s="26" t="str">
        <f t="array" ref="E958">IF($B958="","",INDEX('Gap reference'!$G$2:$G$60,MATCH($B958,'Gap reference'!$A$2:$A$60,0)))</f>
        <v/>
      </c>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26" t="str">
        <f t="array" ref="C959">IF($B959="","",INDEX('Gap reference'!$C$2:$C$60,MATCH($B959,'Gap reference'!$A$2:$A$60,0)))</f>
        <v/>
      </c>
      <c r="D959" s="26" t="str">
        <f t="array" ref="D959">IF($B959="","",INDEX('Gap reference'!$D$2:$D$60,MATCH($B959,'Gap reference'!$A$2:$A$60,0)))</f>
        <v/>
      </c>
      <c r="E959" s="26" t="str">
        <f t="array" ref="E959">IF($B959="","",INDEX('Gap reference'!$G$2:$G$60,MATCH($B959,'Gap reference'!$A$2:$A$60,0)))</f>
        <v/>
      </c>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26" t="str">
        <f t="array" ref="C960">IF($B960="","",INDEX('Gap reference'!$C$2:$C$60,MATCH($B960,'Gap reference'!$A$2:$A$60,0)))</f>
        <v/>
      </c>
      <c r="D960" s="26" t="str">
        <f t="array" ref="D960">IF($B960="","",INDEX('Gap reference'!$D$2:$D$60,MATCH($B960,'Gap reference'!$A$2:$A$60,0)))</f>
        <v/>
      </c>
      <c r="E960" s="26" t="str">
        <f t="array" ref="E960">IF($B960="","",INDEX('Gap reference'!$G$2:$G$60,MATCH($B960,'Gap reference'!$A$2:$A$60,0)))</f>
        <v/>
      </c>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26" t="str">
        <f t="array" ref="C961">IF($B961="","",INDEX('Gap reference'!$C$2:$C$60,MATCH($B961,'Gap reference'!$A$2:$A$60,0)))</f>
        <v/>
      </c>
      <c r="D961" s="26" t="str">
        <f t="array" ref="D961">IF($B961="","",INDEX('Gap reference'!$D$2:$D$60,MATCH($B961,'Gap reference'!$A$2:$A$60,0)))</f>
        <v/>
      </c>
      <c r="E961" s="26" t="str">
        <f t="array" ref="E961">IF($B961="","",INDEX('Gap reference'!$G$2:$G$60,MATCH($B961,'Gap reference'!$A$2:$A$60,0)))</f>
        <v/>
      </c>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26" t="str">
        <f t="array" ref="C962">IF($B962="","",INDEX('Gap reference'!$C$2:$C$60,MATCH($B962,'Gap reference'!$A$2:$A$60,0)))</f>
        <v/>
      </c>
      <c r="D962" s="26" t="str">
        <f t="array" ref="D962">IF($B962="","",INDEX('Gap reference'!$D$2:$D$60,MATCH($B962,'Gap reference'!$A$2:$A$60,0)))</f>
        <v/>
      </c>
      <c r="E962" s="26" t="str">
        <f t="array" ref="E962">IF($B962="","",INDEX('Gap reference'!$G$2:$G$60,MATCH($B962,'Gap reference'!$A$2:$A$60,0)))</f>
        <v/>
      </c>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26" t="str">
        <f t="array" ref="C963">IF($B963="","",INDEX('Gap reference'!$C$2:$C$60,MATCH($B963,'Gap reference'!$A$2:$A$60,0)))</f>
        <v/>
      </c>
      <c r="D963" s="26" t="str">
        <f t="array" ref="D963">IF($B963="","",INDEX('Gap reference'!$D$2:$D$60,MATCH($B963,'Gap reference'!$A$2:$A$60,0)))</f>
        <v/>
      </c>
      <c r="E963" s="26" t="str">
        <f t="array" ref="E963">IF($B963="","",INDEX('Gap reference'!$G$2:$G$60,MATCH($B963,'Gap reference'!$A$2:$A$60,0)))</f>
        <v/>
      </c>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26" t="str">
        <f t="array" ref="C964">IF($B964="","",INDEX('Gap reference'!$C$2:$C$60,MATCH($B964,'Gap reference'!$A$2:$A$60,0)))</f>
        <v/>
      </c>
      <c r="D964" s="26" t="str">
        <f t="array" ref="D964">IF($B964="","",INDEX('Gap reference'!$D$2:$D$60,MATCH($B964,'Gap reference'!$A$2:$A$60,0)))</f>
        <v/>
      </c>
      <c r="E964" s="26" t="str">
        <f t="array" ref="E964">IF($B964="","",INDEX('Gap reference'!$G$2:$G$60,MATCH($B964,'Gap reference'!$A$2:$A$60,0)))</f>
        <v/>
      </c>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26" t="str">
        <f t="array" ref="C965">IF($B965="","",INDEX('Gap reference'!$C$2:$C$60,MATCH($B965,'Gap reference'!$A$2:$A$60,0)))</f>
        <v/>
      </c>
      <c r="D965" s="26" t="str">
        <f t="array" ref="D965">IF($B965="","",INDEX('Gap reference'!$D$2:$D$60,MATCH($B965,'Gap reference'!$A$2:$A$60,0)))</f>
        <v/>
      </c>
      <c r="E965" s="26" t="str">
        <f t="array" ref="E965">IF($B965="","",INDEX('Gap reference'!$G$2:$G$60,MATCH($B965,'Gap reference'!$A$2:$A$60,0)))</f>
        <v/>
      </c>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26" t="str">
        <f t="array" ref="C966">IF($B966="","",INDEX('Gap reference'!$C$2:$C$60,MATCH($B966,'Gap reference'!$A$2:$A$60,0)))</f>
        <v/>
      </c>
      <c r="D966" s="26" t="str">
        <f t="array" ref="D966">IF($B966="","",INDEX('Gap reference'!$D$2:$D$60,MATCH($B966,'Gap reference'!$A$2:$A$60,0)))</f>
        <v/>
      </c>
      <c r="E966" s="26" t="str">
        <f t="array" ref="E966">IF($B966="","",INDEX('Gap reference'!$G$2:$G$60,MATCH($B966,'Gap reference'!$A$2:$A$60,0)))</f>
        <v/>
      </c>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26" t="str">
        <f t="array" ref="C967">IF($B967="","",INDEX('Gap reference'!$C$2:$C$60,MATCH($B967,'Gap reference'!$A$2:$A$60,0)))</f>
        <v/>
      </c>
      <c r="D967" s="26" t="str">
        <f t="array" ref="D967">IF($B967="","",INDEX('Gap reference'!$D$2:$D$60,MATCH($B967,'Gap reference'!$A$2:$A$60,0)))</f>
        <v/>
      </c>
      <c r="E967" s="26" t="str">
        <f t="array" ref="E967">IF($B967="","",INDEX('Gap reference'!$G$2:$G$60,MATCH($B967,'Gap reference'!$A$2:$A$60,0)))</f>
        <v/>
      </c>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26" t="str">
        <f t="array" ref="C968">IF($B968="","",INDEX('Gap reference'!$C$2:$C$60,MATCH($B968,'Gap reference'!$A$2:$A$60,0)))</f>
        <v/>
      </c>
      <c r="D968" s="26" t="str">
        <f t="array" ref="D968">IF($B968="","",INDEX('Gap reference'!$D$2:$D$60,MATCH($B968,'Gap reference'!$A$2:$A$60,0)))</f>
        <v/>
      </c>
      <c r="E968" s="26" t="str">
        <f t="array" ref="E968">IF($B968="","",INDEX('Gap reference'!$G$2:$G$60,MATCH($B968,'Gap reference'!$A$2:$A$60,0)))</f>
        <v/>
      </c>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26" t="str">
        <f t="array" ref="C969">IF($B969="","",INDEX('Gap reference'!$C$2:$C$60,MATCH($B969,'Gap reference'!$A$2:$A$60,0)))</f>
        <v/>
      </c>
      <c r="D969" s="26" t="str">
        <f t="array" ref="D969">IF($B969="","",INDEX('Gap reference'!$D$2:$D$60,MATCH($B969,'Gap reference'!$A$2:$A$60,0)))</f>
        <v/>
      </c>
      <c r="E969" s="26" t="str">
        <f t="array" ref="E969">IF($B969="","",INDEX('Gap reference'!$G$2:$G$60,MATCH($B969,'Gap reference'!$A$2:$A$60,0)))</f>
        <v/>
      </c>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26" t="str">
        <f t="array" ref="C970">IF($B970="","",INDEX('Gap reference'!$C$2:$C$60,MATCH($B970,'Gap reference'!$A$2:$A$60,0)))</f>
        <v/>
      </c>
      <c r="D970" s="26" t="str">
        <f t="array" ref="D970">IF($B970="","",INDEX('Gap reference'!$D$2:$D$60,MATCH($B970,'Gap reference'!$A$2:$A$60,0)))</f>
        <v/>
      </c>
      <c r="E970" s="26" t="str">
        <f t="array" ref="E970">IF($B970="","",INDEX('Gap reference'!$G$2:$G$60,MATCH($B970,'Gap reference'!$A$2:$A$60,0)))</f>
        <v/>
      </c>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26" t="str">
        <f t="array" ref="C971">IF($B971="","",INDEX('Gap reference'!$C$2:$C$60,MATCH($B971,'Gap reference'!$A$2:$A$60,0)))</f>
        <v/>
      </c>
      <c r="D971" s="26" t="str">
        <f t="array" ref="D971">IF($B971="","",INDEX('Gap reference'!$D$2:$D$60,MATCH($B971,'Gap reference'!$A$2:$A$60,0)))</f>
        <v/>
      </c>
      <c r="E971" s="26" t="str">
        <f t="array" ref="E971">IF($B971="","",INDEX('Gap reference'!$G$2:$G$60,MATCH($B971,'Gap reference'!$A$2:$A$60,0)))</f>
        <v/>
      </c>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26" t="str">
        <f t="array" ref="C972">IF($B972="","",INDEX('Gap reference'!$C$2:$C$60,MATCH($B972,'Gap reference'!$A$2:$A$60,0)))</f>
        <v/>
      </c>
      <c r="D972" s="26" t="str">
        <f t="array" ref="D972">IF($B972="","",INDEX('Gap reference'!$D$2:$D$60,MATCH($B972,'Gap reference'!$A$2:$A$60,0)))</f>
        <v/>
      </c>
      <c r="E972" s="26" t="str">
        <f t="array" ref="E972">IF($B972="","",INDEX('Gap reference'!$G$2:$G$60,MATCH($B972,'Gap reference'!$A$2:$A$60,0)))</f>
        <v/>
      </c>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26" t="str">
        <f t="array" ref="C973">IF($B973="","",INDEX('Gap reference'!$C$2:$C$60,MATCH($B973,'Gap reference'!$A$2:$A$60,0)))</f>
        <v/>
      </c>
      <c r="D973" s="26" t="str">
        <f t="array" ref="D973">IF($B973="","",INDEX('Gap reference'!$D$2:$D$60,MATCH($B973,'Gap reference'!$A$2:$A$60,0)))</f>
        <v/>
      </c>
      <c r="E973" s="26" t="str">
        <f t="array" ref="E973">IF($B973="","",INDEX('Gap reference'!$G$2:$G$60,MATCH($B973,'Gap reference'!$A$2:$A$60,0)))</f>
        <v/>
      </c>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26" t="str">
        <f t="array" ref="C974">IF($B974="","",INDEX('Gap reference'!$C$2:$C$60,MATCH($B974,'Gap reference'!$A$2:$A$60,0)))</f>
        <v/>
      </c>
      <c r="D974" s="26" t="str">
        <f t="array" ref="D974">IF($B974="","",INDEX('Gap reference'!$D$2:$D$60,MATCH($B974,'Gap reference'!$A$2:$A$60,0)))</f>
        <v/>
      </c>
      <c r="E974" s="26" t="str">
        <f t="array" ref="E974">IF($B974="","",INDEX('Gap reference'!$G$2:$G$60,MATCH($B974,'Gap reference'!$A$2:$A$60,0)))</f>
        <v/>
      </c>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26" t="str">
        <f t="array" ref="C975">IF($B975="","",INDEX('Gap reference'!$C$2:$C$60,MATCH($B975,'Gap reference'!$A$2:$A$60,0)))</f>
        <v/>
      </c>
      <c r="D975" s="26" t="str">
        <f t="array" ref="D975">IF($B975="","",INDEX('Gap reference'!$D$2:$D$60,MATCH($B975,'Gap reference'!$A$2:$A$60,0)))</f>
        <v/>
      </c>
      <c r="E975" s="26" t="str">
        <f t="array" ref="E975">IF($B975="","",INDEX('Gap reference'!$G$2:$G$60,MATCH($B975,'Gap reference'!$A$2:$A$60,0)))</f>
        <v/>
      </c>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26" t="str">
        <f t="array" ref="C976">IF($B976="","",INDEX('Gap reference'!$C$2:$C$60,MATCH($B976,'Gap reference'!$A$2:$A$60,0)))</f>
        <v/>
      </c>
      <c r="D976" s="26" t="str">
        <f t="array" ref="D976">IF($B976="","",INDEX('Gap reference'!$D$2:$D$60,MATCH($B976,'Gap reference'!$A$2:$A$60,0)))</f>
        <v/>
      </c>
      <c r="E976" s="26" t="str">
        <f t="array" ref="E976">IF($B976="","",INDEX('Gap reference'!$G$2:$G$60,MATCH($B976,'Gap reference'!$A$2:$A$60,0)))</f>
        <v/>
      </c>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26" t="str">
        <f t="array" ref="C977">IF($B977="","",INDEX('Gap reference'!$C$2:$C$60,MATCH($B977,'Gap reference'!$A$2:$A$60,0)))</f>
        <v/>
      </c>
      <c r="D977" s="26" t="str">
        <f t="array" ref="D977">IF($B977="","",INDEX('Gap reference'!$D$2:$D$60,MATCH($B977,'Gap reference'!$A$2:$A$60,0)))</f>
        <v/>
      </c>
      <c r="E977" s="26" t="str">
        <f t="array" ref="E977">IF($B977="","",INDEX('Gap reference'!$G$2:$G$60,MATCH($B977,'Gap reference'!$A$2:$A$60,0)))</f>
        <v/>
      </c>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26" t="str">
        <f t="array" ref="C978">IF($B978="","",INDEX('Gap reference'!$C$2:$C$60,MATCH($B978,'Gap reference'!$A$2:$A$60,0)))</f>
        <v/>
      </c>
      <c r="D978" s="26" t="str">
        <f t="array" ref="D978">IF($B978="","",INDEX('Gap reference'!$D$2:$D$60,MATCH($B978,'Gap reference'!$A$2:$A$60,0)))</f>
        <v/>
      </c>
      <c r="E978" s="26" t="str">
        <f t="array" ref="E978">IF($B978="","",INDEX('Gap reference'!$G$2:$G$60,MATCH($B978,'Gap reference'!$A$2:$A$60,0)))</f>
        <v/>
      </c>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26" t="str">
        <f t="array" ref="C979">IF($B979="","",INDEX('Gap reference'!$C$2:$C$60,MATCH($B979,'Gap reference'!$A$2:$A$60,0)))</f>
        <v/>
      </c>
      <c r="D979" s="26" t="str">
        <f t="array" ref="D979">IF($B979="","",INDEX('Gap reference'!$D$2:$D$60,MATCH($B979,'Gap reference'!$A$2:$A$60,0)))</f>
        <v/>
      </c>
      <c r="E979" s="26" t="str">
        <f t="array" ref="E979">IF($B979="","",INDEX('Gap reference'!$G$2:$G$60,MATCH($B979,'Gap reference'!$A$2:$A$60,0)))</f>
        <v/>
      </c>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26" t="str">
        <f t="array" ref="C980">IF($B980="","",INDEX('Gap reference'!$C$2:$C$60,MATCH($B980,'Gap reference'!$A$2:$A$60,0)))</f>
        <v/>
      </c>
      <c r="D980" s="26" t="str">
        <f t="array" ref="D980">IF($B980="","",INDEX('Gap reference'!$D$2:$D$60,MATCH($B980,'Gap reference'!$A$2:$A$60,0)))</f>
        <v/>
      </c>
      <c r="E980" s="26" t="str">
        <f t="array" ref="E980">IF($B980="","",INDEX('Gap reference'!$G$2:$G$60,MATCH($B980,'Gap reference'!$A$2:$A$60,0)))</f>
        <v/>
      </c>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26" t="str">
        <f t="array" ref="C981">IF($B981="","",INDEX('Gap reference'!$C$2:$C$60,MATCH($B981,'Gap reference'!$A$2:$A$60,0)))</f>
        <v/>
      </c>
      <c r="D981" s="26" t="str">
        <f t="array" ref="D981">IF($B981="","",INDEX('Gap reference'!$D$2:$D$60,MATCH($B981,'Gap reference'!$A$2:$A$60,0)))</f>
        <v/>
      </c>
      <c r="E981" s="26" t="str">
        <f t="array" ref="E981">IF($B981="","",INDEX('Gap reference'!$G$2:$G$60,MATCH($B981,'Gap reference'!$A$2:$A$60,0)))</f>
        <v/>
      </c>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26" t="str">
        <f t="array" ref="C982">IF($B982="","",INDEX('Gap reference'!$C$2:$C$60,MATCH($B982,'Gap reference'!$A$2:$A$60,0)))</f>
        <v/>
      </c>
      <c r="D982" s="26" t="str">
        <f t="array" ref="D982">IF($B982="","",INDEX('Gap reference'!$D$2:$D$60,MATCH($B982,'Gap reference'!$A$2:$A$60,0)))</f>
        <v/>
      </c>
      <c r="E982" s="26" t="str">
        <f t="array" ref="E982">IF($B982="","",INDEX('Gap reference'!$G$2:$G$60,MATCH($B982,'Gap reference'!$A$2:$A$60,0)))</f>
        <v/>
      </c>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26" t="str">
        <f t="array" ref="C983">IF($B983="","",INDEX('Gap reference'!$C$2:$C$60,MATCH($B983,'Gap reference'!$A$2:$A$60,0)))</f>
        <v/>
      </c>
      <c r="D983" s="26" t="str">
        <f t="array" ref="D983">IF($B983="","",INDEX('Gap reference'!$D$2:$D$60,MATCH($B983,'Gap reference'!$A$2:$A$60,0)))</f>
        <v/>
      </c>
      <c r="E983" s="26" t="str">
        <f t="array" ref="E983">IF($B983="","",INDEX('Gap reference'!$G$2:$G$60,MATCH($B983,'Gap reference'!$A$2:$A$60,0)))</f>
        <v/>
      </c>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26" t="str">
        <f t="array" ref="C984">IF($B984="","",INDEX('Gap reference'!$C$2:$C$60,MATCH($B984,'Gap reference'!$A$2:$A$60,0)))</f>
        <v/>
      </c>
      <c r="D984" s="26" t="str">
        <f t="array" ref="D984">IF($B984="","",INDEX('Gap reference'!$D$2:$D$60,MATCH($B984,'Gap reference'!$A$2:$A$60,0)))</f>
        <v/>
      </c>
      <c r="E984" s="26" t="str">
        <f t="array" ref="E984">IF($B984="","",INDEX('Gap reference'!$G$2:$G$60,MATCH($B984,'Gap reference'!$A$2:$A$60,0)))</f>
        <v/>
      </c>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26" t="str">
        <f t="array" ref="C985">IF($B985="","",INDEX('Gap reference'!$C$2:$C$60,MATCH($B985,'Gap reference'!$A$2:$A$60,0)))</f>
        <v/>
      </c>
      <c r="D985" s="26" t="str">
        <f t="array" ref="D985">IF($B985="","",INDEX('Gap reference'!$D$2:$D$60,MATCH($B985,'Gap reference'!$A$2:$A$60,0)))</f>
        <v/>
      </c>
      <c r="E985" s="26" t="str">
        <f t="array" ref="E985">IF($B985="","",INDEX('Gap reference'!$G$2:$G$60,MATCH($B985,'Gap reference'!$A$2:$A$60,0)))</f>
        <v/>
      </c>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26" t="str">
        <f t="array" ref="C986">IF($B986="","",INDEX('Gap reference'!$C$2:$C$60,MATCH($B986,'Gap reference'!$A$2:$A$60,0)))</f>
        <v/>
      </c>
      <c r="D986" s="26" t="str">
        <f t="array" ref="D986">IF($B986="","",INDEX('Gap reference'!$D$2:$D$60,MATCH($B986,'Gap reference'!$A$2:$A$60,0)))</f>
        <v/>
      </c>
      <c r="E986" s="26" t="str">
        <f t="array" ref="E986">IF($B986="","",INDEX('Gap reference'!$G$2:$G$60,MATCH($B986,'Gap reference'!$A$2:$A$60,0)))</f>
        <v/>
      </c>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26" t="str">
        <f t="array" ref="C987">IF($B987="","",INDEX('Gap reference'!$C$2:$C$60,MATCH($B987,'Gap reference'!$A$2:$A$60,0)))</f>
        <v/>
      </c>
      <c r="D987" s="26" t="str">
        <f t="array" ref="D987">IF($B987="","",INDEX('Gap reference'!$D$2:$D$60,MATCH($B987,'Gap reference'!$A$2:$A$60,0)))</f>
        <v/>
      </c>
      <c r="E987" s="26" t="str">
        <f t="array" ref="E987">IF($B987="","",INDEX('Gap reference'!$G$2:$G$60,MATCH($B987,'Gap reference'!$A$2:$A$60,0)))</f>
        <v/>
      </c>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26" t="str">
        <f t="array" ref="C988">IF($B988="","",INDEX('Gap reference'!$C$2:$C$60,MATCH($B988,'Gap reference'!$A$2:$A$60,0)))</f>
        <v/>
      </c>
      <c r="D988" s="26" t="str">
        <f t="array" ref="D988">IF($B988="","",INDEX('Gap reference'!$D$2:$D$60,MATCH($B988,'Gap reference'!$A$2:$A$60,0)))</f>
        <v/>
      </c>
      <c r="E988" s="26" t="str">
        <f t="array" ref="E988">IF($B988="","",INDEX('Gap reference'!$G$2:$G$60,MATCH($B988,'Gap reference'!$A$2:$A$60,0)))</f>
        <v/>
      </c>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26" t="str">
        <f t="array" ref="C989">IF($B989="","",INDEX('Gap reference'!$C$2:$C$60,MATCH($B989,'Gap reference'!$A$2:$A$60,0)))</f>
        <v/>
      </c>
      <c r="D989" s="26" t="str">
        <f t="array" ref="D989">IF($B989="","",INDEX('Gap reference'!$D$2:$D$60,MATCH($B989,'Gap reference'!$A$2:$A$60,0)))</f>
        <v/>
      </c>
      <c r="E989" s="26" t="str">
        <f t="array" ref="E989">IF($B989="","",INDEX('Gap reference'!$G$2:$G$60,MATCH($B989,'Gap reference'!$A$2:$A$60,0)))</f>
        <v/>
      </c>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26" t="str">
        <f t="array" ref="C990">IF($B990="","",INDEX('Gap reference'!$C$2:$C$60,MATCH($B990,'Gap reference'!$A$2:$A$60,0)))</f>
        <v/>
      </c>
      <c r="D990" s="26" t="str">
        <f t="array" ref="D990">IF($B990="","",INDEX('Gap reference'!$D$2:$D$60,MATCH($B990,'Gap reference'!$A$2:$A$60,0)))</f>
        <v/>
      </c>
      <c r="E990" s="26" t="str">
        <f t="array" ref="E990">IF($B990="","",INDEX('Gap reference'!$G$2:$G$60,MATCH($B990,'Gap reference'!$A$2:$A$60,0)))</f>
        <v/>
      </c>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26" t="str">
        <f t="array" ref="C991">IF($B991="","",INDEX('Gap reference'!$C$2:$C$60,MATCH($B991,'Gap reference'!$A$2:$A$60,0)))</f>
        <v/>
      </c>
      <c r="D991" s="26" t="str">
        <f t="array" ref="D991">IF($B991="","",INDEX('Gap reference'!$D$2:$D$60,MATCH($B991,'Gap reference'!$A$2:$A$60,0)))</f>
        <v/>
      </c>
      <c r="E991" s="26" t="str">
        <f t="array" ref="E991">IF($B991="","",INDEX('Gap reference'!$G$2:$G$60,MATCH($B991,'Gap reference'!$A$2:$A$60,0)))</f>
        <v/>
      </c>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26" t="str">
        <f t="array" ref="C992">IF($B992="","",INDEX('Gap reference'!$C$2:$C$60,MATCH($B992,'Gap reference'!$A$2:$A$60,0)))</f>
        <v/>
      </c>
      <c r="D992" s="26" t="str">
        <f t="array" ref="D992">IF($B992="","",INDEX('Gap reference'!$D$2:$D$60,MATCH($B992,'Gap reference'!$A$2:$A$60,0)))</f>
        <v/>
      </c>
      <c r="E992" s="26" t="str">
        <f t="array" ref="E992">IF($B992="","",INDEX('Gap reference'!$G$2:$G$60,MATCH($B992,'Gap reference'!$A$2:$A$60,0)))</f>
        <v/>
      </c>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26" t="str">
        <f t="array" ref="C993">IF($B993="","",INDEX('Gap reference'!$C$2:$C$60,MATCH($B993,'Gap reference'!$A$2:$A$60,0)))</f>
        <v/>
      </c>
      <c r="D993" s="26" t="str">
        <f t="array" ref="D993">IF($B993="","",INDEX('Gap reference'!$D$2:$D$60,MATCH($B993,'Gap reference'!$A$2:$A$60,0)))</f>
        <v/>
      </c>
      <c r="E993" s="26" t="str">
        <f t="array" ref="E993">IF($B993="","",INDEX('Gap reference'!$G$2:$G$60,MATCH($B993,'Gap reference'!$A$2:$A$60,0)))</f>
        <v/>
      </c>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26" t="str">
        <f t="array" ref="C994">IF($B994="","",INDEX('Gap reference'!$C$2:$C$60,MATCH($B994,'Gap reference'!$A$2:$A$60,0)))</f>
        <v/>
      </c>
      <c r="D994" s="26" t="str">
        <f t="array" ref="D994">IF($B994="","",INDEX('Gap reference'!$D$2:$D$60,MATCH($B994,'Gap reference'!$A$2:$A$60,0)))</f>
        <v/>
      </c>
      <c r="E994" s="26" t="str">
        <f t="array" ref="E994">IF($B994="","",INDEX('Gap reference'!$G$2:$G$60,MATCH($B994,'Gap reference'!$A$2:$A$60,0)))</f>
        <v/>
      </c>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26" t="str">
        <f t="array" ref="C995">IF($B995="","",INDEX('Gap reference'!$C$2:$C$60,MATCH($B995,'Gap reference'!$A$2:$A$60,0)))</f>
        <v/>
      </c>
      <c r="D995" s="26" t="str">
        <f t="array" ref="D995">IF($B995="","",INDEX('Gap reference'!$D$2:$D$60,MATCH($B995,'Gap reference'!$A$2:$A$60,0)))</f>
        <v/>
      </c>
      <c r="E995" s="26" t="str">
        <f t="array" ref="E995">IF($B995="","",INDEX('Gap reference'!$G$2:$G$60,MATCH($B995,'Gap reference'!$A$2:$A$60,0)))</f>
        <v/>
      </c>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26" t="str">
        <f t="array" ref="C996">IF($B996="","",INDEX('Gap reference'!$C$2:$C$60,MATCH($B996,'Gap reference'!$A$2:$A$60,0)))</f>
        <v/>
      </c>
      <c r="D996" s="26" t="str">
        <f t="array" ref="D996">IF($B996="","",INDEX('Gap reference'!$D$2:$D$60,MATCH($B996,'Gap reference'!$A$2:$A$60,0)))</f>
        <v/>
      </c>
      <c r="E996" s="26" t="str">
        <f t="array" ref="E996">IF($B996="","",INDEX('Gap reference'!$G$2:$G$60,MATCH($B996,'Gap reference'!$A$2:$A$60,0)))</f>
        <v/>
      </c>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26" t="str">
        <f t="array" ref="C997">IF($B997="","",INDEX('Gap reference'!$C$2:$C$60,MATCH($B997,'Gap reference'!$A$2:$A$60,0)))</f>
        <v/>
      </c>
      <c r="D997" s="26" t="str">
        <f t="array" ref="D997">IF($B997="","",INDEX('Gap reference'!$D$2:$D$60,MATCH($B997,'Gap reference'!$A$2:$A$60,0)))</f>
        <v/>
      </c>
      <c r="E997" s="26" t="str">
        <f t="array" ref="E997">IF($B997="","",INDEX('Gap reference'!$G$2:$G$60,MATCH($B997,'Gap reference'!$A$2:$A$60,0)))</f>
        <v/>
      </c>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26" t="str">
        <f t="array" ref="C998">IF($B998="","",INDEX('Gap reference'!$C$2:$C$60,MATCH($B998,'Gap reference'!$A$2:$A$60,0)))</f>
        <v/>
      </c>
      <c r="D998" s="26" t="str">
        <f t="array" ref="D998">IF($B998="","",INDEX('Gap reference'!$D$2:$D$60,MATCH($B998,'Gap reference'!$A$2:$A$60,0)))</f>
        <v/>
      </c>
      <c r="E998" s="26" t="str">
        <f t="array" ref="E998">IF($B998="","",INDEX('Gap reference'!$G$2:$G$60,MATCH($B998,'Gap reference'!$A$2:$A$60,0)))</f>
        <v/>
      </c>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26" t="str">
        <f t="array" ref="C999">IF($B999="","",INDEX('Gap reference'!$C$2:$C$60,MATCH($B999,'Gap reference'!$A$2:$A$60,0)))</f>
        <v/>
      </c>
      <c r="D999" s="26" t="str">
        <f t="array" ref="D999">IF($B999="","",INDEX('Gap reference'!$D$2:$D$60,MATCH($B999,'Gap reference'!$A$2:$A$60,0)))</f>
        <v/>
      </c>
      <c r="E999" s="26" t="str">
        <f t="array" ref="E999">IF($B999="","",INDEX('Gap reference'!$G$2:$G$60,MATCH($B999,'Gap reference'!$A$2:$A$60,0)))</f>
        <v/>
      </c>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26" t="str">
        <f t="array" ref="C1000">IF($B1000="","",INDEX('Gap reference'!$C$2:$C$60,MATCH($B1000,'Gap reference'!$A$2:$A$60,0)))</f>
        <v/>
      </c>
      <c r="D1000" s="26" t="str">
        <f t="array" ref="D1000">IF($B1000="","",INDEX('Gap reference'!$D$2:$D$60,MATCH($B1000,'Gap reference'!$A$2:$A$60,0)))</f>
        <v/>
      </c>
      <c r="E1000" s="26" t="str">
        <f t="array" ref="E1000">IF($B1000="","",INDEX('Gap reference'!$G$2:$G$60,MATCH($B1000,'Gap reference'!$A$2:$A$60,0)))</f>
        <v/>
      </c>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ht="15.75" customHeight="1">
      <c r="A1001" s="35"/>
      <c r="B1001" s="35"/>
      <c r="C1001" s="26" t="str">
        <f t="array" ref="C1001">IF($B1001="","",INDEX('Gap reference'!$C$2:$C$60,MATCH($B1001,'Gap reference'!$A$2:$A$60,0)))</f>
        <v/>
      </c>
      <c r="D1001" s="26" t="str">
        <f t="array" ref="D1001">IF($B1001="","",INDEX('Gap reference'!$D$2:$D$60,MATCH($B1001,'Gap reference'!$A$2:$A$60,0)))</f>
        <v/>
      </c>
      <c r="E1001" s="26" t="str">
        <f t="array" ref="E1001">IF($B1001="","",INDEX('Gap reference'!$G$2:$G$60,MATCH($B1001,'Gap reference'!$A$2:$A$60,0)))</f>
        <v/>
      </c>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ht="15.75" customHeight="1">
      <c r="A1002" s="35"/>
      <c r="B1002" s="35"/>
      <c r="C1002" s="26" t="str">
        <f t="array" ref="C1002">IF($B1002="","",INDEX('Gap reference'!$C$2:$C$60,MATCH($B1002,'Gap reference'!$A$2:$A$60,0)))</f>
        <v/>
      </c>
      <c r="D1002" s="26" t="str">
        <f t="array" ref="D1002">IF($B1002="","",INDEX('Gap reference'!$D$2:$D$60,MATCH($B1002,'Gap reference'!$A$2:$A$60,0)))</f>
        <v/>
      </c>
      <c r="E1002" s="26" t="str">
        <f t="array" ref="E1002">IF($B1002="","",INDEX('Gap reference'!$G$2:$G$60,MATCH($B1002,'Gap reference'!$A$2:$A$60,0)))</f>
        <v/>
      </c>
      <c r="F1002" s="35"/>
      <c r="G1002" s="35"/>
      <c r="H1002" s="35"/>
      <c r="I1002" s="35"/>
      <c r="J1002" s="35"/>
      <c r="K1002" s="35"/>
      <c r="L1002" s="35"/>
      <c r="M1002" s="35"/>
      <c r="N1002" s="35"/>
      <c r="O1002" s="35"/>
      <c r="P1002" s="35"/>
      <c r="Q1002" s="35"/>
      <c r="R1002" s="35"/>
      <c r="S1002" s="35"/>
      <c r="T1002" s="35"/>
      <c r="U1002" s="35"/>
      <c r="V1002" s="35"/>
      <c r="W1002" s="35"/>
      <c r="X1002" s="35"/>
      <c r="Y1002" s="35"/>
      <c r="Z1002" s="35"/>
    </row>
    <row r="1003" ht="15.75" customHeight="1">
      <c r="A1003" s="35"/>
      <c r="B1003" s="35"/>
      <c r="C1003" s="26" t="str">
        <f t="array" ref="C1003">IF($B1003="","",INDEX('Gap reference'!$C$2:$C$60,MATCH($B1003,'Gap reference'!$A$2:$A$60,0)))</f>
        <v/>
      </c>
      <c r="D1003" s="26" t="str">
        <f t="array" ref="D1003">IF($B1003="","",INDEX('Gap reference'!$D$2:$D$60,MATCH($B1003,'Gap reference'!$A$2:$A$60,0)))</f>
        <v/>
      </c>
      <c r="E1003" s="26" t="str">
        <f t="array" ref="E1003">IF($B1003="","",INDEX('Gap reference'!$G$2:$G$60,MATCH($B1003,'Gap reference'!$A$2:$A$60,0)))</f>
        <v/>
      </c>
      <c r="F1003" s="35"/>
      <c r="G1003" s="35"/>
      <c r="H1003" s="35"/>
      <c r="I1003" s="35"/>
      <c r="J1003" s="35"/>
      <c r="K1003" s="35"/>
      <c r="L1003" s="35"/>
      <c r="M1003" s="35"/>
      <c r="N1003" s="35"/>
      <c r="O1003" s="35"/>
      <c r="P1003" s="35"/>
      <c r="Q1003" s="35"/>
      <c r="R1003" s="35"/>
      <c r="S1003" s="35"/>
      <c r="T1003" s="35"/>
      <c r="U1003" s="35"/>
      <c r="V1003" s="35"/>
      <c r="W1003" s="35"/>
      <c r="X1003" s="35"/>
      <c r="Y1003" s="35"/>
      <c r="Z1003" s="35"/>
    </row>
    <row r="1004" ht="15.75" customHeight="1">
      <c r="A1004" s="35"/>
      <c r="B1004" s="35"/>
      <c r="C1004" s="26" t="str">
        <f t="array" ref="C1004">IF($B1004="","",INDEX('Gap reference'!$C$2:$C$60,MATCH($B1004,'Gap reference'!$A$2:$A$60,0)))</f>
        <v/>
      </c>
      <c r="D1004" s="26" t="str">
        <f t="array" ref="D1004">IF($B1004="","",INDEX('Gap reference'!$D$2:$D$60,MATCH($B1004,'Gap reference'!$A$2:$A$60,0)))</f>
        <v/>
      </c>
      <c r="E1004" s="26" t="str">
        <f t="array" ref="E1004">IF($B1004="","",INDEX('Gap reference'!$G$2:$G$60,MATCH($B1004,'Gap reference'!$A$2:$A$60,0)))</f>
        <v/>
      </c>
      <c r="F1004" s="35"/>
      <c r="G1004" s="35"/>
      <c r="H1004" s="35"/>
      <c r="I1004" s="35"/>
      <c r="J1004" s="35"/>
      <c r="K1004" s="35"/>
      <c r="L1004" s="35"/>
      <c r="M1004" s="35"/>
      <c r="N1004" s="35"/>
      <c r="O1004" s="35"/>
      <c r="P1004" s="35"/>
      <c r="Q1004" s="35"/>
      <c r="R1004" s="35"/>
      <c r="S1004" s="35"/>
      <c r="T1004" s="35"/>
      <c r="U1004" s="35"/>
      <c r="V1004" s="35"/>
      <c r="W1004" s="35"/>
      <c r="X1004" s="35"/>
      <c r="Y1004" s="35"/>
      <c r="Z1004" s="35"/>
    </row>
    <row r="1005" ht="15.75" customHeight="1">
      <c r="A1005" s="35"/>
      <c r="B1005" s="35"/>
      <c r="C1005" s="26" t="str">
        <f t="array" ref="C1005">IF($B1005="","",INDEX('Gap reference'!$C$2:$C$60,MATCH($B1005,'Gap reference'!$A$2:$A$60,0)))</f>
        <v/>
      </c>
      <c r="D1005" s="26" t="str">
        <f t="array" ref="D1005">IF($B1005="","",INDEX('Gap reference'!$D$2:$D$60,MATCH($B1005,'Gap reference'!$A$2:$A$60,0)))</f>
        <v/>
      </c>
      <c r="E1005" s="26" t="str">
        <f t="array" ref="E1005">IF($B1005="","",INDEX('Gap reference'!$G$2:$G$60,MATCH($B1005,'Gap reference'!$A$2:$A$60,0)))</f>
        <v/>
      </c>
      <c r="F1005" s="35"/>
      <c r="G1005" s="35"/>
      <c r="H1005" s="35"/>
      <c r="I1005" s="35"/>
      <c r="J1005" s="35"/>
      <c r="K1005" s="35"/>
      <c r="L1005" s="35"/>
      <c r="M1005" s="35"/>
      <c r="N1005" s="35"/>
      <c r="O1005" s="35"/>
      <c r="P1005" s="35"/>
      <c r="Q1005" s="35"/>
      <c r="R1005" s="35"/>
      <c r="S1005" s="35"/>
      <c r="T1005" s="35"/>
      <c r="U1005" s="35"/>
      <c r="V1005" s="35"/>
      <c r="W1005" s="35"/>
      <c r="X1005" s="35"/>
      <c r="Y1005" s="35"/>
      <c r="Z1005" s="35"/>
    </row>
    <row r="1006" ht="15.75" customHeight="1">
      <c r="A1006" s="35"/>
      <c r="B1006" s="35"/>
      <c r="C1006" s="26" t="str">
        <f t="array" ref="C1006">IF($B1006="","",INDEX('Gap reference'!$C$2:$C$60,MATCH($B1006,'Gap reference'!$A$2:$A$60,0)))</f>
        <v/>
      </c>
      <c r="D1006" s="26" t="str">
        <f t="array" ref="D1006">IF($B1006="","",INDEX('Gap reference'!$D$2:$D$60,MATCH($B1006,'Gap reference'!$A$2:$A$60,0)))</f>
        <v/>
      </c>
      <c r="E1006" s="26" t="str">
        <f t="array" ref="E1006">IF($B1006="","",INDEX('Gap reference'!$G$2:$G$60,MATCH($B1006,'Gap reference'!$A$2:$A$60,0)))</f>
        <v/>
      </c>
      <c r="F1006" s="35"/>
      <c r="G1006" s="35"/>
      <c r="H1006" s="35"/>
      <c r="I1006" s="35"/>
      <c r="J1006" s="35"/>
      <c r="K1006" s="35"/>
      <c r="L1006" s="35"/>
      <c r="M1006" s="35"/>
      <c r="N1006" s="35"/>
      <c r="O1006" s="35"/>
      <c r="P1006" s="35"/>
      <c r="Q1006" s="35"/>
      <c r="R1006" s="35"/>
      <c r="S1006" s="35"/>
      <c r="T1006" s="35"/>
      <c r="U1006" s="35"/>
      <c r="V1006" s="35"/>
      <c r="W1006" s="35"/>
      <c r="X1006" s="35"/>
      <c r="Y1006" s="35"/>
      <c r="Z1006" s="35"/>
    </row>
    <row r="1007" ht="15.75" customHeight="1">
      <c r="A1007" s="35"/>
      <c r="B1007" s="35"/>
      <c r="C1007" s="26" t="str">
        <f t="array" ref="C1007">IF($B1007="","",INDEX('Gap reference'!$C$2:$C$60,MATCH($B1007,'Gap reference'!$A$2:$A$60,0)))</f>
        <v/>
      </c>
      <c r="D1007" s="26" t="str">
        <f t="array" ref="D1007">IF($B1007="","",INDEX('Gap reference'!$D$2:$D$60,MATCH($B1007,'Gap reference'!$A$2:$A$60,0)))</f>
        <v/>
      </c>
      <c r="E1007" s="26" t="str">
        <f t="array" ref="E1007">IF($B1007="","",INDEX('Gap reference'!$G$2:$G$60,MATCH($B1007,'Gap reference'!$A$2:$A$60,0)))</f>
        <v/>
      </c>
      <c r="F1007" s="35"/>
      <c r="G1007" s="35"/>
      <c r="H1007" s="35"/>
      <c r="I1007" s="35"/>
      <c r="J1007" s="35"/>
      <c r="K1007" s="35"/>
      <c r="L1007" s="35"/>
      <c r="M1007" s="35"/>
      <c r="N1007" s="35"/>
      <c r="O1007" s="35"/>
      <c r="P1007" s="35"/>
      <c r="Q1007" s="35"/>
      <c r="R1007" s="35"/>
      <c r="S1007" s="35"/>
      <c r="T1007" s="35"/>
      <c r="U1007" s="35"/>
      <c r="V1007" s="35"/>
      <c r="W1007" s="35"/>
      <c r="X1007" s="35"/>
      <c r="Y1007" s="35"/>
      <c r="Z1007" s="35"/>
    </row>
    <row r="1008" ht="15.75" customHeight="1">
      <c r="A1008" s="35"/>
      <c r="B1008" s="35"/>
      <c r="C1008" s="26" t="str">
        <f t="array" ref="C1008">IF($B1008="","",INDEX('Gap reference'!$C$2:$C$60,MATCH($B1008,'Gap reference'!$A$2:$A$60,0)))</f>
        <v/>
      </c>
      <c r="D1008" s="26" t="str">
        <f t="array" ref="D1008">IF($B1008="","",INDEX('Gap reference'!$D$2:$D$60,MATCH($B1008,'Gap reference'!$A$2:$A$60,0)))</f>
        <v/>
      </c>
      <c r="E1008" s="26" t="str">
        <f t="array" ref="E1008">IF($B1008="","",INDEX('Gap reference'!$G$2:$G$60,MATCH($B1008,'Gap reference'!$A$2:$A$60,0)))</f>
        <v/>
      </c>
      <c r="F1008" s="35"/>
      <c r="G1008" s="35"/>
      <c r="H1008" s="35"/>
      <c r="I1008" s="35"/>
      <c r="J1008" s="35"/>
      <c r="K1008" s="35"/>
      <c r="L1008" s="35"/>
      <c r="M1008" s="35"/>
      <c r="N1008" s="35"/>
      <c r="O1008" s="35"/>
      <c r="P1008" s="35"/>
      <c r="Q1008" s="35"/>
      <c r="R1008" s="35"/>
      <c r="S1008" s="35"/>
      <c r="T1008" s="35"/>
      <c r="U1008" s="35"/>
      <c r="V1008" s="35"/>
      <c r="W1008" s="35"/>
      <c r="X1008" s="35"/>
      <c r="Y1008" s="35"/>
      <c r="Z1008" s="35"/>
    </row>
    <row r="1009" ht="15.75" customHeight="1">
      <c r="A1009" s="35"/>
      <c r="B1009" s="35"/>
      <c r="C1009" s="26" t="str">
        <f t="array" ref="C1009">IF($B1009="","",INDEX('Gap reference'!$C$2:$C$60,MATCH($B1009,'Gap reference'!$A$2:$A$60,0)))</f>
        <v/>
      </c>
      <c r="D1009" s="26" t="str">
        <f t="array" ref="D1009">IF($B1009="","",INDEX('Gap reference'!$D$2:$D$60,MATCH($B1009,'Gap reference'!$A$2:$A$60,0)))</f>
        <v/>
      </c>
      <c r="E1009" s="26" t="str">
        <f t="array" ref="E1009">IF($B1009="","",INDEX('Gap reference'!$G$2:$G$60,MATCH($B1009,'Gap reference'!$A$2:$A$60,0)))</f>
        <v/>
      </c>
      <c r="F1009" s="35"/>
      <c r="G1009" s="35"/>
      <c r="H1009" s="35"/>
      <c r="I1009" s="35"/>
      <c r="J1009" s="35"/>
      <c r="K1009" s="35"/>
      <c r="L1009" s="35"/>
      <c r="M1009" s="35"/>
      <c r="N1009" s="35"/>
      <c r="O1009" s="35"/>
      <c r="P1009" s="35"/>
      <c r="Q1009" s="35"/>
      <c r="R1009" s="35"/>
      <c r="S1009" s="35"/>
      <c r="T1009" s="35"/>
      <c r="U1009" s="35"/>
      <c r="V1009" s="35"/>
      <c r="W1009" s="35"/>
      <c r="X1009" s="35"/>
      <c r="Y1009" s="35"/>
      <c r="Z1009" s="35"/>
    </row>
    <row r="1010" ht="15.75" customHeight="1">
      <c r="A1010" s="35"/>
      <c r="B1010" s="35"/>
      <c r="C1010" s="26" t="str">
        <f t="array" ref="C1010">IF($B1010="","",INDEX('Gap reference'!$C$2:$C$60,MATCH($B1010,'Gap reference'!$A$2:$A$60,0)))</f>
        <v/>
      </c>
      <c r="D1010" s="26" t="str">
        <f t="array" ref="D1010">IF($B1010="","",INDEX('Gap reference'!$D$2:$D$60,MATCH($B1010,'Gap reference'!$A$2:$A$60,0)))</f>
        <v/>
      </c>
      <c r="E1010" s="26" t="str">
        <f t="array" ref="E1010">IF($B1010="","",INDEX('Gap reference'!$G$2:$G$60,MATCH($B1010,'Gap reference'!$A$2:$A$60,0)))</f>
        <v/>
      </c>
      <c r="F1010" s="35"/>
      <c r="G1010" s="35"/>
      <c r="H1010" s="35"/>
      <c r="I1010" s="35"/>
      <c r="J1010" s="35"/>
      <c r="K1010" s="35"/>
      <c r="L1010" s="35"/>
      <c r="M1010" s="35"/>
      <c r="N1010" s="35"/>
      <c r="O1010" s="35"/>
      <c r="P1010" s="35"/>
      <c r="Q1010" s="35"/>
      <c r="R1010" s="35"/>
      <c r="S1010" s="35"/>
      <c r="T1010" s="35"/>
      <c r="U1010" s="35"/>
      <c r="V1010" s="35"/>
      <c r="W1010" s="35"/>
      <c r="X1010" s="35"/>
      <c r="Y1010" s="35"/>
      <c r="Z1010" s="35"/>
    </row>
    <row r="1011" ht="15.75" customHeight="1">
      <c r="A1011" s="35"/>
      <c r="B1011" s="35"/>
      <c r="C1011" s="26" t="str">
        <f t="array" ref="C1011">IF($B1011="","",INDEX('Gap reference'!$C$2:$C$60,MATCH($B1011,'Gap reference'!$A$2:$A$60,0)))</f>
        <v/>
      </c>
      <c r="D1011" s="26" t="str">
        <f t="array" ref="D1011">IF($B1011="","",INDEX('Gap reference'!$D$2:$D$60,MATCH($B1011,'Gap reference'!$A$2:$A$60,0)))</f>
        <v/>
      </c>
      <c r="E1011" s="26" t="str">
        <f t="array" ref="E1011">IF($B1011="","",INDEX('Gap reference'!$G$2:$G$60,MATCH($B1011,'Gap reference'!$A$2:$A$60,0)))</f>
        <v/>
      </c>
      <c r="F1011" s="35"/>
      <c r="G1011" s="35"/>
      <c r="H1011" s="35"/>
      <c r="I1011" s="35"/>
      <c r="J1011" s="35"/>
      <c r="K1011" s="35"/>
      <c r="L1011" s="35"/>
      <c r="M1011" s="35"/>
      <c r="N1011" s="35"/>
      <c r="O1011" s="35"/>
      <c r="P1011" s="35"/>
      <c r="Q1011" s="35"/>
      <c r="R1011" s="35"/>
      <c r="S1011" s="35"/>
      <c r="T1011" s="35"/>
      <c r="U1011" s="35"/>
      <c r="V1011" s="35"/>
      <c r="W1011" s="35"/>
      <c r="X1011" s="35"/>
      <c r="Y1011" s="35"/>
      <c r="Z1011" s="35"/>
    </row>
    <row r="1012" ht="15.75" customHeight="1">
      <c r="A1012" s="35"/>
      <c r="B1012" s="35"/>
      <c r="C1012" s="26" t="str">
        <f t="array" ref="C1012">IF($B1012="","",INDEX('Gap reference'!$C$2:$C$60,MATCH($B1012,'Gap reference'!$A$2:$A$60,0)))</f>
        <v/>
      </c>
      <c r="D1012" s="26" t="str">
        <f t="array" ref="D1012">IF($B1012="","",INDEX('Gap reference'!$D$2:$D$60,MATCH($B1012,'Gap reference'!$A$2:$A$60,0)))</f>
        <v/>
      </c>
      <c r="E1012" s="26" t="str">
        <f t="array" ref="E1012">IF($B1012="","",INDEX('Gap reference'!$G$2:$G$60,MATCH($B1012,'Gap reference'!$A$2:$A$60,0)))</f>
        <v/>
      </c>
      <c r="F1012" s="35"/>
      <c r="G1012" s="35"/>
      <c r="H1012" s="35"/>
      <c r="I1012" s="35"/>
      <c r="J1012" s="35"/>
      <c r="K1012" s="35"/>
      <c r="L1012" s="35"/>
      <c r="M1012" s="35"/>
      <c r="N1012" s="35"/>
      <c r="O1012" s="35"/>
      <c r="P1012" s="35"/>
      <c r="Q1012" s="35"/>
      <c r="R1012" s="35"/>
      <c r="S1012" s="35"/>
      <c r="T1012" s="35"/>
      <c r="U1012" s="35"/>
      <c r="V1012" s="35"/>
      <c r="W1012" s="35"/>
      <c r="X1012" s="35"/>
      <c r="Y1012" s="35"/>
      <c r="Z1012" s="35"/>
    </row>
    <row r="1013" ht="15.75" customHeight="1">
      <c r="A1013" s="35"/>
      <c r="B1013" s="35"/>
      <c r="C1013" s="26" t="str">
        <f t="array" ref="C1013">IF($B1013="","",INDEX('Gap reference'!$C$2:$C$60,MATCH($B1013,'Gap reference'!$A$2:$A$60,0)))</f>
        <v/>
      </c>
      <c r="D1013" s="26" t="str">
        <f t="array" ref="D1013">IF($B1013="","",INDEX('Gap reference'!$D$2:$D$60,MATCH($B1013,'Gap reference'!$A$2:$A$60,0)))</f>
        <v/>
      </c>
      <c r="E1013" s="26" t="str">
        <f t="array" ref="E1013">IF($B1013="","",INDEX('Gap reference'!$G$2:$G$60,MATCH($B1013,'Gap reference'!$A$2:$A$60,0)))</f>
        <v/>
      </c>
      <c r="F1013" s="35"/>
      <c r="G1013" s="35"/>
      <c r="H1013" s="35"/>
      <c r="I1013" s="35"/>
      <c r="J1013" s="35"/>
      <c r="K1013" s="35"/>
      <c r="L1013" s="35"/>
      <c r="M1013" s="35"/>
      <c r="N1013" s="35"/>
      <c r="O1013" s="35"/>
      <c r="P1013" s="35"/>
      <c r="Q1013" s="35"/>
      <c r="R1013" s="35"/>
      <c r="S1013" s="35"/>
      <c r="T1013" s="35"/>
      <c r="U1013" s="35"/>
      <c r="V1013" s="35"/>
      <c r="W1013" s="35"/>
      <c r="X1013" s="35"/>
      <c r="Y1013" s="35"/>
      <c r="Z1013" s="35"/>
    </row>
    <row r="1014" ht="15.75" customHeight="1">
      <c r="A1014" s="35"/>
      <c r="B1014" s="35"/>
      <c r="C1014" s="26" t="str">
        <f t="array" ref="C1014">IF($B1014="","",INDEX('Gap reference'!$C$2:$C$60,MATCH($B1014,'Gap reference'!$A$2:$A$60,0)))</f>
        <v/>
      </c>
      <c r="D1014" s="26" t="str">
        <f t="array" ref="D1014">IF($B1014="","",INDEX('Gap reference'!$D$2:$D$60,MATCH($B1014,'Gap reference'!$A$2:$A$60,0)))</f>
        <v/>
      </c>
      <c r="E1014" s="26" t="str">
        <f t="array" ref="E1014">IF($B1014="","",INDEX('Gap reference'!$G$2:$G$60,MATCH($B1014,'Gap reference'!$A$2:$A$60,0)))</f>
        <v/>
      </c>
      <c r="F1014" s="35"/>
      <c r="G1014" s="35"/>
      <c r="H1014" s="35"/>
      <c r="I1014" s="35"/>
      <c r="J1014" s="35"/>
      <c r="K1014" s="35"/>
      <c r="L1014" s="35"/>
      <c r="M1014" s="35"/>
      <c r="N1014" s="35"/>
      <c r="O1014" s="35"/>
      <c r="P1014" s="35"/>
      <c r="Q1014" s="35"/>
      <c r="R1014" s="35"/>
      <c r="S1014" s="35"/>
      <c r="T1014" s="35"/>
      <c r="U1014" s="35"/>
      <c r="V1014" s="35"/>
      <c r="W1014" s="35"/>
      <c r="X1014" s="35"/>
      <c r="Y1014" s="35"/>
      <c r="Z1014" s="35"/>
    </row>
    <row r="1015" ht="15.75" customHeight="1">
      <c r="A1015" s="35"/>
      <c r="B1015" s="35"/>
      <c r="C1015" s="26" t="str">
        <f t="array" ref="C1015">IF($B1015="","",INDEX('Gap reference'!$C$2:$C$60,MATCH($B1015,'Gap reference'!$A$2:$A$60,0)))</f>
        <v/>
      </c>
      <c r="D1015" s="26" t="str">
        <f t="array" ref="D1015">IF($B1015="","",INDEX('Gap reference'!$D$2:$D$60,MATCH($B1015,'Gap reference'!$A$2:$A$60,0)))</f>
        <v/>
      </c>
      <c r="E1015" s="26" t="str">
        <f t="array" ref="E1015">IF($B1015="","",INDEX('Gap reference'!$G$2:$G$60,MATCH($B1015,'Gap reference'!$A$2:$A$60,0)))</f>
        <v/>
      </c>
      <c r="F1015" s="35"/>
      <c r="G1015" s="35"/>
      <c r="H1015" s="35"/>
      <c r="I1015" s="35"/>
      <c r="J1015" s="35"/>
      <c r="K1015" s="35"/>
      <c r="L1015" s="35"/>
      <c r="M1015" s="35"/>
      <c r="N1015" s="35"/>
      <c r="O1015" s="35"/>
      <c r="P1015" s="35"/>
      <c r="Q1015" s="35"/>
      <c r="R1015" s="35"/>
      <c r="S1015" s="35"/>
      <c r="T1015" s="35"/>
      <c r="U1015" s="35"/>
      <c r="V1015" s="35"/>
      <c r="W1015" s="35"/>
      <c r="X1015" s="35"/>
      <c r="Y1015" s="35"/>
      <c r="Z1015" s="35"/>
    </row>
    <row r="1016" ht="15.75" customHeight="1">
      <c r="A1016" s="35"/>
      <c r="B1016" s="35"/>
      <c r="C1016" s="26" t="str">
        <f t="array" ref="C1016">IF($B1016="","",INDEX('Gap reference'!$C$2:$C$60,MATCH($B1016,'Gap reference'!$A$2:$A$60,0)))</f>
        <v/>
      </c>
      <c r="D1016" s="26" t="str">
        <f t="array" ref="D1016">IF($B1016="","",INDEX('Gap reference'!$D$2:$D$60,MATCH($B1016,'Gap reference'!$A$2:$A$60,0)))</f>
        <v/>
      </c>
      <c r="E1016" s="26" t="str">
        <f t="array" ref="E1016">IF($B1016="","",INDEX('Gap reference'!$G$2:$G$60,MATCH($B1016,'Gap reference'!$A$2:$A$60,0)))</f>
        <v/>
      </c>
      <c r="F1016" s="35"/>
      <c r="G1016" s="35"/>
      <c r="H1016" s="35"/>
      <c r="I1016" s="35"/>
      <c r="J1016" s="35"/>
      <c r="K1016" s="35"/>
      <c r="L1016" s="35"/>
      <c r="M1016" s="35"/>
      <c r="N1016" s="35"/>
      <c r="O1016" s="35"/>
      <c r="P1016" s="35"/>
      <c r="Q1016" s="35"/>
      <c r="R1016" s="35"/>
      <c r="S1016" s="35"/>
      <c r="T1016" s="35"/>
      <c r="U1016" s="35"/>
      <c r="V1016" s="35"/>
      <c r="W1016" s="35"/>
      <c r="X1016" s="35"/>
      <c r="Y1016" s="35"/>
      <c r="Z1016" s="35"/>
    </row>
    <row r="1017" ht="15.75" customHeight="1">
      <c r="A1017" s="35"/>
      <c r="B1017" s="35"/>
      <c r="C1017" s="26" t="str">
        <f t="array" ref="C1017">IF($B1017="","",INDEX('Gap reference'!$C$2:$C$60,MATCH($B1017,'Gap reference'!$A$2:$A$60,0)))</f>
        <v/>
      </c>
      <c r="D1017" s="26" t="str">
        <f t="array" ref="D1017">IF($B1017="","",INDEX('Gap reference'!$D$2:$D$60,MATCH($B1017,'Gap reference'!$A$2:$A$60,0)))</f>
        <v/>
      </c>
      <c r="E1017" s="26" t="str">
        <f t="array" ref="E1017">IF($B1017="","",INDEX('Gap reference'!$G$2:$G$60,MATCH($B1017,'Gap reference'!$A$2:$A$60,0)))</f>
        <v/>
      </c>
      <c r="F1017" s="35"/>
      <c r="G1017" s="35"/>
      <c r="H1017" s="35"/>
      <c r="I1017" s="35"/>
      <c r="J1017" s="35"/>
      <c r="K1017" s="35"/>
      <c r="L1017" s="35"/>
      <c r="M1017" s="35"/>
      <c r="N1017" s="35"/>
      <c r="O1017" s="35"/>
      <c r="P1017" s="35"/>
      <c r="Q1017" s="35"/>
      <c r="R1017" s="35"/>
      <c r="S1017" s="35"/>
      <c r="T1017" s="35"/>
      <c r="U1017" s="35"/>
      <c r="V1017" s="35"/>
      <c r="W1017" s="35"/>
      <c r="X1017" s="35"/>
      <c r="Y1017" s="35"/>
      <c r="Z1017" s="35"/>
    </row>
    <row r="1018" ht="15.75" customHeight="1">
      <c r="A1018" s="35"/>
      <c r="B1018" s="35"/>
      <c r="C1018" s="26" t="str">
        <f t="array" ref="C1018">IF($B1018="","",INDEX('Gap reference'!$C$2:$C$60,MATCH($B1018,'Gap reference'!$A$2:$A$60,0)))</f>
        <v/>
      </c>
      <c r="D1018" s="26" t="str">
        <f t="array" ref="D1018">IF($B1018="","",INDEX('Gap reference'!$D$2:$D$60,MATCH($B1018,'Gap reference'!$A$2:$A$60,0)))</f>
        <v/>
      </c>
      <c r="E1018" s="26" t="str">
        <f t="array" ref="E1018">IF($B1018="","",INDEX('Gap reference'!$G$2:$G$60,MATCH($B1018,'Gap reference'!$A$2:$A$60,0)))</f>
        <v/>
      </c>
      <c r="F1018" s="35"/>
      <c r="G1018" s="35"/>
      <c r="H1018" s="35"/>
      <c r="I1018" s="35"/>
      <c r="J1018" s="35"/>
      <c r="K1018" s="35"/>
      <c r="L1018" s="35"/>
      <c r="M1018" s="35"/>
      <c r="N1018" s="35"/>
      <c r="O1018" s="35"/>
      <c r="P1018" s="35"/>
      <c r="Q1018" s="35"/>
      <c r="R1018" s="35"/>
      <c r="S1018" s="35"/>
      <c r="T1018" s="35"/>
      <c r="U1018" s="35"/>
      <c r="V1018" s="35"/>
      <c r="W1018" s="35"/>
      <c r="X1018" s="35"/>
      <c r="Y1018" s="35"/>
      <c r="Z1018" s="35"/>
    </row>
  </sheetData>
  <autoFilter ref="$A$1:$O$1018"/>
  <conditionalFormatting sqref="N6:N19">
    <cfRule type="expression" dxfId="0" priority="1">
      <formula>$N6="Yes"</formula>
    </cfRule>
  </conditionalFormatting>
  <conditionalFormatting sqref="M2:M497 L6:L92">
    <cfRule type="expression" dxfId="0" priority="2">
      <formula>$M2="Yes"</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2.14"/>
    <col customWidth="1" min="2" max="2" width="18.0"/>
    <col customWidth="1" min="3" max="3" width="16.0"/>
    <col customWidth="1" min="4" max="4" width="20.0"/>
    <col customWidth="1" min="5" max="5" width="28.0"/>
    <col customWidth="1" min="6" max="6" width="60.0"/>
    <col customWidth="1" min="7" max="7" width="18.0"/>
    <col customWidth="1" min="8" max="8" width="12.0"/>
    <col customWidth="1" min="9" max="9" width="14.0"/>
    <col customWidth="1" min="10" max="10" width="16.0"/>
  </cols>
  <sheetData>
    <row r="1" ht="39.75" customHeight="1">
      <c r="A1" s="4" t="s">
        <v>7</v>
      </c>
      <c r="B1" s="4" t="s">
        <v>80</v>
      </c>
      <c r="C1" s="4" t="s">
        <v>13</v>
      </c>
      <c r="D1" s="4" t="s">
        <v>15</v>
      </c>
      <c r="E1" s="4" t="s">
        <v>81</v>
      </c>
      <c r="F1" s="4" t="s">
        <v>82</v>
      </c>
      <c r="G1" s="4" t="s">
        <v>16</v>
      </c>
      <c r="H1" s="4" t="s">
        <v>27</v>
      </c>
      <c r="I1" s="4" t="s">
        <v>83</v>
      </c>
      <c r="J1" s="4" t="s">
        <v>84</v>
      </c>
    </row>
    <row r="2">
      <c r="A2" s="16" t="s">
        <v>86</v>
      </c>
      <c r="B2" s="16" t="s">
        <v>87</v>
      </c>
      <c r="C2" s="16" t="s">
        <v>88</v>
      </c>
      <c r="D2" s="16" t="s">
        <v>89</v>
      </c>
      <c r="E2" s="16" t="s">
        <v>78</v>
      </c>
      <c r="F2" s="16" t="s">
        <v>90</v>
      </c>
      <c r="G2" s="16" t="s">
        <v>91</v>
      </c>
      <c r="H2" s="20">
        <f>IFERROR(VLOOKUP(C2,Lists!$A$2:$B$10,2,FALSE),9)</f>
        <v>1</v>
      </c>
      <c r="I2" s="20">
        <f>COUNTIFS('Blocker log'!$B:$B,A2,'Blocker log'!$G:$G,"&lt;&gt;Not needed",'Blocker log'!$G:$G,"&lt;&gt;")</f>
        <v>0</v>
      </c>
      <c r="J2" s="20">
        <f>COUNTIFS('Blocker log'!$B:$B,A2,'Blocker log'!$G:$G,"Hard blocker")</f>
        <v>0</v>
      </c>
    </row>
    <row r="3">
      <c r="A3" s="16" t="s">
        <v>104</v>
      </c>
      <c r="B3" s="16" t="s">
        <v>105</v>
      </c>
      <c r="C3" s="16" t="s">
        <v>88</v>
      </c>
      <c r="D3" s="16" t="s">
        <v>89</v>
      </c>
      <c r="E3" s="16" t="s">
        <v>106</v>
      </c>
      <c r="F3" s="16" t="s">
        <v>107</v>
      </c>
      <c r="G3" s="16" t="s">
        <v>108</v>
      </c>
      <c r="H3" s="20">
        <f>IFERROR(VLOOKUP(C3,Lists!$A$2:$B$10,2,FALSE),9)</f>
        <v>1</v>
      </c>
      <c r="I3" s="20">
        <f>COUNTIFS('Blocker log'!$B:$B,A3,'Blocker log'!$G:$G,"&lt;&gt;Not needed",'Blocker log'!$G:$G,"&lt;&gt;")</f>
        <v>1</v>
      </c>
      <c r="J3" s="20">
        <f>COUNTIFS('Blocker log'!$B:$B,A3,'Blocker log'!$G:$G,"Hard blocker")</f>
        <v>0</v>
      </c>
    </row>
    <row r="4">
      <c r="A4" s="16" t="s">
        <v>119</v>
      </c>
      <c r="B4" s="16" t="s">
        <v>105</v>
      </c>
      <c r="C4" s="16" t="s">
        <v>88</v>
      </c>
      <c r="D4" s="16" t="s">
        <v>89</v>
      </c>
      <c r="E4" s="16" t="s">
        <v>120</v>
      </c>
      <c r="F4" s="16" t="s">
        <v>121</v>
      </c>
      <c r="G4" s="16" t="s">
        <v>108</v>
      </c>
      <c r="H4" s="20">
        <f>IFERROR(VLOOKUP(C4,Lists!$A$2:$B$10,2,FALSE),9)</f>
        <v>1</v>
      </c>
      <c r="I4" s="20">
        <f>COUNTIFS('Blocker log'!$B:$B,A4,'Blocker log'!$G:$G,"&lt;&gt;Not needed",'Blocker log'!$G:$G,"&lt;&gt;")</f>
        <v>0</v>
      </c>
      <c r="J4" s="20">
        <f>COUNTIFS('Blocker log'!$B:$B,A4,'Blocker log'!$G:$G,"Hard blocker")</f>
        <v>0</v>
      </c>
    </row>
    <row r="5">
      <c r="A5" s="16" t="s">
        <v>127</v>
      </c>
      <c r="B5" s="16" t="s">
        <v>105</v>
      </c>
      <c r="C5" s="16" t="s">
        <v>88</v>
      </c>
      <c r="D5" s="16" t="s">
        <v>89</v>
      </c>
      <c r="E5" s="16" t="s">
        <v>128</v>
      </c>
      <c r="F5" s="16" t="s">
        <v>129</v>
      </c>
      <c r="G5" s="16" t="s">
        <v>108</v>
      </c>
      <c r="H5" s="20">
        <f>IFERROR(VLOOKUP(C5,Lists!$A$2:$B$10,2,FALSE),9)</f>
        <v>1</v>
      </c>
      <c r="I5" s="20">
        <f>COUNTIFS('Blocker log'!$B:$B,A5,'Blocker log'!$G:$G,"&lt;&gt;Not needed",'Blocker log'!$G:$G,"&lt;&gt;")</f>
        <v>1</v>
      </c>
      <c r="J5" s="20">
        <f>COUNTIFS('Blocker log'!$B:$B,A5,'Blocker log'!$G:$G,"Hard blocker")</f>
        <v>0</v>
      </c>
    </row>
    <row r="6">
      <c r="A6" s="16" t="s">
        <v>134</v>
      </c>
      <c r="B6" s="16" t="s">
        <v>135</v>
      </c>
      <c r="C6" s="16" t="s">
        <v>88</v>
      </c>
      <c r="D6" s="16" t="s">
        <v>89</v>
      </c>
      <c r="E6" s="16" t="s">
        <v>136</v>
      </c>
      <c r="F6" s="16" t="s">
        <v>137</v>
      </c>
      <c r="G6" s="16" t="s">
        <v>91</v>
      </c>
      <c r="H6" s="20">
        <f>IFERROR(VLOOKUP(C6,Lists!$A$2:$B$10,2,FALSE),9)</f>
        <v>1</v>
      </c>
      <c r="I6" s="20">
        <f>COUNTIFS('Blocker log'!$B:$B,A6,'Blocker log'!$G:$G,"&lt;&gt;Not needed",'Blocker log'!$G:$G,"&lt;&gt;")</f>
        <v>2</v>
      </c>
      <c r="J6" s="20">
        <f>COUNTIFS('Blocker log'!$B:$B,A6,'Blocker log'!$G:$G,"Hard blocker")</f>
        <v>0</v>
      </c>
    </row>
    <row r="7">
      <c r="A7" s="16" t="s">
        <v>142</v>
      </c>
      <c r="B7" s="16" t="s">
        <v>143</v>
      </c>
      <c r="C7" s="16" t="s">
        <v>88</v>
      </c>
      <c r="D7" s="16" t="s">
        <v>89</v>
      </c>
      <c r="E7" s="16" t="s">
        <v>136</v>
      </c>
      <c r="F7" s="16" t="s">
        <v>144</v>
      </c>
      <c r="G7" s="16" t="s">
        <v>145</v>
      </c>
      <c r="H7" s="20">
        <f>IFERROR(VLOOKUP(C7,Lists!$A$2:$B$10,2,FALSE),9)</f>
        <v>1</v>
      </c>
      <c r="I7" s="20">
        <f>COUNTIFS('Blocker log'!$B:$B,A7,'Blocker log'!$G:$G,"&lt;&gt;Not needed",'Blocker log'!$G:$G,"&lt;&gt;")</f>
        <v>0</v>
      </c>
      <c r="J7" s="20">
        <f>COUNTIFS('Blocker log'!$B:$B,A7,'Blocker log'!$G:$G,"Hard blocker")</f>
        <v>0</v>
      </c>
    </row>
    <row r="8">
      <c r="A8" s="16" t="s">
        <v>151</v>
      </c>
      <c r="B8" s="16" t="s">
        <v>105</v>
      </c>
      <c r="C8" s="16" t="s">
        <v>88</v>
      </c>
      <c r="D8" s="16" t="s">
        <v>89</v>
      </c>
      <c r="E8" s="16" t="s">
        <v>136</v>
      </c>
      <c r="F8" s="16" t="s">
        <v>152</v>
      </c>
      <c r="G8" s="16" t="s">
        <v>108</v>
      </c>
      <c r="H8" s="20">
        <f>IFERROR(VLOOKUP(C8,Lists!$A$2:$B$10,2,FALSE),9)</f>
        <v>1</v>
      </c>
      <c r="I8" s="20">
        <f>COUNTIFS('Blocker log'!$B:$B,A8,'Blocker log'!$G:$G,"&lt;&gt;Not needed",'Blocker log'!$G:$G,"&lt;&gt;")</f>
        <v>1</v>
      </c>
      <c r="J8" s="20">
        <f>COUNTIFS('Blocker log'!$B:$B,A8,'Blocker log'!$G:$G,"Hard blocker")</f>
        <v>0</v>
      </c>
    </row>
    <row r="9">
      <c r="A9" s="16" t="s">
        <v>165</v>
      </c>
      <c r="B9" s="16" t="s">
        <v>166</v>
      </c>
      <c r="C9" s="16" t="s">
        <v>88</v>
      </c>
      <c r="D9" s="16" t="s">
        <v>89</v>
      </c>
      <c r="E9" s="16" t="s">
        <v>136</v>
      </c>
      <c r="F9" s="16" t="s">
        <v>167</v>
      </c>
      <c r="G9" s="16" t="s">
        <v>168</v>
      </c>
      <c r="H9" s="20">
        <f>IFERROR(VLOOKUP(C9,Lists!$A$2:$B$10,2,FALSE),9)</f>
        <v>1</v>
      </c>
      <c r="I9" s="20">
        <f>COUNTIFS('Blocker log'!$B:$B,A9,'Blocker log'!$G:$G,"&lt;&gt;Not needed",'Blocker log'!$G:$G,"&lt;&gt;")</f>
        <v>0</v>
      </c>
      <c r="J9" s="20">
        <f>COUNTIFS('Blocker log'!$B:$B,A9,'Blocker log'!$G:$G,"Hard blocker")</f>
        <v>0</v>
      </c>
    </row>
    <row r="10">
      <c r="A10" s="16" t="s">
        <v>175</v>
      </c>
      <c r="B10" s="16" t="s">
        <v>176</v>
      </c>
      <c r="C10" s="16" t="s">
        <v>88</v>
      </c>
      <c r="D10" s="16" t="s">
        <v>89</v>
      </c>
      <c r="E10" s="16" t="s">
        <v>136</v>
      </c>
      <c r="F10" s="16" t="s">
        <v>177</v>
      </c>
      <c r="G10" s="16" t="s">
        <v>178</v>
      </c>
      <c r="H10" s="20">
        <f>IFERROR(VLOOKUP(C10,Lists!$A$2:$B$10,2,FALSE),9)</f>
        <v>1</v>
      </c>
      <c r="I10" s="20">
        <f>COUNTIFS('Blocker log'!$B:$B,A10,'Blocker log'!$G:$G,"&lt;&gt;Not needed",'Blocker log'!$G:$G,"&lt;&gt;")</f>
        <v>0</v>
      </c>
      <c r="J10" s="20">
        <f>COUNTIFS('Blocker log'!$B:$B,A10,'Blocker log'!$G:$G,"Hard blocker")</f>
        <v>0</v>
      </c>
    </row>
    <row r="11">
      <c r="A11" s="16" t="s">
        <v>184</v>
      </c>
      <c r="B11" s="16" t="s">
        <v>185</v>
      </c>
      <c r="C11" s="16" t="s">
        <v>88</v>
      </c>
      <c r="D11" s="16" t="s">
        <v>186</v>
      </c>
      <c r="E11" s="16" t="s">
        <v>78</v>
      </c>
      <c r="F11" s="16" t="s">
        <v>187</v>
      </c>
      <c r="G11" s="16" t="s">
        <v>178</v>
      </c>
      <c r="H11" s="20">
        <f>IFERROR(VLOOKUP(C11,Lists!$A$2:$B$10,2,FALSE),9)</f>
        <v>1</v>
      </c>
      <c r="I11" s="20">
        <f>COUNTIFS('Blocker log'!$B:$B,A11,'Blocker log'!$G:$G,"&lt;&gt;Not needed",'Blocker log'!$G:$G,"&lt;&gt;")</f>
        <v>0</v>
      </c>
      <c r="J11" s="20">
        <f>COUNTIFS('Blocker log'!$B:$B,A11,'Blocker log'!$G:$G,"Hard blocker")</f>
        <v>0</v>
      </c>
    </row>
    <row r="12">
      <c r="A12" s="16" t="s">
        <v>194</v>
      </c>
      <c r="B12" s="16" t="s">
        <v>87</v>
      </c>
      <c r="C12" s="16" t="s">
        <v>88</v>
      </c>
      <c r="D12" s="16" t="s">
        <v>186</v>
      </c>
      <c r="E12" s="16" t="s">
        <v>78</v>
      </c>
      <c r="F12" s="16" t="s">
        <v>195</v>
      </c>
      <c r="G12" s="16" t="s">
        <v>196</v>
      </c>
      <c r="H12" s="20">
        <f>IFERROR(VLOOKUP(C12,Lists!$A$2:$B$10,2,FALSE),9)</f>
        <v>1</v>
      </c>
      <c r="I12" s="20">
        <f>COUNTIFS('Blocker log'!$B:$B,A12,'Blocker log'!$G:$G,"&lt;&gt;Not needed",'Blocker log'!$G:$G,"&lt;&gt;")</f>
        <v>0</v>
      </c>
      <c r="J12" s="20">
        <f>COUNTIFS('Blocker log'!$B:$B,A12,'Blocker log'!$G:$G,"Hard blocker")</f>
        <v>0</v>
      </c>
    </row>
    <row r="13">
      <c r="A13" s="16" t="s">
        <v>201</v>
      </c>
      <c r="B13" s="16" t="s">
        <v>87</v>
      </c>
      <c r="C13" s="16" t="s">
        <v>88</v>
      </c>
      <c r="D13" s="16" t="s">
        <v>186</v>
      </c>
      <c r="E13" s="16" t="s">
        <v>78</v>
      </c>
      <c r="F13" s="16" t="s">
        <v>202</v>
      </c>
      <c r="G13" s="16" t="s">
        <v>196</v>
      </c>
      <c r="H13" s="20">
        <f>IFERROR(VLOOKUP(C13,Lists!$A$2:$B$10,2,FALSE),9)</f>
        <v>1</v>
      </c>
      <c r="I13" s="20">
        <f>COUNTIFS('Blocker log'!$B:$B,A13,'Blocker log'!$G:$G,"&lt;&gt;Not needed",'Blocker log'!$G:$G,"&lt;&gt;")</f>
        <v>0</v>
      </c>
      <c r="J13" s="20">
        <f>COUNTIFS('Blocker log'!$B:$B,A13,'Blocker log'!$G:$G,"Hard blocker")</f>
        <v>0</v>
      </c>
    </row>
    <row r="14">
      <c r="A14" s="16" t="s">
        <v>208</v>
      </c>
      <c r="B14" s="16" t="s">
        <v>209</v>
      </c>
      <c r="C14" s="16" t="s">
        <v>88</v>
      </c>
      <c r="D14" s="16" t="s">
        <v>186</v>
      </c>
      <c r="E14" s="16" t="s">
        <v>136</v>
      </c>
      <c r="F14" s="16" t="s">
        <v>210</v>
      </c>
      <c r="G14" s="16" t="s">
        <v>108</v>
      </c>
      <c r="H14" s="20">
        <f>IFERROR(VLOOKUP(C14,Lists!$A$2:$B$10,2,FALSE),9)</f>
        <v>1</v>
      </c>
      <c r="I14" s="20">
        <f>COUNTIFS('Blocker log'!$B:$B,A14,'Blocker log'!$G:$G,"&lt;&gt;Not needed",'Blocker log'!$G:$G,"&lt;&gt;")</f>
        <v>0</v>
      </c>
      <c r="J14" s="20">
        <f>COUNTIFS('Blocker log'!$B:$B,A14,'Blocker log'!$G:$G,"Hard blocker")</f>
        <v>0</v>
      </c>
    </row>
    <row r="15">
      <c r="A15" s="16" t="s">
        <v>214</v>
      </c>
      <c r="B15" s="16" t="s">
        <v>105</v>
      </c>
      <c r="C15" s="16" t="s">
        <v>88</v>
      </c>
      <c r="D15" s="16" t="s">
        <v>186</v>
      </c>
      <c r="E15" s="16" t="s">
        <v>136</v>
      </c>
      <c r="F15" s="16" t="s">
        <v>210</v>
      </c>
      <c r="G15" s="16" t="s">
        <v>108</v>
      </c>
      <c r="H15" s="20">
        <f>IFERROR(VLOOKUP(C15,Lists!$A$2:$B$10,2,FALSE),9)</f>
        <v>1</v>
      </c>
      <c r="I15" s="20">
        <f>COUNTIFS('Blocker log'!$B:$B,A15,'Blocker log'!$G:$G,"&lt;&gt;Not needed",'Blocker log'!$G:$G,"&lt;&gt;")</f>
        <v>0</v>
      </c>
      <c r="J15" s="20">
        <f>COUNTIFS('Blocker log'!$B:$B,A15,'Blocker log'!$G:$G,"Hard blocker")</f>
        <v>0</v>
      </c>
    </row>
    <row r="16">
      <c r="A16" s="16" t="s">
        <v>221</v>
      </c>
      <c r="B16" s="16" t="s">
        <v>105</v>
      </c>
      <c r="C16" s="16" t="s">
        <v>88</v>
      </c>
      <c r="D16" s="16" t="s">
        <v>186</v>
      </c>
      <c r="E16" s="16" t="s">
        <v>136</v>
      </c>
      <c r="F16" s="16" t="s">
        <v>222</v>
      </c>
      <c r="G16" s="16" t="s">
        <v>108</v>
      </c>
      <c r="H16" s="20">
        <f>IFERROR(VLOOKUP(C16,Lists!$A$2:$B$10,2,FALSE),9)</f>
        <v>1</v>
      </c>
      <c r="I16" s="20">
        <f>COUNTIFS('Blocker log'!$B:$B,A16,'Blocker log'!$G:$G,"&lt;&gt;Not needed",'Blocker log'!$G:$G,"&lt;&gt;")</f>
        <v>0</v>
      </c>
      <c r="J16" s="20">
        <f>COUNTIFS('Blocker log'!$B:$B,A16,'Blocker log'!$G:$G,"Hard blocker")</f>
        <v>0</v>
      </c>
    </row>
    <row r="17">
      <c r="A17" s="16" t="s">
        <v>126</v>
      </c>
      <c r="B17" s="16" t="s">
        <v>105</v>
      </c>
      <c r="C17" s="16" t="s">
        <v>228</v>
      </c>
      <c r="D17" s="16" t="s">
        <v>89</v>
      </c>
      <c r="E17" s="16" t="s">
        <v>229</v>
      </c>
      <c r="F17" s="16" t="s">
        <v>230</v>
      </c>
      <c r="G17" s="16" t="s">
        <v>108</v>
      </c>
      <c r="H17" s="20">
        <f>IFERROR(VLOOKUP(C17,Lists!$A$2:$B$10,2,FALSE),9)</f>
        <v>2</v>
      </c>
      <c r="I17" s="20">
        <f>COUNTIFS('Blocker log'!$B:$B,A17,'Blocker log'!$G:$G,"&lt;&gt;Not needed",'Blocker log'!$G:$G,"&lt;&gt;")</f>
        <v>3</v>
      </c>
      <c r="J17" s="20">
        <f>COUNTIFS('Blocker log'!$B:$B,A17,'Blocker log'!$G:$G,"Hard blocker")</f>
        <v>0</v>
      </c>
    </row>
    <row r="18">
      <c r="A18" s="16" t="s">
        <v>233</v>
      </c>
      <c r="B18" s="16" t="s">
        <v>87</v>
      </c>
      <c r="C18" s="16" t="s">
        <v>234</v>
      </c>
      <c r="D18" s="16" t="s">
        <v>89</v>
      </c>
      <c r="E18" s="16" t="s">
        <v>78</v>
      </c>
      <c r="F18" s="16" t="s">
        <v>235</v>
      </c>
      <c r="G18" s="16" t="s">
        <v>196</v>
      </c>
      <c r="H18" s="20">
        <f>IFERROR(VLOOKUP(C18,Lists!$A$2:$B$10,2,FALSE),9)</f>
        <v>2</v>
      </c>
      <c r="I18" s="20">
        <f>COUNTIFS('Blocker log'!$B:$B,A18,'Blocker log'!$G:$G,"&lt;&gt;Not needed",'Blocker log'!$G:$G,"&lt;&gt;")</f>
        <v>0</v>
      </c>
      <c r="J18" s="20">
        <f>COUNTIFS('Blocker log'!$B:$B,A18,'Blocker log'!$G:$G,"Hard blocker")</f>
        <v>0</v>
      </c>
    </row>
    <row r="19">
      <c r="A19" s="16" t="s">
        <v>238</v>
      </c>
      <c r="B19" s="16" t="s">
        <v>239</v>
      </c>
      <c r="C19" s="16" t="s">
        <v>234</v>
      </c>
      <c r="D19" s="16" t="s">
        <v>89</v>
      </c>
      <c r="E19" s="16" t="s">
        <v>240</v>
      </c>
      <c r="F19" s="16" t="s">
        <v>241</v>
      </c>
      <c r="G19" s="16" t="s">
        <v>196</v>
      </c>
      <c r="H19" s="20">
        <f>IFERROR(VLOOKUP(C19,Lists!$A$2:$B$10,2,FALSE),9)</f>
        <v>2</v>
      </c>
      <c r="I19" s="20">
        <f>COUNTIFS('Blocker log'!$B:$B,A19,'Blocker log'!$G:$G,"&lt;&gt;Not needed",'Blocker log'!$G:$G,"&lt;&gt;")</f>
        <v>1</v>
      </c>
      <c r="J19" s="20">
        <f>COUNTIFS('Blocker log'!$B:$B,A19,'Blocker log'!$G:$G,"Hard blocker")</f>
        <v>0</v>
      </c>
    </row>
    <row r="20">
      <c r="A20" s="16" t="s">
        <v>247</v>
      </c>
      <c r="B20" s="16" t="s">
        <v>248</v>
      </c>
      <c r="C20" s="16" t="s">
        <v>234</v>
      </c>
      <c r="D20" s="16" t="s">
        <v>89</v>
      </c>
      <c r="E20" s="16" t="s">
        <v>249</v>
      </c>
      <c r="F20" s="16" t="s">
        <v>250</v>
      </c>
      <c r="G20" s="16" t="s">
        <v>145</v>
      </c>
      <c r="H20" s="20">
        <f>IFERROR(VLOOKUP(C20,Lists!$A$2:$B$10,2,FALSE),9)</f>
        <v>2</v>
      </c>
      <c r="I20" s="20">
        <f>COUNTIFS('Blocker log'!$B:$B,A20,'Blocker log'!$G:$G,"&lt;&gt;Not needed",'Blocker log'!$G:$G,"&lt;&gt;")</f>
        <v>0</v>
      </c>
      <c r="J20" s="20">
        <f>COUNTIFS('Blocker log'!$B:$B,A20,'Blocker log'!$G:$G,"Hard blocker")</f>
        <v>0</v>
      </c>
    </row>
    <row r="21">
      <c r="A21" s="16" t="s">
        <v>255</v>
      </c>
      <c r="B21" s="16" t="s">
        <v>105</v>
      </c>
      <c r="C21" s="16" t="s">
        <v>234</v>
      </c>
      <c r="D21" s="16" t="s">
        <v>89</v>
      </c>
      <c r="E21" s="16" t="s">
        <v>256</v>
      </c>
      <c r="F21" s="16" t="s">
        <v>257</v>
      </c>
      <c r="G21" s="16" t="s">
        <v>108</v>
      </c>
      <c r="H21" s="20">
        <f>IFERROR(VLOOKUP(C21,Lists!$A$2:$B$10,2,FALSE),9)</f>
        <v>2</v>
      </c>
      <c r="I21" s="20">
        <f>COUNTIFS('Blocker log'!$B:$B,A21,'Blocker log'!$G:$G,"&lt;&gt;Not needed",'Blocker log'!$G:$G,"&lt;&gt;")</f>
        <v>0</v>
      </c>
      <c r="J21" s="20">
        <f>COUNTIFS('Blocker log'!$B:$B,A21,'Blocker log'!$G:$G,"Hard blocker")</f>
        <v>0</v>
      </c>
    </row>
    <row r="22" ht="15.75" customHeight="1">
      <c r="A22" s="16" t="s">
        <v>263</v>
      </c>
      <c r="B22" s="16" t="s">
        <v>105</v>
      </c>
      <c r="C22" s="16" t="s">
        <v>234</v>
      </c>
      <c r="D22" s="16" t="s">
        <v>89</v>
      </c>
      <c r="E22" s="16" t="s">
        <v>264</v>
      </c>
      <c r="F22" s="16" t="s">
        <v>265</v>
      </c>
      <c r="G22" s="16" t="s">
        <v>108</v>
      </c>
      <c r="H22" s="20">
        <f>IFERROR(VLOOKUP(C22,Lists!$A$2:$B$10,2,FALSE),9)</f>
        <v>2</v>
      </c>
      <c r="I22" s="20">
        <f>COUNTIFS('Blocker log'!$B:$B,A22,'Blocker log'!$G:$G,"&lt;&gt;Not needed",'Blocker log'!$G:$G,"&lt;&gt;")</f>
        <v>1</v>
      </c>
      <c r="J22" s="20">
        <f>COUNTIFS('Blocker log'!$B:$B,A22,'Blocker log'!$G:$G,"Hard blocker")</f>
        <v>0</v>
      </c>
    </row>
    <row r="23" ht="15.75" customHeight="1">
      <c r="A23" s="16" t="s">
        <v>252</v>
      </c>
      <c r="B23" s="16" t="s">
        <v>268</v>
      </c>
      <c r="C23" s="18" t="s">
        <v>270</v>
      </c>
      <c r="D23" s="16" t="s">
        <v>89</v>
      </c>
      <c r="E23" s="16" t="s">
        <v>271</v>
      </c>
      <c r="F23" s="16" t="s">
        <v>272</v>
      </c>
      <c r="G23" s="16" t="s">
        <v>273</v>
      </c>
      <c r="H23" s="20">
        <f>IFERROR(VLOOKUP(C23,Lists!$A$2:$B$10,2,FALSE),9)</f>
        <v>9</v>
      </c>
      <c r="I23" s="20">
        <f>COUNTIFS('Blocker log'!$B:$B,A23,'Blocker log'!$G:$G,"&lt;&gt;Not needed",'Blocker log'!$G:$G,"&lt;&gt;")</f>
        <v>2</v>
      </c>
      <c r="J23" s="20">
        <f>COUNTIFS('Blocker log'!$B:$B,A23,'Blocker log'!$G:$G,"Hard blocker")</f>
        <v>0</v>
      </c>
    </row>
    <row r="24" ht="15.75" customHeight="1">
      <c r="A24" s="16" t="s">
        <v>279</v>
      </c>
      <c r="B24" s="16" t="s">
        <v>87</v>
      </c>
      <c r="C24" s="16" t="s">
        <v>234</v>
      </c>
      <c r="D24" s="16" t="s">
        <v>89</v>
      </c>
      <c r="E24" s="16" t="s">
        <v>78</v>
      </c>
      <c r="F24" s="16" t="s">
        <v>280</v>
      </c>
      <c r="G24" s="16" t="s">
        <v>196</v>
      </c>
      <c r="H24" s="20">
        <f>IFERROR(VLOOKUP(C24,Lists!$A$2:$B$10,2,FALSE),9)</f>
        <v>2</v>
      </c>
      <c r="I24" s="20">
        <f>COUNTIFS('Blocker log'!$B:$B,A24,'Blocker log'!$G:$G,"&lt;&gt;Not needed",'Blocker log'!$G:$G,"&lt;&gt;")</f>
        <v>0</v>
      </c>
      <c r="J24" s="20">
        <f>COUNTIFS('Blocker log'!$B:$B,A24,'Blocker log'!$G:$G,"Hard blocker")</f>
        <v>0</v>
      </c>
    </row>
    <row r="25" ht="15.75" customHeight="1">
      <c r="A25" s="16" t="s">
        <v>284</v>
      </c>
      <c r="B25" s="16" t="s">
        <v>268</v>
      </c>
      <c r="C25" s="16" t="s">
        <v>234</v>
      </c>
      <c r="D25" s="16" t="s">
        <v>89</v>
      </c>
      <c r="E25" s="16" t="s">
        <v>78</v>
      </c>
      <c r="F25" s="16" t="s">
        <v>285</v>
      </c>
      <c r="G25" s="16" t="s">
        <v>286</v>
      </c>
      <c r="H25" s="20">
        <f>IFERROR(VLOOKUP(C25,Lists!$A$2:$B$10,2,FALSE),9)</f>
        <v>2</v>
      </c>
      <c r="I25" s="20">
        <f>COUNTIFS('Blocker log'!$B:$B,A25,'Blocker log'!$G:$G,"&lt;&gt;Not needed",'Blocker log'!$G:$G,"&lt;&gt;")</f>
        <v>0</v>
      </c>
      <c r="J25" s="20">
        <f>COUNTIFS('Blocker log'!$B:$B,A25,'Blocker log'!$G:$G,"Hard blocker")</f>
        <v>0</v>
      </c>
    </row>
    <row r="26" ht="15.75" customHeight="1">
      <c r="A26" s="16" t="s">
        <v>227</v>
      </c>
      <c r="B26" s="16" t="s">
        <v>105</v>
      </c>
      <c r="C26" s="16" t="s">
        <v>234</v>
      </c>
      <c r="D26" s="16" t="s">
        <v>89</v>
      </c>
      <c r="E26" s="16" t="s">
        <v>78</v>
      </c>
      <c r="F26" s="16" t="s">
        <v>290</v>
      </c>
      <c r="G26" s="16" t="s">
        <v>108</v>
      </c>
      <c r="H26" s="20">
        <f>IFERROR(VLOOKUP(C26,Lists!$A$2:$B$10,2,FALSE),9)</f>
        <v>2</v>
      </c>
      <c r="I26" s="20">
        <f>COUNTIFS('Blocker log'!$B:$B,A26,'Blocker log'!$G:$G,"&lt;&gt;Not needed",'Blocker log'!$G:$G,"&lt;&gt;")</f>
        <v>1</v>
      </c>
      <c r="J26" s="20">
        <f>COUNTIFS('Blocker log'!$B:$B,A26,'Blocker log'!$G:$G,"Hard blocker")</f>
        <v>1</v>
      </c>
    </row>
    <row r="27" ht="15.75" customHeight="1">
      <c r="A27" s="16" t="s">
        <v>307</v>
      </c>
      <c r="B27" s="16" t="s">
        <v>105</v>
      </c>
      <c r="C27" s="16" t="s">
        <v>234</v>
      </c>
      <c r="D27" s="16" t="s">
        <v>89</v>
      </c>
      <c r="E27" s="16" t="s">
        <v>308</v>
      </c>
      <c r="F27" s="16" t="s">
        <v>309</v>
      </c>
      <c r="G27" s="16" t="s">
        <v>108</v>
      </c>
      <c r="H27" s="20">
        <f>IFERROR(VLOOKUP(C27,Lists!$A$2:$B$10,2,FALSE),9)</f>
        <v>2</v>
      </c>
      <c r="I27" s="20">
        <f>COUNTIFS('Blocker log'!$B:$B,A27,'Blocker log'!$G:$G,"&lt;&gt;Not needed",'Blocker log'!$G:$G,"&lt;&gt;")</f>
        <v>0</v>
      </c>
      <c r="J27" s="20">
        <f>COUNTIFS('Blocker log'!$B:$B,A27,'Blocker log'!$G:$G,"Hard blocker")</f>
        <v>0</v>
      </c>
    </row>
    <row r="28" ht="15.75" customHeight="1">
      <c r="A28" s="16" t="s">
        <v>321</v>
      </c>
      <c r="B28" s="16" t="s">
        <v>105</v>
      </c>
      <c r="C28" s="16" t="s">
        <v>234</v>
      </c>
      <c r="D28" s="16" t="s">
        <v>89</v>
      </c>
      <c r="E28" s="16" t="s">
        <v>322</v>
      </c>
      <c r="F28" s="16" t="s">
        <v>323</v>
      </c>
      <c r="G28" s="16" t="s">
        <v>108</v>
      </c>
      <c r="H28" s="20">
        <f>IFERROR(VLOOKUP(C28,Lists!$A$2:$B$10,2,FALSE),9)</f>
        <v>2</v>
      </c>
      <c r="I28" s="20">
        <f>COUNTIFS('Blocker log'!$B:$B,A28,'Blocker log'!$G:$G,"&lt;&gt;Not needed",'Blocker log'!$G:$G,"&lt;&gt;")</f>
        <v>1</v>
      </c>
      <c r="J28" s="20">
        <f>COUNTIFS('Blocker log'!$B:$B,A28,'Blocker log'!$G:$G,"Hard blocker")</f>
        <v>0</v>
      </c>
    </row>
    <row r="29" ht="15.75" customHeight="1">
      <c r="A29" s="16" t="s">
        <v>327</v>
      </c>
      <c r="B29" s="16" t="s">
        <v>328</v>
      </c>
      <c r="C29" s="16" t="s">
        <v>234</v>
      </c>
      <c r="D29" s="16" t="s">
        <v>89</v>
      </c>
      <c r="E29" s="16" t="s">
        <v>329</v>
      </c>
      <c r="F29" s="16" t="s">
        <v>330</v>
      </c>
      <c r="G29" s="16" t="s">
        <v>331</v>
      </c>
      <c r="H29" s="20">
        <f>IFERROR(VLOOKUP(C29,Lists!$A$2:$B$10,2,FALSE),9)</f>
        <v>2</v>
      </c>
      <c r="I29" s="20">
        <f>COUNTIFS('Blocker log'!$B:$B,A29,'Blocker log'!$G:$G,"&lt;&gt;Not needed",'Blocker log'!$G:$G,"&lt;&gt;")</f>
        <v>0</v>
      </c>
      <c r="J29" s="20">
        <f>COUNTIFS('Blocker log'!$B:$B,A29,'Blocker log'!$G:$G,"Hard blocker")</f>
        <v>0</v>
      </c>
    </row>
    <row r="30" ht="15.75" customHeight="1">
      <c r="A30" s="16" t="s">
        <v>334</v>
      </c>
      <c r="B30" s="16" t="s">
        <v>328</v>
      </c>
      <c r="C30" s="16" t="s">
        <v>234</v>
      </c>
      <c r="D30" s="16" t="s">
        <v>89</v>
      </c>
      <c r="E30" s="16" t="s">
        <v>335</v>
      </c>
      <c r="F30" s="16" t="s">
        <v>336</v>
      </c>
      <c r="G30" s="16" t="s">
        <v>331</v>
      </c>
      <c r="H30" s="20">
        <f>IFERROR(VLOOKUP(C30,Lists!$A$2:$B$10,2,FALSE),9)</f>
        <v>2</v>
      </c>
      <c r="I30" s="20">
        <f>COUNTIFS('Blocker log'!$B:$B,A30,'Blocker log'!$G:$G,"&lt;&gt;Not needed",'Blocker log'!$G:$G,"&lt;&gt;")</f>
        <v>0</v>
      </c>
      <c r="J30" s="20">
        <f>COUNTIFS('Blocker log'!$B:$B,A30,'Blocker log'!$G:$G,"Hard blocker")</f>
        <v>0</v>
      </c>
    </row>
    <row r="31" ht="42.75" customHeight="1">
      <c r="A31" s="16" t="s">
        <v>155</v>
      </c>
      <c r="B31" s="16" t="s">
        <v>239</v>
      </c>
      <c r="C31" s="16" t="s">
        <v>234</v>
      </c>
      <c r="D31" s="16" t="s">
        <v>186</v>
      </c>
      <c r="E31" s="16" t="s">
        <v>339</v>
      </c>
      <c r="F31" s="16" t="s">
        <v>340</v>
      </c>
      <c r="G31" s="16" t="s">
        <v>196</v>
      </c>
      <c r="H31" s="20">
        <f>IFERROR(VLOOKUP(C31,Lists!$A$2:$B$10,2,FALSE),9)</f>
        <v>2</v>
      </c>
      <c r="I31" s="20">
        <f>COUNTIFS('Blocker log'!$B:$B,A31,'Blocker log'!$G:$G,"&lt;&gt;Not needed",'Blocker log'!$G:$G,"&lt;&gt;")</f>
        <v>0</v>
      </c>
      <c r="J31" s="20">
        <f>COUNTIFS('Blocker log'!$B:$B,A31,'Blocker log'!$G:$G,"Hard blocker")</f>
        <v>0</v>
      </c>
    </row>
    <row r="32" ht="15.75" customHeight="1">
      <c r="A32" s="16" t="s">
        <v>346</v>
      </c>
      <c r="B32" s="16" t="s">
        <v>239</v>
      </c>
      <c r="C32" s="16" t="s">
        <v>234</v>
      </c>
      <c r="D32" s="16" t="s">
        <v>186</v>
      </c>
      <c r="E32" s="16" t="s">
        <v>347</v>
      </c>
      <c r="F32" s="16" t="s">
        <v>348</v>
      </c>
      <c r="G32" s="16" t="s">
        <v>196</v>
      </c>
      <c r="H32" s="20">
        <f>IFERROR(VLOOKUP(C32,Lists!$A$2:$B$10,2,FALSE),9)</f>
        <v>2</v>
      </c>
      <c r="I32" s="20">
        <f>COUNTIFS('Blocker log'!$B:$B,A32,'Blocker log'!$G:$G,"&lt;&gt;Not needed",'Blocker log'!$G:$G,"&lt;&gt;")</f>
        <v>0</v>
      </c>
      <c r="J32" s="20">
        <f>COUNTIFS('Blocker log'!$B:$B,A32,'Blocker log'!$G:$G,"Hard blocker")</f>
        <v>0</v>
      </c>
    </row>
    <row r="33" ht="15.75" customHeight="1">
      <c r="A33" s="16" t="s">
        <v>353</v>
      </c>
      <c r="B33" s="16" t="s">
        <v>87</v>
      </c>
      <c r="C33" s="16" t="s">
        <v>234</v>
      </c>
      <c r="D33" s="16" t="s">
        <v>186</v>
      </c>
      <c r="E33" s="16" t="s">
        <v>78</v>
      </c>
      <c r="F33" s="16" t="s">
        <v>354</v>
      </c>
      <c r="G33" s="16" t="s">
        <v>196</v>
      </c>
      <c r="H33" s="20">
        <f>IFERROR(VLOOKUP(C33,Lists!$A$2:$B$10,2,FALSE),9)</f>
        <v>2</v>
      </c>
      <c r="I33" s="20">
        <f>COUNTIFS('Blocker log'!$B:$B,A33,'Blocker log'!$G:$G,"&lt;&gt;Not needed",'Blocker log'!$G:$G,"&lt;&gt;")</f>
        <v>0</v>
      </c>
      <c r="J33" s="20">
        <f>COUNTIFS('Blocker log'!$B:$B,A33,'Blocker log'!$G:$G,"Hard blocker")</f>
        <v>0</v>
      </c>
    </row>
    <row r="34" ht="15.75" customHeight="1">
      <c r="A34" s="16" t="s">
        <v>357</v>
      </c>
      <c r="B34" s="16" t="s">
        <v>105</v>
      </c>
      <c r="C34" s="16" t="s">
        <v>234</v>
      </c>
      <c r="D34" s="16" t="s">
        <v>186</v>
      </c>
      <c r="E34" s="16" t="s">
        <v>360</v>
      </c>
      <c r="F34" s="16" t="s">
        <v>361</v>
      </c>
      <c r="G34" s="16" t="s">
        <v>108</v>
      </c>
      <c r="H34" s="20">
        <f>IFERROR(VLOOKUP(C34,Lists!$A$2:$B$10,2,FALSE),9)</f>
        <v>2</v>
      </c>
      <c r="I34" s="20">
        <f>COUNTIFS('Blocker log'!$B:$B,A34,'Blocker log'!$G:$G,"&lt;&gt;Not needed",'Blocker log'!$G:$G,"&lt;&gt;")</f>
        <v>1</v>
      </c>
      <c r="J34" s="20">
        <f>COUNTIFS('Blocker log'!$B:$B,A34,'Blocker log'!$G:$G,"Hard blocker")</f>
        <v>0</v>
      </c>
    </row>
    <row r="35" ht="15.75" customHeight="1">
      <c r="A35" s="16" t="s">
        <v>364</v>
      </c>
      <c r="B35" s="16" t="s">
        <v>185</v>
      </c>
      <c r="C35" s="16" t="s">
        <v>234</v>
      </c>
      <c r="D35" s="16" t="s">
        <v>186</v>
      </c>
      <c r="E35" s="16" t="s">
        <v>136</v>
      </c>
      <c r="F35" s="16" t="s">
        <v>366</v>
      </c>
      <c r="G35" s="16" t="s">
        <v>367</v>
      </c>
      <c r="H35" s="20">
        <f>IFERROR(VLOOKUP(C35,Lists!$A$2:$B$10,2,FALSE),9)</f>
        <v>2</v>
      </c>
      <c r="I35" s="20">
        <f>COUNTIFS('Blocker log'!$B:$B,A35,'Blocker log'!$G:$G,"&lt;&gt;Not needed",'Blocker log'!$G:$G,"&lt;&gt;")</f>
        <v>0</v>
      </c>
      <c r="J35" s="20">
        <f>COUNTIFS('Blocker log'!$B:$B,A35,'Blocker log'!$G:$G,"Hard blocker")</f>
        <v>0</v>
      </c>
    </row>
    <row r="36" ht="15.75" customHeight="1">
      <c r="A36" s="16" t="s">
        <v>372</v>
      </c>
      <c r="B36" s="16" t="s">
        <v>87</v>
      </c>
      <c r="C36" s="16" t="s">
        <v>234</v>
      </c>
      <c r="D36" s="16" t="s">
        <v>186</v>
      </c>
      <c r="E36" s="16" t="s">
        <v>136</v>
      </c>
      <c r="F36" s="16" t="s">
        <v>373</v>
      </c>
      <c r="G36" s="16" t="s">
        <v>196</v>
      </c>
      <c r="H36" s="20">
        <f>IFERROR(VLOOKUP(C36,Lists!$A$2:$B$10,2,FALSE),9)</f>
        <v>2</v>
      </c>
      <c r="I36" s="20">
        <f>COUNTIFS('Blocker log'!$B:$B,A36,'Blocker log'!$G:$G,"&lt;&gt;Not needed",'Blocker log'!$G:$G,"&lt;&gt;")</f>
        <v>1</v>
      </c>
      <c r="J36" s="20">
        <f>COUNTIFS('Blocker log'!$B:$B,A36,'Blocker log'!$G:$G,"Hard blocker")</f>
        <v>0</v>
      </c>
    </row>
    <row r="37" ht="15.75" customHeight="1">
      <c r="A37" s="16" t="s">
        <v>386</v>
      </c>
      <c r="B37" s="16" t="s">
        <v>166</v>
      </c>
      <c r="C37" s="16" t="s">
        <v>234</v>
      </c>
      <c r="D37" s="16" t="s">
        <v>186</v>
      </c>
      <c r="E37" s="16" t="s">
        <v>136</v>
      </c>
      <c r="F37" s="16" t="s">
        <v>398</v>
      </c>
      <c r="G37" s="16" t="s">
        <v>399</v>
      </c>
      <c r="H37" s="20">
        <f>IFERROR(VLOOKUP(C37,Lists!$A$2:$B$10,2,FALSE),9)</f>
        <v>2</v>
      </c>
      <c r="I37" s="20">
        <f>COUNTIFS('Blocker log'!$B:$B,A37,'Blocker log'!$G:$G,"&lt;&gt;Not needed",'Blocker log'!$G:$G,"&lt;&gt;")</f>
        <v>0</v>
      </c>
      <c r="J37" s="20">
        <f>COUNTIFS('Blocker log'!$B:$B,A37,'Blocker log'!$G:$G,"Hard blocker")</f>
        <v>0</v>
      </c>
    </row>
    <row r="38" ht="15.75" customHeight="1">
      <c r="A38" s="16" t="s">
        <v>454</v>
      </c>
      <c r="B38" s="16" t="s">
        <v>105</v>
      </c>
      <c r="C38" s="16" t="s">
        <v>234</v>
      </c>
      <c r="D38" s="16" t="s">
        <v>186</v>
      </c>
      <c r="E38" s="16" t="s">
        <v>136</v>
      </c>
      <c r="F38" s="16" t="s">
        <v>461</v>
      </c>
      <c r="G38" s="16" t="s">
        <v>399</v>
      </c>
      <c r="H38" s="20">
        <f>IFERROR(VLOOKUP(C38,Lists!$A$2:$B$10,2,FALSE),9)</f>
        <v>2</v>
      </c>
      <c r="I38" s="20">
        <f>COUNTIFS('Blocker log'!$B:$B,A38,'Blocker log'!$G:$G,"&lt;&gt;Not needed",'Blocker log'!$G:$G,"&lt;&gt;")</f>
        <v>0</v>
      </c>
      <c r="J38" s="20">
        <f>COUNTIFS('Blocker log'!$B:$B,A38,'Blocker log'!$G:$G,"Hard blocker")</f>
        <v>0</v>
      </c>
    </row>
    <row r="39" ht="15.75" customHeight="1">
      <c r="A39" s="16" t="s">
        <v>463</v>
      </c>
      <c r="B39" s="16" t="s">
        <v>105</v>
      </c>
      <c r="C39" s="16" t="s">
        <v>234</v>
      </c>
      <c r="D39" s="16" t="s">
        <v>186</v>
      </c>
      <c r="E39" s="16" t="s">
        <v>136</v>
      </c>
      <c r="F39" s="16" t="s">
        <v>464</v>
      </c>
      <c r="G39" s="16" t="s">
        <v>108</v>
      </c>
      <c r="H39" s="20">
        <f>IFERROR(VLOOKUP(C39,Lists!$A$2:$B$10,2,FALSE),9)</f>
        <v>2</v>
      </c>
      <c r="I39" s="20">
        <f>COUNTIFS('Blocker log'!$B:$B,A39,'Blocker log'!$G:$G,"&lt;&gt;Not needed",'Blocker log'!$G:$G,"&lt;&gt;")</f>
        <v>0</v>
      </c>
      <c r="J39" s="20">
        <f>COUNTIFS('Blocker log'!$B:$B,A39,'Blocker log'!$G:$G,"Hard blocker")</f>
        <v>0</v>
      </c>
    </row>
    <row r="40" ht="15.75" customHeight="1">
      <c r="A40" s="16" t="s">
        <v>469</v>
      </c>
      <c r="B40" s="16" t="s">
        <v>87</v>
      </c>
      <c r="C40" s="16" t="s">
        <v>234</v>
      </c>
      <c r="D40" s="16" t="s">
        <v>186</v>
      </c>
      <c r="E40" s="16" t="s">
        <v>78</v>
      </c>
      <c r="F40" s="16" t="s">
        <v>470</v>
      </c>
      <c r="G40" s="16" t="s">
        <v>196</v>
      </c>
      <c r="H40" s="20">
        <f>IFERROR(VLOOKUP(C40,Lists!$A$2:$B$10,2,FALSE),9)</f>
        <v>2</v>
      </c>
      <c r="I40" s="20">
        <f>COUNTIFS('Blocker log'!$B:$B,A40,'Blocker log'!$G:$G,"&lt;&gt;Not needed",'Blocker log'!$G:$G,"&lt;&gt;")</f>
        <v>1</v>
      </c>
      <c r="J40" s="20">
        <f>COUNTIFS('Blocker log'!$B:$B,A40,'Blocker log'!$G:$G,"Hard blocker")</f>
        <v>1</v>
      </c>
    </row>
    <row r="41" ht="15.75" customHeight="1">
      <c r="A41" s="16" t="s">
        <v>475</v>
      </c>
      <c r="B41" s="16" t="s">
        <v>476</v>
      </c>
      <c r="C41" s="16" t="s">
        <v>310</v>
      </c>
      <c r="D41" s="16" t="s">
        <v>89</v>
      </c>
      <c r="E41" s="16" t="s">
        <v>136</v>
      </c>
      <c r="F41" s="16" t="s">
        <v>479</v>
      </c>
      <c r="G41" s="16" t="s">
        <v>286</v>
      </c>
      <c r="H41" s="20">
        <f>IFERROR(VLOOKUP(C41,Lists!$A$2:$B$10,2,FALSE),9)</f>
        <v>3</v>
      </c>
      <c r="I41" s="20">
        <f>COUNTIFS('Blocker log'!$B:$B,A41,'Blocker log'!$G:$G,"&lt;&gt;Not needed",'Blocker log'!$G:$G,"&lt;&gt;")</f>
        <v>0</v>
      </c>
      <c r="J41" s="20">
        <f>COUNTIFS('Blocker log'!$B:$B,A41,'Blocker log'!$G:$G,"Hard blocker")</f>
        <v>0</v>
      </c>
    </row>
    <row r="42" ht="15.75" customHeight="1">
      <c r="A42" s="16" t="s">
        <v>487</v>
      </c>
      <c r="B42" s="16" t="s">
        <v>135</v>
      </c>
      <c r="C42" s="16" t="s">
        <v>312</v>
      </c>
      <c r="D42" s="16" t="s">
        <v>89</v>
      </c>
      <c r="E42" s="16" t="s">
        <v>136</v>
      </c>
      <c r="F42" s="16" t="s">
        <v>210</v>
      </c>
      <c r="G42" s="16" t="s">
        <v>91</v>
      </c>
      <c r="H42" s="20">
        <f>IFERROR(VLOOKUP(C42,Lists!$A$2:$B$10,2,FALSE),9)</f>
        <v>3</v>
      </c>
      <c r="I42" s="20">
        <f>COUNTIFS('Blocker log'!$B:$B,A42,'Blocker log'!$G:$G,"&lt;&gt;Not needed",'Blocker log'!$G:$G,"&lt;&gt;")</f>
        <v>0</v>
      </c>
      <c r="J42" s="20">
        <f>COUNTIFS('Blocker log'!$B:$B,A42,'Blocker log'!$G:$G,"Hard blocker")</f>
        <v>0</v>
      </c>
    </row>
    <row r="43" ht="15.75" customHeight="1">
      <c r="A43" s="16" t="s">
        <v>496</v>
      </c>
      <c r="B43" s="16" t="s">
        <v>166</v>
      </c>
      <c r="C43" s="16" t="s">
        <v>313</v>
      </c>
      <c r="D43" s="16" t="s">
        <v>89</v>
      </c>
      <c r="E43" s="16" t="s">
        <v>136</v>
      </c>
      <c r="F43" s="16" t="s">
        <v>498</v>
      </c>
      <c r="G43" s="16" t="s">
        <v>399</v>
      </c>
      <c r="H43" s="20">
        <f>IFERROR(VLOOKUP(C43,Lists!$A$2:$B$10,2,FALSE),9)</f>
        <v>9</v>
      </c>
      <c r="I43" s="20">
        <f>COUNTIFS('Blocker log'!$B:$B,A43,'Blocker log'!$G:$G,"&lt;&gt;Not needed",'Blocker log'!$G:$G,"&lt;&gt;")</f>
        <v>1</v>
      </c>
      <c r="J43" s="20">
        <f>COUNTIFS('Blocker log'!$B:$B,A43,'Blocker log'!$G:$G,"Hard blocker")</f>
        <v>0</v>
      </c>
    </row>
    <row r="44" ht="15.75" customHeight="1">
      <c r="A44" s="16" t="s">
        <v>502</v>
      </c>
      <c r="B44" s="16" t="s">
        <v>166</v>
      </c>
      <c r="C44" s="16" t="s">
        <v>313</v>
      </c>
      <c r="D44" s="16" t="s">
        <v>186</v>
      </c>
      <c r="E44" s="16" t="s">
        <v>136</v>
      </c>
      <c r="F44" s="16" t="s">
        <v>503</v>
      </c>
      <c r="G44" s="16" t="s">
        <v>399</v>
      </c>
      <c r="H44" s="20">
        <f>IFERROR(VLOOKUP(C44,Lists!$A$2:$B$10,2,FALSE),9)</f>
        <v>9</v>
      </c>
      <c r="I44" s="20">
        <f>COUNTIFS('Blocker log'!$B:$B,A44,'Blocker log'!$G:$G,"&lt;&gt;Not needed",'Blocker log'!$G:$G,"&lt;&gt;")</f>
        <v>0</v>
      </c>
      <c r="J44" s="20">
        <f>COUNTIFS('Blocker log'!$B:$B,A44,'Blocker log'!$G:$G,"Hard blocker")</f>
        <v>0</v>
      </c>
    </row>
    <row r="45" ht="15.75" customHeight="1">
      <c r="A45" s="16" t="s">
        <v>508</v>
      </c>
      <c r="B45" s="16" t="s">
        <v>166</v>
      </c>
      <c r="C45" s="16" t="s">
        <v>313</v>
      </c>
      <c r="D45" s="16" t="s">
        <v>186</v>
      </c>
      <c r="E45" s="16" t="s">
        <v>136</v>
      </c>
      <c r="F45" s="16" t="s">
        <v>509</v>
      </c>
      <c r="G45" s="16" t="s">
        <v>399</v>
      </c>
      <c r="H45" s="20">
        <f>IFERROR(VLOOKUP(C45,Lists!$A$2:$B$10,2,FALSE),9)</f>
        <v>9</v>
      </c>
      <c r="I45" s="20">
        <f>COUNTIFS('Blocker log'!$B:$B,A45,'Blocker log'!$G:$G,"&lt;&gt;Not needed",'Blocker log'!$G:$G,"&lt;&gt;")</f>
        <v>0</v>
      </c>
      <c r="J45" s="20">
        <f>COUNTIFS('Blocker log'!$B:$B,A45,'Blocker log'!$G:$G,"Hard blocker")</f>
        <v>0</v>
      </c>
    </row>
    <row r="46" ht="15.75" customHeight="1">
      <c r="A46" s="16" t="s">
        <v>518</v>
      </c>
      <c r="B46" s="16" t="s">
        <v>166</v>
      </c>
      <c r="C46" s="16" t="s">
        <v>313</v>
      </c>
      <c r="D46" s="16" t="s">
        <v>186</v>
      </c>
      <c r="E46" s="16" t="s">
        <v>136</v>
      </c>
      <c r="F46" s="16" t="s">
        <v>519</v>
      </c>
      <c r="G46" s="16" t="s">
        <v>399</v>
      </c>
      <c r="H46" s="20">
        <f>IFERROR(VLOOKUP(C46,Lists!$A$2:$B$10,2,FALSE),9)</f>
        <v>9</v>
      </c>
      <c r="I46" s="20">
        <f>COUNTIFS('Blocker log'!$B:$B,A46,'Blocker log'!$G:$G,"&lt;&gt;Not needed",'Blocker log'!$G:$G,"&lt;&gt;")</f>
        <v>0</v>
      </c>
      <c r="J46" s="20">
        <f>COUNTIFS('Blocker log'!$B:$B,A46,'Blocker log'!$G:$G,"Hard blocker")</f>
        <v>0</v>
      </c>
    </row>
    <row r="47" ht="15.75" customHeight="1">
      <c r="A47" s="16" t="s">
        <v>526</v>
      </c>
      <c r="B47" s="16" t="s">
        <v>87</v>
      </c>
      <c r="C47" s="16" t="s">
        <v>79</v>
      </c>
      <c r="D47" s="16" t="s">
        <v>89</v>
      </c>
      <c r="E47" s="16" t="s">
        <v>78</v>
      </c>
      <c r="F47" s="16" t="s">
        <v>527</v>
      </c>
      <c r="G47" s="16" t="s">
        <v>168</v>
      </c>
      <c r="H47" s="20">
        <f>IFERROR(VLOOKUP(C47,Lists!$A$2:$B$10,2,FALSE),9)</f>
        <v>9</v>
      </c>
      <c r="I47" s="20">
        <f>COUNTIFS('Blocker log'!$B:$B,A47,'Blocker log'!$G:$G,"&lt;&gt;Not needed",'Blocker log'!$G:$G,"&lt;&gt;")</f>
        <v>0</v>
      </c>
      <c r="J47" s="20">
        <f>COUNTIFS('Blocker log'!$B:$B,A47,'Blocker log'!$G:$G,"Hard blocker")</f>
        <v>0</v>
      </c>
    </row>
    <row r="48" ht="15.75" customHeight="1">
      <c r="A48" s="16" t="s">
        <v>532</v>
      </c>
      <c r="B48" s="16" t="s">
        <v>143</v>
      </c>
      <c r="C48" s="16" t="s">
        <v>79</v>
      </c>
      <c r="D48" s="16" t="s">
        <v>89</v>
      </c>
      <c r="E48" s="16" t="s">
        <v>533</v>
      </c>
      <c r="F48" s="16" t="s">
        <v>534</v>
      </c>
      <c r="G48" s="16" t="s">
        <v>145</v>
      </c>
      <c r="H48" s="20">
        <f>IFERROR(VLOOKUP(C48,Lists!$A$2:$B$10,2,FALSE),9)</f>
        <v>9</v>
      </c>
      <c r="I48" s="20">
        <f>COUNTIFS('Blocker log'!$B:$B,A48,'Blocker log'!$G:$G,"&lt;&gt;Not needed",'Blocker log'!$G:$G,"&lt;&gt;")</f>
        <v>1</v>
      </c>
      <c r="J48" s="20">
        <f>COUNTIFS('Blocker log'!$B:$B,A48,'Blocker log'!$G:$G,"Hard blocker")</f>
        <v>0</v>
      </c>
    </row>
    <row r="49" ht="15.75" customHeight="1">
      <c r="A49" s="16" t="s">
        <v>544</v>
      </c>
      <c r="B49" s="16" t="s">
        <v>87</v>
      </c>
      <c r="C49" s="16" t="s">
        <v>79</v>
      </c>
      <c r="D49" s="16" t="s">
        <v>89</v>
      </c>
      <c r="E49" s="16" t="s">
        <v>136</v>
      </c>
      <c r="F49" s="16" t="s">
        <v>545</v>
      </c>
      <c r="G49" s="16" t="s">
        <v>546</v>
      </c>
      <c r="H49" s="20">
        <f>IFERROR(VLOOKUP(C49,Lists!$A$2:$B$10,2,FALSE),9)</f>
        <v>9</v>
      </c>
      <c r="I49" s="20">
        <f>COUNTIFS('Blocker log'!$B:$B,A49,'Blocker log'!$G:$G,"&lt;&gt;Not needed",'Blocker log'!$G:$G,"&lt;&gt;")</f>
        <v>0</v>
      </c>
      <c r="J49" s="20">
        <f>COUNTIFS('Blocker log'!$B:$B,A49,'Blocker log'!$G:$G,"Hard blocker")</f>
        <v>0</v>
      </c>
    </row>
    <row r="50" ht="15.75" customHeight="1">
      <c r="A50" s="16" t="s">
        <v>550</v>
      </c>
      <c r="B50" s="16" t="s">
        <v>87</v>
      </c>
      <c r="C50" s="16" t="s">
        <v>79</v>
      </c>
      <c r="D50" s="16" t="s">
        <v>186</v>
      </c>
      <c r="E50" s="16" t="s">
        <v>78</v>
      </c>
      <c r="F50" s="16" t="s">
        <v>551</v>
      </c>
      <c r="G50" s="16" t="s">
        <v>196</v>
      </c>
      <c r="H50" s="20">
        <f>IFERROR(VLOOKUP(C50,Lists!$A$2:$B$10,2,FALSE),9)</f>
        <v>9</v>
      </c>
      <c r="I50" s="20">
        <f>COUNTIFS('Blocker log'!$B:$B,A50,'Blocker log'!$G:$G,"&lt;&gt;Not needed",'Blocker log'!$G:$G,"&lt;&gt;")</f>
        <v>0</v>
      </c>
      <c r="J50" s="20">
        <f>COUNTIFS('Blocker log'!$B:$B,A50,'Blocker log'!$G:$G,"Hard blocker")</f>
        <v>0</v>
      </c>
    </row>
    <row r="51" ht="15.75" customHeight="1">
      <c r="A51" s="16" t="s">
        <v>555</v>
      </c>
      <c r="B51" s="16" t="s">
        <v>135</v>
      </c>
      <c r="C51" s="16" t="s">
        <v>79</v>
      </c>
      <c r="D51" s="16" t="s">
        <v>186</v>
      </c>
      <c r="E51" s="16" t="s">
        <v>136</v>
      </c>
      <c r="F51" s="16" t="s">
        <v>556</v>
      </c>
      <c r="G51" s="16" t="s">
        <v>91</v>
      </c>
      <c r="H51" s="20">
        <f>IFERROR(VLOOKUP(C51,Lists!$A$2:$B$10,2,FALSE),9)</f>
        <v>9</v>
      </c>
      <c r="I51" s="20">
        <f>COUNTIFS('Blocker log'!$B:$B,A51,'Blocker log'!$G:$G,"&lt;&gt;Not needed",'Blocker log'!$G:$G,"&lt;&gt;")</f>
        <v>1</v>
      </c>
      <c r="J51" s="20">
        <f>COUNTIFS('Blocker log'!$B:$B,A51,'Blocker log'!$G:$G,"Hard blocker")</f>
        <v>1</v>
      </c>
    </row>
    <row r="52" ht="15.75" customHeight="1">
      <c r="A52" s="16" t="s">
        <v>565</v>
      </c>
      <c r="B52" s="16" t="s">
        <v>185</v>
      </c>
      <c r="C52" s="16" t="s">
        <v>79</v>
      </c>
      <c r="D52" s="16" t="s">
        <v>186</v>
      </c>
      <c r="E52" s="16" t="s">
        <v>136</v>
      </c>
      <c r="F52" s="16" t="s">
        <v>566</v>
      </c>
      <c r="G52" s="16" t="s">
        <v>178</v>
      </c>
      <c r="H52" s="20">
        <f>IFERROR(VLOOKUP(C52,Lists!$A$2:$B$10,2,FALSE),9)</f>
        <v>9</v>
      </c>
      <c r="I52" s="20">
        <f>COUNTIFS('Blocker log'!$B:$B,A52,'Blocker log'!$G:$G,"&lt;&gt;Not needed",'Blocker log'!$G:$G,"&lt;&gt;")</f>
        <v>0</v>
      </c>
      <c r="J52" s="20">
        <f>COUNTIFS('Blocker log'!$B:$B,A52,'Blocker log'!$G:$G,"Hard blocker")</f>
        <v>0</v>
      </c>
    </row>
    <row r="53" ht="15.75" customHeight="1">
      <c r="A53" s="16" t="s">
        <v>567</v>
      </c>
      <c r="B53" s="16" t="s">
        <v>166</v>
      </c>
      <c r="C53" s="16" t="s">
        <v>79</v>
      </c>
      <c r="D53" s="16" t="s">
        <v>186</v>
      </c>
      <c r="E53" s="16" t="s">
        <v>136</v>
      </c>
      <c r="F53" s="16" t="s">
        <v>568</v>
      </c>
      <c r="G53" s="16" t="s">
        <v>168</v>
      </c>
      <c r="H53" s="20">
        <f>IFERROR(VLOOKUP(C53,Lists!$A$2:$B$10,2,FALSE),9)</f>
        <v>9</v>
      </c>
      <c r="I53" s="20">
        <f>COUNTIFS('Blocker log'!$B:$B,A53,'Blocker log'!$G:$G,"&lt;&gt;Not needed",'Blocker log'!$G:$G,"&lt;&gt;")</f>
        <v>0</v>
      </c>
      <c r="J53" s="20">
        <f>COUNTIFS('Blocker log'!$B:$B,A53,'Blocker log'!$G:$G,"Hard blocker")</f>
        <v>0</v>
      </c>
    </row>
    <row r="54" ht="15.75" customHeight="1">
      <c r="A54" s="16" t="s">
        <v>571</v>
      </c>
      <c r="B54" s="16" t="s">
        <v>268</v>
      </c>
      <c r="C54" s="16" t="s">
        <v>79</v>
      </c>
      <c r="D54" s="16" t="s">
        <v>186</v>
      </c>
      <c r="E54" s="16" t="s">
        <v>136</v>
      </c>
      <c r="F54" s="16" t="s">
        <v>572</v>
      </c>
      <c r="G54" s="16" t="s">
        <v>573</v>
      </c>
      <c r="H54" s="20">
        <f>IFERROR(VLOOKUP(C54,Lists!$A$2:$B$10,2,FALSE),9)</f>
        <v>9</v>
      </c>
      <c r="I54" s="20">
        <f>COUNTIFS('Blocker log'!$B:$B,A54,'Blocker log'!$G:$G,"&lt;&gt;Not needed",'Blocker log'!$G:$G,"&lt;&gt;")</f>
        <v>0</v>
      </c>
      <c r="J54" s="20">
        <f>COUNTIFS('Blocker log'!$B:$B,A54,'Blocker log'!$G:$G,"Hard blocker")</f>
        <v>0</v>
      </c>
    </row>
    <row r="55" ht="15.75" customHeight="1">
      <c r="A55" s="16" t="s">
        <v>578</v>
      </c>
      <c r="B55" s="16" t="s">
        <v>87</v>
      </c>
      <c r="C55" s="16" t="s">
        <v>79</v>
      </c>
      <c r="D55" s="16" t="s">
        <v>186</v>
      </c>
      <c r="E55" s="16" t="s">
        <v>136</v>
      </c>
      <c r="F55" s="16" t="s">
        <v>579</v>
      </c>
      <c r="G55" s="16" t="s">
        <v>196</v>
      </c>
      <c r="H55" s="20">
        <f>IFERROR(VLOOKUP(C55,Lists!$A$2:$B$10,2,FALSE),9)</f>
        <v>9</v>
      </c>
      <c r="I55" s="20">
        <f>COUNTIFS('Blocker log'!$B:$B,A55,'Blocker log'!$G:$G,"&lt;&gt;Not needed",'Blocker log'!$G:$G,"&lt;&gt;")</f>
        <v>0</v>
      </c>
      <c r="J55" s="20">
        <f>COUNTIFS('Blocker log'!$B:$B,A55,'Blocker log'!$G:$G,"Hard blocker")</f>
        <v>0</v>
      </c>
    </row>
    <row r="56" ht="15.75" customHeight="1">
      <c r="A56" s="16" t="s">
        <v>584</v>
      </c>
      <c r="B56" s="16" t="s">
        <v>135</v>
      </c>
      <c r="C56" s="16" t="s">
        <v>79</v>
      </c>
      <c r="D56" s="16" t="s">
        <v>186</v>
      </c>
      <c r="E56" s="16" t="s">
        <v>136</v>
      </c>
      <c r="F56" s="16" t="s">
        <v>210</v>
      </c>
      <c r="G56" s="16" t="s">
        <v>91</v>
      </c>
      <c r="H56" s="20">
        <f>IFERROR(VLOOKUP(C56,Lists!$A$2:$B$10,2,FALSE),9)</f>
        <v>9</v>
      </c>
      <c r="I56" s="20">
        <f>COUNTIFS('Blocker log'!$B:$B,A56,'Blocker log'!$G:$G,"&lt;&gt;Not needed",'Blocker log'!$G:$G,"&lt;&gt;")</f>
        <v>0</v>
      </c>
      <c r="J56" s="20">
        <f>COUNTIFS('Blocker log'!$B:$B,A56,'Blocker log'!$G:$G,"Hard blocker")</f>
        <v>0</v>
      </c>
    </row>
    <row r="57" ht="15.75" customHeight="1">
      <c r="A57" s="16" t="s">
        <v>589</v>
      </c>
      <c r="B57" s="16" t="s">
        <v>87</v>
      </c>
      <c r="C57" s="16" t="s">
        <v>79</v>
      </c>
      <c r="D57" s="16" t="s">
        <v>186</v>
      </c>
      <c r="E57" s="16" t="s">
        <v>136</v>
      </c>
      <c r="F57" s="16" t="s">
        <v>590</v>
      </c>
      <c r="G57" s="16" t="s">
        <v>196</v>
      </c>
      <c r="H57" s="20">
        <f>IFERROR(VLOOKUP(C57,Lists!$A$2:$B$10,2,FALSE),9)</f>
        <v>9</v>
      </c>
      <c r="I57" s="20">
        <f>COUNTIFS('Blocker log'!$B:$B,A57,'Blocker log'!$G:$G,"&lt;&gt;Not needed",'Blocker log'!$G:$G,"&lt;&gt;")</f>
        <v>0</v>
      </c>
      <c r="J57" s="20">
        <f>COUNTIFS('Blocker log'!$B:$B,A57,'Blocker log'!$G:$G,"Hard blocker")</f>
        <v>0</v>
      </c>
    </row>
    <row r="58" ht="15.75" customHeight="1">
      <c r="A58" s="16" t="s">
        <v>594</v>
      </c>
      <c r="B58" s="16" t="s">
        <v>268</v>
      </c>
      <c r="C58" s="16" t="s">
        <v>79</v>
      </c>
      <c r="D58" s="16" t="s">
        <v>186</v>
      </c>
      <c r="E58" s="16" t="s">
        <v>136</v>
      </c>
      <c r="F58" s="16" t="s">
        <v>595</v>
      </c>
      <c r="G58" s="16" t="s">
        <v>573</v>
      </c>
      <c r="H58" s="20">
        <f>IFERROR(VLOOKUP(C58,Lists!$A$2:$B$10,2,FALSE),9)</f>
        <v>9</v>
      </c>
      <c r="I58" s="20">
        <f>COUNTIFS('Blocker log'!$B:$B,A58,'Blocker log'!$G:$G,"&lt;&gt;Not needed",'Blocker log'!$G:$G,"&lt;&gt;")</f>
        <v>0</v>
      </c>
      <c r="J58" s="20">
        <f>COUNTIFS('Blocker log'!$B:$B,A58,'Blocker log'!$G:$G,"Hard blocker")</f>
        <v>0</v>
      </c>
    </row>
    <row r="59" ht="15.75" customHeight="1">
      <c r="A59" s="16" t="s">
        <v>599</v>
      </c>
      <c r="B59" s="16" t="s">
        <v>166</v>
      </c>
      <c r="C59" s="16" t="s">
        <v>314</v>
      </c>
      <c r="D59" s="16" t="s">
        <v>186</v>
      </c>
      <c r="E59" s="16" t="s">
        <v>136</v>
      </c>
      <c r="F59" s="16" t="s">
        <v>600</v>
      </c>
      <c r="G59" s="16" t="s">
        <v>399</v>
      </c>
      <c r="H59" s="20">
        <f>IFERROR(VLOOKUP(C59,Lists!$A$2:$B$10,2,FALSE),9)</f>
        <v>9</v>
      </c>
      <c r="I59" s="20">
        <f>COUNTIFS('Blocker log'!$B:$B,A59,'Blocker log'!$G:$G,"&lt;&gt;Not needed",'Blocker log'!$G:$G,"&lt;&gt;")</f>
        <v>0</v>
      </c>
      <c r="J59" s="20">
        <f>COUNTIFS('Blocker log'!$B:$B,A59,'Blocker log'!$G:$G,"Hard blocker")</f>
        <v>0</v>
      </c>
    </row>
    <row r="60">
      <c r="A60" s="18" t="s">
        <v>603</v>
      </c>
      <c r="B60" s="18" t="s">
        <v>604</v>
      </c>
      <c r="C60" s="42">
        <v>46388.0</v>
      </c>
      <c r="D60" s="16"/>
      <c r="E60" s="18" t="s">
        <v>136</v>
      </c>
      <c r="F60" s="16" t="s">
        <v>605</v>
      </c>
      <c r="G60" s="18" t="s">
        <v>606</v>
      </c>
      <c r="H60" s="20">
        <f>IFERROR(VLOOKUP(C60,Lists!$A$2:$B$10,2,FALSE),9)</f>
        <v>9</v>
      </c>
      <c r="I60" s="20">
        <f>COUNTIFS('Blocker log'!$B:$B,A60,'Blocker log'!$G:$G,"&lt;&gt;Not needed",'Blocker log'!$G:$G,"&lt;&gt;")</f>
        <v>0</v>
      </c>
      <c r="J60" s="20">
        <f>COUNTIFS('Blocker log'!$B:$B,A60,'Blocker log'!$G:$G,"Hard blocker")</f>
        <v>0</v>
      </c>
    </row>
    <row r="61" ht="15.75" customHeight="1">
      <c r="A61" s="43" t="s">
        <v>324</v>
      </c>
      <c r="B61" s="43" t="s">
        <v>268</v>
      </c>
      <c r="C61" s="43" t="s">
        <v>313</v>
      </c>
      <c r="D61" s="43" t="s">
        <v>89</v>
      </c>
      <c r="E61" s="43" t="s">
        <v>136</v>
      </c>
      <c r="F61" s="44" t="s">
        <v>613</v>
      </c>
      <c r="G61" s="43" t="s">
        <v>273</v>
      </c>
      <c r="H61" s="35"/>
      <c r="I61" s="35"/>
      <c r="J61" s="35"/>
      <c r="K61" s="35"/>
      <c r="L61" s="35"/>
      <c r="M61" s="35"/>
      <c r="N61" s="35"/>
      <c r="O61" s="35"/>
      <c r="P61" s="35"/>
      <c r="Q61" s="35"/>
      <c r="R61" s="35"/>
      <c r="S61" s="35"/>
      <c r="T61" s="35"/>
      <c r="U61" s="35"/>
      <c r="V61" s="35"/>
      <c r="W61" s="35"/>
      <c r="X61" s="35"/>
      <c r="Y61" s="35"/>
    </row>
    <row r="62" ht="15.75" customHeight="1">
      <c r="A62" s="43" t="s">
        <v>345</v>
      </c>
      <c r="B62" s="43" t="s">
        <v>209</v>
      </c>
      <c r="C62" s="43" t="s">
        <v>313</v>
      </c>
      <c r="D62" s="43" t="s">
        <v>89</v>
      </c>
      <c r="E62" s="43" t="s">
        <v>136</v>
      </c>
      <c r="F62" s="44" t="s">
        <v>615</v>
      </c>
      <c r="G62" s="45"/>
      <c r="H62" s="35"/>
      <c r="I62" s="35"/>
      <c r="J62" s="35"/>
      <c r="K62" s="35"/>
      <c r="L62" s="35"/>
      <c r="M62" s="35"/>
      <c r="N62" s="35"/>
      <c r="O62" s="35"/>
      <c r="P62" s="35"/>
      <c r="Q62" s="35"/>
      <c r="R62" s="35"/>
      <c r="S62" s="35"/>
      <c r="T62" s="35"/>
      <c r="U62" s="35"/>
      <c r="V62" s="35"/>
      <c r="W62" s="35"/>
      <c r="X62" s="35"/>
      <c r="Y62" s="35"/>
    </row>
    <row r="63" ht="15.75" customHeight="1">
      <c r="A63" s="43" t="s">
        <v>375</v>
      </c>
      <c r="B63" s="43" t="s">
        <v>268</v>
      </c>
      <c r="C63" s="43" t="s">
        <v>313</v>
      </c>
      <c r="D63" s="43" t="s">
        <v>186</v>
      </c>
      <c r="E63" s="43" t="s">
        <v>136</v>
      </c>
      <c r="F63" s="44" t="s">
        <v>616</v>
      </c>
      <c r="G63" s="45"/>
      <c r="H63" s="35"/>
      <c r="I63" s="35"/>
      <c r="J63" s="35"/>
      <c r="K63" s="35"/>
      <c r="L63" s="35"/>
      <c r="M63" s="35"/>
      <c r="N63" s="35"/>
      <c r="O63" s="35"/>
      <c r="P63" s="35"/>
      <c r="Q63" s="35"/>
      <c r="R63" s="35"/>
      <c r="S63" s="35"/>
      <c r="T63" s="35"/>
      <c r="U63" s="35"/>
      <c r="V63" s="35"/>
      <c r="W63" s="35"/>
      <c r="X63" s="35"/>
      <c r="Y63" s="35"/>
    </row>
    <row r="64" ht="15.75" customHeight="1">
      <c r="A64" s="43" t="s">
        <v>462</v>
      </c>
      <c r="B64" s="43" t="s">
        <v>105</v>
      </c>
      <c r="C64" s="43" t="s">
        <v>313</v>
      </c>
      <c r="D64" s="43" t="s">
        <v>186</v>
      </c>
      <c r="E64" s="43" t="s">
        <v>136</v>
      </c>
      <c r="F64" s="44" t="s">
        <v>617</v>
      </c>
      <c r="G64" s="45"/>
      <c r="H64" s="35"/>
      <c r="I64" s="35"/>
      <c r="J64" s="35"/>
      <c r="K64" s="35"/>
      <c r="L64" s="35"/>
      <c r="M64" s="35"/>
      <c r="N64" s="35"/>
      <c r="O64" s="35"/>
      <c r="P64" s="35"/>
      <c r="Q64" s="35"/>
      <c r="R64" s="35"/>
      <c r="S64" s="35"/>
      <c r="T64" s="35"/>
      <c r="U64" s="35"/>
      <c r="V64" s="35"/>
      <c r="W64" s="35"/>
      <c r="X64" s="35"/>
      <c r="Y64" s="35"/>
    </row>
    <row r="65" ht="15.75" customHeight="1">
      <c r="A65" s="43" t="s">
        <v>481</v>
      </c>
      <c r="B65" s="43" t="s">
        <v>105</v>
      </c>
      <c r="C65" s="43" t="s">
        <v>313</v>
      </c>
      <c r="D65" s="43" t="s">
        <v>186</v>
      </c>
      <c r="E65" s="43" t="s">
        <v>136</v>
      </c>
      <c r="F65" s="44" t="s">
        <v>618</v>
      </c>
      <c r="G65" s="45"/>
      <c r="H65" s="35"/>
      <c r="I65" s="35"/>
      <c r="J65" s="35"/>
      <c r="K65" s="35"/>
      <c r="L65" s="35"/>
      <c r="M65" s="35"/>
      <c r="N65" s="35"/>
      <c r="O65" s="35"/>
      <c r="P65" s="35"/>
      <c r="Q65" s="35"/>
      <c r="R65" s="35"/>
      <c r="S65" s="35"/>
      <c r="T65" s="35"/>
      <c r="U65" s="35"/>
      <c r="V65" s="35"/>
      <c r="W65" s="35"/>
      <c r="X65" s="35"/>
      <c r="Y65" s="35"/>
    </row>
    <row r="66" ht="15.75" customHeight="1">
      <c r="A66" s="43" t="s">
        <v>499</v>
      </c>
      <c r="B66" s="43" t="s">
        <v>239</v>
      </c>
      <c r="C66" s="43" t="s">
        <v>313</v>
      </c>
      <c r="D66" s="43" t="s">
        <v>186</v>
      </c>
      <c r="E66" s="43" t="s">
        <v>136</v>
      </c>
      <c r="F66" s="44" t="s">
        <v>621</v>
      </c>
      <c r="G66" s="43" t="s">
        <v>273</v>
      </c>
      <c r="H66" s="35"/>
      <c r="I66" s="35"/>
      <c r="J66" s="35"/>
      <c r="K66" s="35"/>
      <c r="L66" s="35"/>
      <c r="M66" s="35"/>
      <c r="N66" s="35"/>
      <c r="O66" s="35"/>
      <c r="P66" s="35"/>
      <c r="Q66" s="35"/>
      <c r="R66" s="35"/>
      <c r="S66" s="35"/>
      <c r="T66" s="35"/>
      <c r="U66" s="35"/>
      <c r="V66" s="35"/>
      <c r="W66" s="35"/>
      <c r="X66" s="35"/>
      <c r="Y66" s="35"/>
    </row>
    <row r="67" ht="15.75" customHeight="1">
      <c r="A67" s="43" t="s">
        <v>521</v>
      </c>
      <c r="B67" s="43" t="s">
        <v>105</v>
      </c>
      <c r="C67" s="43" t="s">
        <v>313</v>
      </c>
      <c r="D67" s="43" t="s">
        <v>186</v>
      </c>
      <c r="E67" s="43" t="s">
        <v>136</v>
      </c>
      <c r="F67" s="44" t="s">
        <v>623</v>
      </c>
      <c r="G67" s="45"/>
      <c r="H67" s="35"/>
      <c r="I67" s="35"/>
      <c r="J67" s="35"/>
      <c r="K67" s="35"/>
      <c r="L67" s="35"/>
      <c r="M67" s="35"/>
      <c r="N67" s="35"/>
      <c r="O67" s="35"/>
      <c r="P67" s="35"/>
      <c r="Q67" s="35"/>
      <c r="R67" s="35"/>
      <c r="S67" s="35"/>
      <c r="T67" s="35"/>
      <c r="U67" s="35"/>
      <c r="V67" s="35"/>
      <c r="W67" s="35"/>
      <c r="X67" s="35"/>
      <c r="Y67" s="35"/>
    </row>
    <row r="68" ht="15.75" customHeight="1">
      <c r="A68" s="43" t="s">
        <v>562</v>
      </c>
      <c r="B68" s="43" t="s">
        <v>105</v>
      </c>
      <c r="C68" s="43" t="s">
        <v>313</v>
      </c>
      <c r="D68" s="43" t="s">
        <v>186</v>
      </c>
      <c r="E68" s="43" t="s">
        <v>136</v>
      </c>
      <c r="F68" s="44" t="s">
        <v>624</v>
      </c>
      <c r="G68" s="45"/>
      <c r="H68" s="35"/>
      <c r="I68" s="35"/>
      <c r="J68" s="35"/>
      <c r="K68" s="35"/>
      <c r="L68" s="35"/>
      <c r="M68" s="35"/>
      <c r="N68" s="35"/>
      <c r="O68" s="35"/>
      <c r="P68" s="35"/>
      <c r="Q68" s="35"/>
      <c r="R68" s="35"/>
      <c r="S68" s="35"/>
      <c r="T68" s="35"/>
      <c r="U68" s="35"/>
      <c r="V68" s="35"/>
      <c r="W68" s="35"/>
      <c r="X68" s="35"/>
      <c r="Y68" s="35"/>
    </row>
    <row r="69" ht="15.75" customHeight="1">
      <c r="A69" s="43" t="s">
        <v>581</v>
      </c>
      <c r="B69" s="43" t="s">
        <v>105</v>
      </c>
      <c r="C69" s="43" t="s">
        <v>313</v>
      </c>
      <c r="D69" s="43" t="s">
        <v>186</v>
      </c>
      <c r="E69" s="43" t="s">
        <v>136</v>
      </c>
      <c r="F69" s="44" t="s">
        <v>625</v>
      </c>
      <c r="G69" s="45"/>
      <c r="H69" s="35"/>
      <c r="I69" s="35"/>
      <c r="J69" s="35"/>
      <c r="K69" s="35"/>
      <c r="L69" s="35"/>
      <c r="M69" s="35"/>
      <c r="N69" s="35"/>
      <c r="O69" s="35"/>
      <c r="P69" s="35"/>
      <c r="Q69" s="35"/>
      <c r="R69" s="35"/>
      <c r="S69" s="35"/>
      <c r="T69" s="35"/>
      <c r="U69" s="35"/>
      <c r="V69" s="35"/>
      <c r="W69" s="35"/>
      <c r="X69" s="35"/>
      <c r="Y69" s="35"/>
    </row>
    <row r="70" ht="15.75" customHeight="1">
      <c r="A70" s="43" t="s">
        <v>539</v>
      </c>
      <c r="B70" s="43" t="s">
        <v>87</v>
      </c>
      <c r="C70" s="43" t="s">
        <v>313</v>
      </c>
      <c r="D70" s="43" t="s">
        <v>89</v>
      </c>
      <c r="E70" s="43" t="s">
        <v>136</v>
      </c>
      <c r="F70" s="44" t="s">
        <v>626</v>
      </c>
      <c r="G70" s="45"/>
      <c r="H70" s="35"/>
      <c r="I70" s="35"/>
      <c r="J70" s="35"/>
      <c r="K70" s="35"/>
      <c r="L70" s="35"/>
      <c r="M70" s="35"/>
      <c r="N70" s="35"/>
      <c r="O70" s="35"/>
      <c r="P70" s="35"/>
      <c r="Q70" s="35"/>
      <c r="R70" s="35"/>
      <c r="S70" s="35"/>
      <c r="T70" s="35"/>
      <c r="U70" s="35"/>
      <c r="V70" s="35"/>
      <c r="W70" s="35"/>
      <c r="X70" s="35"/>
      <c r="Y70" s="35"/>
    </row>
    <row r="71" ht="15.75" customHeight="1">
      <c r="A71" s="47" t="s">
        <v>630</v>
      </c>
      <c r="B71" s="47" t="s">
        <v>87</v>
      </c>
      <c r="C71" s="48" t="s">
        <v>88</v>
      </c>
      <c r="D71" s="48" t="s">
        <v>186</v>
      </c>
      <c r="E71" s="48" t="s">
        <v>136</v>
      </c>
      <c r="F71" s="49" t="s">
        <v>631</v>
      </c>
      <c r="G71" s="47" t="s">
        <v>196</v>
      </c>
      <c r="H71" s="35"/>
      <c r="I71" s="35"/>
      <c r="J71" s="35"/>
      <c r="K71" s="35"/>
      <c r="L71" s="35"/>
      <c r="M71" s="35"/>
      <c r="N71" s="35"/>
      <c r="O71" s="35"/>
      <c r="P71" s="35"/>
      <c r="Q71" s="35"/>
      <c r="R71" s="35"/>
      <c r="S71" s="35"/>
      <c r="T71" s="35"/>
      <c r="U71" s="35"/>
      <c r="V71" s="35"/>
      <c r="W71" s="35"/>
      <c r="X71" s="35"/>
      <c r="Y71" s="35"/>
    </row>
    <row r="72" ht="15.75" customHeight="1">
      <c r="A72" s="47" t="s">
        <v>622</v>
      </c>
      <c r="B72" s="47" t="s">
        <v>87</v>
      </c>
      <c r="C72" s="47" t="s">
        <v>632</v>
      </c>
      <c r="D72" s="47" t="s">
        <v>89</v>
      </c>
      <c r="E72" s="35"/>
      <c r="F72" s="50"/>
      <c r="G72" s="47" t="s">
        <v>196</v>
      </c>
      <c r="H72" s="35"/>
      <c r="I72" s="35"/>
      <c r="J72" s="47">
        <v>1.0</v>
      </c>
      <c r="K72" s="35"/>
      <c r="L72" s="35"/>
      <c r="M72" s="35"/>
      <c r="N72" s="35"/>
      <c r="O72" s="35"/>
      <c r="P72" s="35"/>
      <c r="Q72" s="35"/>
      <c r="R72" s="35"/>
      <c r="S72" s="35"/>
      <c r="T72" s="35"/>
      <c r="U72" s="35"/>
      <c r="V72" s="35"/>
      <c r="W72" s="35"/>
      <c r="X72" s="35"/>
      <c r="Y72" s="35"/>
    </row>
    <row r="73" ht="15.75" customHeight="1">
      <c r="A73" s="47" t="s">
        <v>633</v>
      </c>
      <c r="B73" s="47" t="s">
        <v>634</v>
      </c>
      <c r="C73" s="51">
        <v>46296.0</v>
      </c>
      <c r="D73" s="47" t="s">
        <v>89</v>
      </c>
      <c r="E73" s="35"/>
      <c r="F73" s="50"/>
      <c r="G73" s="47" t="s">
        <v>635</v>
      </c>
      <c r="H73" s="35"/>
      <c r="I73" s="35"/>
      <c r="J73" s="35"/>
      <c r="K73" s="35"/>
      <c r="L73" s="35"/>
      <c r="M73" s="35"/>
      <c r="N73" s="35"/>
      <c r="O73" s="35"/>
      <c r="P73" s="35"/>
      <c r="Q73" s="35"/>
      <c r="R73" s="35"/>
      <c r="S73" s="35"/>
      <c r="T73" s="35"/>
      <c r="U73" s="35"/>
      <c r="V73" s="35"/>
      <c r="W73" s="35"/>
      <c r="X73" s="35"/>
      <c r="Y73" s="35"/>
    </row>
    <row r="74" ht="15.75" customHeight="1">
      <c r="A74" s="47" t="s">
        <v>636</v>
      </c>
      <c r="B74" s="47" t="s">
        <v>604</v>
      </c>
      <c r="C74" s="51">
        <v>46327.0</v>
      </c>
      <c r="D74" s="48" t="s">
        <v>89</v>
      </c>
      <c r="E74" s="48" t="s">
        <v>136</v>
      </c>
      <c r="F74" s="49" t="s">
        <v>637</v>
      </c>
      <c r="G74" s="47" t="s">
        <v>638</v>
      </c>
      <c r="H74" s="35"/>
      <c r="I74" s="35"/>
      <c r="J74" s="35"/>
      <c r="K74" s="35"/>
      <c r="L74" s="35"/>
      <c r="M74" s="35"/>
      <c r="N74" s="35"/>
      <c r="O74" s="35"/>
      <c r="P74" s="35"/>
      <c r="Q74" s="35"/>
      <c r="R74" s="35"/>
      <c r="S74" s="35"/>
      <c r="T74" s="35"/>
      <c r="U74" s="35"/>
      <c r="V74" s="35"/>
      <c r="W74" s="35"/>
      <c r="X74" s="35"/>
      <c r="Y74" s="35"/>
    </row>
    <row r="75" ht="15.75" customHeight="1">
      <c r="A75" s="35"/>
      <c r="B75" s="35"/>
      <c r="C75" s="35"/>
      <c r="D75" s="35"/>
      <c r="E75" s="35"/>
      <c r="F75" s="50"/>
      <c r="G75" s="35"/>
      <c r="H75" s="35"/>
      <c r="I75" s="35"/>
      <c r="J75" s="35"/>
      <c r="K75" s="35"/>
      <c r="L75" s="35"/>
      <c r="M75" s="35"/>
      <c r="N75" s="35"/>
      <c r="O75" s="35"/>
      <c r="P75" s="35"/>
      <c r="Q75" s="35"/>
      <c r="R75" s="35"/>
      <c r="S75" s="35"/>
      <c r="T75" s="35"/>
      <c r="U75" s="35"/>
      <c r="V75" s="35"/>
      <c r="W75" s="35"/>
      <c r="X75" s="35"/>
      <c r="Y75" s="35"/>
    </row>
    <row r="76" ht="15.75" customHeight="1">
      <c r="A76" s="35"/>
      <c r="B76" s="35"/>
      <c r="C76" s="35"/>
      <c r="D76" s="35"/>
      <c r="E76" s="35"/>
      <c r="F76" s="50"/>
      <c r="G76" s="35"/>
      <c r="H76" s="35"/>
      <c r="I76" s="35"/>
      <c r="J76" s="35"/>
      <c r="K76" s="35"/>
      <c r="L76" s="35"/>
      <c r="M76" s="35"/>
      <c r="N76" s="35"/>
      <c r="O76" s="35"/>
      <c r="P76" s="35"/>
      <c r="Q76" s="35"/>
      <c r="R76" s="35"/>
      <c r="S76" s="35"/>
      <c r="T76" s="35"/>
      <c r="U76" s="35"/>
      <c r="V76" s="35"/>
      <c r="W76" s="35"/>
      <c r="X76" s="35"/>
      <c r="Y76" s="35"/>
    </row>
    <row r="77" ht="15.75" customHeight="1">
      <c r="A77" s="35"/>
      <c r="B77" s="35"/>
      <c r="C77" s="35"/>
      <c r="D77" s="35"/>
      <c r="E77" s="35"/>
      <c r="F77" s="50"/>
      <c r="G77" s="35"/>
      <c r="H77" s="35"/>
      <c r="I77" s="35"/>
      <c r="J77" s="35"/>
      <c r="K77" s="35"/>
      <c r="L77" s="35"/>
      <c r="M77" s="35"/>
      <c r="N77" s="35"/>
      <c r="O77" s="35"/>
      <c r="P77" s="35"/>
      <c r="Q77" s="35"/>
      <c r="R77" s="35"/>
      <c r="S77" s="35"/>
      <c r="T77" s="35"/>
      <c r="U77" s="35"/>
      <c r="V77" s="35"/>
      <c r="W77" s="35"/>
      <c r="X77" s="35"/>
      <c r="Y77" s="35"/>
    </row>
    <row r="78" ht="15.75" customHeight="1">
      <c r="A78" s="35"/>
      <c r="B78" s="35"/>
      <c r="C78" s="35"/>
      <c r="D78" s="35"/>
      <c r="E78" s="35"/>
      <c r="F78" s="50"/>
      <c r="G78" s="35"/>
      <c r="H78" s="35"/>
      <c r="I78" s="35"/>
      <c r="J78" s="35"/>
      <c r="K78" s="35"/>
      <c r="L78" s="35"/>
      <c r="M78" s="35"/>
      <c r="N78" s="35"/>
      <c r="O78" s="35"/>
      <c r="P78" s="35"/>
      <c r="Q78" s="35"/>
      <c r="R78" s="35"/>
      <c r="S78" s="35"/>
      <c r="T78" s="35"/>
      <c r="U78" s="35"/>
      <c r="V78" s="35"/>
      <c r="W78" s="35"/>
      <c r="X78" s="35"/>
      <c r="Y78" s="35"/>
    </row>
    <row r="79" ht="15.75" customHeight="1">
      <c r="A79" s="35"/>
      <c r="B79" s="35"/>
      <c r="C79" s="35"/>
      <c r="D79" s="35"/>
      <c r="E79" s="35"/>
      <c r="F79" s="50"/>
      <c r="G79" s="35"/>
      <c r="H79" s="35"/>
      <c r="I79" s="35"/>
      <c r="J79" s="35"/>
      <c r="K79" s="35"/>
      <c r="L79" s="35"/>
      <c r="M79" s="35"/>
      <c r="N79" s="35"/>
      <c r="O79" s="35"/>
      <c r="P79" s="35"/>
      <c r="Q79" s="35"/>
      <c r="R79" s="35"/>
      <c r="S79" s="35"/>
      <c r="T79" s="35"/>
      <c r="U79" s="35"/>
      <c r="V79" s="35"/>
      <c r="W79" s="35"/>
      <c r="X79" s="35"/>
      <c r="Y79" s="35"/>
    </row>
    <row r="80" ht="15.75" customHeight="1">
      <c r="A80" s="35"/>
      <c r="B80" s="35"/>
      <c r="C80" s="35"/>
      <c r="D80" s="35"/>
      <c r="E80" s="35"/>
      <c r="F80" s="50"/>
      <c r="G80" s="35"/>
      <c r="H80" s="35"/>
      <c r="I80" s="35"/>
      <c r="J80" s="35"/>
      <c r="K80" s="35"/>
      <c r="L80" s="35"/>
      <c r="M80" s="35"/>
      <c r="N80" s="35"/>
      <c r="O80" s="35"/>
      <c r="P80" s="35"/>
      <c r="Q80" s="35"/>
      <c r="R80" s="35"/>
      <c r="S80" s="35"/>
      <c r="T80" s="35"/>
      <c r="U80" s="35"/>
      <c r="V80" s="35"/>
      <c r="W80" s="35"/>
      <c r="X80" s="35"/>
      <c r="Y80" s="35"/>
    </row>
    <row r="81" ht="15.75" customHeight="1">
      <c r="A81" s="35"/>
      <c r="B81" s="35"/>
      <c r="C81" s="35"/>
      <c r="D81" s="35"/>
      <c r="E81" s="35"/>
      <c r="F81" s="50"/>
      <c r="G81" s="35"/>
      <c r="H81" s="35"/>
      <c r="I81" s="35"/>
      <c r="J81" s="35"/>
      <c r="K81" s="35"/>
      <c r="L81" s="35"/>
      <c r="M81" s="35"/>
      <c r="N81" s="35"/>
      <c r="O81" s="35"/>
      <c r="P81" s="35"/>
      <c r="Q81" s="35"/>
      <c r="R81" s="35"/>
      <c r="S81" s="35"/>
      <c r="T81" s="35"/>
      <c r="U81" s="35"/>
      <c r="V81" s="35"/>
      <c r="W81" s="35"/>
      <c r="X81" s="35"/>
      <c r="Y81" s="35"/>
    </row>
    <row r="82" ht="15.75" customHeight="1">
      <c r="A82" s="35"/>
      <c r="B82" s="35"/>
      <c r="C82" s="35"/>
      <c r="D82" s="35"/>
      <c r="E82" s="35"/>
      <c r="F82" s="50"/>
      <c r="G82" s="35"/>
      <c r="H82" s="35"/>
      <c r="I82" s="35"/>
      <c r="J82" s="35"/>
      <c r="K82" s="35"/>
      <c r="L82" s="35"/>
      <c r="M82" s="35"/>
      <c r="N82" s="35"/>
      <c r="O82" s="35"/>
      <c r="P82" s="35"/>
      <c r="Q82" s="35"/>
      <c r="R82" s="35"/>
      <c r="S82" s="35"/>
      <c r="T82" s="35"/>
      <c r="U82" s="35"/>
      <c r="V82" s="35"/>
      <c r="W82" s="35"/>
      <c r="X82" s="35"/>
      <c r="Y82" s="35"/>
    </row>
    <row r="83" ht="15.75" customHeight="1">
      <c r="A83" s="35"/>
      <c r="B83" s="35"/>
      <c r="C83" s="35"/>
      <c r="D83" s="35"/>
      <c r="E83" s="35"/>
      <c r="F83" s="50"/>
      <c r="G83" s="35"/>
      <c r="H83" s="35"/>
      <c r="I83" s="35"/>
      <c r="J83" s="35"/>
      <c r="K83" s="35"/>
      <c r="L83" s="35"/>
      <c r="M83" s="35"/>
      <c r="N83" s="35"/>
      <c r="O83" s="35"/>
      <c r="P83" s="35"/>
      <c r="Q83" s="35"/>
      <c r="R83" s="35"/>
      <c r="S83" s="35"/>
      <c r="T83" s="35"/>
      <c r="U83" s="35"/>
      <c r="V83" s="35"/>
      <c r="W83" s="35"/>
      <c r="X83" s="35"/>
      <c r="Y83" s="35"/>
    </row>
    <row r="84" ht="15.75" customHeight="1">
      <c r="A84" s="35"/>
      <c r="B84" s="35"/>
      <c r="C84" s="35"/>
      <c r="D84" s="35"/>
      <c r="E84" s="35"/>
      <c r="F84" s="50"/>
      <c r="G84" s="35"/>
      <c r="H84" s="35"/>
      <c r="I84" s="35"/>
      <c r="J84" s="35"/>
      <c r="K84" s="35"/>
      <c r="L84" s="35"/>
      <c r="M84" s="35"/>
      <c r="N84" s="35"/>
      <c r="O84" s="35"/>
      <c r="P84" s="35"/>
      <c r="Q84" s="35"/>
      <c r="R84" s="35"/>
      <c r="S84" s="35"/>
      <c r="T84" s="35"/>
      <c r="U84" s="35"/>
      <c r="V84" s="35"/>
      <c r="W84" s="35"/>
      <c r="X84" s="35"/>
      <c r="Y84" s="35"/>
    </row>
    <row r="85" ht="15.75" customHeight="1">
      <c r="A85" s="35"/>
      <c r="B85" s="35"/>
      <c r="C85" s="35"/>
      <c r="D85" s="35"/>
      <c r="E85" s="35"/>
      <c r="F85" s="50"/>
      <c r="G85" s="35"/>
      <c r="H85" s="35"/>
      <c r="I85" s="35"/>
      <c r="J85" s="35"/>
      <c r="K85" s="35"/>
      <c r="L85" s="35"/>
      <c r="M85" s="35"/>
      <c r="N85" s="35"/>
      <c r="O85" s="35"/>
      <c r="P85" s="35"/>
      <c r="Q85" s="35"/>
      <c r="R85" s="35"/>
      <c r="S85" s="35"/>
      <c r="T85" s="35"/>
      <c r="U85" s="35"/>
      <c r="V85" s="35"/>
      <c r="W85" s="35"/>
      <c r="X85" s="35"/>
      <c r="Y85" s="35"/>
    </row>
    <row r="86" ht="15.75" customHeight="1">
      <c r="A86" s="35"/>
      <c r="B86" s="35"/>
      <c r="C86" s="35"/>
      <c r="D86" s="35"/>
      <c r="E86" s="35"/>
      <c r="F86" s="50"/>
      <c r="G86" s="35"/>
      <c r="H86" s="35"/>
      <c r="I86" s="35"/>
      <c r="J86" s="35"/>
      <c r="K86" s="35"/>
      <c r="L86" s="35"/>
      <c r="M86" s="35"/>
      <c r="N86" s="35"/>
      <c r="O86" s="35"/>
      <c r="P86" s="35"/>
      <c r="Q86" s="35"/>
      <c r="R86" s="35"/>
      <c r="S86" s="35"/>
      <c r="T86" s="35"/>
      <c r="U86" s="35"/>
      <c r="V86" s="35"/>
      <c r="W86" s="35"/>
      <c r="X86" s="35"/>
      <c r="Y86" s="35"/>
    </row>
    <row r="87" ht="15.75" customHeight="1">
      <c r="A87" s="35"/>
      <c r="B87" s="35"/>
      <c r="C87" s="35"/>
      <c r="D87" s="35"/>
      <c r="E87" s="35"/>
      <c r="F87" s="50"/>
      <c r="G87" s="35"/>
      <c r="H87" s="35"/>
      <c r="I87" s="35"/>
      <c r="J87" s="35"/>
      <c r="K87" s="35"/>
      <c r="L87" s="35"/>
      <c r="M87" s="35"/>
      <c r="N87" s="35"/>
      <c r="O87" s="35"/>
      <c r="P87" s="35"/>
      <c r="Q87" s="35"/>
      <c r="R87" s="35"/>
      <c r="S87" s="35"/>
      <c r="T87" s="35"/>
      <c r="U87" s="35"/>
      <c r="V87" s="35"/>
      <c r="W87" s="35"/>
      <c r="X87" s="35"/>
      <c r="Y87" s="35"/>
    </row>
    <row r="88" ht="15.75" customHeight="1">
      <c r="A88" s="35"/>
      <c r="B88" s="35"/>
      <c r="C88" s="35"/>
      <c r="D88" s="35"/>
      <c r="E88" s="35"/>
      <c r="F88" s="50"/>
      <c r="G88" s="35"/>
      <c r="H88" s="35"/>
      <c r="I88" s="35"/>
      <c r="J88" s="35"/>
      <c r="K88" s="35"/>
      <c r="L88" s="35"/>
      <c r="M88" s="35"/>
      <c r="N88" s="35"/>
      <c r="O88" s="35"/>
      <c r="P88" s="35"/>
      <c r="Q88" s="35"/>
      <c r="R88" s="35"/>
      <c r="S88" s="35"/>
      <c r="T88" s="35"/>
      <c r="U88" s="35"/>
      <c r="V88" s="35"/>
      <c r="W88" s="35"/>
      <c r="X88" s="35"/>
      <c r="Y88" s="35"/>
    </row>
    <row r="89" ht="15.75" customHeight="1">
      <c r="A89" s="35"/>
      <c r="B89" s="35"/>
      <c r="C89" s="35"/>
      <c r="D89" s="35"/>
      <c r="E89" s="35"/>
      <c r="F89" s="50"/>
      <c r="G89" s="35"/>
      <c r="H89" s="35"/>
      <c r="I89" s="35"/>
      <c r="J89" s="35"/>
      <c r="K89" s="35"/>
      <c r="L89" s="35"/>
      <c r="M89" s="35"/>
      <c r="N89" s="35"/>
      <c r="O89" s="35"/>
      <c r="P89" s="35"/>
      <c r="Q89" s="35"/>
      <c r="R89" s="35"/>
      <c r="S89" s="35"/>
      <c r="T89" s="35"/>
      <c r="U89" s="35"/>
      <c r="V89" s="35"/>
      <c r="W89" s="35"/>
      <c r="X89" s="35"/>
      <c r="Y89" s="35"/>
    </row>
    <row r="90" ht="15.75" customHeight="1">
      <c r="A90" s="35"/>
      <c r="B90" s="35"/>
      <c r="C90" s="35"/>
      <c r="D90" s="35"/>
      <c r="E90" s="35"/>
      <c r="F90" s="50"/>
      <c r="G90" s="35"/>
      <c r="H90" s="35"/>
      <c r="I90" s="35"/>
      <c r="J90" s="35"/>
      <c r="K90" s="35"/>
      <c r="L90" s="35"/>
      <c r="M90" s="35"/>
      <c r="N90" s="35"/>
      <c r="O90" s="35"/>
      <c r="P90" s="35"/>
      <c r="Q90" s="35"/>
      <c r="R90" s="35"/>
      <c r="S90" s="35"/>
      <c r="T90" s="35"/>
      <c r="U90" s="35"/>
      <c r="V90" s="35"/>
      <c r="W90" s="35"/>
      <c r="X90" s="35"/>
      <c r="Y90" s="35"/>
    </row>
    <row r="91" ht="15.75" customHeight="1">
      <c r="A91" s="35"/>
      <c r="B91" s="35"/>
      <c r="C91" s="35"/>
      <c r="D91" s="35"/>
      <c r="E91" s="35"/>
      <c r="F91" s="50"/>
      <c r="G91" s="35"/>
      <c r="H91" s="35"/>
      <c r="I91" s="35"/>
      <c r="J91" s="35"/>
      <c r="K91" s="35"/>
      <c r="L91" s="35"/>
      <c r="M91" s="35"/>
      <c r="N91" s="35"/>
      <c r="O91" s="35"/>
      <c r="P91" s="35"/>
      <c r="Q91" s="35"/>
      <c r="R91" s="35"/>
      <c r="S91" s="35"/>
      <c r="T91" s="35"/>
      <c r="U91" s="35"/>
      <c r="V91" s="35"/>
      <c r="W91" s="35"/>
      <c r="X91" s="35"/>
      <c r="Y91" s="35"/>
    </row>
    <row r="92" ht="15.75" customHeight="1">
      <c r="A92" s="35"/>
      <c r="B92" s="35"/>
      <c r="C92" s="35"/>
      <c r="D92" s="35"/>
      <c r="E92" s="35"/>
      <c r="F92" s="50"/>
      <c r="G92" s="35"/>
      <c r="H92" s="35"/>
      <c r="I92" s="35"/>
      <c r="J92" s="35"/>
      <c r="K92" s="35"/>
      <c r="L92" s="35"/>
      <c r="M92" s="35"/>
      <c r="N92" s="35"/>
      <c r="O92" s="35"/>
      <c r="P92" s="35"/>
      <c r="Q92" s="35"/>
      <c r="R92" s="35"/>
      <c r="S92" s="35"/>
      <c r="T92" s="35"/>
      <c r="U92" s="35"/>
      <c r="V92" s="35"/>
      <c r="W92" s="35"/>
      <c r="X92" s="35"/>
      <c r="Y92" s="35"/>
    </row>
    <row r="93" ht="15.75" customHeight="1">
      <c r="A93" s="35"/>
      <c r="B93" s="35"/>
      <c r="C93" s="35"/>
      <c r="D93" s="35"/>
      <c r="E93" s="35"/>
      <c r="F93" s="50"/>
      <c r="G93" s="35"/>
      <c r="H93" s="35"/>
      <c r="I93" s="35"/>
      <c r="J93" s="35"/>
      <c r="K93" s="35"/>
      <c r="L93" s="35"/>
      <c r="M93" s="35"/>
      <c r="N93" s="35"/>
      <c r="O93" s="35"/>
      <c r="P93" s="35"/>
      <c r="Q93" s="35"/>
      <c r="R93" s="35"/>
      <c r="S93" s="35"/>
      <c r="T93" s="35"/>
      <c r="U93" s="35"/>
      <c r="V93" s="35"/>
      <c r="W93" s="35"/>
      <c r="X93" s="35"/>
      <c r="Y93" s="35"/>
    </row>
    <row r="94" ht="15.75" customHeight="1">
      <c r="A94" s="35"/>
      <c r="B94" s="35"/>
      <c r="C94" s="35"/>
      <c r="D94" s="35"/>
      <c r="E94" s="35"/>
      <c r="F94" s="50"/>
      <c r="G94" s="35"/>
      <c r="H94" s="35"/>
      <c r="I94" s="35"/>
      <c r="J94" s="35"/>
      <c r="K94" s="35"/>
      <c r="L94" s="35"/>
      <c r="M94" s="35"/>
      <c r="N94" s="35"/>
      <c r="O94" s="35"/>
      <c r="P94" s="35"/>
      <c r="Q94" s="35"/>
      <c r="R94" s="35"/>
      <c r="S94" s="35"/>
      <c r="T94" s="35"/>
      <c r="U94" s="35"/>
      <c r="V94" s="35"/>
      <c r="W94" s="35"/>
      <c r="X94" s="35"/>
      <c r="Y94" s="35"/>
    </row>
    <row r="95" ht="15.75" customHeight="1">
      <c r="A95" s="35"/>
      <c r="B95" s="35"/>
      <c r="C95" s="35"/>
      <c r="D95" s="35"/>
      <c r="E95" s="35"/>
      <c r="F95" s="50"/>
      <c r="G95" s="35"/>
      <c r="H95" s="35"/>
      <c r="I95" s="35"/>
      <c r="J95" s="35"/>
      <c r="K95" s="35"/>
      <c r="L95" s="35"/>
      <c r="M95" s="35"/>
      <c r="N95" s="35"/>
      <c r="O95" s="35"/>
      <c r="P95" s="35"/>
      <c r="Q95" s="35"/>
      <c r="R95" s="35"/>
      <c r="S95" s="35"/>
      <c r="T95" s="35"/>
      <c r="U95" s="35"/>
      <c r="V95" s="35"/>
      <c r="W95" s="35"/>
      <c r="X95" s="35"/>
      <c r="Y95" s="35"/>
    </row>
    <row r="96" ht="15.75" customHeight="1">
      <c r="A96" s="35"/>
      <c r="B96" s="35"/>
      <c r="C96" s="35"/>
      <c r="D96" s="35"/>
      <c r="E96" s="35"/>
      <c r="F96" s="50"/>
      <c r="G96" s="35"/>
      <c r="H96" s="35"/>
      <c r="I96" s="35"/>
      <c r="J96" s="35"/>
      <c r="K96" s="35"/>
      <c r="L96" s="35"/>
      <c r="M96" s="35"/>
      <c r="N96" s="35"/>
      <c r="O96" s="35"/>
      <c r="P96" s="35"/>
      <c r="Q96" s="35"/>
      <c r="R96" s="35"/>
      <c r="S96" s="35"/>
      <c r="T96" s="35"/>
      <c r="U96" s="35"/>
      <c r="V96" s="35"/>
      <c r="W96" s="35"/>
      <c r="X96" s="35"/>
      <c r="Y96" s="35"/>
    </row>
    <row r="97" ht="15.75" customHeight="1">
      <c r="A97" s="35"/>
      <c r="B97" s="35"/>
      <c r="C97" s="35"/>
      <c r="D97" s="35"/>
      <c r="E97" s="35"/>
      <c r="F97" s="50"/>
      <c r="G97" s="35"/>
      <c r="H97" s="35"/>
      <c r="I97" s="35"/>
      <c r="J97" s="35"/>
      <c r="K97" s="35"/>
      <c r="L97" s="35"/>
      <c r="M97" s="35"/>
      <c r="N97" s="35"/>
      <c r="O97" s="35"/>
      <c r="P97" s="35"/>
      <c r="Q97" s="35"/>
      <c r="R97" s="35"/>
      <c r="S97" s="35"/>
      <c r="T97" s="35"/>
      <c r="U97" s="35"/>
      <c r="V97" s="35"/>
      <c r="W97" s="35"/>
      <c r="X97" s="35"/>
      <c r="Y97" s="35"/>
    </row>
    <row r="98" ht="15.75" customHeight="1">
      <c r="A98" s="35"/>
      <c r="B98" s="35"/>
      <c r="C98" s="35"/>
      <c r="D98" s="35"/>
      <c r="E98" s="35"/>
      <c r="F98" s="50"/>
      <c r="G98" s="35"/>
      <c r="H98" s="35"/>
      <c r="I98" s="35"/>
      <c r="J98" s="35"/>
      <c r="K98" s="35"/>
      <c r="L98" s="35"/>
      <c r="M98" s="35"/>
      <c r="N98" s="35"/>
      <c r="O98" s="35"/>
      <c r="P98" s="35"/>
      <c r="Q98" s="35"/>
      <c r="R98" s="35"/>
      <c r="S98" s="35"/>
      <c r="T98" s="35"/>
      <c r="U98" s="35"/>
      <c r="V98" s="35"/>
      <c r="W98" s="35"/>
      <c r="X98" s="35"/>
      <c r="Y98" s="35"/>
    </row>
    <row r="99" ht="15.75" customHeight="1">
      <c r="A99" s="35"/>
      <c r="B99" s="35"/>
      <c r="C99" s="35"/>
      <c r="D99" s="35"/>
      <c r="E99" s="35"/>
      <c r="F99" s="50"/>
      <c r="G99" s="35"/>
      <c r="H99" s="35"/>
      <c r="I99" s="35"/>
      <c r="J99" s="35"/>
      <c r="K99" s="35"/>
      <c r="L99" s="35"/>
      <c r="M99" s="35"/>
      <c r="N99" s="35"/>
      <c r="O99" s="35"/>
      <c r="P99" s="35"/>
      <c r="Q99" s="35"/>
      <c r="R99" s="35"/>
      <c r="S99" s="35"/>
      <c r="T99" s="35"/>
      <c r="U99" s="35"/>
      <c r="V99" s="35"/>
      <c r="W99" s="35"/>
      <c r="X99" s="35"/>
      <c r="Y99" s="35"/>
    </row>
    <row r="100" ht="15.75" customHeight="1">
      <c r="A100" s="35"/>
      <c r="B100" s="35"/>
      <c r="C100" s="35"/>
      <c r="D100" s="35"/>
      <c r="E100" s="35"/>
      <c r="F100" s="50"/>
      <c r="G100" s="35"/>
      <c r="H100" s="35"/>
      <c r="I100" s="35"/>
      <c r="J100" s="35"/>
      <c r="K100" s="35"/>
      <c r="L100" s="35"/>
      <c r="M100" s="35"/>
      <c r="N100" s="35"/>
      <c r="O100" s="35"/>
      <c r="P100" s="35"/>
      <c r="Q100" s="35"/>
      <c r="R100" s="35"/>
      <c r="S100" s="35"/>
      <c r="T100" s="35"/>
      <c r="U100" s="35"/>
      <c r="V100" s="35"/>
      <c r="W100" s="35"/>
      <c r="X100" s="35"/>
      <c r="Y100" s="35"/>
    </row>
    <row r="101" ht="15.75" customHeight="1">
      <c r="A101" s="35"/>
      <c r="B101" s="35"/>
      <c r="C101" s="35"/>
      <c r="D101" s="35"/>
      <c r="E101" s="35"/>
      <c r="F101" s="50"/>
      <c r="G101" s="35"/>
      <c r="H101" s="35"/>
      <c r="I101" s="35"/>
      <c r="J101" s="35"/>
      <c r="K101" s="35"/>
      <c r="L101" s="35"/>
      <c r="M101" s="35"/>
      <c r="N101" s="35"/>
      <c r="O101" s="35"/>
      <c r="P101" s="35"/>
      <c r="Q101" s="35"/>
      <c r="R101" s="35"/>
      <c r="S101" s="35"/>
      <c r="T101" s="35"/>
      <c r="U101" s="35"/>
      <c r="V101" s="35"/>
      <c r="W101" s="35"/>
      <c r="X101" s="35"/>
      <c r="Y101" s="35"/>
    </row>
    <row r="102" ht="15.75" customHeight="1">
      <c r="A102" s="35"/>
      <c r="B102" s="35"/>
      <c r="C102" s="35"/>
      <c r="D102" s="35"/>
      <c r="E102" s="35"/>
      <c r="F102" s="50"/>
      <c r="G102" s="35"/>
      <c r="H102" s="35"/>
      <c r="I102" s="35"/>
      <c r="J102" s="35"/>
      <c r="K102" s="35"/>
      <c r="L102" s="35"/>
      <c r="M102" s="35"/>
      <c r="N102" s="35"/>
      <c r="O102" s="35"/>
      <c r="P102" s="35"/>
      <c r="Q102" s="35"/>
      <c r="R102" s="35"/>
      <c r="S102" s="35"/>
      <c r="T102" s="35"/>
      <c r="U102" s="35"/>
      <c r="V102" s="35"/>
      <c r="W102" s="35"/>
      <c r="X102" s="35"/>
      <c r="Y102" s="35"/>
    </row>
    <row r="103" ht="15.75" customHeight="1">
      <c r="A103" s="35"/>
      <c r="B103" s="35"/>
      <c r="C103" s="35"/>
      <c r="D103" s="35"/>
      <c r="E103" s="35"/>
      <c r="F103" s="50"/>
      <c r="G103" s="35"/>
      <c r="H103" s="35"/>
      <c r="I103" s="35"/>
      <c r="J103" s="35"/>
      <c r="K103" s="35"/>
      <c r="L103" s="35"/>
      <c r="M103" s="35"/>
      <c r="N103" s="35"/>
      <c r="O103" s="35"/>
      <c r="P103" s="35"/>
      <c r="Q103" s="35"/>
      <c r="R103" s="35"/>
      <c r="S103" s="35"/>
      <c r="T103" s="35"/>
      <c r="U103" s="35"/>
      <c r="V103" s="35"/>
      <c r="W103" s="35"/>
      <c r="X103" s="35"/>
      <c r="Y103" s="35"/>
    </row>
    <row r="104" ht="15.75" customHeight="1">
      <c r="A104" s="35"/>
      <c r="B104" s="35"/>
      <c r="C104" s="35"/>
      <c r="D104" s="35"/>
      <c r="E104" s="35"/>
      <c r="F104" s="50"/>
      <c r="G104" s="35"/>
      <c r="H104" s="35"/>
      <c r="I104" s="35"/>
      <c r="J104" s="35"/>
      <c r="K104" s="35"/>
      <c r="L104" s="35"/>
      <c r="M104" s="35"/>
      <c r="N104" s="35"/>
      <c r="O104" s="35"/>
      <c r="P104" s="35"/>
      <c r="Q104" s="35"/>
      <c r="R104" s="35"/>
      <c r="S104" s="35"/>
      <c r="T104" s="35"/>
      <c r="U104" s="35"/>
      <c r="V104" s="35"/>
      <c r="W104" s="35"/>
      <c r="X104" s="35"/>
      <c r="Y104" s="35"/>
    </row>
    <row r="105" ht="15.75" customHeight="1">
      <c r="A105" s="35"/>
      <c r="B105" s="35"/>
      <c r="C105" s="35"/>
      <c r="D105" s="35"/>
      <c r="E105" s="35"/>
      <c r="F105" s="50"/>
      <c r="G105" s="35"/>
      <c r="H105" s="35"/>
      <c r="I105" s="35"/>
      <c r="J105" s="35"/>
      <c r="K105" s="35"/>
      <c r="L105" s="35"/>
      <c r="M105" s="35"/>
      <c r="N105" s="35"/>
      <c r="O105" s="35"/>
      <c r="P105" s="35"/>
      <c r="Q105" s="35"/>
      <c r="R105" s="35"/>
      <c r="S105" s="35"/>
      <c r="T105" s="35"/>
      <c r="U105" s="35"/>
      <c r="V105" s="35"/>
      <c r="W105" s="35"/>
      <c r="X105" s="35"/>
      <c r="Y105" s="35"/>
    </row>
    <row r="106" ht="15.75" customHeight="1">
      <c r="A106" s="35"/>
      <c r="B106" s="35"/>
      <c r="C106" s="35"/>
      <c r="D106" s="35"/>
      <c r="E106" s="35"/>
      <c r="F106" s="50"/>
      <c r="G106" s="35"/>
      <c r="H106" s="35"/>
      <c r="I106" s="35"/>
      <c r="J106" s="35"/>
      <c r="K106" s="35"/>
      <c r="L106" s="35"/>
      <c r="M106" s="35"/>
      <c r="N106" s="35"/>
      <c r="O106" s="35"/>
      <c r="P106" s="35"/>
      <c r="Q106" s="35"/>
      <c r="R106" s="35"/>
      <c r="S106" s="35"/>
      <c r="T106" s="35"/>
      <c r="U106" s="35"/>
      <c r="V106" s="35"/>
      <c r="W106" s="35"/>
      <c r="X106" s="35"/>
      <c r="Y106" s="35"/>
    </row>
    <row r="107" ht="15.75" customHeight="1">
      <c r="A107" s="35"/>
      <c r="B107" s="35"/>
      <c r="C107" s="35"/>
      <c r="D107" s="35"/>
      <c r="E107" s="35"/>
      <c r="F107" s="50"/>
      <c r="G107" s="35"/>
      <c r="H107" s="35"/>
      <c r="I107" s="35"/>
      <c r="J107" s="35"/>
      <c r="K107" s="35"/>
      <c r="L107" s="35"/>
      <c r="M107" s="35"/>
      <c r="N107" s="35"/>
      <c r="O107" s="35"/>
      <c r="P107" s="35"/>
      <c r="Q107" s="35"/>
      <c r="R107" s="35"/>
      <c r="S107" s="35"/>
      <c r="T107" s="35"/>
      <c r="U107" s="35"/>
      <c r="V107" s="35"/>
      <c r="W107" s="35"/>
      <c r="X107" s="35"/>
      <c r="Y107" s="35"/>
    </row>
    <row r="108" ht="15.75" customHeight="1">
      <c r="A108" s="35"/>
      <c r="B108" s="35"/>
      <c r="C108" s="35"/>
      <c r="D108" s="35"/>
      <c r="E108" s="35"/>
      <c r="F108" s="50"/>
      <c r="G108" s="35"/>
      <c r="H108" s="35"/>
      <c r="I108" s="35"/>
      <c r="J108" s="35"/>
      <c r="K108" s="35"/>
      <c r="L108" s="35"/>
      <c r="M108" s="35"/>
      <c r="N108" s="35"/>
      <c r="O108" s="35"/>
      <c r="P108" s="35"/>
      <c r="Q108" s="35"/>
      <c r="R108" s="35"/>
      <c r="S108" s="35"/>
      <c r="T108" s="35"/>
      <c r="U108" s="35"/>
      <c r="V108" s="35"/>
      <c r="W108" s="35"/>
      <c r="X108" s="35"/>
      <c r="Y108" s="35"/>
    </row>
    <row r="109" ht="15.75" customHeight="1">
      <c r="A109" s="35"/>
      <c r="B109" s="35"/>
      <c r="C109" s="35"/>
      <c r="D109" s="35"/>
      <c r="E109" s="35"/>
      <c r="F109" s="50"/>
      <c r="G109" s="35"/>
      <c r="H109" s="35"/>
      <c r="I109" s="35"/>
      <c r="J109" s="35"/>
      <c r="K109" s="35"/>
      <c r="L109" s="35"/>
      <c r="M109" s="35"/>
      <c r="N109" s="35"/>
      <c r="O109" s="35"/>
      <c r="P109" s="35"/>
      <c r="Q109" s="35"/>
      <c r="R109" s="35"/>
      <c r="S109" s="35"/>
      <c r="T109" s="35"/>
      <c r="U109" s="35"/>
      <c r="V109" s="35"/>
      <c r="W109" s="35"/>
      <c r="X109" s="35"/>
      <c r="Y109" s="35"/>
    </row>
    <row r="110" ht="15.75" customHeight="1">
      <c r="A110" s="35"/>
      <c r="B110" s="35"/>
      <c r="C110" s="35"/>
      <c r="D110" s="35"/>
      <c r="E110" s="35"/>
      <c r="F110" s="50"/>
      <c r="G110" s="35"/>
      <c r="H110" s="35"/>
      <c r="I110" s="35"/>
      <c r="J110" s="35"/>
      <c r="K110" s="35"/>
      <c r="L110" s="35"/>
      <c r="M110" s="35"/>
      <c r="N110" s="35"/>
      <c r="O110" s="35"/>
      <c r="P110" s="35"/>
      <c r="Q110" s="35"/>
      <c r="R110" s="35"/>
      <c r="S110" s="35"/>
      <c r="T110" s="35"/>
      <c r="U110" s="35"/>
      <c r="V110" s="35"/>
      <c r="W110" s="35"/>
      <c r="X110" s="35"/>
      <c r="Y110" s="35"/>
    </row>
    <row r="111" ht="15.75" customHeight="1">
      <c r="A111" s="35"/>
      <c r="B111" s="35"/>
      <c r="C111" s="35"/>
      <c r="D111" s="35"/>
      <c r="E111" s="35"/>
      <c r="F111" s="50"/>
      <c r="G111" s="35"/>
      <c r="H111" s="35"/>
      <c r="I111" s="35"/>
      <c r="J111" s="35"/>
      <c r="K111" s="35"/>
      <c r="L111" s="35"/>
      <c r="M111" s="35"/>
      <c r="N111" s="35"/>
      <c r="O111" s="35"/>
      <c r="P111" s="35"/>
      <c r="Q111" s="35"/>
      <c r="R111" s="35"/>
      <c r="S111" s="35"/>
      <c r="T111" s="35"/>
      <c r="U111" s="35"/>
      <c r="V111" s="35"/>
      <c r="W111" s="35"/>
      <c r="X111" s="35"/>
      <c r="Y111" s="35"/>
    </row>
    <row r="112" ht="15.75" customHeight="1">
      <c r="A112" s="35"/>
      <c r="B112" s="35"/>
      <c r="C112" s="35"/>
      <c r="D112" s="35"/>
      <c r="E112" s="35"/>
      <c r="F112" s="50"/>
      <c r="G112" s="35"/>
      <c r="H112" s="35"/>
      <c r="I112" s="35"/>
      <c r="J112" s="35"/>
      <c r="K112" s="35"/>
      <c r="L112" s="35"/>
      <c r="M112" s="35"/>
      <c r="N112" s="35"/>
      <c r="O112" s="35"/>
      <c r="P112" s="35"/>
      <c r="Q112" s="35"/>
      <c r="R112" s="35"/>
      <c r="S112" s="35"/>
      <c r="T112" s="35"/>
      <c r="U112" s="35"/>
      <c r="V112" s="35"/>
      <c r="W112" s="35"/>
      <c r="X112" s="35"/>
      <c r="Y112" s="35"/>
    </row>
    <row r="113" ht="15.75" customHeight="1">
      <c r="A113" s="35"/>
      <c r="B113" s="35"/>
      <c r="C113" s="35"/>
      <c r="D113" s="35"/>
      <c r="E113" s="35"/>
      <c r="F113" s="50"/>
      <c r="G113" s="35"/>
      <c r="H113" s="35"/>
      <c r="I113" s="35"/>
      <c r="J113" s="35"/>
      <c r="K113" s="35"/>
      <c r="L113" s="35"/>
      <c r="M113" s="35"/>
      <c r="N113" s="35"/>
      <c r="O113" s="35"/>
      <c r="P113" s="35"/>
      <c r="Q113" s="35"/>
      <c r="R113" s="35"/>
      <c r="S113" s="35"/>
      <c r="T113" s="35"/>
      <c r="U113" s="35"/>
      <c r="V113" s="35"/>
      <c r="W113" s="35"/>
      <c r="X113" s="35"/>
      <c r="Y113" s="35"/>
    </row>
    <row r="114" ht="15.75" customHeight="1">
      <c r="A114" s="35"/>
      <c r="B114" s="35"/>
      <c r="C114" s="35"/>
      <c r="D114" s="35"/>
      <c r="E114" s="35"/>
      <c r="F114" s="50"/>
      <c r="G114" s="35"/>
      <c r="H114" s="35"/>
      <c r="I114" s="35"/>
      <c r="J114" s="35"/>
      <c r="K114" s="35"/>
      <c r="L114" s="35"/>
      <c r="M114" s="35"/>
      <c r="N114" s="35"/>
      <c r="O114" s="35"/>
      <c r="P114" s="35"/>
      <c r="Q114" s="35"/>
      <c r="R114" s="35"/>
      <c r="S114" s="35"/>
      <c r="T114" s="35"/>
      <c r="U114" s="35"/>
      <c r="V114" s="35"/>
      <c r="W114" s="35"/>
      <c r="X114" s="35"/>
      <c r="Y114" s="35"/>
    </row>
    <row r="115" ht="15.75" customHeight="1">
      <c r="A115" s="35"/>
      <c r="B115" s="35"/>
      <c r="C115" s="35"/>
      <c r="D115" s="35"/>
      <c r="E115" s="35"/>
      <c r="F115" s="50"/>
      <c r="G115" s="35"/>
      <c r="H115" s="35"/>
      <c r="I115" s="35"/>
      <c r="J115" s="35"/>
      <c r="K115" s="35"/>
      <c r="L115" s="35"/>
      <c r="M115" s="35"/>
      <c r="N115" s="35"/>
      <c r="O115" s="35"/>
      <c r="P115" s="35"/>
      <c r="Q115" s="35"/>
      <c r="R115" s="35"/>
      <c r="S115" s="35"/>
      <c r="T115" s="35"/>
      <c r="U115" s="35"/>
      <c r="V115" s="35"/>
      <c r="W115" s="35"/>
      <c r="X115" s="35"/>
      <c r="Y115" s="35"/>
    </row>
    <row r="116" ht="15.75" customHeight="1">
      <c r="A116" s="35"/>
      <c r="B116" s="35"/>
      <c r="C116" s="35"/>
      <c r="D116" s="35"/>
      <c r="E116" s="35"/>
      <c r="F116" s="50"/>
      <c r="G116" s="35"/>
      <c r="H116" s="35"/>
      <c r="I116" s="35"/>
      <c r="J116" s="35"/>
      <c r="K116" s="35"/>
      <c r="L116" s="35"/>
      <c r="M116" s="35"/>
      <c r="N116" s="35"/>
      <c r="O116" s="35"/>
      <c r="P116" s="35"/>
      <c r="Q116" s="35"/>
      <c r="R116" s="35"/>
      <c r="S116" s="35"/>
      <c r="T116" s="35"/>
      <c r="U116" s="35"/>
      <c r="V116" s="35"/>
      <c r="W116" s="35"/>
      <c r="X116" s="35"/>
      <c r="Y116" s="35"/>
    </row>
    <row r="117" ht="15.75" customHeight="1">
      <c r="A117" s="35"/>
      <c r="B117" s="35"/>
      <c r="C117" s="35"/>
      <c r="D117" s="35"/>
      <c r="E117" s="35"/>
      <c r="F117" s="50"/>
      <c r="G117" s="35"/>
      <c r="H117" s="35"/>
      <c r="I117" s="35"/>
      <c r="J117" s="35"/>
      <c r="K117" s="35"/>
      <c r="L117" s="35"/>
      <c r="M117" s="35"/>
      <c r="N117" s="35"/>
      <c r="O117" s="35"/>
      <c r="P117" s="35"/>
      <c r="Q117" s="35"/>
      <c r="R117" s="35"/>
      <c r="S117" s="35"/>
      <c r="T117" s="35"/>
      <c r="U117" s="35"/>
      <c r="V117" s="35"/>
      <c r="W117" s="35"/>
      <c r="X117" s="35"/>
      <c r="Y117" s="35"/>
    </row>
    <row r="118" ht="15.75" customHeight="1">
      <c r="A118" s="35"/>
      <c r="B118" s="35"/>
      <c r="C118" s="35"/>
      <c r="D118" s="35"/>
      <c r="E118" s="35"/>
      <c r="F118" s="50"/>
      <c r="G118" s="35"/>
      <c r="H118" s="35"/>
      <c r="I118" s="35"/>
      <c r="J118" s="35"/>
      <c r="K118" s="35"/>
      <c r="L118" s="35"/>
      <c r="M118" s="35"/>
      <c r="N118" s="35"/>
      <c r="O118" s="35"/>
      <c r="P118" s="35"/>
      <c r="Q118" s="35"/>
      <c r="R118" s="35"/>
      <c r="S118" s="35"/>
      <c r="T118" s="35"/>
      <c r="U118" s="35"/>
      <c r="V118" s="35"/>
      <c r="W118" s="35"/>
      <c r="X118" s="35"/>
      <c r="Y118" s="35"/>
    </row>
    <row r="119" ht="15.75" customHeight="1">
      <c r="A119" s="35"/>
      <c r="B119" s="35"/>
      <c r="C119" s="35"/>
      <c r="D119" s="35"/>
      <c r="E119" s="35"/>
      <c r="F119" s="50"/>
      <c r="G119" s="35"/>
      <c r="H119" s="35"/>
      <c r="I119" s="35"/>
      <c r="J119" s="35"/>
      <c r="K119" s="35"/>
      <c r="L119" s="35"/>
      <c r="M119" s="35"/>
      <c r="N119" s="35"/>
      <c r="O119" s="35"/>
      <c r="P119" s="35"/>
      <c r="Q119" s="35"/>
      <c r="R119" s="35"/>
      <c r="S119" s="35"/>
      <c r="T119" s="35"/>
      <c r="U119" s="35"/>
      <c r="V119" s="35"/>
      <c r="W119" s="35"/>
      <c r="X119" s="35"/>
      <c r="Y119" s="35"/>
    </row>
    <row r="120" ht="15.75" customHeight="1">
      <c r="A120" s="35"/>
      <c r="B120" s="35"/>
      <c r="C120" s="35"/>
      <c r="D120" s="35"/>
      <c r="E120" s="35"/>
      <c r="F120" s="50"/>
      <c r="G120" s="35"/>
      <c r="H120" s="35"/>
      <c r="I120" s="35"/>
      <c r="J120" s="35"/>
      <c r="K120" s="35"/>
      <c r="L120" s="35"/>
      <c r="M120" s="35"/>
      <c r="N120" s="35"/>
      <c r="O120" s="35"/>
      <c r="P120" s="35"/>
      <c r="Q120" s="35"/>
      <c r="R120" s="35"/>
      <c r="S120" s="35"/>
      <c r="T120" s="35"/>
      <c r="U120" s="35"/>
      <c r="V120" s="35"/>
      <c r="W120" s="35"/>
      <c r="X120" s="35"/>
      <c r="Y120" s="35"/>
    </row>
    <row r="121" ht="15.75" customHeight="1">
      <c r="A121" s="35"/>
      <c r="B121" s="35"/>
      <c r="C121" s="35"/>
      <c r="D121" s="35"/>
      <c r="E121" s="35"/>
      <c r="F121" s="50"/>
      <c r="G121" s="35"/>
      <c r="H121" s="35"/>
      <c r="I121" s="35"/>
      <c r="J121" s="35"/>
      <c r="K121" s="35"/>
      <c r="L121" s="35"/>
      <c r="M121" s="35"/>
      <c r="N121" s="35"/>
      <c r="O121" s="35"/>
      <c r="P121" s="35"/>
      <c r="Q121" s="35"/>
      <c r="R121" s="35"/>
      <c r="S121" s="35"/>
      <c r="T121" s="35"/>
      <c r="U121" s="35"/>
      <c r="V121" s="35"/>
      <c r="W121" s="35"/>
      <c r="X121" s="35"/>
      <c r="Y121" s="35"/>
    </row>
    <row r="122" ht="15.75" customHeight="1">
      <c r="A122" s="35"/>
      <c r="B122" s="35"/>
      <c r="C122" s="35"/>
      <c r="D122" s="35"/>
      <c r="E122" s="35"/>
      <c r="F122" s="50"/>
      <c r="G122" s="35"/>
      <c r="H122" s="35"/>
      <c r="I122" s="35"/>
      <c r="J122" s="35"/>
      <c r="K122" s="35"/>
      <c r="L122" s="35"/>
      <c r="M122" s="35"/>
      <c r="N122" s="35"/>
      <c r="O122" s="35"/>
      <c r="P122" s="35"/>
      <c r="Q122" s="35"/>
      <c r="R122" s="35"/>
      <c r="S122" s="35"/>
      <c r="T122" s="35"/>
      <c r="U122" s="35"/>
      <c r="V122" s="35"/>
      <c r="W122" s="35"/>
      <c r="X122" s="35"/>
      <c r="Y122" s="35"/>
    </row>
    <row r="123" ht="15.75" customHeight="1">
      <c r="A123" s="35"/>
      <c r="B123" s="35"/>
      <c r="C123" s="35"/>
      <c r="D123" s="35"/>
      <c r="E123" s="35"/>
      <c r="F123" s="50"/>
      <c r="G123" s="35"/>
      <c r="H123" s="35"/>
      <c r="I123" s="35"/>
      <c r="J123" s="35"/>
      <c r="K123" s="35"/>
      <c r="L123" s="35"/>
      <c r="M123" s="35"/>
      <c r="N123" s="35"/>
      <c r="O123" s="35"/>
      <c r="P123" s="35"/>
      <c r="Q123" s="35"/>
      <c r="R123" s="35"/>
      <c r="S123" s="35"/>
      <c r="T123" s="35"/>
      <c r="U123" s="35"/>
      <c r="V123" s="35"/>
      <c r="W123" s="35"/>
      <c r="X123" s="35"/>
      <c r="Y123" s="35"/>
    </row>
    <row r="124" ht="15.75" customHeight="1">
      <c r="A124" s="35"/>
      <c r="B124" s="35"/>
      <c r="C124" s="35"/>
      <c r="D124" s="35"/>
      <c r="E124" s="35"/>
      <c r="F124" s="50"/>
      <c r="G124" s="35"/>
      <c r="H124" s="35"/>
      <c r="I124" s="35"/>
      <c r="J124" s="35"/>
      <c r="K124" s="35"/>
      <c r="L124" s="35"/>
      <c r="M124" s="35"/>
      <c r="N124" s="35"/>
      <c r="O124" s="35"/>
      <c r="P124" s="35"/>
      <c r="Q124" s="35"/>
      <c r="R124" s="35"/>
      <c r="S124" s="35"/>
      <c r="T124" s="35"/>
      <c r="U124" s="35"/>
      <c r="V124" s="35"/>
      <c r="W124" s="35"/>
      <c r="X124" s="35"/>
      <c r="Y124" s="35"/>
    </row>
    <row r="125" ht="15.75" customHeight="1">
      <c r="A125" s="35"/>
      <c r="B125" s="35"/>
      <c r="C125" s="35"/>
      <c r="D125" s="35"/>
      <c r="E125" s="35"/>
      <c r="F125" s="50"/>
      <c r="G125" s="35"/>
      <c r="H125" s="35"/>
      <c r="I125" s="35"/>
      <c r="J125" s="35"/>
      <c r="K125" s="35"/>
      <c r="L125" s="35"/>
      <c r="M125" s="35"/>
      <c r="N125" s="35"/>
      <c r="O125" s="35"/>
      <c r="P125" s="35"/>
      <c r="Q125" s="35"/>
      <c r="R125" s="35"/>
      <c r="S125" s="35"/>
      <c r="T125" s="35"/>
      <c r="U125" s="35"/>
      <c r="V125" s="35"/>
      <c r="W125" s="35"/>
      <c r="X125" s="35"/>
      <c r="Y125" s="35"/>
    </row>
    <row r="126" ht="15.75" customHeight="1">
      <c r="A126" s="35"/>
      <c r="B126" s="35"/>
      <c r="C126" s="35"/>
      <c r="D126" s="35"/>
      <c r="E126" s="35"/>
      <c r="F126" s="50"/>
      <c r="G126" s="35"/>
      <c r="H126" s="35"/>
      <c r="I126" s="35"/>
      <c r="J126" s="35"/>
      <c r="K126" s="35"/>
      <c r="L126" s="35"/>
      <c r="M126" s="35"/>
      <c r="N126" s="35"/>
      <c r="O126" s="35"/>
      <c r="P126" s="35"/>
      <c r="Q126" s="35"/>
      <c r="R126" s="35"/>
      <c r="S126" s="35"/>
      <c r="T126" s="35"/>
      <c r="U126" s="35"/>
      <c r="V126" s="35"/>
      <c r="W126" s="35"/>
      <c r="X126" s="35"/>
      <c r="Y126" s="35"/>
    </row>
    <row r="127" ht="15.75" customHeight="1">
      <c r="A127" s="35"/>
      <c r="B127" s="35"/>
      <c r="C127" s="35"/>
      <c r="D127" s="35"/>
      <c r="E127" s="35"/>
      <c r="F127" s="50"/>
      <c r="G127" s="35"/>
      <c r="H127" s="35"/>
      <c r="I127" s="35"/>
      <c r="J127" s="35"/>
      <c r="K127" s="35"/>
      <c r="L127" s="35"/>
      <c r="M127" s="35"/>
      <c r="N127" s="35"/>
      <c r="O127" s="35"/>
      <c r="P127" s="35"/>
      <c r="Q127" s="35"/>
      <c r="R127" s="35"/>
      <c r="S127" s="35"/>
      <c r="T127" s="35"/>
      <c r="U127" s="35"/>
      <c r="V127" s="35"/>
      <c r="W127" s="35"/>
      <c r="X127" s="35"/>
      <c r="Y127" s="35"/>
    </row>
    <row r="128" ht="15.75" customHeight="1">
      <c r="A128" s="35"/>
      <c r="B128" s="35"/>
      <c r="C128" s="35"/>
      <c r="D128" s="35"/>
      <c r="E128" s="35"/>
      <c r="F128" s="50"/>
      <c r="G128" s="35"/>
      <c r="H128" s="35"/>
      <c r="I128" s="35"/>
      <c r="J128" s="35"/>
      <c r="K128" s="35"/>
      <c r="L128" s="35"/>
      <c r="M128" s="35"/>
      <c r="N128" s="35"/>
      <c r="O128" s="35"/>
      <c r="P128" s="35"/>
      <c r="Q128" s="35"/>
      <c r="R128" s="35"/>
      <c r="S128" s="35"/>
      <c r="T128" s="35"/>
      <c r="U128" s="35"/>
      <c r="V128" s="35"/>
      <c r="W128" s="35"/>
      <c r="X128" s="35"/>
      <c r="Y128" s="35"/>
    </row>
    <row r="129" ht="15.75" customHeight="1">
      <c r="A129" s="35"/>
      <c r="B129" s="35"/>
      <c r="C129" s="35"/>
      <c r="D129" s="35"/>
      <c r="E129" s="35"/>
      <c r="F129" s="50"/>
      <c r="G129" s="35"/>
      <c r="H129" s="35"/>
      <c r="I129" s="35"/>
      <c r="J129" s="35"/>
      <c r="K129" s="35"/>
      <c r="L129" s="35"/>
      <c r="M129" s="35"/>
      <c r="N129" s="35"/>
      <c r="O129" s="35"/>
      <c r="P129" s="35"/>
      <c r="Q129" s="35"/>
      <c r="R129" s="35"/>
      <c r="S129" s="35"/>
      <c r="T129" s="35"/>
      <c r="U129" s="35"/>
      <c r="V129" s="35"/>
      <c r="W129" s="35"/>
      <c r="X129" s="35"/>
      <c r="Y129" s="35"/>
    </row>
    <row r="130" ht="15.75" customHeight="1">
      <c r="A130" s="35"/>
      <c r="B130" s="35"/>
      <c r="C130" s="35"/>
      <c r="D130" s="35"/>
      <c r="E130" s="35"/>
      <c r="F130" s="50"/>
      <c r="G130" s="35"/>
      <c r="H130" s="35"/>
      <c r="I130" s="35"/>
      <c r="J130" s="35"/>
      <c r="K130" s="35"/>
      <c r="L130" s="35"/>
      <c r="M130" s="35"/>
      <c r="N130" s="35"/>
      <c r="O130" s="35"/>
      <c r="P130" s="35"/>
      <c r="Q130" s="35"/>
      <c r="R130" s="35"/>
      <c r="S130" s="35"/>
      <c r="T130" s="35"/>
      <c r="U130" s="35"/>
      <c r="V130" s="35"/>
      <c r="W130" s="35"/>
      <c r="X130" s="35"/>
      <c r="Y130" s="35"/>
    </row>
    <row r="131" ht="15.75" customHeight="1">
      <c r="A131" s="35"/>
      <c r="B131" s="35"/>
      <c r="C131" s="35"/>
      <c r="D131" s="35"/>
      <c r="E131" s="35"/>
      <c r="F131" s="50"/>
      <c r="G131" s="35"/>
      <c r="H131" s="35"/>
      <c r="I131" s="35"/>
      <c r="J131" s="35"/>
      <c r="K131" s="35"/>
      <c r="L131" s="35"/>
      <c r="M131" s="35"/>
      <c r="N131" s="35"/>
      <c r="O131" s="35"/>
      <c r="P131" s="35"/>
      <c r="Q131" s="35"/>
      <c r="R131" s="35"/>
      <c r="S131" s="35"/>
      <c r="T131" s="35"/>
      <c r="U131" s="35"/>
      <c r="V131" s="35"/>
      <c r="W131" s="35"/>
      <c r="X131" s="35"/>
      <c r="Y131" s="35"/>
    </row>
    <row r="132" ht="15.75" customHeight="1">
      <c r="A132" s="35"/>
      <c r="B132" s="35"/>
      <c r="C132" s="35"/>
      <c r="D132" s="35"/>
      <c r="E132" s="35"/>
      <c r="F132" s="50"/>
      <c r="G132" s="35"/>
      <c r="H132" s="35"/>
      <c r="I132" s="35"/>
      <c r="J132" s="35"/>
      <c r="K132" s="35"/>
      <c r="L132" s="35"/>
      <c r="M132" s="35"/>
      <c r="N132" s="35"/>
      <c r="O132" s="35"/>
      <c r="P132" s="35"/>
      <c r="Q132" s="35"/>
      <c r="R132" s="35"/>
      <c r="S132" s="35"/>
      <c r="T132" s="35"/>
      <c r="U132" s="35"/>
      <c r="V132" s="35"/>
      <c r="W132" s="35"/>
      <c r="X132" s="35"/>
      <c r="Y132" s="35"/>
    </row>
    <row r="133" ht="15.75" customHeight="1">
      <c r="A133" s="35"/>
      <c r="B133" s="35"/>
      <c r="C133" s="35"/>
      <c r="D133" s="35"/>
      <c r="E133" s="35"/>
      <c r="F133" s="50"/>
      <c r="G133" s="35"/>
      <c r="H133" s="35"/>
      <c r="I133" s="35"/>
      <c r="J133" s="35"/>
      <c r="K133" s="35"/>
      <c r="L133" s="35"/>
      <c r="M133" s="35"/>
      <c r="N133" s="35"/>
      <c r="O133" s="35"/>
      <c r="P133" s="35"/>
      <c r="Q133" s="35"/>
      <c r="R133" s="35"/>
      <c r="S133" s="35"/>
      <c r="T133" s="35"/>
      <c r="U133" s="35"/>
      <c r="V133" s="35"/>
      <c r="W133" s="35"/>
      <c r="X133" s="35"/>
      <c r="Y133" s="35"/>
    </row>
    <row r="134" ht="15.75" customHeight="1">
      <c r="A134" s="35"/>
      <c r="B134" s="35"/>
      <c r="C134" s="35"/>
      <c r="D134" s="35"/>
      <c r="E134" s="35"/>
      <c r="F134" s="50"/>
      <c r="G134" s="35"/>
      <c r="H134" s="35"/>
      <c r="I134" s="35"/>
      <c r="J134" s="35"/>
      <c r="K134" s="35"/>
      <c r="L134" s="35"/>
      <c r="M134" s="35"/>
      <c r="N134" s="35"/>
      <c r="O134" s="35"/>
      <c r="P134" s="35"/>
      <c r="Q134" s="35"/>
      <c r="R134" s="35"/>
      <c r="S134" s="35"/>
      <c r="T134" s="35"/>
      <c r="U134" s="35"/>
      <c r="V134" s="35"/>
      <c r="W134" s="35"/>
      <c r="X134" s="35"/>
      <c r="Y134" s="35"/>
    </row>
    <row r="135" ht="15.75" customHeight="1">
      <c r="A135" s="35"/>
      <c r="B135" s="35"/>
      <c r="C135" s="35"/>
      <c r="D135" s="35"/>
      <c r="E135" s="35"/>
      <c r="F135" s="50"/>
      <c r="G135" s="35"/>
      <c r="H135" s="35"/>
      <c r="I135" s="35"/>
      <c r="J135" s="35"/>
      <c r="K135" s="35"/>
      <c r="L135" s="35"/>
      <c r="M135" s="35"/>
      <c r="N135" s="35"/>
      <c r="O135" s="35"/>
      <c r="P135" s="35"/>
      <c r="Q135" s="35"/>
      <c r="R135" s="35"/>
      <c r="S135" s="35"/>
      <c r="T135" s="35"/>
      <c r="U135" s="35"/>
      <c r="V135" s="35"/>
      <c r="W135" s="35"/>
      <c r="X135" s="35"/>
      <c r="Y135" s="35"/>
    </row>
    <row r="136" ht="15.75" customHeight="1">
      <c r="A136" s="35"/>
      <c r="B136" s="35"/>
      <c r="C136" s="35"/>
      <c r="D136" s="35"/>
      <c r="E136" s="35"/>
      <c r="F136" s="50"/>
      <c r="G136" s="35"/>
      <c r="H136" s="35"/>
      <c r="I136" s="35"/>
      <c r="J136" s="35"/>
      <c r="K136" s="35"/>
      <c r="L136" s="35"/>
      <c r="M136" s="35"/>
      <c r="N136" s="35"/>
      <c r="O136" s="35"/>
      <c r="P136" s="35"/>
      <c r="Q136" s="35"/>
      <c r="R136" s="35"/>
      <c r="S136" s="35"/>
      <c r="T136" s="35"/>
      <c r="U136" s="35"/>
      <c r="V136" s="35"/>
      <c r="W136" s="35"/>
      <c r="X136" s="35"/>
      <c r="Y136" s="35"/>
    </row>
    <row r="137" ht="15.75" customHeight="1">
      <c r="A137" s="35"/>
      <c r="B137" s="35"/>
      <c r="C137" s="35"/>
      <c r="D137" s="35"/>
      <c r="E137" s="35"/>
      <c r="F137" s="50"/>
      <c r="G137" s="35"/>
      <c r="H137" s="35"/>
      <c r="I137" s="35"/>
      <c r="J137" s="35"/>
      <c r="K137" s="35"/>
      <c r="L137" s="35"/>
      <c r="M137" s="35"/>
      <c r="N137" s="35"/>
      <c r="O137" s="35"/>
      <c r="P137" s="35"/>
      <c r="Q137" s="35"/>
      <c r="R137" s="35"/>
      <c r="S137" s="35"/>
      <c r="T137" s="35"/>
      <c r="U137" s="35"/>
      <c r="V137" s="35"/>
      <c r="W137" s="35"/>
      <c r="X137" s="35"/>
      <c r="Y137" s="35"/>
    </row>
    <row r="138" ht="15.75" customHeight="1">
      <c r="A138" s="35"/>
      <c r="B138" s="35"/>
      <c r="C138" s="35"/>
      <c r="D138" s="35"/>
      <c r="E138" s="35"/>
      <c r="F138" s="50"/>
      <c r="G138" s="35"/>
      <c r="H138" s="35"/>
      <c r="I138" s="35"/>
      <c r="J138" s="35"/>
      <c r="K138" s="35"/>
      <c r="L138" s="35"/>
      <c r="M138" s="35"/>
      <c r="N138" s="35"/>
      <c r="O138" s="35"/>
      <c r="P138" s="35"/>
      <c r="Q138" s="35"/>
      <c r="R138" s="35"/>
      <c r="S138" s="35"/>
      <c r="T138" s="35"/>
      <c r="U138" s="35"/>
      <c r="V138" s="35"/>
      <c r="W138" s="35"/>
      <c r="X138" s="35"/>
      <c r="Y138" s="35"/>
    </row>
    <row r="139" ht="15.75" customHeight="1">
      <c r="A139" s="35"/>
      <c r="B139" s="35"/>
      <c r="C139" s="35"/>
      <c r="D139" s="35"/>
      <c r="E139" s="35"/>
      <c r="F139" s="50"/>
      <c r="G139" s="35"/>
      <c r="H139" s="35"/>
      <c r="I139" s="35"/>
      <c r="J139" s="35"/>
      <c r="K139" s="35"/>
      <c r="L139" s="35"/>
      <c r="M139" s="35"/>
      <c r="N139" s="35"/>
      <c r="O139" s="35"/>
      <c r="P139" s="35"/>
      <c r="Q139" s="35"/>
      <c r="R139" s="35"/>
      <c r="S139" s="35"/>
      <c r="T139" s="35"/>
      <c r="U139" s="35"/>
      <c r="V139" s="35"/>
      <c r="W139" s="35"/>
      <c r="X139" s="35"/>
      <c r="Y139" s="35"/>
    </row>
    <row r="140" ht="15.75" customHeight="1">
      <c r="A140" s="35"/>
      <c r="B140" s="35"/>
      <c r="C140" s="35"/>
      <c r="D140" s="35"/>
      <c r="E140" s="35"/>
      <c r="F140" s="50"/>
      <c r="G140" s="35"/>
      <c r="H140" s="35"/>
      <c r="I140" s="35"/>
      <c r="J140" s="35"/>
      <c r="K140" s="35"/>
      <c r="L140" s="35"/>
      <c r="M140" s="35"/>
      <c r="N140" s="35"/>
      <c r="O140" s="35"/>
      <c r="P140" s="35"/>
      <c r="Q140" s="35"/>
      <c r="R140" s="35"/>
      <c r="S140" s="35"/>
      <c r="T140" s="35"/>
      <c r="U140" s="35"/>
      <c r="V140" s="35"/>
      <c r="W140" s="35"/>
      <c r="X140" s="35"/>
      <c r="Y140" s="35"/>
    </row>
    <row r="141" ht="15.75" customHeight="1">
      <c r="A141" s="35"/>
      <c r="B141" s="35"/>
      <c r="C141" s="35"/>
      <c r="D141" s="35"/>
      <c r="E141" s="35"/>
      <c r="F141" s="50"/>
      <c r="G141" s="35"/>
      <c r="H141" s="35"/>
      <c r="I141" s="35"/>
      <c r="J141" s="35"/>
      <c r="K141" s="35"/>
      <c r="L141" s="35"/>
      <c r="M141" s="35"/>
      <c r="N141" s="35"/>
      <c r="O141" s="35"/>
      <c r="P141" s="35"/>
      <c r="Q141" s="35"/>
      <c r="R141" s="35"/>
      <c r="S141" s="35"/>
      <c r="T141" s="35"/>
      <c r="U141" s="35"/>
      <c r="V141" s="35"/>
      <c r="W141" s="35"/>
      <c r="X141" s="35"/>
      <c r="Y141" s="35"/>
    </row>
    <row r="142" ht="15.75" customHeight="1">
      <c r="A142" s="35"/>
      <c r="B142" s="35"/>
      <c r="C142" s="35"/>
      <c r="D142" s="35"/>
      <c r="E142" s="35"/>
      <c r="F142" s="50"/>
      <c r="G142" s="35"/>
      <c r="H142" s="35"/>
      <c r="I142" s="35"/>
      <c r="J142" s="35"/>
      <c r="K142" s="35"/>
      <c r="L142" s="35"/>
      <c r="M142" s="35"/>
      <c r="N142" s="35"/>
      <c r="O142" s="35"/>
      <c r="P142" s="35"/>
      <c r="Q142" s="35"/>
      <c r="R142" s="35"/>
      <c r="S142" s="35"/>
      <c r="T142" s="35"/>
      <c r="U142" s="35"/>
      <c r="V142" s="35"/>
      <c r="W142" s="35"/>
      <c r="X142" s="35"/>
      <c r="Y142" s="35"/>
    </row>
    <row r="143" ht="15.75" customHeight="1">
      <c r="A143" s="35"/>
      <c r="B143" s="35"/>
      <c r="C143" s="35"/>
      <c r="D143" s="35"/>
      <c r="E143" s="35"/>
      <c r="F143" s="50"/>
      <c r="G143" s="35"/>
      <c r="H143" s="35"/>
      <c r="I143" s="35"/>
      <c r="J143" s="35"/>
      <c r="K143" s="35"/>
      <c r="L143" s="35"/>
      <c r="M143" s="35"/>
      <c r="N143" s="35"/>
      <c r="O143" s="35"/>
      <c r="P143" s="35"/>
      <c r="Q143" s="35"/>
      <c r="R143" s="35"/>
      <c r="S143" s="35"/>
      <c r="T143" s="35"/>
      <c r="U143" s="35"/>
      <c r="V143" s="35"/>
      <c r="W143" s="35"/>
      <c r="X143" s="35"/>
      <c r="Y143" s="35"/>
    </row>
    <row r="144" ht="15.75" customHeight="1">
      <c r="A144" s="35"/>
      <c r="B144" s="35"/>
      <c r="C144" s="35"/>
      <c r="D144" s="35"/>
      <c r="E144" s="35"/>
      <c r="F144" s="50"/>
      <c r="G144" s="35"/>
      <c r="H144" s="35"/>
      <c r="I144" s="35"/>
      <c r="J144" s="35"/>
      <c r="K144" s="35"/>
      <c r="L144" s="35"/>
      <c r="M144" s="35"/>
      <c r="N144" s="35"/>
      <c r="O144" s="35"/>
      <c r="P144" s="35"/>
      <c r="Q144" s="35"/>
      <c r="R144" s="35"/>
      <c r="S144" s="35"/>
      <c r="T144" s="35"/>
      <c r="U144" s="35"/>
      <c r="V144" s="35"/>
      <c r="W144" s="35"/>
      <c r="X144" s="35"/>
      <c r="Y144" s="35"/>
    </row>
    <row r="145" ht="15.75" customHeight="1">
      <c r="A145" s="35"/>
      <c r="B145" s="35"/>
      <c r="C145" s="35"/>
      <c r="D145" s="35"/>
      <c r="E145" s="35"/>
      <c r="F145" s="50"/>
      <c r="G145" s="35"/>
      <c r="H145" s="35"/>
      <c r="I145" s="35"/>
      <c r="J145" s="35"/>
      <c r="K145" s="35"/>
      <c r="L145" s="35"/>
      <c r="M145" s="35"/>
      <c r="N145" s="35"/>
      <c r="O145" s="35"/>
      <c r="P145" s="35"/>
      <c r="Q145" s="35"/>
      <c r="R145" s="35"/>
      <c r="S145" s="35"/>
      <c r="T145" s="35"/>
      <c r="U145" s="35"/>
      <c r="V145" s="35"/>
      <c r="W145" s="35"/>
      <c r="X145" s="35"/>
      <c r="Y145" s="35"/>
    </row>
    <row r="146" ht="15.75" customHeight="1">
      <c r="A146" s="35"/>
      <c r="B146" s="35"/>
      <c r="C146" s="35"/>
      <c r="D146" s="35"/>
      <c r="E146" s="35"/>
      <c r="F146" s="50"/>
      <c r="G146" s="35"/>
      <c r="H146" s="35"/>
      <c r="I146" s="35"/>
      <c r="J146" s="35"/>
      <c r="K146" s="35"/>
      <c r="L146" s="35"/>
      <c r="M146" s="35"/>
      <c r="N146" s="35"/>
      <c r="O146" s="35"/>
      <c r="P146" s="35"/>
      <c r="Q146" s="35"/>
      <c r="R146" s="35"/>
      <c r="S146" s="35"/>
      <c r="T146" s="35"/>
      <c r="U146" s="35"/>
      <c r="V146" s="35"/>
      <c r="W146" s="35"/>
      <c r="X146" s="35"/>
      <c r="Y146" s="35"/>
    </row>
    <row r="147" ht="15.75" customHeight="1">
      <c r="A147" s="35"/>
      <c r="B147" s="35"/>
      <c r="C147" s="35"/>
      <c r="D147" s="35"/>
      <c r="E147" s="35"/>
      <c r="F147" s="50"/>
      <c r="G147" s="35"/>
      <c r="H147" s="35"/>
      <c r="I147" s="35"/>
      <c r="J147" s="35"/>
      <c r="K147" s="35"/>
      <c r="L147" s="35"/>
      <c r="M147" s="35"/>
      <c r="N147" s="35"/>
      <c r="O147" s="35"/>
      <c r="P147" s="35"/>
      <c r="Q147" s="35"/>
      <c r="R147" s="35"/>
      <c r="S147" s="35"/>
      <c r="T147" s="35"/>
      <c r="U147" s="35"/>
      <c r="V147" s="35"/>
      <c r="W147" s="35"/>
      <c r="X147" s="35"/>
      <c r="Y147" s="35"/>
    </row>
    <row r="148" ht="15.75" customHeight="1">
      <c r="A148" s="35"/>
      <c r="B148" s="35"/>
      <c r="C148" s="35"/>
      <c r="D148" s="35"/>
      <c r="E148" s="35"/>
      <c r="F148" s="50"/>
      <c r="G148" s="35"/>
      <c r="H148" s="35"/>
      <c r="I148" s="35"/>
      <c r="J148" s="35"/>
      <c r="K148" s="35"/>
      <c r="L148" s="35"/>
      <c r="M148" s="35"/>
      <c r="N148" s="35"/>
      <c r="O148" s="35"/>
      <c r="P148" s="35"/>
      <c r="Q148" s="35"/>
      <c r="R148" s="35"/>
      <c r="S148" s="35"/>
      <c r="T148" s="35"/>
      <c r="U148" s="35"/>
      <c r="V148" s="35"/>
      <c r="W148" s="35"/>
      <c r="X148" s="35"/>
      <c r="Y148" s="35"/>
    </row>
    <row r="149" ht="15.75" customHeight="1">
      <c r="A149" s="35"/>
      <c r="B149" s="35"/>
      <c r="C149" s="35"/>
      <c r="D149" s="35"/>
      <c r="E149" s="35"/>
      <c r="F149" s="50"/>
      <c r="G149" s="35"/>
      <c r="H149" s="35"/>
      <c r="I149" s="35"/>
      <c r="J149" s="35"/>
      <c r="K149" s="35"/>
      <c r="L149" s="35"/>
      <c r="M149" s="35"/>
      <c r="N149" s="35"/>
      <c r="O149" s="35"/>
      <c r="P149" s="35"/>
      <c r="Q149" s="35"/>
      <c r="R149" s="35"/>
      <c r="S149" s="35"/>
      <c r="T149" s="35"/>
      <c r="U149" s="35"/>
      <c r="V149" s="35"/>
      <c r="W149" s="35"/>
      <c r="X149" s="35"/>
      <c r="Y149" s="35"/>
    </row>
    <row r="150" ht="15.75" customHeight="1">
      <c r="A150" s="35"/>
      <c r="B150" s="35"/>
      <c r="C150" s="35"/>
      <c r="D150" s="35"/>
      <c r="E150" s="35"/>
      <c r="F150" s="50"/>
      <c r="G150" s="35"/>
      <c r="H150" s="35"/>
      <c r="I150" s="35"/>
      <c r="J150" s="35"/>
      <c r="K150" s="35"/>
      <c r="L150" s="35"/>
      <c r="M150" s="35"/>
      <c r="N150" s="35"/>
      <c r="O150" s="35"/>
      <c r="P150" s="35"/>
      <c r="Q150" s="35"/>
      <c r="R150" s="35"/>
      <c r="S150" s="35"/>
      <c r="T150" s="35"/>
      <c r="U150" s="35"/>
      <c r="V150" s="35"/>
      <c r="W150" s="35"/>
      <c r="X150" s="35"/>
      <c r="Y150" s="35"/>
    </row>
    <row r="151" ht="15.75" customHeight="1">
      <c r="A151" s="35"/>
      <c r="B151" s="35"/>
      <c r="C151" s="35"/>
      <c r="D151" s="35"/>
      <c r="E151" s="35"/>
      <c r="F151" s="50"/>
      <c r="G151" s="35"/>
      <c r="H151" s="35"/>
      <c r="I151" s="35"/>
      <c r="J151" s="35"/>
      <c r="K151" s="35"/>
      <c r="L151" s="35"/>
      <c r="M151" s="35"/>
      <c r="N151" s="35"/>
      <c r="O151" s="35"/>
      <c r="P151" s="35"/>
      <c r="Q151" s="35"/>
      <c r="R151" s="35"/>
      <c r="S151" s="35"/>
      <c r="T151" s="35"/>
      <c r="U151" s="35"/>
      <c r="V151" s="35"/>
      <c r="W151" s="35"/>
      <c r="X151" s="35"/>
      <c r="Y151" s="35"/>
    </row>
    <row r="152" ht="15.75" customHeight="1">
      <c r="A152" s="35"/>
      <c r="B152" s="35"/>
      <c r="C152" s="35"/>
      <c r="D152" s="35"/>
      <c r="E152" s="35"/>
      <c r="F152" s="50"/>
      <c r="G152" s="35"/>
      <c r="H152" s="35"/>
      <c r="I152" s="35"/>
      <c r="J152" s="35"/>
      <c r="K152" s="35"/>
      <c r="L152" s="35"/>
      <c r="M152" s="35"/>
      <c r="N152" s="35"/>
      <c r="O152" s="35"/>
      <c r="P152" s="35"/>
      <c r="Q152" s="35"/>
      <c r="R152" s="35"/>
      <c r="S152" s="35"/>
      <c r="T152" s="35"/>
      <c r="U152" s="35"/>
      <c r="V152" s="35"/>
      <c r="W152" s="35"/>
      <c r="X152" s="35"/>
      <c r="Y152" s="35"/>
    </row>
    <row r="153" ht="15.75" customHeight="1">
      <c r="A153" s="35"/>
      <c r="B153" s="35"/>
      <c r="C153" s="35"/>
      <c r="D153" s="35"/>
      <c r="E153" s="35"/>
      <c r="F153" s="50"/>
      <c r="G153" s="35"/>
      <c r="H153" s="35"/>
      <c r="I153" s="35"/>
      <c r="J153" s="35"/>
      <c r="K153" s="35"/>
      <c r="L153" s="35"/>
      <c r="M153" s="35"/>
      <c r="N153" s="35"/>
      <c r="O153" s="35"/>
      <c r="P153" s="35"/>
      <c r="Q153" s="35"/>
      <c r="R153" s="35"/>
      <c r="S153" s="35"/>
      <c r="T153" s="35"/>
      <c r="U153" s="35"/>
      <c r="V153" s="35"/>
      <c r="W153" s="35"/>
      <c r="X153" s="35"/>
      <c r="Y153" s="35"/>
    </row>
    <row r="154" ht="15.75" customHeight="1">
      <c r="A154" s="35"/>
      <c r="B154" s="35"/>
      <c r="C154" s="35"/>
      <c r="D154" s="35"/>
      <c r="E154" s="35"/>
      <c r="F154" s="50"/>
      <c r="G154" s="35"/>
      <c r="H154" s="35"/>
      <c r="I154" s="35"/>
      <c r="J154" s="35"/>
      <c r="K154" s="35"/>
      <c r="L154" s="35"/>
      <c r="M154" s="35"/>
      <c r="N154" s="35"/>
      <c r="O154" s="35"/>
      <c r="P154" s="35"/>
      <c r="Q154" s="35"/>
      <c r="R154" s="35"/>
      <c r="S154" s="35"/>
      <c r="T154" s="35"/>
      <c r="U154" s="35"/>
      <c r="V154" s="35"/>
      <c r="W154" s="35"/>
      <c r="X154" s="35"/>
      <c r="Y154" s="35"/>
    </row>
    <row r="155" ht="15.75" customHeight="1">
      <c r="A155" s="35"/>
      <c r="B155" s="35"/>
      <c r="C155" s="35"/>
      <c r="D155" s="35"/>
      <c r="E155" s="35"/>
      <c r="F155" s="50"/>
      <c r="G155" s="35"/>
      <c r="H155" s="35"/>
      <c r="I155" s="35"/>
      <c r="J155" s="35"/>
      <c r="K155" s="35"/>
      <c r="L155" s="35"/>
      <c r="M155" s="35"/>
      <c r="N155" s="35"/>
      <c r="O155" s="35"/>
      <c r="P155" s="35"/>
      <c r="Q155" s="35"/>
      <c r="R155" s="35"/>
      <c r="S155" s="35"/>
      <c r="T155" s="35"/>
      <c r="U155" s="35"/>
      <c r="V155" s="35"/>
      <c r="W155" s="35"/>
      <c r="X155" s="35"/>
      <c r="Y155" s="35"/>
    </row>
    <row r="156" ht="15.75" customHeight="1">
      <c r="A156" s="35"/>
      <c r="B156" s="35"/>
      <c r="C156" s="35"/>
      <c r="D156" s="35"/>
      <c r="E156" s="35"/>
      <c r="F156" s="50"/>
      <c r="G156" s="35"/>
      <c r="H156" s="35"/>
      <c r="I156" s="35"/>
      <c r="J156" s="35"/>
      <c r="K156" s="35"/>
      <c r="L156" s="35"/>
      <c r="M156" s="35"/>
      <c r="N156" s="35"/>
      <c r="O156" s="35"/>
      <c r="P156" s="35"/>
      <c r="Q156" s="35"/>
      <c r="R156" s="35"/>
      <c r="S156" s="35"/>
      <c r="T156" s="35"/>
      <c r="U156" s="35"/>
      <c r="V156" s="35"/>
      <c r="W156" s="35"/>
      <c r="X156" s="35"/>
      <c r="Y156" s="35"/>
    </row>
    <row r="157" ht="15.75" customHeight="1">
      <c r="A157" s="35"/>
      <c r="B157" s="35"/>
      <c r="C157" s="35"/>
      <c r="D157" s="35"/>
      <c r="E157" s="35"/>
      <c r="F157" s="50"/>
      <c r="G157" s="35"/>
      <c r="H157" s="35"/>
      <c r="I157" s="35"/>
      <c r="J157" s="35"/>
      <c r="K157" s="35"/>
      <c r="L157" s="35"/>
      <c r="M157" s="35"/>
      <c r="N157" s="35"/>
      <c r="O157" s="35"/>
      <c r="P157" s="35"/>
      <c r="Q157" s="35"/>
      <c r="R157" s="35"/>
      <c r="S157" s="35"/>
      <c r="T157" s="35"/>
      <c r="U157" s="35"/>
      <c r="V157" s="35"/>
      <c r="W157" s="35"/>
      <c r="X157" s="35"/>
      <c r="Y157" s="35"/>
    </row>
    <row r="158" ht="15.75" customHeight="1">
      <c r="A158" s="35"/>
      <c r="B158" s="35"/>
      <c r="C158" s="35"/>
      <c r="D158" s="35"/>
      <c r="E158" s="35"/>
      <c r="F158" s="50"/>
      <c r="G158" s="35"/>
      <c r="H158" s="35"/>
      <c r="I158" s="35"/>
      <c r="J158" s="35"/>
      <c r="K158" s="35"/>
      <c r="L158" s="35"/>
      <c r="M158" s="35"/>
      <c r="N158" s="35"/>
      <c r="O158" s="35"/>
      <c r="P158" s="35"/>
      <c r="Q158" s="35"/>
      <c r="R158" s="35"/>
      <c r="S158" s="35"/>
      <c r="T158" s="35"/>
      <c r="U158" s="35"/>
      <c r="V158" s="35"/>
      <c r="W158" s="35"/>
      <c r="X158" s="35"/>
      <c r="Y158" s="35"/>
    </row>
    <row r="159" ht="15.75" customHeight="1">
      <c r="A159" s="35"/>
      <c r="B159" s="35"/>
      <c r="C159" s="35"/>
      <c r="D159" s="35"/>
      <c r="E159" s="35"/>
      <c r="F159" s="50"/>
      <c r="G159" s="35"/>
      <c r="H159" s="35"/>
      <c r="I159" s="35"/>
      <c r="J159" s="35"/>
      <c r="K159" s="35"/>
      <c r="L159" s="35"/>
      <c r="M159" s="35"/>
      <c r="N159" s="35"/>
      <c r="O159" s="35"/>
      <c r="P159" s="35"/>
      <c r="Q159" s="35"/>
      <c r="R159" s="35"/>
      <c r="S159" s="35"/>
      <c r="T159" s="35"/>
      <c r="U159" s="35"/>
      <c r="V159" s="35"/>
      <c r="W159" s="35"/>
      <c r="X159" s="35"/>
      <c r="Y159" s="35"/>
    </row>
    <row r="160" ht="15.75" customHeight="1">
      <c r="A160" s="35"/>
      <c r="B160" s="35"/>
      <c r="C160" s="35"/>
      <c r="D160" s="35"/>
      <c r="E160" s="35"/>
      <c r="F160" s="50"/>
      <c r="G160" s="35"/>
      <c r="H160" s="35"/>
      <c r="I160" s="35"/>
      <c r="J160" s="35"/>
      <c r="K160" s="35"/>
      <c r="L160" s="35"/>
      <c r="M160" s="35"/>
      <c r="N160" s="35"/>
      <c r="O160" s="35"/>
      <c r="P160" s="35"/>
      <c r="Q160" s="35"/>
      <c r="R160" s="35"/>
      <c r="S160" s="35"/>
      <c r="T160" s="35"/>
      <c r="U160" s="35"/>
      <c r="V160" s="35"/>
      <c r="W160" s="35"/>
      <c r="X160" s="35"/>
      <c r="Y160" s="35"/>
    </row>
    <row r="161" ht="15.75" customHeight="1">
      <c r="A161" s="35"/>
      <c r="B161" s="35"/>
      <c r="C161" s="35"/>
      <c r="D161" s="35"/>
      <c r="E161" s="35"/>
      <c r="F161" s="50"/>
      <c r="G161" s="35"/>
      <c r="H161" s="35"/>
      <c r="I161" s="35"/>
      <c r="J161" s="35"/>
      <c r="K161" s="35"/>
      <c r="L161" s="35"/>
      <c r="M161" s="35"/>
      <c r="N161" s="35"/>
      <c r="O161" s="35"/>
      <c r="P161" s="35"/>
      <c r="Q161" s="35"/>
      <c r="R161" s="35"/>
      <c r="S161" s="35"/>
      <c r="T161" s="35"/>
      <c r="U161" s="35"/>
      <c r="V161" s="35"/>
      <c r="W161" s="35"/>
      <c r="X161" s="35"/>
      <c r="Y161" s="35"/>
    </row>
    <row r="162" ht="15.75" customHeight="1">
      <c r="A162" s="35"/>
      <c r="B162" s="35"/>
      <c r="C162" s="35"/>
      <c r="D162" s="35"/>
      <c r="E162" s="35"/>
      <c r="F162" s="50"/>
      <c r="G162" s="35"/>
      <c r="H162" s="35"/>
      <c r="I162" s="35"/>
      <c r="J162" s="35"/>
      <c r="K162" s="35"/>
      <c r="L162" s="35"/>
      <c r="M162" s="35"/>
      <c r="N162" s="35"/>
      <c r="O162" s="35"/>
      <c r="P162" s="35"/>
      <c r="Q162" s="35"/>
      <c r="R162" s="35"/>
      <c r="S162" s="35"/>
      <c r="T162" s="35"/>
      <c r="U162" s="35"/>
      <c r="V162" s="35"/>
      <c r="W162" s="35"/>
      <c r="X162" s="35"/>
      <c r="Y162" s="35"/>
    </row>
    <row r="163" ht="15.75" customHeight="1">
      <c r="A163" s="35"/>
      <c r="B163" s="35"/>
      <c r="C163" s="35"/>
      <c r="D163" s="35"/>
      <c r="E163" s="35"/>
      <c r="F163" s="50"/>
      <c r="G163" s="35"/>
      <c r="H163" s="35"/>
      <c r="I163" s="35"/>
      <c r="J163" s="35"/>
      <c r="K163" s="35"/>
      <c r="L163" s="35"/>
      <c r="M163" s="35"/>
      <c r="N163" s="35"/>
      <c r="O163" s="35"/>
      <c r="P163" s="35"/>
      <c r="Q163" s="35"/>
      <c r="R163" s="35"/>
      <c r="S163" s="35"/>
      <c r="T163" s="35"/>
      <c r="U163" s="35"/>
      <c r="V163" s="35"/>
      <c r="W163" s="35"/>
      <c r="X163" s="35"/>
      <c r="Y163" s="35"/>
    </row>
    <row r="164" ht="15.75" customHeight="1">
      <c r="A164" s="35"/>
      <c r="B164" s="35"/>
      <c r="C164" s="35"/>
      <c r="D164" s="35"/>
      <c r="E164" s="35"/>
      <c r="F164" s="50"/>
      <c r="G164" s="35"/>
      <c r="H164" s="35"/>
      <c r="I164" s="35"/>
      <c r="J164" s="35"/>
      <c r="K164" s="35"/>
      <c r="L164" s="35"/>
      <c r="M164" s="35"/>
      <c r="N164" s="35"/>
      <c r="O164" s="35"/>
      <c r="P164" s="35"/>
      <c r="Q164" s="35"/>
      <c r="R164" s="35"/>
      <c r="S164" s="35"/>
      <c r="T164" s="35"/>
      <c r="U164" s="35"/>
      <c r="V164" s="35"/>
      <c r="W164" s="35"/>
      <c r="X164" s="35"/>
      <c r="Y164" s="35"/>
    </row>
    <row r="165" ht="15.75" customHeight="1">
      <c r="A165" s="35"/>
      <c r="B165" s="35"/>
      <c r="C165" s="35"/>
      <c r="D165" s="35"/>
      <c r="E165" s="35"/>
      <c r="F165" s="50"/>
      <c r="G165" s="35"/>
      <c r="H165" s="35"/>
      <c r="I165" s="35"/>
      <c r="J165" s="35"/>
      <c r="K165" s="35"/>
      <c r="L165" s="35"/>
      <c r="M165" s="35"/>
      <c r="N165" s="35"/>
      <c r="O165" s="35"/>
      <c r="P165" s="35"/>
      <c r="Q165" s="35"/>
      <c r="R165" s="35"/>
      <c r="S165" s="35"/>
      <c r="T165" s="35"/>
      <c r="U165" s="35"/>
      <c r="V165" s="35"/>
      <c r="W165" s="35"/>
      <c r="X165" s="35"/>
      <c r="Y165" s="35"/>
    </row>
    <row r="166" ht="15.75" customHeight="1">
      <c r="A166" s="35"/>
      <c r="B166" s="35"/>
      <c r="C166" s="35"/>
      <c r="D166" s="35"/>
      <c r="E166" s="35"/>
      <c r="F166" s="50"/>
      <c r="G166" s="35"/>
      <c r="H166" s="35"/>
      <c r="I166" s="35"/>
      <c r="J166" s="35"/>
      <c r="K166" s="35"/>
      <c r="L166" s="35"/>
      <c r="M166" s="35"/>
      <c r="N166" s="35"/>
      <c r="O166" s="35"/>
      <c r="P166" s="35"/>
      <c r="Q166" s="35"/>
      <c r="R166" s="35"/>
      <c r="S166" s="35"/>
      <c r="T166" s="35"/>
      <c r="U166" s="35"/>
      <c r="V166" s="35"/>
      <c r="W166" s="35"/>
      <c r="X166" s="35"/>
      <c r="Y166" s="35"/>
    </row>
    <row r="167" ht="15.75" customHeight="1">
      <c r="A167" s="35"/>
      <c r="B167" s="35"/>
      <c r="C167" s="35"/>
      <c r="D167" s="35"/>
      <c r="E167" s="35"/>
      <c r="F167" s="50"/>
      <c r="G167" s="35"/>
      <c r="H167" s="35"/>
      <c r="I167" s="35"/>
      <c r="J167" s="35"/>
      <c r="K167" s="35"/>
      <c r="L167" s="35"/>
      <c r="M167" s="35"/>
      <c r="N167" s="35"/>
      <c r="O167" s="35"/>
      <c r="P167" s="35"/>
      <c r="Q167" s="35"/>
      <c r="R167" s="35"/>
      <c r="S167" s="35"/>
      <c r="T167" s="35"/>
      <c r="U167" s="35"/>
      <c r="V167" s="35"/>
      <c r="W167" s="35"/>
      <c r="X167" s="35"/>
      <c r="Y167" s="35"/>
    </row>
    <row r="168" ht="15.75" customHeight="1">
      <c r="A168" s="35"/>
      <c r="B168" s="35"/>
      <c r="C168" s="35"/>
      <c r="D168" s="35"/>
      <c r="E168" s="35"/>
      <c r="F168" s="50"/>
      <c r="G168" s="35"/>
      <c r="H168" s="35"/>
      <c r="I168" s="35"/>
      <c r="J168" s="35"/>
      <c r="K168" s="35"/>
      <c r="L168" s="35"/>
      <c r="M168" s="35"/>
      <c r="N168" s="35"/>
      <c r="O168" s="35"/>
      <c r="P168" s="35"/>
      <c r="Q168" s="35"/>
      <c r="R168" s="35"/>
      <c r="S168" s="35"/>
      <c r="T168" s="35"/>
      <c r="U168" s="35"/>
      <c r="V168" s="35"/>
      <c r="W168" s="35"/>
      <c r="X168" s="35"/>
      <c r="Y168" s="35"/>
    </row>
    <row r="169" ht="15.75" customHeight="1">
      <c r="A169" s="35"/>
      <c r="B169" s="35"/>
      <c r="C169" s="35"/>
      <c r="D169" s="35"/>
      <c r="E169" s="35"/>
      <c r="F169" s="50"/>
      <c r="G169" s="35"/>
      <c r="H169" s="35"/>
      <c r="I169" s="35"/>
      <c r="J169" s="35"/>
      <c r="K169" s="35"/>
      <c r="L169" s="35"/>
      <c r="M169" s="35"/>
      <c r="N169" s="35"/>
      <c r="O169" s="35"/>
      <c r="P169" s="35"/>
      <c r="Q169" s="35"/>
      <c r="R169" s="35"/>
      <c r="S169" s="35"/>
      <c r="T169" s="35"/>
      <c r="U169" s="35"/>
      <c r="V169" s="35"/>
      <c r="W169" s="35"/>
      <c r="X169" s="35"/>
      <c r="Y169" s="35"/>
    </row>
    <row r="170" ht="15.75" customHeight="1">
      <c r="A170" s="35"/>
      <c r="B170" s="35"/>
      <c r="C170" s="35"/>
      <c r="D170" s="35"/>
      <c r="E170" s="35"/>
      <c r="F170" s="50"/>
      <c r="G170" s="35"/>
      <c r="H170" s="35"/>
      <c r="I170" s="35"/>
      <c r="J170" s="35"/>
      <c r="K170" s="35"/>
      <c r="L170" s="35"/>
      <c r="M170" s="35"/>
      <c r="N170" s="35"/>
      <c r="O170" s="35"/>
      <c r="P170" s="35"/>
      <c r="Q170" s="35"/>
      <c r="R170" s="35"/>
      <c r="S170" s="35"/>
      <c r="T170" s="35"/>
      <c r="U170" s="35"/>
      <c r="V170" s="35"/>
      <c r="W170" s="35"/>
      <c r="X170" s="35"/>
      <c r="Y170" s="35"/>
    </row>
    <row r="171" ht="15.75" customHeight="1">
      <c r="A171" s="35"/>
      <c r="B171" s="35"/>
      <c r="C171" s="35"/>
      <c r="D171" s="35"/>
      <c r="E171" s="35"/>
      <c r="F171" s="50"/>
      <c r="G171" s="35"/>
      <c r="H171" s="35"/>
      <c r="I171" s="35"/>
      <c r="J171" s="35"/>
      <c r="K171" s="35"/>
      <c r="L171" s="35"/>
      <c r="M171" s="35"/>
      <c r="N171" s="35"/>
      <c r="O171" s="35"/>
      <c r="P171" s="35"/>
      <c r="Q171" s="35"/>
      <c r="R171" s="35"/>
      <c r="S171" s="35"/>
      <c r="T171" s="35"/>
      <c r="U171" s="35"/>
      <c r="V171" s="35"/>
      <c r="W171" s="35"/>
      <c r="X171" s="35"/>
      <c r="Y171" s="35"/>
    </row>
    <row r="172" ht="15.75" customHeight="1">
      <c r="A172" s="35"/>
      <c r="B172" s="35"/>
      <c r="C172" s="35"/>
      <c r="D172" s="35"/>
      <c r="E172" s="35"/>
      <c r="F172" s="50"/>
      <c r="G172" s="35"/>
      <c r="H172" s="35"/>
      <c r="I172" s="35"/>
      <c r="J172" s="35"/>
      <c r="K172" s="35"/>
      <c r="L172" s="35"/>
      <c r="M172" s="35"/>
      <c r="N172" s="35"/>
      <c r="O172" s="35"/>
      <c r="P172" s="35"/>
      <c r="Q172" s="35"/>
      <c r="R172" s="35"/>
      <c r="S172" s="35"/>
      <c r="T172" s="35"/>
      <c r="U172" s="35"/>
      <c r="V172" s="35"/>
      <c r="W172" s="35"/>
      <c r="X172" s="35"/>
      <c r="Y172" s="35"/>
    </row>
    <row r="173" ht="15.75" customHeight="1">
      <c r="A173" s="35"/>
      <c r="B173" s="35"/>
      <c r="C173" s="35"/>
      <c r="D173" s="35"/>
      <c r="E173" s="35"/>
      <c r="F173" s="50"/>
      <c r="G173" s="35"/>
      <c r="H173" s="35"/>
      <c r="I173" s="35"/>
      <c r="J173" s="35"/>
      <c r="K173" s="35"/>
      <c r="L173" s="35"/>
      <c r="M173" s="35"/>
      <c r="N173" s="35"/>
      <c r="O173" s="35"/>
      <c r="P173" s="35"/>
      <c r="Q173" s="35"/>
      <c r="R173" s="35"/>
      <c r="S173" s="35"/>
      <c r="T173" s="35"/>
      <c r="U173" s="35"/>
      <c r="V173" s="35"/>
      <c r="W173" s="35"/>
      <c r="X173" s="35"/>
      <c r="Y173" s="35"/>
    </row>
    <row r="174" ht="15.75" customHeight="1">
      <c r="A174" s="35"/>
      <c r="B174" s="35"/>
      <c r="C174" s="35"/>
      <c r="D174" s="35"/>
      <c r="E174" s="35"/>
      <c r="F174" s="50"/>
      <c r="G174" s="35"/>
      <c r="H174" s="35"/>
      <c r="I174" s="35"/>
      <c r="J174" s="35"/>
      <c r="K174" s="35"/>
      <c r="L174" s="35"/>
      <c r="M174" s="35"/>
      <c r="N174" s="35"/>
      <c r="O174" s="35"/>
      <c r="P174" s="35"/>
      <c r="Q174" s="35"/>
      <c r="R174" s="35"/>
      <c r="S174" s="35"/>
      <c r="T174" s="35"/>
      <c r="U174" s="35"/>
      <c r="V174" s="35"/>
      <c r="W174" s="35"/>
      <c r="X174" s="35"/>
      <c r="Y174" s="35"/>
    </row>
    <row r="175" ht="15.75" customHeight="1">
      <c r="A175" s="35"/>
      <c r="B175" s="35"/>
      <c r="C175" s="35"/>
      <c r="D175" s="35"/>
      <c r="E175" s="35"/>
      <c r="F175" s="50"/>
      <c r="G175" s="35"/>
      <c r="H175" s="35"/>
      <c r="I175" s="35"/>
      <c r="J175" s="35"/>
      <c r="K175" s="35"/>
      <c r="L175" s="35"/>
      <c r="M175" s="35"/>
      <c r="N175" s="35"/>
      <c r="O175" s="35"/>
      <c r="P175" s="35"/>
      <c r="Q175" s="35"/>
      <c r="R175" s="35"/>
      <c r="S175" s="35"/>
      <c r="T175" s="35"/>
      <c r="U175" s="35"/>
      <c r="V175" s="35"/>
      <c r="W175" s="35"/>
      <c r="X175" s="35"/>
      <c r="Y175" s="35"/>
    </row>
    <row r="176" ht="15.75" customHeight="1">
      <c r="A176" s="35"/>
      <c r="B176" s="35"/>
      <c r="C176" s="35"/>
      <c r="D176" s="35"/>
      <c r="E176" s="35"/>
      <c r="F176" s="50"/>
      <c r="G176" s="35"/>
      <c r="H176" s="35"/>
      <c r="I176" s="35"/>
      <c r="J176" s="35"/>
      <c r="K176" s="35"/>
      <c r="L176" s="35"/>
      <c r="M176" s="35"/>
      <c r="N176" s="35"/>
      <c r="O176" s="35"/>
      <c r="P176" s="35"/>
      <c r="Q176" s="35"/>
      <c r="R176" s="35"/>
      <c r="S176" s="35"/>
      <c r="T176" s="35"/>
      <c r="U176" s="35"/>
      <c r="V176" s="35"/>
      <c r="W176" s="35"/>
      <c r="X176" s="35"/>
      <c r="Y176" s="35"/>
    </row>
    <row r="177" ht="15.75" customHeight="1">
      <c r="A177" s="35"/>
      <c r="B177" s="35"/>
      <c r="C177" s="35"/>
      <c r="D177" s="35"/>
      <c r="E177" s="35"/>
      <c r="F177" s="50"/>
      <c r="G177" s="35"/>
      <c r="H177" s="35"/>
      <c r="I177" s="35"/>
      <c r="J177" s="35"/>
      <c r="K177" s="35"/>
      <c r="L177" s="35"/>
      <c r="M177" s="35"/>
      <c r="N177" s="35"/>
      <c r="O177" s="35"/>
      <c r="P177" s="35"/>
      <c r="Q177" s="35"/>
      <c r="R177" s="35"/>
      <c r="S177" s="35"/>
      <c r="T177" s="35"/>
      <c r="U177" s="35"/>
      <c r="V177" s="35"/>
      <c r="W177" s="35"/>
      <c r="X177" s="35"/>
      <c r="Y177" s="35"/>
    </row>
    <row r="178" ht="15.75" customHeight="1">
      <c r="A178" s="35"/>
      <c r="B178" s="35"/>
      <c r="C178" s="35"/>
      <c r="D178" s="35"/>
      <c r="E178" s="35"/>
      <c r="F178" s="50"/>
      <c r="G178" s="35"/>
      <c r="H178" s="35"/>
      <c r="I178" s="35"/>
      <c r="J178" s="35"/>
      <c r="K178" s="35"/>
      <c r="L178" s="35"/>
      <c r="M178" s="35"/>
      <c r="N178" s="35"/>
      <c r="O178" s="35"/>
      <c r="P178" s="35"/>
      <c r="Q178" s="35"/>
      <c r="R178" s="35"/>
      <c r="S178" s="35"/>
      <c r="T178" s="35"/>
      <c r="U178" s="35"/>
      <c r="V178" s="35"/>
      <c r="W178" s="35"/>
      <c r="X178" s="35"/>
      <c r="Y178" s="35"/>
    </row>
    <row r="179" ht="15.75" customHeight="1">
      <c r="A179" s="35"/>
      <c r="B179" s="35"/>
      <c r="C179" s="35"/>
      <c r="D179" s="35"/>
      <c r="E179" s="35"/>
      <c r="F179" s="50"/>
      <c r="G179" s="35"/>
      <c r="H179" s="35"/>
      <c r="I179" s="35"/>
      <c r="J179" s="35"/>
      <c r="K179" s="35"/>
      <c r="L179" s="35"/>
      <c r="M179" s="35"/>
      <c r="N179" s="35"/>
      <c r="O179" s="35"/>
      <c r="P179" s="35"/>
      <c r="Q179" s="35"/>
      <c r="R179" s="35"/>
      <c r="S179" s="35"/>
      <c r="T179" s="35"/>
      <c r="U179" s="35"/>
      <c r="V179" s="35"/>
      <c r="W179" s="35"/>
      <c r="X179" s="35"/>
      <c r="Y179" s="35"/>
    </row>
    <row r="180" ht="15.75" customHeight="1">
      <c r="A180" s="35"/>
      <c r="B180" s="35"/>
      <c r="C180" s="35"/>
      <c r="D180" s="35"/>
      <c r="E180" s="35"/>
      <c r="F180" s="50"/>
      <c r="G180" s="35"/>
      <c r="H180" s="35"/>
      <c r="I180" s="35"/>
      <c r="J180" s="35"/>
      <c r="K180" s="35"/>
      <c r="L180" s="35"/>
      <c r="M180" s="35"/>
      <c r="N180" s="35"/>
      <c r="O180" s="35"/>
      <c r="P180" s="35"/>
      <c r="Q180" s="35"/>
      <c r="R180" s="35"/>
      <c r="S180" s="35"/>
      <c r="T180" s="35"/>
      <c r="U180" s="35"/>
      <c r="V180" s="35"/>
      <c r="W180" s="35"/>
      <c r="X180" s="35"/>
      <c r="Y180" s="35"/>
    </row>
    <row r="181" ht="15.75" customHeight="1">
      <c r="A181" s="35"/>
      <c r="B181" s="35"/>
      <c r="C181" s="35"/>
      <c r="D181" s="35"/>
      <c r="E181" s="35"/>
      <c r="F181" s="50"/>
      <c r="G181" s="35"/>
      <c r="H181" s="35"/>
      <c r="I181" s="35"/>
      <c r="J181" s="35"/>
      <c r="K181" s="35"/>
      <c r="L181" s="35"/>
      <c r="M181" s="35"/>
      <c r="N181" s="35"/>
      <c r="O181" s="35"/>
      <c r="P181" s="35"/>
      <c r="Q181" s="35"/>
      <c r="R181" s="35"/>
      <c r="S181" s="35"/>
      <c r="T181" s="35"/>
      <c r="U181" s="35"/>
      <c r="V181" s="35"/>
      <c r="W181" s="35"/>
      <c r="X181" s="35"/>
      <c r="Y181" s="35"/>
    </row>
    <row r="182" ht="15.75" customHeight="1">
      <c r="A182" s="35"/>
      <c r="B182" s="35"/>
      <c r="C182" s="35"/>
      <c r="D182" s="35"/>
      <c r="E182" s="35"/>
      <c r="F182" s="50"/>
      <c r="G182" s="35"/>
      <c r="H182" s="35"/>
      <c r="I182" s="35"/>
      <c r="J182" s="35"/>
      <c r="K182" s="35"/>
      <c r="L182" s="35"/>
      <c r="M182" s="35"/>
      <c r="N182" s="35"/>
      <c r="O182" s="35"/>
      <c r="P182" s="35"/>
      <c r="Q182" s="35"/>
      <c r="R182" s="35"/>
      <c r="S182" s="35"/>
      <c r="T182" s="35"/>
      <c r="U182" s="35"/>
      <c r="V182" s="35"/>
      <c r="W182" s="35"/>
      <c r="X182" s="35"/>
      <c r="Y182" s="35"/>
    </row>
    <row r="183" ht="15.75" customHeight="1">
      <c r="A183" s="35"/>
      <c r="B183" s="35"/>
      <c r="C183" s="35"/>
      <c r="D183" s="35"/>
      <c r="E183" s="35"/>
      <c r="F183" s="50"/>
      <c r="G183" s="35"/>
      <c r="H183" s="35"/>
      <c r="I183" s="35"/>
      <c r="J183" s="35"/>
      <c r="K183" s="35"/>
      <c r="L183" s="35"/>
      <c r="M183" s="35"/>
      <c r="N183" s="35"/>
      <c r="O183" s="35"/>
      <c r="P183" s="35"/>
      <c r="Q183" s="35"/>
      <c r="R183" s="35"/>
      <c r="S183" s="35"/>
      <c r="T183" s="35"/>
      <c r="U183" s="35"/>
      <c r="V183" s="35"/>
      <c r="W183" s="35"/>
      <c r="X183" s="35"/>
      <c r="Y183" s="35"/>
    </row>
    <row r="184" ht="15.75" customHeight="1">
      <c r="A184" s="35"/>
      <c r="B184" s="35"/>
      <c r="C184" s="35"/>
      <c r="D184" s="35"/>
      <c r="E184" s="35"/>
      <c r="F184" s="50"/>
      <c r="G184" s="35"/>
      <c r="H184" s="35"/>
      <c r="I184" s="35"/>
      <c r="J184" s="35"/>
      <c r="K184" s="35"/>
      <c r="L184" s="35"/>
      <c r="M184" s="35"/>
      <c r="N184" s="35"/>
      <c r="O184" s="35"/>
      <c r="P184" s="35"/>
      <c r="Q184" s="35"/>
      <c r="R184" s="35"/>
      <c r="S184" s="35"/>
      <c r="T184" s="35"/>
      <c r="U184" s="35"/>
      <c r="V184" s="35"/>
      <c r="W184" s="35"/>
      <c r="X184" s="35"/>
      <c r="Y184" s="35"/>
    </row>
    <row r="185" ht="15.75" customHeight="1">
      <c r="A185" s="35"/>
      <c r="B185" s="35"/>
      <c r="C185" s="35"/>
      <c r="D185" s="35"/>
      <c r="E185" s="35"/>
      <c r="F185" s="50"/>
      <c r="G185" s="35"/>
      <c r="H185" s="35"/>
      <c r="I185" s="35"/>
      <c r="J185" s="35"/>
      <c r="K185" s="35"/>
      <c r="L185" s="35"/>
      <c r="M185" s="35"/>
      <c r="N185" s="35"/>
      <c r="O185" s="35"/>
      <c r="P185" s="35"/>
      <c r="Q185" s="35"/>
      <c r="R185" s="35"/>
      <c r="S185" s="35"/>
      <c r="T185" s="35"/>
      <c r="U185" s="35"/>
      <c r="V185" s="35"/>
      <c r="W185" s="35"/>
      <c r="X185" s="35"/>
      <c r="Y185" s="35"/>
    </row>
    <row r="186" ht="15.75" customHeight="1">
      <c r="A186" s="35"/>
      <c r="B186" s="35"/>
      <c r="C186" s="35"/>
      <c r="D186" s="35"/>
      <c r="E186" s="35"/>
      <c r="F186" s="50"/>
      <c r="G186" s="35"/>
      <c r="H186" s="35"/>
      <c r="I186" s="35"/>
      <c r="J186" s="35"/>
      <c r="K186" s="35"/>
      <c r="L186" s="35"/>
      <c r="M186" s="35"/>
      <c r="N186" s="35"/>
      <c r="O186" s="35"/>
      <c r="P186" s="35"/>
      <c r="Q186" s="35"/>
      <c r="R186" s="35"/>
      <c r="S186" s="35"/>
      <c r="T186" s="35"/>
      <c r="U186" s="35"/>
      <c r="V186" s="35"/>
      <c r="W186" s="35"/>
      <c r="X186" s="35"/>
      <c r="Y186" s="35"/>
    </row>
    <row r="187" ht="15.75" customHeight="1">
      <c r="A187" s="35"/>
      <c r="B187" s="35"/>
      <c r="C187" s="35"/>
      <c r="D187" s="35"/>
      <c r="E187" s="35"/>
      <c r="F187" s="50"/>
      <c r="G187" s="35"/>
      <c r="H187" s="35"/>
      <c r="I187" s="35"/>
      <c r="J187" s="35"/>
      <c r="K187" s="35"/>
      <c r="L187" s="35"/>
      <c r="M187" s="35"/>
      <c r="N187" s="35"/>
      <c r="O187" s="35"/>
      <c r="P187" s="35"/>
      <c r="Q187" s="35"/>
      <c r="R187" s="35"/>
      <c r="S187" s="35"/>
      <c r="T187" s="35"/>
      <c r="U187" s="35"/>
      <c r="V187" s="35"/>
      <c r="W187" s="35"/>
      <c r="X187" s="35"/>
      <c r="Y187" s="35"/>
    </row>
    <row r="188" ht="15.75" customHeight="1">
      <c r="A188" s="35"/>
      <c r="B188" s="35"/>
      <c r="C188" s="35"/>
      <c r="D188" s="35"/>
      <c r="E188" s="35"/>
      <c r="F188" s="50"/>
      <c r="G188" s="35"/>
      <c r="H188" s="35"/>
      <c r="I188" s="35"/>
      <c r="J188" s="35"/>
      <c r="K188" s="35"/>
      <c r="L188" s="35"/>
      <c r="M188" s="35"/>
      <c r="N188" s="35"/>
      <c r="O188" s="35"/>
      <c r="P188" s="35"/>
      <c r="Q188" s="35"/>
      <c r="R188" s="35"/>
      <c r="S188" s="35"/>
      <c r="T188" s="35"/>
      <c r="U188" s="35"/>
      <c r="V188" s="35"/>
      <c r="W188" s="35"/>
      <c r="X188" s="35"/>
      <c r="Y188" s="35"/>
    </row>
    <row r="189" ht="15.75" customHeight="1">
      <c r="A189" s="35"/>
      <c r="B189" s="35"/>
      <c r="C189" s="35"/>
      <c r="D189" s="35"/>
      <c r="E189" s="35"/>
      <c r="F189" s="50"/>
      <c r="G189" s="35"/>
      <c r="H189" s="35"/>
      <c r="I189" s="35"/>
      <c r="J189" s="35"/>
      <c r="K189" s="35"/>
      <c r="L189" s="35"/>
      <c r="M189" s="35"/>
      <c r="N189" s="35"/>
      <c r="O189" s="35"/>
      <c r="P189" s="35"/>
      <c r="Q189" s="35"/>
      <c r="R189" s="35"/>
      <c r="S189" s="35"/>
      <c r="T189" s="35"/>
      <c r="U189" s="35"/>
      <c r="V189" s="35"/>
      <c r="W189" s="35"/>
      <c r="X189" s="35"/>
      <c r="Y189" s="35"/>
    </row>
    <row r="190" ht="15.75" customHeight="1">
      <c r="A190" s="35"/>
      <c r="B190" s="35"/>
      <c r="C190" s="35"/>
      <c r="D190" s="35"/>
      <c r="E190" s="35"/>
      <c r="F190" s="50"/>
      <c r="G190" s="35"/>
      <c r="H190" s="35"/>
      <c r="I190" s="35"/>
      <c r="J190" s="35"/>
      <c r="K190" s="35"/>
      <c r="L190" s="35"/>
      <c r="M190" s="35"/>
      <c r="N190" s="35"/>
      <c r="O190" s="35"/>
      <c r="P190" s="35"/>
      <c r="Q190" s="35"/>
      <c r="R190" s="35"/>
      <c r="S190" s="35"/>
      <c r="T190" s="35"/>
      <c r="U190" s="35"/>
      <c r="V190" s="35"/>
      <c r="W190" s="35"/>
      <c r="X190" s="35"/>
      <c r="Y190" s="35"/>
    </row>
    <row r="191" ht="15.75" customHeight="1">
      <c r="A191" s="35"/>
      <c r="B191" s="35"/>
      <c r="C191" s="35"/>
      <c r="D191" s="35"/>
      <c r="E191" s="35"/>
      <c r="F191" s="50"/>
      <c r="G191" s="35"/>
      <c r="H191" s="35"/>
      <c r="I191" s="35"/>
      <c r="J191" s="35"/>
      <c r="K191" s="35"/>
      <c r="L191" s="35"/>
      <c r="M191" s="35"/>
      <c r="N191" s="35"/>
      <c r="O191" s="35"/>
      <c r="P191" s="35"/>
      <c r="Q191" s="35"/>
      <c r="R191" s="35"/>
      <c r="S191" s="35"/>
      <c r="T191" s="35"/>
      <c r="U191" s="35"/>
      <c r="V191" s="35"/>
      <c r="W191" s="35"/>
      <c r="X191" s="35"/>
      <c r="Y191" s="35"/>
    </row>
    <row r="192" ht="15.75" customHeight="1">
      <c r="A192" s="35"/>
      <c r="B192" s="35"/>
      <c r="C192" s="35"/>
      <c r="D192" s="35"/>
      <c r="E192" s="35"/>
      <c r="F192" s="50"/>
      <c r="G192" s="35"/>
      <c r="H192" s="35"/>
      <c r="I192" s="35"/>
      <c r="J192" s="35"/>
      <c r="K192" s="35"/>
      <c r="L192" s="35"/>
      <c r="M192" s="35"/>
      <c r="N192" s="35"/>
      <c r="O192" s="35"/>
      <c r="P192" s="35"/>
      <c r="Q192" s="35"/>
      <c r="R192" s="35"/>
      <c r="S192" s="35"/>
      <c r="T192" s="35"/>
      <c r="U192" s="35"/>
      <c r="V192" s="35"/>
      <c r="W192" s="35"/>
      <c r="X192" s="35"/>
      <c r="Y192" s="35"/>
    </row>
    <row r="193" ht="15.75" customHeight="1">
      <c r="A193" s="35"/>
      <c r="B193" s="35"/>
      <c r="C193" s="35"/>
      <c r="D193" s="35"/>
      <c r="E193" s="35"/>
      <c r="F193" s="50"/>
      <c r="G193" s="35"/>
      <c r="H193" s="35"/>
      <c r="I193" s="35"/>
      <c r="J193" s="35"/>
      <c r="K193" s="35"/>
      <c r="L193" s="35"/>
      <c r="M193" s="35"/>
      <c r="N193" s="35"/>
      <c r="O193" s="35"/>
      <c r="P193" s="35"/>
      <c r="Q193" s="35"/>
      <c r="R193" s="35"/>
      <c r="S193" s="35"/>
      <c r="T193" s="35"/>
      <c r="U193" s="35"/>
      <c r="V193" s="35"/>
      <c r="W193" s="35"/>
      <c r="X193" s="35"/>
      <c r="Y193" s="35"/>
    </row>
    <row r="194" ht="15.75" customHeight="1">
      <c r="A194" s="35"/>
      <c r="B194" s="35"/>
      <c r="C194" s="35"/>
      <c r="D194" s="35"/>
      <c r="E194" s="35"/>
      <c r="F194" s="50"/>
      <c r="G194" s="35"/>
      <c r="H194" s="35"/>
      <c r="I194" s="35"/>
      <c r="J194" s="35"/>
      <c r="K194" s="35"/>
      <c r="L194" s="35"/>
      <c r="M194" s="35"/>
      <c r="N194" s="35"/>
      <c r="O194" s="35"/>
      <c r="P194" s="35"/>
      <c r="Q194" s="35"/>
      <c r="R194" s="35"/>
      <c r="S194" s="35"/>
      <c r="T194" s="35"/>
      <c r="U194" s="35"/>
      <c r="V194" s="35"/>
      <c r="W194" s="35"/>
      <c r="X194" s="35"/>
      <c r="Y194" s="35"/>
    </row>
    <row r="195" ht="15.75" customHeight="1">
      <c r="A195" s="35"/>
      <c r="B195" s="35"/>
      <c r="C195" s="35"/>
      <c r="D195" s="35"/>
      <c r="E195" s="35"/>
      <c r="F195" s="50"/>
      <c r="G195" s="35"/>
      <c r="H195" s="35"/>
      <c r="I195" s="35"/>
      <c r="J195" s="35"/>
      <c r="K195" s="35"/>
      <c r="L195" s="35"/>
      <c r="M195" s="35"/>
      <c r="N195" s="35"/>
      <c r="O195" s="35"/>
      <c r="P195" s="35"/>
      <c r="Q195" s="35"/>
      <c r="R195" s="35"/>
      <c r="S195" s="35"/>
      <c r="T195" s="35"/>
      <c r="U195" s="35"/>
      <c r="V195" s="35"/>
      <c r="W195" s="35"/>
      <c r="X195" s="35"/>
      <c r="Y195" s="35"/>
    </row>
    <row r="196" ht="15.75" customHeight="1">
      <c r="A196" s="35"/>
      <c r="B196" s="35"/>
      <c r="C196" s="35"/>
      <c r="D196" s="35"/>
      <c r="E196" s="35"/>
      <c r="F196" s="50"/>
      <c r="G196" s="35"/>
      <c r="H196" s="35"/>
      <c r="I196" s="35"/>
      <c r="J196" s="35"/>
      <c r="K196" s="35"/>
      <c r="L196" s="35"/>
      <c r="M196" s="35"/>
      <c r="N196" s="35"/>
      <c r="O196" s="35"/>
      <c r="P196" s="35"/>
      <c r="Q196" s="35"/>
      <c r="R196" s="35"/>
      <c r="S196" s="35"/>
      <c r="T196" s="35"/>
      <c r="U196" s="35"/>
      <c r="V196" s="35"/>
      <c r="W196" s="35"/>
      <c r="X196" s="35"/>
      <c r="Y196" s="35"/>
    </row>
    <row r="197" ht="15.75" customHeight="1">
      <c r="A197" s="35"/>
      <c r="B197" s="35"/>
      <c r="C197" s="35"/>
      <c r="D197" s="35"/>
      <c r="E197" s="35"/>
      <c r="F197" s="50"/>
      <c r="G197" s="35"/>
      <c r="H197" s="35"/>
      <c r="I197" s="35"/>
      <c r="J197" s="35"/>
      <c r="K197" s="35"/>
      <c r="L197" s="35"/>
      <c r="M197" s="35"/>
      <c r="N197" s="35"/>
      <c r="O197" s="35"/>
      <c r="P197" s="35"/>
      <c r="Q197" s="35"/>
      <c r="R197" s="35"/>
      <c r="S197" s="35"/>
      <c r="T197" s="35"/>
      <c r="U197" s="35"/>
      <c r="V197" s="35"/>
      <c r="W197" s="35"/>
      <c r="X197" s="35"/>
      <c r="Y197" s="35"/>
    </row>
    <row r="198" ht="15.75" customHeight="1">
      <c r="A198" s="35"/>
      <c r="B198" s="35"/>
      <c r="C198" s="35"/>
      <c r="D198" s="35"/>
      <c r="E198" s="35"/>
      <c r="F198" s="50"/>
      <c r="G198" s="35"/>
      <c r="H198" s="35"/>
      <c r="I198" s="35"/>
      <c r="J198" s="35"/>
      <c r="K198" s="35"/>
      <c r="L198" s="35"/>
      <c r="M198" s="35"/>
      <c r="N198" s="35"/>
      <c r="O198" s="35"/>
      <c r="P198" s="35"/>
      <c r="Q198" s="35"/>
      <c r="R198" s="35"/>
      <c r="S198" s="35"/>
      <c r="T198" s="35"/>
      <c r="U198" s="35"/>
      <c r="V198" s="35"/>
      <c r="W198" s="35"/>
      <c r="X198" s="35"/>
      <c r="Y198" s="35"/>
    </row>
    <row r="199" ht="15.75" customHeight="1">
      <c r="A199" s="35"/>
      <c r="B199" s="35"/>
      <c r="C199" s="35"/>
      <c r="D199" s="35"/>
      <c r="E199" s="35"/>
      <c r="F199" s="50"/>
      <c r="G199" s="35"/>
      <c r="H199" s="35"/>
      <c r="I199" s="35"/>
      <c r="J199" s="35"/>
      <c r="K199" s="35"/>
      <c r="L199" s="35"/>
      <c r="M199" s="35"/>
      <c r="N199" s="35"/>
      <c r="O199" s="35"/>
      <c r="P199" s="35"/>
      <c r="Q199" s="35"/>
      <c r="R199" s="35"/>
      <c r="S199" s="35"/>
      <c r="T199" s="35"/>
      <c r="U199" s="35"/>
      <c r="V199" s="35"/>
      <c r="W199" s="35"/>
      <c r="X199" s="35"/>
      <c r="Y199" s="35"/>
    </row>
    <row r="200" ht="15.75" customHeight="1">
      <c r="A200" s="35"/>
      <c r="B200" s="35"/>
      <c r="C200" s="35"/>
      <c r="D200" s="35"/>
      <c r="E200" s="35"/>
      <c r="F200" s="50"/>
      <c r="G200" s="35"/>
      <c r="H200" s="35"/>
      <c r="I200" s="35"/>
      <c r="J200" s="35"/>
      <c r="K200" s="35"/>
      <c r="L200" s="35"/>
      <c r="M200" s="35"/>
      <c r="N200" s="35"/>
      <c r="O200" s="35"/>
      <c r="P200" s="35"/>
      <c r="Q200" s="35"/>
      <c r="R200" s="35"/>
      <c r="S200" s="35"/>
      <c r="T200" s="35"/>
      <c r="U200" s="35"/>
      <c r="V200" s="35"/>
      <c r="W200" s="35"/>
      <c r="X200" s="35"/>
      <c r="Y200" s="35"/>
    </row>
    <row r="201" ht="15.75" customHeight="1">
      <c r="A201" s="35"/>
      <c r="B201" s="35"/>
      <c r="C201" s="35"/>
      <c r="D201" s="35"/>
      <c r="E201" s="35"/>
      <c r="F201" s="50"/>
      <c r="G201" s="35"/>
      <c r="H201" s="35"/>
      <c r="I201" s="35"/>
      <c r="J201" s="35"/>
      <c r="K201" s="35"/>
      <c r="L201" s="35"/>
      <c r="M201" s="35"/>
      <c r="N201" s="35"/>
      <c r="O201" s="35"/>
      <c r="P201" s="35"/>
      <c r="Q201" s="35"/>
      <c r="R201" s="35"/>
      <c r="S201" s="35"/>
      <c r="T201" s="35"/>
      <c r="U201" s="35"/>
      <c r="V201" s="35"/>
      <c r="W201" s="35"/>
      <c r="X201" s="35"/>
      <c r="Y201" s="35"/>
    </row>
    <row r="202" ht="15.75" customHeight="1">
      <c r="A202" s="35"/>
      <c r="B202" s="35"/>
      <c r="C202" s="35"/>
      <c r="D202" s="35"/>
      <c r="E202" s="35"/>
      <c r="F202" s="50"/>
      <c r="G202" s="35"/>
      <c r="H202" s="35"/>
      <c r="I202" s="35"/>
      <c r="J202" s="35"/>
      <c r="K202" s="35"/>
      <c r="L202" s="35"/>
      <c r="M202" s="35"/>
      <c r="N202" s="35"/>
      <c r="O202" s="35"/>
      <c r="P202" s="35"/>
      <c r="Q202" s="35"/>
      <c r="R202" s="35"/>
      <c r="S202" s="35"/>
      <c r="T202" s="35"/>
      <c r="U202" s="35"/>
      <c r="V202" s="35"/>
      <c r="W202" s="35"/>
      <c r="X202" s="35"/>
      <c r="Y202" s="35"/>
    </row>
    <row r="203" ht="15.75" customHeight="1">
      <c r="A203" s="35"/>
      <c r="B203" s="35"/>
      <c r="C203" s="35"/>
      <c r="D203" s="35"/>
      <c r="E203" s="35"/>
      <c r="F203" s="50"/>
      <c r="G203" s="35"/>
      <c r="H203" s="35"/>
      <c r="I203" s="35"/>
      <c r="J203" s="35"/>
      <c r="K203" s="35"/>
      <c r="L203" s="35"/>
      <c r="M203" s="35"/>
      <c r="N203" s="35"/>
      <c r="O203" s="35"/>
      <c r="P203" s="35"/>
      <c r="Q203" s="35"/>
      <c r="R203" s="35"/>
      <c r="S203" s="35"/>
      <c r="T203" s="35"/>
      <c r="U203" s="35"/>
      <c r="V203" s="35"/>
      <c r="W203" s="35"/>
      <c r="X203" s="35"/>
      <c r="Y203" s="35"/>
    </row>
    <row r="204" ht="15.75" customHeight="1">
      <c r="A204" s="35"/>
      <c r="B204" s="35"/>
      <c r="C204" s="35"/>
      <c r="D204" s="35"/>
      <c r="E204" s="35"/>
      <c r="F204" s="50"/>
      <c r="G204" s="35"/>
      <c r="H204" s="35"/>
      <c r="I204" s="35"/>
      <c r="J204" s="35"/>
      <c r="K204" s="35"/>
      <c r="L204" s="35"/>
      <c r="M204" s="35"/>
      <c r="N204" s="35"/>
      <c r="O204" s="35"/>
      <c r="P204" s="35"/>
      <c r="Q204" s="35"/>
      <c r="R204" s="35"/>
      <c r="S204" s="35"/>
      <c r="T204" s="35"/>
      <c r="U204" s="35"/>
      <c r="V204" s="35"/>
      <c r="W204" s="35"/>
      <c r="X204" s="35"/>
      <c r="Y204" s="35"/>
    </row>
    <row r="205" ht="15.75" customHeight="1">
      <c r="A205" s="35"/>
      <c r="B205" s="35"/>
      <c r="C205" s="35"/>
      <c r="D205" s="35"/>
      <c r="E205" s="35"/>
      <c r="F205" s="50"/>
      <c r="G205" s="35"/>
      <c r="H205" s="35"/>
      <c r="I205" s="35"/>
      <c r="J205" s="35"/>
      <c r="K205" s="35"/>
      <c r="L205" s="35"/>
      <c r="M205" s="35"/>
      <c r="N205" s="35"/>
      <c r="O205" s="35"/>
      <c r="P205" s="35"/>
      <c r="Q205" s="35"/>
      <c r="R205" s="35"/>
      <c r="S205" s="35"/>
      <c r="T205" s="35"/>
      <c r="U205" s="35"/>
      <c r="V205" s="35"/>
      <c r="W205" s="35"/>
      <c r="X205" s="35"/>
      <c r="Y205" s="35"/>
    </row>
    <row r="206" ht="15.75" customHeight="1">
      <c r="A206" s="35"/>
      <c r="B206" s="35"/>
      <c r="C206" s="35"/>
      <c r="D206" s="35"/>
      <c r="E206" s="35"/>
      <c r="F206" s="50"/>
      <c r="G206" s="35"/>
      <c r="H206" s="35"/>
      <c r="I206" s="35"/>
      <c r="J206" s="35"/>
      <c r="K206" s="35"/>
      <c r="L206" s="35"/>
      <c r="M206" s="35"/>
      <c r="N206" s="35"/>
      <c r="O206" s="35"/>
      <c r="P206" s="35"/>
      <c r="Q206" s="35"/>
      <c r="R206" s="35"/>
      <c r="S206" s="35"/>
      <c r="T206" s="35"/>
      <c r="U206" s="35"/>
      <c r="V206" s="35"/>
      <c r="W206" s="35"/>
      <c r="X206" s="35"/>
      <c r="Y206" s="35"/>
    </row>
    <row r="207" ht="15.75" customHeight="1">
      <c r="A207" s="35"/>
      <c r="B207" s="35"/>
      <c r="C207" s="35"/>
      <c r="D207" s="35"/>
      <c r="E207" s="35"/>
      <c r="F207" s="50"/>
      <c r="G207" s="35"/>
      <c r="H207" s="35"/>
      <c r="I207" s="35"/>
      <c r="J207" s="35"/>
      <c r="K207" s="35"/>
      <c r="L207" s="35"/>
      <c r="M207" s="35"/>
      <c r="N207" s="35"/>
      <c r="O207" s="35"/>
      <c r="P207" s="35"/>
      <c r="Q207" s="35"/>
      <c r="R207" s="35"/>
      <c r="S207" s="35"/>
      <c r="T207" s="35"/>
      <c r="U207" s="35"/>
      <c r="V207" s="35"/>
      <c r="W207" s="35"/>
      <c r="X207" s="35"/>
      <c r="Y207" s="35"/>
    </row>
    <row r="208" ht="15.75" customHeight="1">
      <c r="A208" s="35"/>
      <c r="B208" s="35"/>
      <c r="C208" s="35"/>
      <c r="D208" s="35"/>
      <c r="E208" s="35"/>
      <c r="F208" s="50"/>
      <c r="G208" s="35"/>
      <c r="H208" s="35"/>
      <c r="I208" s="35"/>
      <c r="J208" s="35"/>
      <c r="K208" s="35"/>
      <c r="L208" s="35"/>
      <c r="M208" s="35"/>
      <c r="N208" s="35"/>
      <c r="O208" s="35"/>
      <c r="P208" s="35"/>
      <c r="Q208" s="35"/>
      <c r="R208" s="35"/>
      <c r="S208" s="35"/>
      <c r="T208" s="35"/>
      <c r="U208" s="35"/>
      <c r="V208" s="35"/>
      <c r="W208" s="35"/>
      <c r="X208" s="35"/>
      <c r="Y208" s="35"/>
    </row>
    <row r="209" ht="15.75" customHeight="1">
      <c r="A209" s="35"/>
      <c r="B209" s="35"/>
      <c r="C209" s="35"/>
      <c r="D209" s="35"/>
      <c r="E209" s="35"/>
      <c r="F209" s="50"/>
      <c r="G209" s="35"/>
      <c r="H209" s="35"/>
      <c r="I209" s="35"/>
      <c r="J209" s="35"/>
      <c r="K209" s="35"/>
      <c r="L209" s="35"/>
      <c r="M209" s="35"/>
      <c r="N209" s="35"/>
      <c r="O209" s="35"/>
      <c r="P209" s="35"/>
      <c r="Q209" s="35"/>
      <c r="R209" s="35"/>
      <c r="S209" s="35"/>
      <c r="T209" s="35"/>
      <c r="U209" s="35"/>
      <c r="V209" s="35"/>
      <c r="W209" s="35"/>
      <c r="X209" s="35"/>
      <c r="Y209" s="35"/>
    </row>
    <row r="210" ht="15.75" customHeight="1">
      <c r="A210" s="35"/>
      <c r="B210" s="35"/>
      <c r="C210" s="35"/>
      <c r="D210" s="35"/>
      <c r="E210" s="35"/>
      <c r="F210" s="50"/>
      <c r="G210" s="35"/>
      <c r="H210" s="35"/>
      <c r="I210" s="35"/>
      <c r="J210" s="35"/>
      <c r="K210" s="35"/>
      <c r="L210" s="35"/>
      <c r="M210" s="35"/>
      <c r="N210" s="35"/>
      <c r="O210" s="35"/>
      <c r="P210" s="35"/>
      <c r="Q210" s="35"/>
      <c r="R210" s="35"/>
      <c r="S210" s="35"/>
      <c r="T210" s="35"/>
      <c r="U210" s="35"/>
      <c r="V210" s="35"/>
      <c r="W210" s="35"/>
      <c r="X210" s="35"/>
      <c r="Y210" s="35"/>
    </row>
    <row r="211" ht="15.75" customHeight="1">
      <c r="A211" s="35"/>
      <c r="B211" s="35"/>
      <c r="C211" s="35"/>
      <c r="D211" s="35"/>
      <c r="E211" s="35"/>
      <c r="F211" s="50"/>
      <c r="G211" s="35"/>
      <c r="H211" s="35"/>
      <c r="I211" s="35"/>
      <c r="J211" s="35"/>
      <c r="K211" s="35"/>
      <c r="L211" s="35"/>
      <c r="M211" s="35"/>
      <c r="N211" s="35"/>
      <c r="O211" s="35"/>
      <c r="P211" s="35"/>
      <c r="Q211" s="35"/>
      <c r="R211" s="35"/>
      <c r="S211" s="35"/>
      <c r="T211" s="35"/>
      <c r="U211" s="35"/>
      <c r="V211" s="35"/>
      <c r="W211" s="35"/>
      <c r="X211" s="35"/>
      <c r="Y211" s="35"/>
    </row>
    <row r="212" ht="15.75" customHeight="1">
      <c r="A212" s="35"/>
      <c r="B212" s="35"/>
      <c r="C212" s="35"/>
      <c r="D212" s="35"/>
      <c r="E212" s="35"/>
      <c r="F212" s="50"/>
      <c r="G212" s="35"/>
      <c r="H212" s="35"/>
      <c r="I212" s="35"/>
      <c r="J212" s="35"/>
      <c r="K212" s="35"/>
      <c r="L212" s="35"/>
      <c r="M212" s="35"/>
      <c r="N212" s="35"/>
      <c r="O212" s="35"/>
      <c r="P212" s="35"/>
      <c r="Q212" s="35"/>
      <c r="R212" s="35"/>
      <c r="S212" s="35"/>
      <c r="T212" s="35"/>
      <c r="U212" s="35"/>
      <c r="V212" s="35"/>
      <c r="W212" s="35"/>
      <c r="X212" s="35"/>
      <c r="Y212" s="35"/>
    </row>
    <row r="213" ht="15.75" customHeight="1">
      <c r="A213" s="35"/>
      <c r="B213" s="35"/>
      <c r="C213" s="35"/>
      <c r="D213" s="35"/>
      <c r="E213" s="35"/>
      <c r="F213" s="50"/>
      <c r="G213" s="35"/>
      <c r="H213" s="35"/>
      <c r="I213" s="35"/>
      <c r="J213" s="35"/>
      <c r="K213" s="35"/>
      <c r="L213" s="35"/>
      <c r="M213" s="35"/>
      <c r="N213" s="35"/>
      <c r="O213" s="35"/>
      <c r="P213" s="35"/>
      <c r="Q213" s="35"/>
      <c r="R213" s="35"/>
      <c r="S213" s="35"/>
      <c r="T213" s="35"/>
      <c r="U213" s="35"/>
      <c r="V213" s="35"/>
      <c r="W213" s="35"/>
      <c r="X213" s="35"/>
      <c r="Y213" s="35"/>
    </row>
    <row r="214" ht="15.75" customHeight="1">
      <c r="A214" s="35"/>
      <c r="B214" s="35"/>
      <c r="C214" s="35"/>
      <c r="D214" s="35"/>
      <c r="E214" s="35"/>
      <c r="F214" s="50"/>
      <c r="G214" s="35"/>
      <c r="H214" s="35"/>
      <c r="I214" s="35"/>
      <c r="J214" s="35"/>
      <c r="K214" s="35"/>
      <c r="L214" s="35"/>
      <c r="M214" s="35"/>
      <c r="N214" s="35"/>
      <c r="O214" s="35"/>
      <c r="P214" s="35"/>
      <c r="Q214" s="35"/>
      <c r="R214" s="35"/>
      <c r="S214" s="35"/>
      <c r="T214" s="35"/>
      <c r="U214" s="35"/>
      <c r="V214" s="35"/>
      <c r="W214" s="35"/>
      <c r="X214" s="35"/>
      <c r="Y214" s="35"/>
    </row>
    <row r="215" ht="15.75" customHeight="1">
      <c r="A215" s="35"/>
      <c r="B215" s="35"/>
      <c r="C215" s="35"/>
      <c r="D215" s="35"/>
      <c r="E215" s="35"/>
      <c r="F215" s="50"/>
      <c r="G215" s="35"/>
      <c r="H215" s="35"/>
      <c r="I215" s="35"/>
      <c r="J215" s="35"/>
      <c r="K215" s="35"/>
      <c r="L215" s="35"/>
      <c r="M215" s="35"/>
      <c r="N215" s="35"/>
      <c r="O215" s="35"/>
      <c r="P215" s="35"/>
      <c r="Q215" s="35"/>
      <c r="R215" s="35"/>
      <c r="S215" s="35"/>
      <c r="T215" s="35"/>
      <c r="U215" s="35"/>
      <c r="V215" s="35"/>
      <c r="W215" s="35"/>
      <c r="X215" s="35"/>
      <c r="Y215" s="35"/>
    </row>
    <row r="216" ht="15.75" customHeight="1">
      <c r="A216" s="35"/>
      <c r="B216" s="35"/>
      <c r="C216" s="35"/>
      <c r="D216" s="35"/>
      <c r="E216" s="35"/>
      <c r="F216" s="50"/>
      <c r="G216" s="35"/>
      <c r="H216" s="35"/>
      <c r="I216" s="35"/>
      <c r="J216" s="35"/>
      <c r="K216" s="35"/>
      <c r="L216" s="35"/>
      <c r="M216" s="35"/>
      <c r="N216" s="35"/>
      <c r="O216" s="35"/>
      <c r="P216" s="35"/>
      <c r="Q216" s="35"/>
      <c r="R216" s="35"/>
      <c r="S216" s="35"/>
      <c r="T216" s="35"/>
      <c r="U216" s="35"/>
      <c r="V216" s="35"/>
      <c r="W216" s="35"/>
      <c r="X216" s="35"/>
      <c r="Y216" s="35"/>
    </row>
    <row r="217" ht="15.75" customHeight="1">
      <c r="A217" s="35"/>
      <c r="B217" s="35"/>
      <c r="C217" s="35"/>
      <c r="D217" s="35"/>
      <c r="E217" s="35"/>
      <c r="F217" s="50"/>
      <c r="G217" s="35"/>
      <c r="H217" s="35"/>
      <c r="I217" s="35"/>
      <c r="J217" s="35"/>
      <c r="K217" s="35"/>
      <c r="L217" s="35"/>
      <c r="M217" s="35"/>
      <c r="N217" s="35"/>
      <c r="O217" s="35"/>
      <c r="P217" s="35"/>
      <c r="Q217" s="35"/>
      <c r="R217" s="35"/>
      <c r="S217" s="35"/>
      <c r="T217" s="35"/>
      <c r="U217" s="35"/>
      <c r="V217" s="35"/>
      <c r="W217" s="35"/>
      <c r="X217" s="35"/>
      <c r="Y217" s="35"/>
    </row>
    <row r="218" ht="15.75" customHeight="1">
      <c r="A218" s="35"/>
      <c r="B218" s="35"/>
      <c r="C218" s="35"/>
      <c r="D218" s="35"/>
      <c r="E218" s="35"/>
      <c r="F218" s="50"/>
      <c r="G218" s="35"/>
      <c r="H218" s="35"/>
      <c r="I218" s="35"/>
      <c r="J218" s="35"/>
      <c r="K218" s="35"/>
      <c r="L218" s="35"/>
      <c r="M218" s="35"/>
      <c r="N218" s="35"/>
      <c r="O218" s="35"/>
      <c r="P218" s="35"/>
      <c r="Q218" s="35"/>
      <c r="R218" s="35"/>
      <c r="S218" s="35"/>
      <c r="T218" s="35"/>
      <c r="U218" s="35"/>
      <c r="V218" s="35"/>
      <c r="W218" s="35"/>
      <c r="X218" s="35"/>
      <c r="Y218" s="35"/>
    </row>
    <row r="219" ht="15.75" customHeight="1">
      <c r="A219" s="35"/>
      <c r="B219" s="35"/>
      <c r="C219" s="35"/>
      <c r="D219" s="35"/>
      <c r="E219" s="35"/>
      <c r="F219" s="50"/>
      <c r="G219" s="35"/>
      <c r="H219" s="35"/>
      <c r="I219" s="35"/>
      <c r="J219" s="35"/>
      <c r="K219" s="35"/>
      <c r="L219" s="35"/>
      <c r="M219" s="35"/>
      <c r="N219" s="35"/>
      <c r="O219" s="35"/>
      <c r="P219" s="35"/>
      <c r="Q219" s="35"/>
      <c r="R219" s="35"/>
      <c r="S219" s="35"/>
      <c r="T219" s="35"/>
      <c r="U219" s="35"/>
      <c r="V219" s="35"/>
      <c r="W219" s="35"/>
      <c r="X219" s="35"/>
      <c r="Y219" s="35"/>
    </row>
    <row r="220" ht="15.75" customHeight="1">
      <c r="A220" s="35"/>
      <c r="B220" s="35"/>
      <c r="C220" s="35"/>
      <c r="D220" s="35"/>
      <c r="E220" s="35"/>
      <c r="F220" s="50"/>
      <c r="G220" s="35"/>
      <c r="H220" s="35"/>
      <c r="I220" s="35"/>
      <c r="J220" s="35"/>
      <c r="K220" s="35"/>
      <c r="L220" s="35"/>
      <c r="M220" s="35"/>
      <c r="N220" s="35"/>
      <c r="O220" s="35"/>
      <c r="P220" s="35"/>
      <c r="Q220" s="35"/>
      <c r="R220" s="35"/>
      <c r="S220" s="35"/>
      <c r="T220" s="35"/>
      <c r="U220" s="35"/>
      <c r="V220" s="35"/>
      <c r="W220" s="35"/>
      <c r="X220" s="35"/>
      <c r="Y220" s="35"/>
    </row>
    <row r="221" ht="15.75" customHeight="1">
      <c r="A221" s="35"/>
      <c r="B221" s="35"/>
      <c r="C221" s="35"/>
      <c r="D221" s="35"/>
      <c r="E221" s="35"/>
      <c r="F221" s="50"/>
      <c r="G221" s="35"/>
      <c r="H221" s="35"/>
      <c r="I221" s="35"/>
      <c r="J221" s="35"/>
      <c r="K221" s="35"/>
      <c r="L221" s="35"/>
      <c r="M221" s="35"/>
      <c r="N221" s="35"/>
      <c r="O221" s="35"/>
      <c r="P221" s="35"/>
      <c r="Q221" s="35"/>
      <c r="R221" s="35"/>
      <c r="S221" s="35"/>
      <c r="T221" s="35"/>
      <c r="U221" s="35"/>
      <c r="V221" s="35"/>
      <c r="W221" s="35"/>
      <c r="X221" s="35"/>
      <c r="Y221" s="35"/>
    </row>
    <row r="222" ht="15.75" customHeight="1">
      <c r="A222" s="35"/>
      <c r="B222" s="35"/>
      <c r="C222" s="35"/>
      <c r="D222" s="35"/>
      <c r="E222" s="35"/>
      <c r="F222" s="50"/>
      <c r="G222" s="35"/>
      <c r="H222" s="35"/>
      <c r="I222" s="35"/>
      <c r="J222" s="35"/>
      <c r="K222" s="35"/>
      <c r="L222" s="35"/>
      <c r="M222" s="35"/>
      <c r="N222" s="35"/>
      <c r="O222" s="35"/>
      <c r="P222" s="35"/>
      <c r="Q222" s="35"/>
      <c r="R222" s="35"/>
      <c r="S222" s="35"/>
      <c r="T222" s="35"/>
      <c r="U222" s="35"/>
      <c r="V222" s="35"/>
      <c r="W222" s="35"/>
      <c r="X222" s="35"/>
      <c r="Y222" s="35"/>
    </row>
    <row r="223" ht="15.75" customHeight="1">
      <c r="A223" s="35"/>
      <c r="B223" s="35"/>
      <c r="C223" s="35"/>
      <c r="D223" s="35"/>
      <c r="E223" s="35"/>
      <c r="F223" s="50"/>
      <c r="G223" s="35"/>
      <c r="H223" s="35"/>
      <c r="I223" s="35"/>
      <c r="J223" s="35"/>
      <c r="K223" s="35"/>
      <c r="L223" s="35"/>
      <c r="M223" s="35"/>
      <c r="N223" s="35"/>
      <c r="O223" s="35"/>
      <c r="P223" s="35"/>
      <c r="Q223" s="35"/>
      <c r="R223" s="35"/>
      <c r="S223" s="35"/>
      <c r="T223" s="35"/>
      <c r="U223" s="35"/>
      <c r="V223" s="35"/>
      <c r="W223" s="35"/>
      <c r="X223" s="35"/>
      <c r="Y223" s="35"/>
    </row>
    <row r="224" ht="15.75" customHeight="1">
      <c r="A224" s="35"/>
      <c r="B224" s="35"/>
      <c r="C224" s="35"/>
      <c r="D224" s="35"/>
      <c r="E224" s="35"/>
      <c r="F224" s="50"/>
      <c r="G224" s="35"/>
      <c r="H224" s="35"/>
      <c r="I224" s="35"/>
      <c r="J224" s="35"/>
      <c r="K224" s="35"/>
      <c r="L224" s="35"/>
      <c r="M224" s="35"/>
      <c r="N224" s="35"/>
      <c r="O224" s="35"/>
      <c r="P224" s="35"/>
      <c r="Q224" s="35"/>
      <c r="R224" s="35"/>
      <c r="S224" s="35"/>
      <c r="T224" s="35"/>
      <c r="U224" s="35"/>
      <c r="V224" s="35"/>
      <c r="W224" s="35"/>
      <c r="X224" s="35"/>
      <c r="Y224" s="35"/>
    </row>
    <row r="225" ht="15.75" customHeight="1">
      <c r="A225" s="35"/>
      <c r="B225" s="35"/>
      <c r="C225" s="35"/>
      <c r="D225" s="35"/>
      <c r="E225" s="35"/>
      <c r="F225" s="50"/>
      <c r="G225" s="35"/>
      <c r="H225" s="35"/>
      <c r="I225" s="35"/>
      <c r="J225" s="35"/>
      <c r="K225" s="35"/>
      <c r="L225" s="35"/>
      <c r="M225" s="35"/>
      <c r="N225" s="35"/>
      <c r="O225" s="35"/>
      <c r="P225" s="35"/>
      <c r="Q225" s="35"/>
      <c r="R225" s="35"/>
      <c r="S225" s="35"/>
      <c r="T225" s="35"/>
      <c r="U225" s="35"/>
      <c r="V225" s="35"/>
      <c r="W225" s="35"/>
      <c r="X225" s="35"/>
      <c r="Y225" s="35"/>
    </row>
    <row r="226" ht="15.75" customHeight="1">
      <c r="A226" s="35"/>
      <c r="B226" s="35"/>
      <c r="C226" s="35"/>
      <c r="D226" s="35"/>
      <c r="E226" s="35"/>
      <c r="F226" s="50"/>
      <c r="G226" s="35"/>
      <c r="H226" s="35"/>
      <c r="I226" s="35"/>
      <c r="J226" s="35"/>
      <c r="K226" s="35"/>
      <c r="L226" s="35"/>
      <c r="M226" s="35"/>
      <c r="N226" s="35"/>
      <c r="O226" s="35"/>
      <c r="P226" s="35"/>
      <c r="Q226" s="35"/>
      <c r="R226" s="35"/>
      <c r="S226" s="35"/>
      <c r="T226" s="35"/>
      <c r="U226" s="35"/>
      <c r="V226" s="35"/>
      <c r="W226" s="35"/>
      <c r="X226" s="35"/>
      <c r="Y226" s="35"/>
    </row>
    <row r="227" ht="15.75" customHeight="1">
      <c r="A227" s="35"/>
      <c r="B227" s="35"/>
      <c r="C227" s="35"/>
      <c r="D227" s="35"/>
      <c r="E227" s="35"/>
      <c r="F227" s="50"/>
      <c r="G227" s="35"/>
      <c r="H227" s="35"/>
      <c r="I227" s="35"/>
      <c r="J227" s="35"/>
      <c r="K227" s="35"/>
      <c r="L227" s="35"/>
      <c r="M227" s="35"/>
      <c r="N227" s="35"/>
      <c r="O227" s="35"/>
      <c r="P227" s="35"/>
      <c r="Q227" s="35"/>
      <c r="R227" s="35"/>
      <c r="S227" s="35"/>
      <c r="T227" s="35"/>
      <c r="U227" s="35"/>
      <c r="V227" s="35"/>
      <c r="W227" s="35"/>
      <c r="X227" s="35"/>
      <c r="Y227" s="35"/>
    </row>
    <row r="228" ht="15.75" customHeight="1">
      <c r="A228" s="35"/>
      <c r="B228" s="35"/>
      <c r="C228" s="35"/>
      <c r="D228" s="35"/>
      <c r="E228" s="35"/>
      <c r="F228" s="50"/>
      <c r="G228" s="35"/>
      <c r="H228" s="35"/>
      <c r="I228" s="35"/>
      <c r="J228" s="35"/>
      <c r="K228" s="35"/>
      <c r="L228" s="35"/>
      <c r="M228" s="35"/>
      <c r="N228" s="35"/>
      <c r="O228" s="35"/>
      <c r="P228" s="35"/>
      <c r="Q228" s="35"/>
      <c r="R228" s="35"/>
      <c r="S228" s="35"/>
      <c r="T228" s="35"/>
      <c r="U228" s="35"/>
      <c r="V228" s="35"/>
      <c r="W228" s="35"/>
      <c r="X228" s="35"/>
      <c r="Y228" s="35"/>
    </row>
    <row r="229" ht="15.75" customHeight="1">
      <c r="A229" s="35"/>
      <c r="B229" s="35"/>
      <c r="C229" s="35"/>
      <c r="D229" s="35"/>
      <c r="E229" s="35"/>
      <c r="F229" s="50"/>
      <c r="G229" s="35"/>
      <c r="H229" s="35"/>
      <c r="I229" s="35"/>
      <c r="J229" s="35"/>
      <c r="K229" s="35"/>
      <c r="L229" s="35"/>
      <c r="M229" s="35"/>
      <c r="N229" s="35"/>
      <c r="O229" s="35"/>
      <c r="P229" s="35"/>
      <c r="Q229" s="35"/>
      <c r="R229" s="35"/>
      <c r="S229" s="35"/>
      <c r="T229" s="35"/>
      <c r="U229" s="35"/>
      <c r="V229" s="35"/>
      <c r="W229" s="35"/>
      <c r="X229" s="35"/>
      <c r="Y229" s="35"/>
    </row>
    <row r="230" ht="15.75" customHeight="1">
      <c r="A230" s="35"/>
      <c r="B230" s="35"/>
      <c r="C230" s="35"/>
      <c r="D230" s="35"/>
      <c r="E230" s="35"/>
      <c r="F230" s="50"/>
      <c r="G230" s="35"/>
      <c r="H230" s="35"/>
      <c r="I230" s="35"/>
      <c r="J230" s="35"/>
      <c r="K230" s="35"/>
      <c r="L230" s="35"/>
      <c r="M230" s="35"/>
      <c r="N230" s="35"/>
      <c r="O230" s="35"/>
      <c r="P230" s="35"/>
      <c r="Q230" s="35"/>
      <c r="R230" s="35"/>
      <c r="S230" s="35"/>
      <c r="T230" s="35"/>
      <c r="U230" s="35"/>
      <c r="V230" s="35"/>
      <c r="W230" s="35"/>
      <c r="X230" s="35"/>
      <c r="Y230" s="35"/>
    </row>
    <row r="231" ht="15.75" customHeight="1">
      <c r="A231" s="35"/>
      <c r="B231" s="35"/>
      <c r="C231" s="35"/>
      <c r="D231" s="35"/>
      <c r="E231" s="35"/>
      <c r="F231" s="50"/>
      <c r="G231" s="35"/>
      <c r="H231" s="35"/>
      <c r="I231" s="35"/>
      <c r="J231" s="35"/>
      <c r="K231" s="35"/>
      <c r="L231" s="35"/>
      <c r="M231" s="35"/>
      <c r="N231" s="35"/>
      <c r="O231" s="35"/>
      <c r="P231" s="35"/>
      <c r="Q231" s="35"/>
      <c r="R231" s="35"/>
      <c r="S231" s="35"/>
      <c r="T231" s="35"/>
      <c r="U231" s="35"/>
      <c r="V231" s="35"/>
      <c r="W231" s="35"/>
      <c r="X231" s="35"/>
      <c r="Y231" s="35"/>
    </row>
    <row r="232" ht="15.75" customHeight="1">
      <c r="A232" s="35"/>
      <c r="B232" s="35"/>
      <c r="C232" s="35"/>
      <c r="D232" s="35"/>
      <c r="E232" s="35"/>
      <c r="F232" s="50"/>
      <c r="G232" s="35"/>
      <c r="H232" s="35"/>
      <c r="I232" s="35"/>
      <c r="J232" s="35"/>
      <c r="K232" s="35"/>
      <c r="L232" s="35"/>
      <c r="M232" s="35"/>
      <c r="N232" s="35"/>
      <c r="O232" s="35"/>
      <c r="P232" s="35"/>
      <c r="Q232" s="35"/>
      <c r="R232" s="35"/>
      <c r="S232" s="35"/>
      <c r="T232" s="35"/>
      <c r="U232" s="35"/>
      <c r="V232" s="35"/>
      <c r="W232" s="35"/>
      <c r="X232" s="35"/>
      <c r="Y232" s="35"/>
    </row>
    <row r="233" ht="15.75" customHeight="1">
      <c r="A233" s="35"/>
      <c r="B233" s="35"/>
      <c r="C233" s="35"/>
      <c r="D233" s="35"/>
      <c r="E233" s="35"/>
      <c r="F233" s="50"/>
      <c r="G233" s="35"/>
      <c r="H233" s="35"/>
      <c r="I233" s="35"/>
      <c r="J233" s="35"/>
      <c r="K233" s="35"/>
      <c r="L233" s="35"/>
      <c r="M233" s="35"/>
      <c r="N233" s="35"/>
      <c r="O233" s="35"/>
      <c r="P233" s="35"/>
      <c r="Q233" s="35"/>
      <c r="R233" s="35"/>
      <c r="S233" s="35"/>
      <c r="T233" s="35"/>
      <c r="U233" s="35"/>
      <c r="V233" s="35"/>
      <c r="W233" s="35"/>
      <c r="X233" s="35"/>
      <c r="Y233" s="35"/>
    </row>
    <row r="234" ht="15.75" customHeight="1">
      <c r="A234" s="35"/>
      <c r="B234" s="35"/>
      <c r="C234" s="35"/>
      <c r="D234" s="35"/>
      <c r="E234" s="35"/>
      <c r="F234" s="50"/>
      <c r="G234" s="35"/>
      <c r="H234" s="35"/>
      <c r="I234" s="35"/>
      <c r="J234" s="35"/>
      <c r="K234" s="35"/>
      <c r="L234" s="35"/>
      <c r="M234" s="35"/>
      <c r="N234" s="35"/>
      <c r="O234" s="35"/>
      <c r="P234" s="35"/>
      <c r="Q234" s="35"/>
      <c r="R234" s="35"/>
      <c r="S234" s="35"/>
      <c r="T234" s="35"/>
      <c r="U234" s="35"/>
      <c r="V234" s="35"/>
      <c r="W234" s="35"/>
      <c r="X234" s="35"/>
      <c r="Y234" s="35"/>
    </row>
    <row r="235" ht="15.75" customHeight="1">
      <c r="A235" s="35"/>
      <c r="B235" s="35"/>
      <c r="C235" s="35"/>
      <c r="D235" s="35"/>
      <c r="E235" s="35"/>
      <c r="F235" s="50"/>
      <c r="G235" s="35"/>
      <c r="H235" s="35"/>
      <c r="I235" s="35"/>
      <c r="J235" s="35"/>
      <c r="K235" s="35"/>
      <c r="L235" s="35"/>
      <c r="M235" s="35"/>
      <c r="N235" s="35"/>
      <c r="O235" s="35"/>
      <c r="P235" s="35"/>
      <c r="Q235" s="35"/>
      <c r="R235" s="35"/>
      <c r="S235" s="35"/>
      <c r="T235" s="35"/>
      <c r="U235" s="35"/>
      <c r="V235" s="35"/>
      <c r="W235" s="35"/>
      <c r="X235" s="35"/>
      <c r="Y235" s="35"/>
    </row>
    <row r="236" ht="15.75" customHeight="1">
      <c r="A236" s="35"/>
      <c r="B236" s="35"/>
      <c r="C236" s="35"/>
      <c r="D236" s="35"/>
      <c r="E236" s="35"/>
      <c r="F236" s="50"/>
      <c r="G236" s="35"/>
      <c r="H236" s="35"/>
      <c r="I236" s="35"/>
      <c r="J236" s="35"/>
      <c r="K236" s="35"/>
      <c r="L236" s="35"/>
      <c r="M236" s="35"/>
      <c r="N236" s="35"/>
      <c r="O236" s="35"/>
      <c r="P236" s="35"/>
      <c r="Q236" s="35"/>
      <c r="R236" s="35"/>
      <c r="S236" s="35"/>
      <c r="T236" s="35"/>
      <c r="U236" s="35"/>
      <c r="V236" s="35"/>
      <c r="W236" s="35"/>
      <c r="X236" s="35"/>
      <c r="Y236" s="35"/>
    </row>
    <row r="237" ht="15.75" customHeight="1">
      <c r="A237" s="35"/>
      <c r="B237" s="35"/>
      <c r="C237" s="35"/>
      <c r="D237" s="35"/>
      <c r="E237" s="35"/>
      <c r="F237" s="50"/>
      <c r="G237" s="35"/>
      <c r="H237" s="35"/>
      <c r="I237" s="35"/>
      <c r="J237" s="35"/>
      <c r="K237" s="35"/>
      <c r="L237" s="35"/>
      <c r="M237" s="35"/>
      <c r="N237" s="35"/>
      <c r="O237" s="35"/>
      <c r="P237" s="35"/>
      <c r="Q237" s="35"/>
      <c r="R237" s="35"/>
      <c r="S237" s="35"/>
      <c r="T237" s="35"/>
      <c r="U237" s="35"/>
      <c r="V237" s="35"/>
      <c r="W237" s="35"/>
      <c r="X237" s="35"/>
      <c r="Y237" s="35"/>
    </row>
    <row r="238" ht="15.75" customHeight="1">
      <c r="A238" s="35"/>
      <c r="B238" s="35"/>
      <c r="C238" s="35"/>
      <c r="D238" s="35"/>
      <c r="E238" s="35"/>
      <c r="F238" s="50"/>
      <c r="G238" s="35"/>
      <c r="H238" s="35"/>
      <c r="I238" s="35"/>
      <c r="J238" s="35"/>
      <c r="K238" s="35"/>
      <c r="L238" s="35"/>
      <c r="M238" s="35"/>
      <c r="N238" s="35"/>
      <c r="O238" s="35"/>
      <c r="P238" s="35"/>
      <c r="Q238" s="35"/>
      <c r="R238" s="35"/>
      <c r="S238" s="35"/>
      <c r="T238" s="35"/>
      <c r="U238" s="35"/>
      <c r="V238" s="35"/>
      <c r="W238" s="35"/>
      <c r="X238" s="35"/>
      <c r="Y238" s="35"/>
    </row>
    <row r="239" ht="15.75" customHeight="1">
      <c r="A239" s="35"/>
      <c r="B239" s="35"/>
      <c r="C239" s="35"/>
      <c r="D239" s="35"/>
      <c r="E239" s="35"/>
      <c r="F239" s="50"/>
      <c r="G239" s="35"/>
      <c r="H239" s="35"/>
      <c r="I239" s="35"/>
      <c r="J239" s="35"/>
      <c r="K239" s="35"/>
      <c r="L239" s="35"/>
      <c r="M239" s="35"/>
      <c r="N239" s="35"/>
      <c r="O239" s="35"/>
      <c r="P239" s="35"/>
      <c r="Q239" s="35"/>
      <c r="R239" s="35"/>
      <c r="S239" s="35"/>
      <c r="T239" s="35"/>
      <c r="U239" s="35"/>
      <c r="V239" s="35"/>
      <c r="W239" s="35"/>
      <c r="X239" s="35"/>
      <c r="Y239" s="35"/>
    </row>
    <row r="240" ht="15.75" customHeight="1">
      <c r="A240" s="35"/>
      <c r="B240" s="35"/>
      <c r="C240" s="35"/>
      <c r="D240" s="35"/>
      <c r="E240" s="35"/>
      <c r="F240" s="50"/>
      <c r="G240" s="35"/>
      <c r="H240" s="35"/>
      <c r="I240" s="35"/>
      <c r="J240" s="35"/>
      <c r="K240" s="35"/>
      <c r="L240" s="35"/>
      <c r="M240" s="35"/>
      <c r="N240" s="35"/>
      <c r="O240" s="35"/>
      <c r="P240" s="35"/>
      <c r="Q240" s="35"/>
      <c r="R240" s="35"/>
      <c r="S240" s="35"/>
      <c r="T240" s="35"/>
      <c r="U240" s="35"/>
      <c r="V240" s="35"/>
      <c r="W240" s="35"/>
      <c r="X240" s="35"/>
      <c r="Y240" s="35"/>
    </row>
    <row r="241" ht="15.75" customHeight="1">
      <c r="A241" s="35"/>
      <c r="B241" s="35"/>
      <c r="C241" s="35"/>
      <c r="D241" s="35"/>
      <c r="E241" s="35"/>
      <c r="F241" s="50"/>
      <c r="G241" s="35"/>
      <c r="H241" s="35"/>
      <c r="I241" s="35"/>
      <c r="J241" s="35"/>
      <c r="K241" s="35"/>
      <c r="L241" s="35"/>
      <c r="M241" s="35"/>
      <c r="N241" s="35"/>
      <c r="O241" s="35"/>
      <c r="P241" s="35"/>
      <c r="Q241" s="35"/>
      <c r="R241" s="35"/>
      <c r="S241" s="35"/>
      <c r="T241" s="35"/>
      <c r="U241" s="35"/>
      <c r="V241" s="35"/>
      <c r="W241" s="35"/>
      <c r="X241" s="35"/>
      <c r="Y241" s="35"/>
    </row>
    <row r="242" ht="15.75" customHeight="1">
      <c r="A242" s="35"/>
      <c r="B242" s="35"/>
      <c r="C242" s="35"/>
      <c r="D242" s="35"/>
      <c r="E242" s="35"/>
      <c r="F242" s="50"/>
      <c r="G242" s="35"/>
      <c r="H242" s="35"/>
      <c r="I242" s="35"/>
      <c r="J242" s="35"/>
      <c r="K242" s="35"/>
      <c r="L242" s="35"/>
      <c r="M242" s="35"/>
      <c r="N242" s="35"/>
      <c r="O242" s="35"/>
      <c r="P242" s="35"/>
      <c r="Q242" s="35"/>
      <c r="R242" s="35"/>
      <c r="S242" s="35"/>
      <c r="T242" s="35"/>
      <c r="U242" s="35"/>
      <c r="V242" s="35"/>
      <c r="W242" s="35"/>
      <c r="X242" s="35"/>
      <c r="Y242" s="35"/>
    </row>
    <row r="243" ht="15.75" customHeight="1">
      <c r="A243" s="35"/>
      <c r="B243" s="35"/>
      <c r="C243" s="35"/>
      <c r="D243" s="35"/>
      <c r="E243" s="35"/>
      <c r="F243" s="50"/>
      <c r="G243" s="35"/>
      <c r="H243" s="35"/>
      <c r="I243" s="35"/>
      <c r="J243" s="35"/>
      <c r="K243" s="35"/>
      <c r="L243" s="35"/>
      <c r="M243" s="35"/>
      <c r="N243" s="35"/>
      <c r="O243" s="35"/>
      <c r="P243" s="35"/>
      <c r="Q243" s="35"/>
      <c r="R243" s="35"/>
      <c r="S243" s="35"/>
      <c r="T243" s="35"/>
      <c r="U243" s="35"/>
      <c r="V243" s="35"/>
      <c r="W243" s="35"/>
      <c r="X243" s="35"/>
      <c r="Y243" s="35"/>
    </row>
    <row r="244" ht="15.75" customHeight="1">
      <c r="A244" s="35"/>
      <c r="B244" s="35"/>
      <c r="C244" s="35"/>
      <c r="D244" s="35"/>
      <c r="E244" s="35"/>
      <c r="F244" s="50"/>
      <c r="G244" s="35"/>
      <c r="H244" s="35"/>
      <c r="I244" s="35"/>
      <c r="J244" s="35"/>
      <c r="K244" s="35"/>
      <c r="L244" s="35"/>
      <c r="M244" s="35"/>
      <c r="N244" s="35"/>
      <c r="O244" s="35"/>
      <c r="P244" s="35"/>
      <c r="Q244" s="35"/>
      <c r="R244" s="35"/>
      <c r="S244" s="35"/>
      <c r="T244" s="35"/>
      <c r="U244" s="35"/>
      <c r="V244" s="35"/>
      <c r="W244" s="35"/>
      <c r="X244" s="35"/>
      <c r="Y244" s="35"/>
    </row>
    <row r="245" ht="15.75" customHeight="1">
      <c r="A245" s="35"/>
      <c r="B245" s="35"/>
      <c r="C245" s="35"/>
      <c r="D245" s="35"/>
      <c r="E245" s="35"/>
      <c r="F245" s="50"/>
      <c r="G245" s="35"/>
      <c r="H245" s="35"/>
      <c r="I245" s="35"/>
      <c r="J245" s="35"/>
      <c r="K245" s="35"/>
      <c r="L245" s="35"/>
      <c r="M245" s="35"/>
      <c r="N245" s="35"/>
      <c r="O245" s="35"/>
      <c r="P245" s="35"/>
      <c r="Q245" s="35"/>
      <c r="R245" s="35"/>
      <c r="S245" s="35"/>
      <c r="T245" s="35"/>
      <c r="U245" s="35"/>
      <c r="V245" s="35"/>
      <c r="W245" s="35"/>
      <c r="X245" s="35"/>
      <c r="Y245" s="35"/>
    </row>
    <row r="246" ht="15.75" customHeight="1">
      <c r="A246" s="35"/>
      <c r="B246" s="35"/>
      <c r="C246" s="35"/>
      <c r="D246" s="35"/>
      <c r="E246" s="35"/>
      <c r="F246" s="50"/>
      <c r="G246" s="35"/>
      <c r="H246" s="35"/>
      <c r="I246" s="35"/>
      <c r="J246" s="35"/>
      <c r="K246" s="35"/>
      <c r="L246" s="35"/>
      <c r="M246" s="35"/>
      <c r="N246" s="35"/>
      <c r="O246" s="35"/>
      <c r="P246" s="35"/>
      <c r="Q246" s="35"/>
      <c r="R246" s="35"/>
      <c r="S246" s="35"/>
      <c r="T246" s="35"/>
      <c r="U246" s="35"/>
      <c r="V246" s="35"/>
      <c r="W246" s="35"/>
      <c r="X246" s="35"/>
      <c r="Y246" s="35"/>
    </row>
    <row r="247" ht="15.75" customHeight="1">
      <c r="A247" s="35"/>
      <c r="B247" s="35"/>
      <c r="C247" s="35"/>
      <c r="D247" s="35"/>
      <c r="E247" s="35"/>
      <c r="F247" s="50"/>
      <c r="G247" s="35"/>
      <c r="H247" s="35"/>
      <c r="I247" s="35"/>
      <c r="J247" s="35"/>
      <c r="K247" s="35"/>
      <c r="L247" s="35"/>
      <c r="M247" s="35"/>
      <c r="N247" s="35"/>
      <c r="O247" s="35"/>
      <c r="P247" s="35"/>
      <c r="Q247" s="35"/>
      <c r="R247" s="35"/>
      <c r="S247" s="35"/>
      <c r="T247" s="35"/>
      <c r="U247" s="35"/>
      <c r="V247" s="35"/>
      <c r="W247" s="35"/>
      <c r="X247" s="35"/>
      <c r="Y247" s="35"/>
    </row>
    <row r="248" ht="15.75" customHeight="1">
      <c r="A248" s="35"/>
      <c r="B248" s="35"/>
      <c r="C248" s="35"/>
      <c r="D248" s="35"/>
      <c r="E248" s="35"/>
      <c r="F248" s="50"/>
      <c r="G248" s="35"/>
      <c r="H248" s="35"/>
      <c r="I248" s="35"/>
      <c r="J248" s="35"/>
      <c r="K248" s="35"/>
      <c r="L248" s="35"/>
      <c r="M248" s="35"/>
      <c r="N248" s="35"/>
      <c r="O248" s="35"/>
      <c r="P248" s="35"/>
      <c r="Q248" s="35"/>
      <c r="R248" s="35"/>
      <c r="S248" s="35"/>
      <c r="T248" s="35"/>
      <c r="U248" s="35"/>
      <c r="V248" s="35"/>
      <c r="W248" s="35"/>
      <c r="X248" s="35"/>
      <c r="Y248" s="35"/>
    </row>
    <row r="249" ht="15.75" customHeight="1">
      <c r="A249" s="35"/>
      <c r="B249" s="35"/>
      <c r="C249" s="35"/>
      <c r="D249" s="35"/>
      <c r="E249" s="35"/>
      <c r="F249" s="50"/>
      <c r="G249" s="35"/>
      <c r="H249" s="35"/>
      <c r="I249" s="35"/>
      <c r="J249" s="35"/>
      <c r="K249" s="35"/>
      <c r="L249" s="35"/>
      <c r="M249" s="35"/>
      <c r="N249" s="35"/>
      <c r="O249" s="35"/>
      <c r="P249" s="35"/>
      <c r="Q249" s="35"/>
      <c r="R249" s="35"/>
      <c r="S249" s="35"/>
      <c r="T249" s="35"/>
      <c r="U249" s="35"/>
      <c r="V249" s="35"/>
      <c r="W249" s="35"/>
      <c r="X249" s="35"/>
      <c r="Y249" s="35"/>
    </row>
    <row r="250" ht="15.75" customHeight="1">
      <c r="A250" s="35"/>
      <c r="B250" s="35"/>
      <c r="C250" s="35"/>
      <c r="D250" s="35"/>
      <c r="E250" s="35"/>
      <c r="F250" s="50"/>
      <c r="G250" s="35"/>
      <c r="H250" s="35"/>
      <c r="I250" s="35"/>
      <c r="J250" s="35"/>
      <c r="K250" s="35"/>
      <c r="L250" s="35"/>
      <c r="M250" s="35"/>
      <c r="N250" s="35"/>
      <c r="O250" s="35"/>
      <c r="P250" s="35"/>
      <c r="Q250" s="35"/>
      <c r="R250" s="35"/>
      <c r="S250" s="35"/>
      <c r="T250" s="35"/>
      <c r="U250" s="35"/>
      <c r="V250" s="35"/>
      <c r="W250" s="35"/>
      <c r="X250" s="35"/>
      <c r="Y250" s="35"/>
    </row>
    <row r="251" ht="15.75" customHeight="1">
      <c r="A251" s="35"/>
      <c r="B251" s="35"/>
      <c r="C251" s="35"/>
      <c r="D251" s="35"/>
      <c r="E251" s="35"/>
      <c r="F251" s="50"/>
      <c r="G251" s="35"/>
      <c r="H251" s="35"/>
      <c r="I251" s="35"/>
      <c r="J251" s="35"/>
      <c r="K251" s="35"/>
      <c r="L251" s="35"/>
      <c r="M251" s="35"/>
      <c r="N251" s="35"/>
      <c r="O251" s="35"/>
      <c r="P251" s="35"/>
      <c r="Q251" s="35"/>
      <c r="R251" s="35"/>
      <c r="S251" s="35"/>
      <c r="T251" s="35"/>
      <c r="U251" s="35"/>
      <c r="V251" s="35"/>
      <c r="W251" s="35"/>
      <c r="X251" s="35"/>
      <c r="Y251" s="35"/>
    </row>
    <row r="252" ht="15.75" customHeight="1">
      <c r="A252" s="35"/>
      <c r="B252" s="35"/>
      <c r="C252" s="35"/>
      <c r="D252" s="35"/>
      <c r="E252" s="35"/>
      <c r="F252" s="50"/>
      <c r="G252" s="35"/>
      <c r="H252" s="35"/>
      <c r="I252" s="35"/>
      <c r="J252" s="35"/>
      <c r="K252" s="35"/>
      <c r="L252" s="35"/>
      <c r="M252" s="35"/>
      <c r="N252" s="35"/>
      <c r="O252" s="35"/>
      <c r="P252" s="35"/>
      <c r="Q252" s="35"/>
      <c r="R252" s="35"/>
      <c r="S252" s="35"/>
      <c r="T252" s="35"/>
      <c r="U252" s="35"/>
      <c r="V252" s="35"/>
      <c r="W252" s="35"/>
      <c r="X252" s="35"/>
      <c r="Y252" s="35"/>
    </row>
    <row r="253" ht="15.75" customHeight="1">
      <c r="A253" s="35"/>
      <c r="B253" s="35"/>
      <c r="C253" s="35"/>
      <c r="D253" s="35"/>
      <c r="E253" s="35"/>
      <c r="F253" s="50"/>
      <c r="G253" s="35"/>
      <c r="H253" s="35"/>
      <c r="I253" s="35"/>
      <c r="J253" s="35"/>
      <c r="K253" s="35"/>
      <c r="L253" s="35"/>
      <c r="M253" s="35"/>
      <c r="N253" s="35"/>
      <c r="O253" s="35"/>
      <c r="P253" s="35"/>
      <c r="Q253" s="35"/>
      <c r="R253" s="35"/>
      <c r="S253" s="35"/>
      <c r="T253" s="35"/>
      <c r="U253" s="35"/>
      <c r="V253" s="35"/>
      <c r="W253" s="35"/>
      <c r="X253" s="35"/>
      <c r="Y253" s="35"/>
    </row>
    <row r="254" ht="15.75" customHeight="1">
      <c r="A254" s="35"/>
      <c r="B254" s="35"/>
      <c r="C254" s="35"/>
      <c r="D254" s="35"/>
      <c r="E254" s="35"/>
      <c r="F254" s="50"/>
      <c r="G254" s="35"/>
      <c r="H254" s="35"/>
      <c r="I254" s="35"/>
      <c r="J254" s="35"/>
      <c r="K254" s="35"/>
      <c r="L254" s="35"/>
      <c r="M254" s="35"/>
      <c r="N254" s="35"/>
      <c r="O254" s="35"/>
      <c r="P254" s="35"/>
      <c r="Q254" s="35"/>
      <c r="R254" s="35"/>
      <c r="S254" s="35"/>
      <c r="T254" s="35"/>
      <c r="U254" s="35"/>
      <c r="V254" s="35"/>
      <c r="W254" s="35"/>
      <c r="X254" s="35"/>
      <c r="Y254" s="35"/>
    </row>
    <row r="255" ht="15.75" customHeight="1">
      <c r="A255" s="35"/>
      <c r="B255" s="35"/>
      <c r="C255" s="35"/>
      <c r="D255" s="35"/>
      <c r="E255" s="35"/>
      <c r="F255" s="50"/>
      <c r="G255" s="35"/>
      <c r="H255" s="35"/>
      <c r="I255" s="35"/>
      <c r="J255" s="35"/>
      <c r="K255" s="35"/>
      <c r="L255" s="35"/>
      <c r="M255" s="35"/>
      <c r="N255" s="35"/>
      <c r="O255" s="35"/>
      <c r="P255" s="35"/>
      <c r="Q255" s="35"/>
      <c r="R255" s="35"/>
      <c r="S255" s="35"/>
      <c r="T255" s="35"/>
      <c r="U255" s="35"/>
      <c r="V255" s="35"/>
      <c r="W255" s="35"/>
      <c r="X255" s="35"/>
      <c r="Y255" s="35"/>
    </row>
    <row r="256" ht="15.75" customHeight="1">
      <c r="A256" s="35"/>
      <c r="B256" s="35"/>
      <c r="C256" s="35"/>
      <c r="D256" s="35"/>
      <c r="E256" s="35"/>
      <c r="F256" s="50"/>
      <c r="G256" s="35"/>
      <c r="H256" s="35"/>
      <c r="I256" s="35"/>
      <c r="J256" s="35"/>
      <c r="K256" s="35"/>
      <c r="L256" s="35"/>
      <c r="M256" s="35"/>
      <c r="N256" s="35"/>
      <c r="O256" s="35"/>
      <c r="P256" s="35"/>
      <c r="Q256" s="35"/>
      <c r="R256" s="35"/>
      <c r="S256" s="35"/>
      <c r="T256" s="35"/>
      <c r="U256" s="35"/>
      <c r="V256" s="35"/>
      <c r="W256" s="35"/>
      <c r="X256" s="35"/>
      <c r="Y256" s="35"/>
    </row>
    <row r="257" ht="15.75" customHeight="1">
      <c r="A257" s="35"/>
      <c r="B257" s="35"/>
      <c r="C257" s="35"/>
      <c r="D257" s="35"/>
      <c r="E257" s="35"/>
      <c r="F257" s="50"/>
      <c r="G257" s="35"/>
      <c r="H257" s="35"/>
      <c r="I257" s="35"/>
      <c r="J257" s="35"/>
      <c r="K257" s="35"/>
      <c r="L257" s="35"/>
      <c r="M257" s="35"/>
      <c r="N257" s="35"/>
      <c r="O257" s="35"/>
      <c r="P257" s="35"/>
      <c r="Q257" s="35"/>
      <c r="R257" s="35"/>
      <c r="S257" s="35"/>
      <c r="T257" s="35"/>
      <c r="U257" s="35"/>
      <c r="V257" s="35"/>
      <c r="W257" s="35"/>
      <c r="X257" s="35"/>
      <c r="Y257" s="35"/>
    </row>
    <row r="258" ht="15.75" customHeight="1">
      <c r="A258" s="35"/>
      <c r="B258" s="35"/>
      <c r="C258" s="35"/>
      <c r="D258" s="35"/>
      <c r="E258" s="35"/>
      <c r="F258" s="50"/>
      <c r="G258" s="35"/>
      <c r="H258" s="35"/>
      <c r="I258" s="35"/>
      <c r="J258" s="35"/>
      <c r="K258" s="35"/>
      <c r="L258" s="35"/>
      <c r="M258" s="35"/>
      <c r="N258" s="35"/>
      <c r="O258" s="35"/>
      <c r="P258" s="35"/>
      <c r="Q258" s="35"/>
      <c r="R258" s="35"/>
      <c r="S258" s="35"/>
      <c r="T258" s="35"/>
      <c r="U258" s="35"/>
      <c r="V258" s="35"/>
      <c r="W258" s="35"/>
      <c r="X258" s="35"/>
      <c r="Y258" s="35"/>
    </row>
    <row r="259" ht="15.75" customHeight="1">
      <c r="A259" s="35"/>
      <c r="B259" s="35"/>
      <c r="C259" s="35"/>
      <c r="D259" s="35"/>
      <c r="E259" s="35"/>
      <c r="F259" s="50"/>
      <c r="G259" s="35"/>
      <c r="H259" s="35"/>
      <c r="I259" s="35"/>
      <c r="J259" s="35"/>
      <c r="K259" s="35"/>
      <c r="L259" s="35"/>
      <c r="M259" s="35"/>
      <c r="N259" s="35"/>
      <c r="O259" s="35"/>
      <c r="P259" s="35"/>
      <c r="Q259" s="35"/>
      <c r="R259" s="35"/>
      <c r="S259" s="35"/>
      <c r="T259" s="35"/>
      <c r="U259" s="35"/>
      <c r="V259" s="35"/>
      <c r="W259" s="35"/>
      <c r="X259" s="35"/>
      <c r="Y259" s="35"/>
    </row>
    <row r="260" ht="15.75" customHeight="1">
      <c r="A260" s="35"/>
      <c r="B260" s="35"/>
      <c r="C260" s="35"/>
      <c r="D260" s="35"/>
      <c r="E260" s="35"/>
      <c r="F260" s="50"/>
      <c r="G260" s="35"/>
      <c r="H260" s="35"/>
      <c r="I260" s="35"/>
      <c r="J260" s="35"/>
      <c r="K260" s="35"/>
      <c r="L260" s="35"/>
      <c r="M260" s="35"/>
      <c r="N260" s="35"/>
      <c r="O260" s="35"/>
      <c r="P260" s="35"/>
      <c r="Q260" s="35"/>
      <c r="R260" s="35"/>
      <c r="S260" s="35"/>
      <c r="T260" s="35"/>
      <c r="U260" s="35"/>
      <c r="V260" s="35"/>
      <c r="W260" s="35"/>
      <c r="X260" s="35"/>
      <c r="Y260" s="35"/>
    </row>
    <row r="261" ht="15.75" customHeight="1">
      <c r="A261" s="35"/>
      <c r="B261" s="35"/>
      <c r="C261" s="35"/>
      <c r="D261" s="35"/>
      <c r="E261" s="35"/>
      <c r="F261" s="50"/>
      <c r="G261" s="35"/>
      <c r="H261" s="35"/>
      <c r="I261" s="35"/>
      <c r="J261" s="35"/>
      <c r="K261" s="35"/>
      <c r="L261" s="35"/>
      <c r="M261" s="35"/>
      <c r="N261" s="35"/>
      <c r="O261" s="35"/>
      <c r="P261" s="35"/>
      <c r="Q261" s="35"/>
      <c r="R261" s="35"/>
      <c r="S261" s="35"/>
      <c r="T261" s="35"/>
      <c r="U261" s="35"/>
      <c r="V261" s="35"/>
      <c r="W261" s="35"/>
      <c r="X261" s="35"/>
      <c r="Y261" s="35"/>
    </row>
    <row r="262" ht="15.75" customHeight="1">
      <c r="A262" s="35"/>
      <c r="B262" s="35"/>
      <c r="C262" s="35"/>
      <c r="D262" s="35"/>
      <c r="E262" s="35"/>
      <c r="F262" s="50"/>
      <c r="G262" s="35"/>
      <c r="H262" s="35"/>
      <c r="I262" s="35"/>
      <c r="J262" s="35"/>
      <c r="K262" s="35"/>
      <c r="L262" s="35"/>
      <c r="M262" s="35"/>
      <c r="N262" s="35"/>
      <c r="O262" s="35"/>
      <c r="P262" s="35"/>
      <c r="Q262" s="35"/>
      <c r="R262" s="35"/>
      <c r="S262" s="35"/>
      <c r="T262" s="35"/>
      <c r="U262" s="35"/>
      <c r="V262" s="35"/>
      <c r="W262" s="35"/>
      <c r="X262" s="35"/>
      <c r="Y262" s="35"/>
    </row>
    <row r="263" ht="15.75" customHeight="1">
      <c r="A263" s="35"/>
      <c r="B263" s="35"/>
      <c r="C263" s="35"/>
      <c r="D263" s="35"/>
      <c r="E263" s="35"/>
      <c r="F263" s="50"/>
      <c r="G263" s="35"/>
      <c r="H263" s="35"/>
      <c r="I263" s="35"/>
      <c r="J263" s="35"/>
      <c r="K263" s="35"/>
      <c r="L263" s="35"/>
      <c r="M263" s="35"/>
      <c r="N263" s="35"/>
      <c r="O263" s="35"/>
      <c r="P263" s="35"/>
      <c r="Q263" s="35"/>
      <c r="R263" s="35"/>
      <c r="S263" s="35"/>
      <c r="T263" s="35"/>
      <c r="U263" s="35"/>
      <c r="V263" s="35"/>
      <c r="W263" s="35"/>
      <c r="X263" s="35"/>
      <c r="Y263" s="35"/>
    </row>
    <row r="264" ht="15.75" customHeight="1">
      <c r="A264" s="35"/>
      <c r="B264" s="35"/>
      <c r="C264" s="35"/>
      <c r="D264" s="35"/>
      <c r="E264" s="35"/>
      <c r="F264" s="50"/>
      <c r="G264" s="35"/>
      <c r="H264" s="35"/>
      <c r="I264" s="35"/>
      <c r="J264" s="35"/>
      <c r="K264" s="35"/>
      <c r="L264" s="35"/>
      <c r="M264" s="35"/>
      <c r="N264" s="35"/>
      <c r="O264" s="35"/>
      <c r="P264" s="35"/>
      <c r="Q264" s="35"/>
      <c r="R264" s="35"/>
      <c r="S264" s="35"/>
      <c r="T264" s="35"/>
      <c r="U264" s="35"/>
      <c r="V264" s="35"/>
      <c r="W264" s="35"/>
      <c r="X264" s="35"/>
      <c r="Y264" s="35"/>
    </row>
    <row r="265" ht="15.75" customHeight="1">
      <c r="A265" s="35"/>
      <c r="B265" s="35"/>
      <c r="C265" s="35"/>
      <c r="D265" s="35"/>
      <c r="E265" s="35"/>
      <c r="F265" s="50"/>
      <c r="G265" s="35"/>
      <c r="H265" s="35"/>
      <c r="I265" s="35"/>
      <c r="J265" s="35"/>
      <c r="K265" s="35"/>
      <c r="L265" s="35"/>
      <c r="M265" s="35"/>
      <c r="N265" s="35"/>
      <c r="O265" s="35"/>
      <c r="P265" s="35"/>
      <c r="Q265" s="35"/>
      <c r="R265" s="35"/>
      <c r="S265" s="35"/>
      <c r="T265" s="35"/>
      <c r="U265" s="35"/>
      <c r="V265" s="35"/>
      <c r="W265" s="35"/>
      <c r="X265" s="35"/>
      <c r="Y265" s="35"/>
    </row>
    <row r="266" ht="15.75" customHeight="1">
      <c r="A266" s="35"/>
      <c r="B266" s="35"/>
      <c r="C266" s="35"/>
      <c r="D266" s="35"/>
      <c r="E266" s="35"/>
      <c r="F266" s="50"/>
      <c r="G266" s="35"/>
      <c r="H266" s="35"/>
      <c r="I266" s="35"/>
      <c r="J266" s="35"/>
      <c r="K266" s="35"/>
      <c r="L266" s="35"/>
      <c r="M266" s="35"/>
      <c r="N266" s="35"/>
      <c r="O266" s="35"/>
      <c r="P266" s="35"/>
      <c r="Q266" s="35"/>
      <c r="R266" s="35"/>
      <c r="S266" s="35"/>
      <c r="T266" s="35"/>
      <c r="U266" s="35"/>
      <c r="V266" s="35"/>
      <c r="W266" s="35"/>
      <c r="X266" s="35"/>
      <c r="Y266" s="35"/>
    </row>
    <row r="267" ht="15.75" customHeight="1">
      <c r="A267" s="35"/>
      <c r="B267" s="35"/>
      <c r="C267" s="35"/>
      <c r="D267" s="35"/>
      <c r="E267" s="35"/>
      <c r="F267" s="50"/>
      <c r="G267" s="35"/>
      <c r="H267" s="35"/>
      <c r="I267" s="35"/>
      <c r="J267" s="35"/>
      <c r="K267" s="35"/>
      <c r="L267" s="35"/>
      <c r="M267" s="35"/>
      <c r="N267" s="35"/>
      <c r="O267" s="35"/>
      <c r="P267" s="35"/>
      <c r="Q267" s="35"/>
      <c r="R267" s="35"/>
      <c r="S267" s="35"/>
      <c r="T267" s="35"/>
      <c r="U267" s="35"/>
      <c r="V267" s="35"/>
      <c r="W267" s="35"/>
      <c r="X267" s="35"/>
      <c r="Y267" s="35"/>
    </row>
    <row r="268" ht="15.75" customHeight="1">
      <c r="A268" s="35"/>
      <c r="B268" s="35"/>
      <c r="C268" s="35"/>
      <c r="D268" s="35"/>
      <c r="E268" s="35"/>
      <c r="F268" s="50"/>
      <c r="G268" s="35"/>
      <c r="H268" s="35"/>
      <c r="I268" s="35"/>
      <c r="J268" s="35"/>
      <c r="K268" s="35"/>
      <c r="L268" s="35"/>
      <c r="M268" s="35"/>
      <c r="N268" s="35"/>
      <c r="O268" s="35"/>
      <c r="P268" s="35"/>
      <c r="Q268" s="35"/>
      <c r="R268" s="35"/>
      <c r="S268" s="35"/>
      <c r="T268" s="35"/>
      <c r="U268" s="35"/>
      <c r="V268" s="35"/>
      <c r="W268" s="35"/>
      <c r="X268" s="35"/>
      <c r="Y268" s="35"/>
    </row>
    <row r="269" ht="15.75" customHeight="1">
      <c r="A269" s="35"/>
      <c r="B269" s="35"/>
      <c r="C269" s="35"/>
      <c r="D269" s="35"/>
      <c r="E269" s="35"/>
      <c r="F269" s="50"/>
      <c r="G269" s="35"/>
      <c r="H269" s="35"/>
      <c r="I269" s="35"/>
      <c r="J269" s="35"/>
      <c r="K269" s="35"/>
      <c r="L269" s="35"/>
      <c r="M269" s="35"/>
      <c r="N269" s="35"/>
      <c r="O269" s="35"/>
      <c r="P269" s="35"/>
      <c r="Q269" s="35"/>
      <c r="R269" s="35"/>
      <c r="S269" s="35"/>
      <c r="T269" s="35"/>
      <c r="U269" s="35"/>
      <c r="V269" s="35"/>
      <c r="W269" s="35"/>
      <c r="X269" s="35"/>
      <c r="Y269" s="35"/>
    </row>
    <row r="270" ht="15.75" customHeight="1">
      <c r="A270" s="35"/>
      <c r="B270" s="35"/>
      <c r="C270" s="35"/>
      <c r="D270" s="35"/>
      <c r="E270" s="35"/>
      <c r="F270" s="50"/>
      <c r="G270" s="35"/>
      <c r="H270" s="35"/>
      <c r="I270" s="35"/>
      <c r="J270" s="35"/>
      <c r="K270" s="35"/>
      <c r="L270" s="35"/>
      <c r="M270" s="35"/>
      <c r="N270" s="35"/>
      <c r="O270" s="35"/>
      <c r="P270" s="35"/>
      <c r="Q270" s="35"/>
      <c r="R270" s="35"/>
      <c r="S270" s="35"/>
      <c r="T270" s="35"/>
      <c r="U270" s="35"/>
      <c r="V270" s="35"/>
      <c r="W270" s="35"/>
      <c r="X270" s="35"/>
      <c r="Y270" s="35"/>
    </row>
    <row r="271" ht="15.75" customHeight="1">
      <c r="A271" s="35"/>
      <c r="B271" s="35"/>
      <c r="C271" s="35"/>
      <c r="D271" s="35"/>
      <c r="E271" s="35"/>
      <c r="F271" s="50"/>
      <c r="G271" s="35"/>
      <c r="H271" s="35"/>
      <c r="I271" s="35"/>
      <c r="J271" s="35"/>
      <c r="K271" s="35"/>
      <c r="L271" s="35"/>
      <c r="M271" s="35"/>
      <c r="N271" s="35"/>
      <c r="O271" s="35"/>
      <c r="P271" s="35"/>
      <c r="Q271" s="35"/>
      <c r="R271" s="35"/>
      <c r="S271" s="35"/>
      <c r="T271" s="35"/>
      <c r="U271" s="35"/>
      <c r="V271" s="35"/>
      <c r="W271" s="35"/>
      <c r="X271" s="35"/>
      <c r="Y271" s="35"/>
    </row>
    <row r="272" ht="15.75" customHeight="1">
      <c r="A272" s="35"/>
      <c r="B272" s="35"/>
      <c r="C272" s="35"/>
      <c r="D272" s="35"/>
      <c r="E272" s="35"/>
      <c r="F272" s="50"/>
      <c r="G272" s="35"/>
      <c r="H272" s="35"/>
      <c r="I272" s="35"/>
      <c r="J272" s="35"/>
      <c r="K272" s="35"/>
      <c r="L272" s="35"/>
      <c r="M272" s="35"/>
      <c r="N272" s="35"/>
      <c r="O272" s="35"/>
      <c r="P272" s="35"/>
      <c r="Q272" s="35"/>
      <c r="R272" s="35"/>
      <c r="S272" s="35"/>
      <c r="T272" s="35"/>
      <c r="U272" s="35"/>
      <c r="V272" s="35"/>
      <c r="W272" s="35"/>
      <c r="X272" s="35"/>
      <c r="Y272" s="35"/>
    </row>
    <row r="273" ht="15.75" customHeight="1">
      <c r="A273" s="35"/>
      <c r="B273" s="35"/>
      <c r="C273" s="35"/>
      <c r="D273" s="35"/>
      <c r="E273" s="35"/>
      <c r="F273" s="50"/>
      <c r="G273" s="35"/>
      <c r="H273" s="35"/>
      <c r="I273" s="35"/>
      <c r="J273" s="35"/>
      <c r="K273" s="35"/>
      <c r="L273" s="35"/>
      <c r="M273" s="35"/>
      <c r="N273" s="35"/>
      <c r="O273" s="35"/>
      <c r="P273" s="35"/>
      <c r="Q273" s="35"/>
      <c r="R273" s="35"/>
      <c r="S273" s="35"/>
      <c r="T273" s="35"/>
      <c r="U273" s="35"/>
      <c r="V273" s="35"/>
      <c r="W273" s="35"/>
      <c r="X273" s="35"/>
      <c r="Y273" s="35"/>
    </row>
    <row r="274" ht="15.75" customHeight="1">
      <c r="A274" s="35"/>
      <c r="B274" s="35"/>
      <c r="C274" s="35"/>
      <c r="D274" s="35"/>
      <c r="E274" s="35"/>
      <c r="F274" s="50"/>
      <c r="G274" s="35"/>
      <c r="H274" s="35"/>
      <c r="I274" s="35"/>
      <c r="J274" s="35"/>
      <c r="K274" s="35"/>
      <c r="L274" s="35"/>
      <c r="M274" s="35"/>
      <c r="N274" s="35"/>
      <c r="O274" s="35"/>
      <c r="P274" s="35"/>
      <c r="Q274" s="35"/>
      <c r="R274" s="35"/>
      <c r="S274" s="35"/>
      <c r="T274" s="35"/>
      <c r="U274" s="35"/>
      <c r="V274" s="35"/>
      <c r="W274" s="35"/>
      <c r="X274" s="35"/>
      <c r="Y274" s="35"/>
    </row>
    <row r="275" ht="15.75" customHeight="1">
      <c r="A275" s="35"/>
      <c r="B275" s="35"/>
      <c r="C275" s="35"/>
      <c r="D275" s="35"/>
      <c r="E275" s="35"/>
      <c r="F275" s="50"/>
      <c r="G275" s="35"/>
      <c r="H275" s="35"/>
      <c r="I275" s="35"/>
      <c r="J275" s="35"/>
      <c r="K275" s="35"/>
      <c r="L275" s="35"/>
      <c r="M275" s="35"/>
      <c r="N275" s="35"/>
      <c r="O275" s="35"/>
      <c r="P275" s="35"/>
      <c r="Q275" s="35"/>
      <c r="R275" s="35"/>
      <c r="S275" s="35"/>
      <c r="T275" s="35"/>
      <c r="U275" s="35"/>
      <c r="V275" s="35"/>
      <c r="W275" s="35"/>
      <c r="X275" s="35"/>
      <c r="Y275" s="35"/>
    </row>
    <row r="276" ht="15.75" customHeight="1">
      <c r="A276" s="35"/>
      <c r="B276" s="35"/>
      <c r="C276" s="35"/>
      <c r="D276" s="35"/>
      <c r="E276" s="35"/>
      <c r="F276" s="50"/>
      <c r="G276" s="35"/>
      <c r="H276" s="35"/>
      <c r="I276" s="35"/>
      <c r="J276" s="35"/>
      <c r="K276" s="35"/>
      <c r="L276" s="35"/>
      <c r="M276" s="35"/>
      <c r="N276" s="35"/>
      <c r="O276" s="35"/>
      <c r="P276" s="35"/>
      <c r="Q276" s="35"/>
      <c r="R276" s="35"/>
      <c r="S276" s="35"/>
      <c r="T276" s="35"/>
      <c r="U276" s="35"/>
      <c r="V276" s="35"/>
      <c r="W276" s="35"/>
      <c r="X276" s="35"/>
      <c r="Y276" s="35"/>
    </row>
    <row r="277" ht="15.75" customHeight="1">
      <c r="A277" s="35"/>
      <c r="B277" s="35"/>
      <c r="C277" s="35"/>
      <c r="D277" s="35"/>
      <c r="E277" s="35"/>
      <c r="F277" s="50"/>
      <c r="G277" s="35"/>
      <c r="H277" s="35"/>
      <c r="I277" s="35"/>
      <c r="J277" s="35"/>
      <c r="K277" s="35"/>
      <c r="L277" s="35"/>
      <c r="M277" s="35"/>
      <c r="N277" s="35"/>
      <c r="O277" s="35"/>
      <c r="P277" s="35"/>
      <c r="Q277" s="35"/>
      <c r="R277" s="35"/>
      <c r="S277" s="35"/>
      <c r="T277" s="35"/>
      <c r="U277" s="35"/>
      <c r="V277" s="35"/>
      <c r="W277" s="35"/>
      <c r="X277" s="35"/>
      <c r="Y277" s="35"/>
    </row>
    <row r="278" ht="15.75" customHeight="1">
      <c r="A278" s="35"/>
      <c r="B278" s="35"/>
      <c r="C278" s="35"/>
      <c r="D278" s="35"/>
      <c r="E278" s="35"/>
      <c r="F278" s="50"/>
      <c r="G278" s="35"/>
      <c r="H278" s="35"/>
      <c r="I278" s="35"/>
      <c r="J278" s="35"/>
      <c r="K278" s="35"/>
      <c r="L278" s="35"/>
      <c r="M278" s="35"/>
      <c r="N278" s="35"/>
      <c r="O278" s="35"/>
      <c r="P278" s="35"/>
      <c r="Q278" s="35"/>
      <c r="R278" s="35"/>
      <c r="S278" s="35"/>
      <c r="T278" s="35"/>
      <c r="U278" s="35"/>
      <c r="V278" s="35"/>
      <c r="W278" s="35"/>
      <c r="X278" s="35"/>
      <c r="Y278" s="35"/>
    </row>
    <row r="279" ht="15.75" customHeight="1">
      <c r="A279" s="35"/>
      <c r="B279" s="35"/>
      <c r="C279" s="35"/>
      <c r="D279" s="35"/>
      <c r="E279" s="35"/>
      <c r="F279" s="50"/>
      <c r="G279" s="35"/>
      <c r="H279" s="35"/>
      <c r="I279" s="35"/>
      <c r="J279" s="35"/>
      <c r="K279" s="35"/>
      <c r="L279" s="35"/>
      <c r="M279" s="35"/>
      <c r="N279" s="35"/>
      <c r="O279" s="35"/>
      <c r="P279" s="35"/>
      <c r="Q279" s="35"/>
      <c r="R279" s="35"/>
      <c r="S279" s="35"/>
      <c r="T279" s="35"/>
      <c r="U279" s="35"/>
      <c r="V279" s="35"/>
      <c r="W279" s="35"/>
      <c r="X279" s="35"/>
      <c r="Y279" s="35"/>
    </row>
    <row r="280" ht="15.75" customHeight="1">
      <c r="A280" s="35"/>
      <c r="B280" s="35"/>
      <c r="C280" s="35"/>
      <c r="D280" s="35"/>
      <c r="E280" s="35"/>
      <c r="F280" s="50"/>
      <c r="G280" s="35"/>
      <c r="H280" s="35"/>
      <c r="I280" s="35"/>
      <c r="J280" s="35"/>
      <c r="K280" s="35"/>
      <c r="L280" s="35"/>
      <c r="M280" s="35"/>
      <c r="N280" s="35"/>
      <c r="O280" s="35"/>
      <c r="P280" s="35"/>
      <c r="Q280" s="35"/>
      <c r="R280" s="35"/>
      <c r="S280" s="35"/>
      <c r="T280" s="35"/>
      <c r="U280" s="35"/>
      <c r="V280" s="35"/>
      <c r="W280" s="35"/>
      <c r="X280" s="35"/>
      <c r="Y280" s="35"/>
    </row>
    <row r="281" ht="15.75" customHeight="1">
      <c r="A281" s="35"/>
      <c r="B281" s="35"/>
      <c r="C281" s="35"/>
      <c r="D281" s="35"/>
      <c r="E281" s="35"/>
      <c r="F281" s="50"/>
      <c r="G281" s="35"/>
      <c r="H281" s="35"/>
      <c r="I281" s="35"/>
      <c r="J281" s="35"/>
      <c r="K281" s="35"/>
      <c r="L281" s="35"/>
      <c r="M281" s="35"/>
      <c r="N281" s="35"/>
      <c r="O281" s="35"/>
      <c r="P281" s="35"/>
      <c r="Q281" s="35"/>
      <c r="R281" s="35"/>
      <c r="S281" s="35"/>
      <c r="T281" s="35"/>
      <c r="U281" s="35"/>
      <c r="V281" s="35"/>
      <c r="W281" s="35"/>
      <c r="X281" s="35"/>
      <c r="Y281" s="35"/>
    </row>
    <row r="282" ht="15.75" customHeight="1">
      <c r="A282" s="35"/>
      <c r="B282" s="35"/>
      <c r="C282" s="35"/>
      <c r="D282" s="35"/>
      <c r="E282" s="35"/>
      <c r="F282" s="50"/>
      <c r="G282" s="35"/>
      <c r="H282" s="35"/>
      <c r="I282" s="35"/>
      <c r="J282" s="35"/>
      <c r="K282" s="35"/>
      <c r="L282" s="35"/>
      <c r="M282" s="35"/>
      <c r="N282" s="35"/>
      <c r="O282" s="35"/>
      <c r="P282" s="35"/>
      <c r="Q282" s="35"/>
      <c r="R282" s="35"/>
      <c r="S282" s="35"/>
      <c r="T282" s="35"/>
      <c r="U282" s="35"/>
      <c r="V282" s="35"/>
      <c r="W282" s="35"/>
      <c r="X282" s="35"/>
      <c r="Y282" s="35"/>
    </row>
    <row r="283" ht="15.75" customHeight="1">
      <c r="A283" s="35"/>
      <c r="B283" s="35"/>
      <c r="C283" s="35"/>
      <c r="D283" s="35"/>
      <c r="E283" s="35"/>
      <c r="F283" s="50"/>
      <c r="G283" s="35"/>
      <c r="H283" s="35"/>
      <c r="I283" s="35"/>
      <c r="J283" s="35"/>
      <c r="K283" s="35"/>
      <c r="L283" s="35"/>
      <c r="M283" s="35"/>
      <c r="N283" s="35"/>
      <c r="O283" s="35"/>
      <c r="P283" s="35"/>
      <c r="Q283" s="35"/>
      <c r="R283" s="35"/>
      <c r="S283" s="35"/>
      <c r="T283" s="35"/>
      <c r="U283" s="35"/>
      <c r="V283" s="35"/>
      <c r="W283" s="35"/>
      <c r="X283" s="35"/>
      <c r="Y283" s="35"/>
    </row>
    <row r="284" ht="15.75" customHeight="1">
      <c r="A284" s="35"/>
      <c r="B284" s="35"/>
      <c r="C284" s="35"/>
      <c r="D284" s="35"/>
      <c r="E284" s="35"/>
      <c r="F284" s="50"/>
      <c r="G284" s="35"/>
      <c r="H284" s="35"/>
      <c r="I284" s="35"/>
      <c r="J284" s="35"/>
      <c r="K284" s="35"/>
      <c r="L284" s="35"/>
      <c r="M284" s="35"/>
      <c r="N284" s="35"/>
      <c r="O284" s="35"/>
      <c r="P284" s="35"/>
      <c r="Q284" s="35"/>
      <c r="R284" s="35"/>
      <c r="S284" s="35"/>
      <c r="T284" s="35"/>
      <c r="U284" s="35"/>
      <c r="V284" s="35"/>
      <c r="W284" s="35"/>
      <c r="X284" s="35"/>
      <c r="Y284" s="35"/>
    </row>
    <row r="285" ht="15.75" customHeight="1">
      <c r="A285" s="35"/>
      <c r="B285" s="35"/>
      <c r="C285" s="35"/>
      <c r="D285" s="35"/>
      <c r="E285" s="35"/>
      <c r="F285" s="50"/>
      <c r="G285" s="35"/>
      <c r="H285" s="35"/>
      <c r="I285" s="35"/>
      <c r="J285" s="35"/>
      <c r="K285" s="35"/>
      <c r="L285" s="35"/>
      <c r="M285" s="35"/>
      <c r="N285" s="35"/>
      <c r="O285" s="35"/>
      <c r="P285" s="35"/>
      <c r="Q285" s="35"/>
      <c r="R285" s="35"/>
      <c r="S285" s="35"/>
      <c r="T285" s="35"/>
      <c r="U285" s="35"/>
      <c r="V285" s="35"/>
      <c r="W285" s="35"/>
      <c r="X285" s="35"/>
      <c r="Y285" s="35"/>
    </row>
    <row r="286" ht="15.75" customHeight="1">
      <c r="A286" s="35"/>
      <c r="B286" s="35"/>
      <c r="C286" s="35"/>
      <c r="D286" s="35"/>
      <c r="E286" s="35"/>
      <c r="F286" s="50"/>
      <c r="G286" s="35"/>
      <c r="H286" s="35"/>
      <c r="I286" s="35"/>
      <c r="J286" s="35"/>
      <c r="K286" s="35"/>
      <c r="L286" s="35"/>
      <c r="M286" s="35"/>
      <c r="N286" s="35"/>
      <c r="O286" s="35"/>
      <c r="P286" s="35"/>
      <c r="Q286" s="35"/>
      <c r="R286" s="35"/>
      <c r="S286" s="35"/>
      <c r="T286" s="35"/>
      <c r="U286" s="35"/>
      <c r="V286" s="35"/>
      <c r="W286" s="35"/>
      <c r="X286" s="35"/>
      <c r="Y286" s="35"/>
    </row>
    <row r="287" ht="15.75" customHeight="1">
      <c r="A287" s="35"/>
      <c r="B287" s="35"/>
      <c r="C287" s="35"/>
      <c r="D287" s="35"/>
      <c r="E287" s="35"/>
      <c r="F287" s="50"/>
      <c r="G287" s="35"/>
      <c r="H287" s="35"/>
      <c r="I287" s="35"/>
      <c r="J287" s="35"/>
      <c r="K287" s="35"/>
      <c r="L287" s="35"/>
      <c r="M287" s="35"/>
      <c r="N287" s="35"/>
      <c r="O287" s="35"/>
      <c r="P287" s="35"/>
      <c r="Q287" s="35"/>
      <c r="R287" s="35"/>
      <c r="S287" s="35"/>
      <c r="T287" s="35"/>
      <c r="U287" s="35"/>
      <c r="V287" s="35"/>
      <c r="W287" s="35"/>
      <c r="X287" s="35"/>
      <c r="Y287" s="35"/>
    </row>
    <row r="288" ht="15.75" customHeight="1">
      <c r="A288" s="35"/>
      <c r="B288" s="35"/>
      <c r="C288" s="35"/>
      <c r="D288" s="35"/>
      <c r="E288" s="35"/>
      <c r="F288" s="50"/>
      <c r="G288" s="35"/>
      <c r="H288" s="35"/>
      <c r="I288" s="35"/>
      <c r="J288" s="35"/>
      <c r="K288" s="35"/>
      <c r="L288" s="35"/>
      <c r="M288" s="35"/>
      <c r="N288" s="35"/>
      <c r="O288" s="35"/>
      <c r="P288" s="35"/>
      <c r="Q288" s="35"/>
      <c r="R288" s="35"/>
      <c r="S288" s="35"/>
      <c r="T288" s="35"/>
      <c r="U288" s="35"/>
      <c r="V288" s="35"/>
      <c r="W288" s="35"/>
      <c r="X288" s="35"/>
      <c r="Y288" s="35"/>
    </row>
    <row r="289" ht="15.75" customHeight="1">
      <c r="A289" s="35"/>
      <c r="B289" s="35"/>
      <c r="C289" s="35"/>
      <c r="D289" s="35"/>
      <c r="E289" s="35"/>
      <c r="F289" s="50"/>
      <c r="G289" s="35"/>
      <c r="H289" s="35"/>
      <c r="I289" s="35"/>
      <c r="J289" s="35"/>
      <c r="K289" s="35"/>
      <c r="L289" s="35"/>
      <c r="M289" s="35"/>
      <c r="N289" s="35"/>
      <c r="O289" s="35"/>
      <c r="P289" s="35"/>
      <c r="Q289" s="35"/>
      <c r="R289" s="35"/>
      <c r="S289" s="35"/>
      <c r="T289" s="35"/>
      <c r="U289" s="35"/>
      <c r="V289" s="35"/>
      <c r="W289" s="35"/>
      <c r="X289" s="35"/>
      <c r="Y289" s="35"/>
    </row>
    <row r="290" ht="15.75" customHeight="1">
      <c r="A290" s="35"/>
      <c r="B290" s="35"/>
      <c r="C290" s="35"/>
      <c r="D290" s="35"/>
      <c r="E290" s="35"/>
      <c r="F290" s="50"/>
      <c r="G290" s="35"/>
      <c r="H290" s="35"/>
      <c r="I290" s="35"/>
      <c r="J290" s="35"/>
      <c r="K290" s="35"/>
      <c r="L290" s="35"/>
      <c r="M290" s="35"/>
      <c r="N290" s="35"/>
      <c r="O290" s="35"/>
      <c r="P290" s="35"/>
      <c r="Q290" s="35"/>
      <c r="R290" s="35"/>
      <c r="S290" s="35"/>
      <c r="T290" s="35"/>
      <c r="U290" s="35"/>
      <c r="V290" s="35"/>
      <c r="W290" s="35"/>
      <c r="X290" s="35"/>
      <c r="Y290" s="35"/>
    </row>
    <row r="291" ht="15.75" customHeight="1">
      <c r="A291" s="35"/>
      <c r="B291" s="35"/>
      <c r="C291" s="35"/>
      <c r="D291" s="35"/>
      <c r="E291" s="35"/>
      <c r="F291" s="50"/>
      <c r="G291" s="35"/>
      <c r="H291" s="35"/>
      <c r="I291" s="35"/>
      <c r="J291" s="35"/>
      <c r="K291" s="35"/>
      <c r="L291" s="35"/>
      <c r="M291" s="35"/>
      <c r="N291" s="35"/>
      <c r="O291" s="35"/>
      <c r="P291" s="35"/>
      <c r="Q291" s="35"/>
      <c r="R291" s="35"/>
      <c r="S291" s="35"/>
      <c r="T291" s="35"/>
      <c r="U291" s="35"/>
      <c r="V291" s="35"/>
      <c r="W291" s="35"/>
      <c r="X291" s="35"/>
      <c r="Y291" s="35"/>
    </row>
    <row r="292" ht="15.75" customHeight="1">
      <c r="A292" s="35"/>
      <c r="B292" s="35"/>
      <c r="C292" s="35"/>
      <c r="D292" s="35"/>
      <c r="E292" s="35"/>
      <c r="F292" s="50"/>
      <c r="G292" s="35"/>
      <c r="H292" s="35"/>
      <c r="I292" s="35"/>
      <c r="J292" s="35"/>
      <c r="K292" s="35"/>
      <c r="L292" s="35"/>
      <c r="M292" s="35"/>
      <c r="N292" s="35"/>
      <c r="O292" s="35"/>
      <c r="P292" s="35"/>
      <c r="Q292" s="35"/>
      <c r="R292" s="35"/>
      <c r="S292" s="35"/>
      <c r="T292" s="35"/>
      <c r="U292" s="35"/>
      <c r="V292" s="35"/>
      <c r="W292" s="35"/>
      <c r="X292" s="35"/>
      <c r="Y292" s="35"/>
    </row>
    <row r="293" ht="15.75" customHeight="1">
      <c r="A293" s="35"/>
      <c r="B293" s="35"/>
      <c r="C293" s="35"/>
      <c r="D293" s="35"/>
      <c r="E293" s="35"/>
      <c r="F293" s="50"/>
      <c r="G293" s="35"/>
      <c r="H293" s="35"/>
      <c r="I293" s="35"/>
      <c r="J293" s="35"/>
      <c r="K293" s="35"/>
      <c r="L293" s="35"/>
      <c r="M293" s="35"/>
      <c r="N293" s="35"/>
      <c r="O293" s="35"/>
      <c r="P293" s="35"/>
      <c r="Q293" s="35"/>
      <c r="R293" s="35"/>
      <c r="S293" s="35"/>
      <c r="T293" s="35"/>
      <c r="U293" s="35"/>
      <c r="V293" s="35"/>
      <c r="W293" s="35"/>
      <c r="X293" s="35"/>
      <c r="Y293" s="35"/>
    </row>
    <row r="294" ht="15.75" customHeight="1">
      <c r="A294" s="35"/>
      <c r="B294" s="35"/>
      <c r="C294" s="35"/>
      <c r="D294" s="35"/>
      <c r="E294" s="35"/>
      <c r="F294" s="50"/>
      <c r="G294" s="35"/>
      <c r="H294" s="35"/>
      <c r="I294" s="35"/>
      <c r="J294" s="35"/>
      <c r="K294" s="35"/>
      <c r="L294" s="35"/>
      <c r="M294" s="35"/>
      <c r="N294" s="35"/>
      <c r="O294" s="35"/>
      <c r="P294" s="35"/>
      <c r="Q294" s="35"/>
      <c r="R294" s="35"/>
      <c r="S294" s="35"/>
      <c r="T294" s="35"/>
      <c r="U294" s="35"/>
      <c r="V294" s="35"/>
      <c r="W294" s="35"/>
      <c r="X294" s="35"/>
      <c r="Y294" s="35"/>
    </row>
    <row r="295" ht="15.75" customHeight="1">
      <c r="A295" s="35"/>
      <c r="B295" s="35"/>
      <c r="C295" s="35"/>
      <c r="D295" s="35"/>
      <c r="E295" s="35"/>
      <c r="F295" s="50"/>
      <c r="G295" s="35"/>
      <c r="H295" s="35"/>
      <c r="I295" s="35"/>
      <c r="J295" s="35"/>
      <c r="K295" s="35"/>
      <c r="L295" s="35"/>
      <c r="M295" s="35"/>
      <c r="N295" s="35"/>
      <c r="O295" s="35"/>
      <c r="P295" s="35"/>
      <c r="Q295" s="35"/>
      <c r="R295" s="35"/>
      <c r="S295" s="35"/>
      <c r="T295" s="35"/>
      <c r="U295" s="35"/>
      <c r="V295" s="35"/>
      <c r="W295" s="35"/>
      <c r="X295" s="35"/>
      <c r="Y295" s="35"/>
    </row>
    <row r="296" ht="15.75" customHeight="1">
      <c r="A296" s="35"/>
      <c r="B296" s="35"/>
      <c r="C296" s="35"/>
      <c r="D296" s="35"/>
      <c r="E296" s="35"/>
      <c r="F296" s="50"/>
      <c r="G296" s="35"/>
      <c r="H296" s="35"/>
      <c r="I296" s="35"/>
      <c r="J296" s="35"/>
      <c r="K296" s="35"/>
      <c r="L296" s="35"/>
      <c r="M296" s="35"/>
      <c r="N296" s="35"/>
      <c r="O296" s="35"/>
      <c r="P296" s="35"/>
      <c r="Q296" s="35"/>
      <c r="R296" s="35"/>
      <c r="S296" s="35"/>
      <c r="T296" s="35"/>
      <c r="U296" s="35"/>
      <c r="V296" s="35"/>
      <c r="W296" s="35"/>
      <c r="X296" s="35"/>
      <c r="Y296" s="35"/>
    </row>
    <row r="297" ht="15.75" customHeight="1">
      <c r="A297" s="35"/>
      <c r="B297" s="35"/>
      <c r="C297" s="35"/>
      <c r="D297" s="35"/>
      <c r="E297" s="35"/>
      <c r="F297" s="50"/>
      <c r="G297" s="35"/>
      <c r="H297" s="35"/>
      <c r="I297" s="35"/>
      <c r="J297" s="35"/>
      <c r="K297" s="35"/>
      <c r="L297" s="35"/>
      <c r="M297" s="35"/>
      <c r="N297" s="35"/>
      <c r="O297" s="35"/>
      <c r="P297" s="35"/>
      <c r="Q297" s="35"/>
      <c r="R297" s="35"/>
      <c r="S297" s="35"/>
      <c r="T297" s="35"/>
      <c r="U297" s="35"/>
      <c r="V297" s="35"/>
      <c r="W297" s="35"/>
      <c r="X297" s="35"/>
      <c r="Y297" s="35"/>
    </row>
    <row r="298" ht="15.75" customHeight="1">
      <c r="A298" s="35"/>
      <c r="B298" s="35"/>
      <c r="C298" s="35"/>
      <c r="D298" s="35"/>
      <c r="E298" s="35"/>
      <c r="F298" s="50"/>
      <c r="G298" s="35"/>
      <c r="H298" s="35"/>
      <c r="I298" s="35"/>
      <c r="J298" s="35"/>
      <c r="K298" s="35"/>
      <c r="L298" s="35"/>
      <c r="M298" s="35"/>
      <c r="N298" s="35"/>
      <c r="O298" s="35"/>
      <c r="P298" s="35"/>
      <c r="Q298" s="35"/>
      <c r="R298" s="35"/>
      <c r="S298" s="35"/>
      <c r="T298" s="35"/>
      <c r="U298" s="35"/>
      <c r="V298" s="35"/>
      <c r="W298" s="35"/>
      <c r="X298" s="35"/>
      <c r="Y298" s="35"/>
    </row>
    <row r="299" ht="15.75" customHeight="1">
      <c r="A299" s="35"/>
      <c r="B299" s="35"/>
      <c r="C299" s="35"/>
      <c r="D299" s="35"/>
      <c r="E299" s="35"/>
      <c r="F299" s="50"/>
      <c r="G299" s="35"/>
      <c r="H299" s="35"/>
      <c r="I299" s="35"/>
      <c r="J299" s="35"/>
      <c r="K299" s="35"/>
      <c r="L299" s="35"/>
      <c r="M299" s="35"/>
      <c r="N299" s="35"/>
      <c r="O299" s="35"/>
      <c r="P299" s="35"/>
      <c r="Q299" s="35"/>
      <c r="R299" s="35"/>
      <c r="S299" s="35"/>
      <c r="T299" s="35"/>
      <c r="U299" s="35"/>
      <c r="V299" s="35"/>
      <c r="W299" s="35"/>
      <c r="X299" s="35"/>
      <c r="Y299" s="35"/>
    </row>
    <row r="300" ht="15.75" customHeight="1">
      <c r="A300" s="35"/>
      <c r="B300" s="35"/>
      <c r="C300" s="35"/>
      <c r="D300" s="35"/>
      <c r="E300" s="35"/>
      <c r="F300" s="50"/>
      <c r="G300" s="35"/>
      <c r="H300" s="35"/>
      <c r="I300" s="35"/>
      <c r="J300" s="35"/>
      <c r="K300" s="35"/>
      <c r="L300" s="35"/>
      <c r="M300" s="35"/>
      <c r="N300" s="35"/>
      <c r="O300" s="35"/>
      <c r="P300" s="35"/>
      <c r="Q300" s="35"/>
      <c r="R300" s="35"/>
      <c r="S300" s="35"/>
      <c r="T300" s="35"/>
      <c r="U300" s="35"/>
      <c r="V300" s="35"/>
      <c r="W300" s="35"/>
      <c r="X300" s="35"/>
      <c r="Y300" s="35"/>
    </row>
    <row r="301" ht="15.75" customHeight="1">
      <c r="A301" s="35"/>
      <c r="B301" s="35"/>
      <c r="C301" s="35"/>
      <c r="D301" s="35"/>
      <c r="E301" s="35"/>
      <c r="F301" s="50"/>
      <c r="G301" s="35"/>
      <c r="H301" s="35"/>
      <c r="I301" s="35"/>
      <c r="J301" s="35"/>
      <c r="K301" s="35"/>
      <c r="L301" s="35"/>
      <c r="M301" s="35"/>
      <c r="N301" s="35"/>
      <c r="O301" s="35"/>
      <c r="P301" s="35"/>
      <c r="Q301" s="35"/>
      <c r="R301" s="35"/>
      <c r="S301" s="35"/>
      <c r="T301" s="35"/>
      <c r="U301" s="35"/>
      <c r="V301" s="35"/>
      <c r="W301" s="35"/>
      <c r="X301" s="35"/>
      <c r="Y301" s="35"/>
    </row>
    <row r="302" ht="15.75" customHeight="1">
      <c r="A302" s="35"/>
      <c r="B302" s="35"/>
      <c r="C302" s="35"/>
      <c r="D302" s="35"/>
      <c r="E302" s="35"/>
      <c r="F302" s="50"/>
      <c r="G302" s="35"/>
      <c r="H302" s="35"/>
      <c r="I302" s="35"/>
      <c r="J302" s="35"/>
      <c r="K302" s="35"/>
      <c r="L302" s="35"/>
      <c r="M302" s="35"/>
      <c r="N302" s="35"/>
      <c r="O302" s="35"/>
      <c r="P302" s="35"/>
      <c r="Q302" s="35"/>
      <c r="R302" s="35"/>
      <c r="S302" s="35"/>
      <c r="T302" s="35"/>
      <c r="U302" s="35"/>
      <c r="V302" s="35"/>
      <c r="W302" s="35"/>
      <c r="X302" s="35"/>
      <c r="Y302" s="35"/>
    </row>
    <row r="303" ht="15.75" customHeight="1">
      <c r="A303" s="35"/>
      <c r="B303" s="35"/>
      <c r="C303" s="35"/>
      <c r="D303" s="35"/>
      <c r="E303" s="35"/>
      <c r="F303" s="50"/>
      <c r="G303" s="35"/>
      <c r="H303" s="35"/>
      <c r="I303" s="35"/>
      <c r="J303" s="35"/>
      <c r="K303" s="35"/>
      <c r="L303" s="35"/>
      <c r="M303" s="35"/>
      <c r="N303" s="35"/>
      <c r="O303" s="35"/>
      <c r="P303" s="35"/>
      <c r="Q303" s="35"/>
      <c r="R303" s="35"/>
      <c r="S303" s="35"/>
      <c r="T303" s="35"/>
      <c r="U303" s="35"/>
      <c r="V303" s="35"/>
      <c r="W303" s="35"/>
      <c r="X303" s="35"/>
      <c r="Y303" s="35"/>
    </row>
    <row r="304" ht="15.75" customHeight="1">
      <c r="A304" s="35"/>
      <c r="B304" s="35"/>
      <c r="C304" s="35"/>
      <c r="D304" s="35"/>
      <c r="E304" s="35"/>
      <c r="F304" s="50"/>
      <c r="G304" s="35"/>
      <c r="H304" s="35"/>
      <c r="I304" s="35"/>
      <c r="J304" s="35"/>
      <c r="K304" s="35"/>
      <c r="L304" s="35"/>
      <c r="M304" s="35"/>
      <c r="N304" s="35"/>
      <c r="O304" s="35"/>
      <c r="P304" s="35"/>
      <c r="Q304" s="35"/>
      <c r="R304" s="35"/>
      <c r="S304" s="35"/>
      <c r="T304" s="35"/>
      <c r="U304" s="35"/>
      <c r="V304" s="35"/>
      <c r="W304" s="35"/>
      <c r="X304" s="35"/>
      <c r="Y304" s="35"/>
    </row>
    <row r="305" ht="15.75" customHeight="1">
      <c r="A305" s="35"/>
      <c r="B305" s="35"/>
      <c r="C305" s="35"/>
      <c r="D305" s="35"/>
      <c r="E305" s="35"/>
      <c r="F305" s="50"/>
      <c r="G305" s="35"/>
      <c r="H305" s="35"/>
      <c r="I305" s="35"/>
      <c r="J305" s="35"/>
      <c r="K305" s="35"/>
      <c r="L305" s="35"/>
      <c r="M305" s="35"/>
      <c r="N305" s="35"/>
      <c r="O305" s="35"/>
      <c r="P305" s="35"/>
      <c r="Q305" s="35"/>
      <c r="R305" s="35"/>
      <c r="S305" s="35"/>
      <c r="T305" s="35"/>
      <c r="U305" s="35"/>
      <c r="V305" s="35"/>
      <c r="W305" s="35"/>
      <c r="X305" s="35"/>
      <c r="Y305" s="35"/>
    </row>
    <row r="306" ht="15.75" customHeight="1">
      <c r="A306" s="35"/>
      <c r="B306" s="35"/>
      <c r="C306" s="35"/>
      <c r="D306" s="35"/>
      <c r="E306" s="35"/>
      <c r="F306" s="50"/>
      <c r="G306" s="35"/>
      <c r="H306" s="35"/>
      <c r="I306" s="35"/>
      <c r="J306" s="35"/>
      <c r="K306" s="35"/>
      <c r="L306" s="35"/>
      <c r="M306" s="35"/>
      <c r="N306" s="35"/>
      <c r="O306" s="35"/>
      <c r="P306" s="35"/>
      <c r="Q306" s="35"/>
      <c r="R306" s="35"/>
      <c r="S306" s="35"/>
      <c r="T306" s="35"/>
      <c r="U306" s="35"/>
      <c r="V306" s="35"/>
      <c r="W306" s="35"/>
      <c r="X306" s="35"/>
      <c r="Y306" s="35"/>
    </row>
    <row r="307" ht="15.75" customHeight="1">
      <c r="A307" s="35"/>
      <c r="B307" s="35"/>
      <c r="C307" s="35"/>
      <c r="D307" s="35"/>
      <c r="E307" s="35"/>
      <c r="F307" s="50"/>
      <c r="G307" s="35"/>
      <c r="H307" s="35"/>
      <c r="I307" s="35"/>
      <c r="J307" s="35"/>
      <c r="K307" s="35"/>
      <c r="L307" s="35"/>
      <c r="M307" s="35"/>
      <c r="N307" s="35"/>
      <c r="O307" s="35"/>
      <c r="P307" s="35"/>
      <c r="Q307" s="35"/>
      <c r="R307" s="35"/>
      <c r="S307" s="35"/>
      <c r="T307" s="35"/>
      <c r="U307" s="35"/>
      <c r="V307" s="35"/>
      <c r="W307" s="35"/>
      <c r="X307" s="35"/>
      <c r="Y307" s="35"/>
    </row>
    <row r="308" ht="15.75" customHeight="1">
      <c r="A308" s="35"/>
      <c r="B308" s="35"/>
      <c r="C308" s="35"/>
      <c r="D308" s="35"/>
      <c r="E308" s="35"/>
      <c r="F308" s="50"/>
      <c r="G308" s="35"/>
      <c r="H308" s="35"/>
      <c r="I308" s="35"/>
      <c r="J308" s="35"/>
      <c r="K308" s="35"/>
      <c r="L308" s="35"/>
      <c r="M308" s="35"/>
      <c r="N308" s="35"/>
      <c r="O308" s="35"/>
      <c r="P308" s="35"/>
      <c r="Q308" s="35"/>
      <c r="R308" s="35"/>
      <c r="S308" s="35"/>
      <c r="T308" s="35"/>
      <c r="U308" s="35"/>
      <c r="V308" s="35"/>
      <c r="W308" s="35"/>
      <c r="X308" s="35"/>
      <c r="Y308" s="35"/>
    </row>
    <row r="309" ht="15.75" customHeight="1">
      <c r="A309" s="35"/>
      <c r="B309" s="35"/>
      <c r="C309" s="35"/>
      <c r="D309" s="35"/>
      <c r="E309" s="35"/>
      <c r="F309" s="50"/>
      <c r="G309" s="35"/>
      <c r="H309" s="35"/>
      <c r="I309" s="35"/>
      <c r="J309" s="35"/>
      <c r="K309" s="35"/>
      <c r="L309" s="35"/>
      <c r="M309" s="35"/>
      <c r="N309" s="35"/>
      <c r="O309" s="35"/>
      <c r="P309" s="35"/>
      <c r="Q309" s="35"/>
      <c r="R309" s="35"/>
      <c r="S309" s="35"/>
      <c r="T309" s="35"/>
      <c r="U309" s="35"/>
      <c r="V309" s="35"/>
      <c r="W309" s="35"/>
      <c r="X309" s="35"/>
      <c r="Y309" s="35"/>
    </row>
    <row r="310" ht="15.75" customHeight="1">
      <c r="A310" s="35"/>
      <c r="B310" s="35"/>
      <c r="C310" s="35"/>
      <c r="D310" s="35"/>
      <c r="E310" s="35"/>
      <c r="F310" s="50"/>
      <c r="G310" s="35"/>
      <c r="H310" s="35"/>
      <c r="I310" s="35"/>
      <c r="J310" s="35"/>
      <c r="K310" s="35"/>
      <c r="L310" s="35"/>
      <c r="M310" s="35"/>
      <c r="N310" s="35"/>
      <c r="O310" s="35"/>
      <c r="P310" s="35"/>
      <c r="Q310" s="35"/>
      <c r="R310" s="35"/>
      <c r="S310" s="35"/>
      <c r="T310" s="35"/>
      <c r="U310" s="35"/>
      <c r="V310" s="35"/>
      <c r="W310" s="35"/>
      <c r="X310" s="35"/>
      <c r="Y310" s="35"/>
    </row>
    <row r="311" ht="15.75" customHeight="1">
      <c r="A311" s="35"/>
      <c r="B311" s="35"/>
      <c r="C311" s="35"/>
      <c r="D311" s="35"/>
      <c r="E311" s="35"/>
      <c r="F311" s="50"/>
      <c r="G311" s="35"/>
      <c r="H311" s="35"/>
      <c r="I311" s="35"/>
      <c r="J311" s="35"/>
      <c r="K311" s="35"/>
      <c r="L311" s="35"/>
      <c r="M311" s="35"/>
      <c r="N311" s="35"/>
      <c r="O311" s="35"/>
      <c r="P311" s="35"/>
      <c r="Q311" s="35"/>
      <c r="R311" s="35"/>
      <c r="S311" s="35"/>
      <c r="T311" s="35"/>
      <c r="U311" s="35"/>
      <c r="V311" s="35"/>
      <c r="W311" s="35"/>
      <c r="X311" s="35"/>
      <c r="Y311" s="35"/>
    </row>
    <row r="312" ht="15.75" customHeight="1">
      <c r="A312" s="35"/>
      <c r="B312" s="35"/>
      <c r="C312" s="35"/>
      <c r="D312" s="35"/>
      <c r="E312" s="35"/>
      <c r="F312" s="50"/>
      <c r="G312" s="35"/>
      <c r="H312" s="35"/>
      <c r="I312" s="35"/>
      <c r="J312" s="35"/>
      <c r="K312" s="35"/>
      <c r="L312" s="35"/>
      <c r="M312" s="35"/>
      <c r="N312" s="35"/>
      <c r="O312" s="35"/>
      <c r="P312" s="35"/>
      <c r="Q312" s="35"/>
      <c r="R312" s="35"/>
      <c r="S312" s="35"/>
      <c r="T312" s="35"/>
      <c r="U312" s="35"/>
      <c r="V312" s="35"/>
      <c r="W312" s="35"/>
      <c r="X312" s="35"/>
      <c r="Y312" s="35"/>
    </row>
    <row r="313" ht="15.75" customHeight="1">
      <c r="A313" s="35"/>
      <c r="B313" s="35"/>
      <c r="C313" s="35"/>
      <c r="D313" s="35"/>
      <c r="E313" s="35"/>
      <c r="F313" s="50"/>
      <c r="G313" s="35"/>
      <c r="H313" s="35"/>
      <c r="I313" s="35"/>
      <c r="J313" s="35"/>
      <c r="K313" s="35"/>
      <c r="L313" s="35"/>
      <c r="M313" s="35"/>
      <c r="N313" s="35"/>
      <c r="O313" s="35"/>
      <c r="P313" s="35"/>
      <c r="Q313" s="35"/>
      <c r="R313" s="35"/>
      <c r="S313" s="35"/>
      <c r="T313" s="35"/>
      <c r="U313" s="35"/>
      <c r="V313" s="35"/>
      <c r="W313" s="35"/>
      <c r="X313" s="35"/>
      <c r="Y313" s="35"/>
    </row>
    <row r="314" ht="15.75" customHeight="1">
      <c r="A314" s="35"/>
      <c r="B314" s="35"/>
      <c r="C314" s="35"/>
      <c r="D314" s="35"/>
      <c r="E314" s="35"/>
      <c r="F314" s="50"/>
      <c r="G314" s="35"/>
      <c r="H314" s="35"/>
      <c r="I314" s="35"/>
      <c r="J314" s="35"/>
      <c r="K314" s="35"/>
      <c r="L314" s="35"/>
      <c r="M314" s="35"/>
      <c r="N314" s="35"/>
      <c r="O314" s="35"/>
      <c r="P314" s="35"/>
      <c r="Q314" s="35"/>
      <c r="R314" s="35"/>
      <c r="S314" s="35"/>
      <c r="T314" s="35"/>
      <c r="U314" s="35"/>
      <c r="V314" s="35"/>
      <c r="W314" s="35"/>
      <c r="X314" s="35"/>
      <c r="Y314" s="35"/>
    </row>
    <row r="315" ht="15.75" customHeight="1">
      <c r="A315" s="35"/>
      <c r="B315" s="35"/>
      <c r="C315" s="35"/>
      <c r="D315" s="35"/>
      <c r="E315" s="35"/>
      <c r="F315" s="50"/>
      <c r="G315" s="35"/>
      <c r="H315" s="35"/>
      <c r="I315" s="35"/>
      <c r="J315" s="35"/>
      <c r="K315" s="35"/>
      <c r="L315" s="35"/>
      <c r="M315" s="35"/>
      <c r="N315" s="35"/>
      <c r="O315" s="35"/>
      <c r="P315" s="35"/>
      <c r="Q315" s="35"/>
      <c r="R315" s="35"/>
      <c r="S315" s="35"/>
      <c r="T315" s="35"/>
      <c r="U315" s="35"/>
      <c r="V315" s="35"/>
      <c r="W315" s="35"/>
      <c r="X315" s="35"/>
      <c r="Y315" s="35"/>
    </row>
    <row r="316" ht="15.75" customHeight="1">
      <c r="A316" s="35"/>
      <c r="B316" s="35"/>
      <c r="C316" s="35"/>
      <c r="D316" s="35"/>
      <c r="E316" s="35"/>
      <c r="F316" s="50"/>
      <c r="G316" s="35"/>
      <c r="H316" s="35"/>
      <c r="I316" s="35"/>
      <c r="J316" s="35"/>
      <c r="K316" s="35"/>
      <c r="L316" s="35"/>
      <c r="M316" s="35"/>
      <c r="N316" s="35"/>
      <c r="O316" s="35"/>
      <c r="P316" s="35"/>
      <c r="Q316" s="35"/>
      <c r="R316" s="35"/>
      <c r="S316" s="35"/>
      <c r="T316" s="35"/>
      <c r="U316" s="35"/>
      <c r="V316" s="35"/>
      <c r="W316" s="35"/>
      <c r="X316" s="35"/>
      <c r="Y316" s="35"/>
    </row>
    <row r="317" ht="15.75" customHeight="1">
      <c r="A317" s="35"/>
      <c r="B317" s="35"/>
      <c r="C317" s="35"/>
      <c r="D317" s="35"/>
      <c r="E317" s="35"/>
      <c r="F317" s="50"/>
      <c r="G317" s="35"/>
      <c r="H317" s="35"/>
      <c r="I317" s="35"/>
      <c r="J317" s="35"/>
      <c r="K317" s="35"/>
      <c r="L317" s="35"/>
      <c r="M317" s="35"/>
      <c r="N317" s="35"/>
      <c r="O317" s="35"/>
      <c r="P317" s="35"/>
      <c r="Q317" s="35"/>
      <c r="R317" s="35"/>
      <c r="S317" s="35"/>
      <c r="T317" s="35"/>
      <c r="U317" s="35"/>
      <c r="V317" s="35"/>
      <c r="W317" s="35"/>
      <c r="X317" s="35"/>
      <c r="Y317" s="35"/>
    </row>
    <row r="318" ht="15.75" customHeight="1">
      <c r="A318" s="35"/>
      <c r="B318" s="35"/>
      <c r="C318" s="35"/>
      <c r="D318" s="35"/>
      <c r="E318" s="35"/>
      <c r="F318" s="50"/>
      <c r="G318" s="35"/>
      <c r="H318" s="35"/>
      <c r="I318" s="35"/>
      <c r="J318" s="35"/>
      <c r="K318" s="35"/>
      <c r="L318" s="35"/>
      <c r="M318" s="35"/>
      <c r="N318" s="35"/>
      <c r="O318" s="35"/>
      <c r="P318" s="35"/>
      <c r="Q318" s="35"/>
      <c r="R318" s="35"/>
      <c r="S318" s="35"/>
      <c r="T318" s="35"/>
      <c r="U318" s="35"/>
      <c r="V318" s="35"/>
      <c r="W318" s="35"/>
      <c r="X318" s="35"/>
      <c r="Y318" s="35"/>
    </row>
    <row r="319" ht="15.75" customHeight="1">
      <c r="A319" s="35"/>
      <c r="B319" s="35"/>
      <c r="C319" s="35"/>
      <c r="D319" s="35"/>
      <c r="E319" s="35"/>
      <c r="F319" s="50"/>
      <c r="G319" s="35"/>
      <c r="H319" s="35"/>
      <c r="I319" s="35"/>
      <c r="J319" s="35"/>
      <c r="K319" s="35"/>
      <c r="L319" s="35"/>
      <c r="M319" s="35"/>
      <c r="N319" s="35"/>
      <c r="O319" s="35"/>
      <c r="P319" s="35"/>
      <c r="Q319" s="35"/>
      <c r="R319" s="35"/>
      <c r="S319" s="35"/>
      <c r="T319" s="35"/>
      <c r="U319" s="35"/>
      <c r="V319" s="35"/>
      <c r="W319" s="35"/>
      <c r="X319" s="35"/>
      <c r="Y319" s="35"/>
    </row>
    <row r="320" ht="15.75" customHeight="1">
      <c r="A320" s="35"/>
      <c r="B320" s="35"/>
      <c r="C320" s="35"/>
      <c r="D320" s="35"/>
      <c r="E320" s="35"/>
      <c r="F320" s="50"/>
      <c r="G320" s="35"/>
      <c r="H320" s="35"/>
      <c r="I320" s="35"/>
      <c r="J320" s="35"/>
      <c r="K320" s="35"/>
      <c r="L320" s="35"/>
      <c r="M320" s="35"/>
      <c r="N320" s="35"/>
      <c r="O320" s="35"/>
      <c r="P320" s="35"/>
      <c r="Q320" s="35"/>
      <c r="R320" s="35"/>
      <c r="S320" s="35"/>
      <c r="T320" s="35"/>
      <c r="U320" s="35"/>
      <c r="V320" s="35"/>
      <c r="W320" s="35"/>
      <c r="X320" s="35"/>
      <c r="Y320" s="35"/>
    </row>
    <row r="321" ht="15.75" customHeight="1">
      <c r="A321" s="35"/>
      <c r="B321" s="35"/>
      <c r="C321" s="35"/>
      <c r="D321" s="35"/>
      <c r="E321" s="35"/>
      <c r="F321" s="50"/>
      <c r="G321" s="35"/>
      <c r="H321" s="35"/>
      <c r="I321" s="35"/>
      <c r="J321" s="35"/>
      <c r="K321" s="35"/>
      <c r="L321" s="35"/>
      <c r="M321" s="35"/>
      <c r="N321" s="35"/>
      <c r="O321" s="35"/>
      <c r="P321" s="35"/>
      <c r="Q321" s="35"/>
      <c r="R321" s="35"/>
      <c r="S321" s="35"/>
      <c r="T321" s="35"/>
      <c r="U321" s="35"/>
      <c r="V321" s="35"/>
      <c r="W321" s="35"/>
      <c r="X321" s="35"/>
      <c r="Y321" s="35"/>
    </row>
    <row r="322" ht="15.75" customHeight="1">
      <c r="A322" s="35"/>
      <c r="B322" s="35"/>
      <c r="C322" s="35"/>
      <c r="D322" s="35"/>
      <c r="E322" s="35"/>
      <c r="F322" s="50"/>
      <c r="G322" s="35"/>
      <c r="H322" s="35"/>
      <c r="I322" s="35"/>
      <c r="J322" s="35"/>
      <c r="K322" s="35"/>
      <c r="L322" s="35"/>
      <c r="M322" s="35"/>
      <c r="N322" s="35"/>
      <c r="O322" s="35"/>
      <c r="P322" s="35"/>
      <c r="Q322" s="35"/>
      <c r="R322" s="35"/>
      <c r="S322" s="35"/>
      <c r="T322" s="35"/>
      <c r="U322" s="35"/>
      <c r="V322" s="35"/>
      <c r="W322" s="35"/>
      <c r="X322" s="35"/>
      <c r="Y322" s="35"/>
    </row>
    <row r="323" ht="15.75" customHeight="1">
      <c r="A323" s="35"/>
      <c r="B323" s="35"/>
      <c r="C323" s="35"/>
      <c r="D323" s="35"/>
      <c r="E323" s="35"/>
      <c r="F323" s="50"/>
      <c r="G323" s="35"/>
      <c r="H323" s="35"/>
      <c r="I323" s="35"/>
      <c r="J323" s="35"/>
      <c r="K323" s="35"/>
      <c r="L323" s="35"/>
      <c r="M323" s="35"/>
      <c r="N323" s="35"/>
      <c r="O323" s="35"/>
      <c r="P323" s="35"/>
      <c r="Q323" s="35"/>
      <c r="R323" s="35"/>
      <c r="S323" s="35"/>
      <c r="T323" s="35"/>
      <c r="U323" s="35"/>
      <c r="V323" s="35"/>
      <c r="W323" s="35"/>
      <c r="X323" s="35"/>
      <c r="Y323" s="35"/>
    </row>
    <row r="324" ht="15.75" customHeight="1">
      <c r="A324" s="35"/>
      <c r="B324" s="35"/>
      <c r="C324" s="35"/>
      <c r="D324" s="35"/>
      <c r="E324" s="35"/>
      <c r="F324" s="50"/>
      <c r="G324" s="35"/>
      <c r="H324" s="35"/>
      <c r="I324" s="35"/>
      <c r="J324" s="35"/>
      <c r="K324" s="35"/>
      <c r="L324" s="35"/>
      <c r="M324" s="35"/>
      <c r="N324" s="35"/>
      <c r="O324" s="35"/>
      <c r="P324" s="35"/>
      <c r="Q324" s="35"/>
      <c r="R324" s="35"/>
      <c r="S324" s="35"/>
      <c r="T324" s="35"/>
      <c r="U324" s="35"/>
      <c r="V324" s="35"/>
      <c r="W324" s="35"/>
      <c r="X324" s="35"/>
      <c r="Y324" s="35"/>
    </row>
    <row r="325" ht="15.75" customHeight="1">
      <c r="A325" s="35"/>
      <c r="B325" s="35"/>
      <c r="C325" s="35"/>
      <c r="D325" s="35"/>
      <c r="E325" s="35"/>
      <c r="F325" s="50"/>
      <c r="G325" s="35"/>
      <c r="H325" s="35"/>
      <c r="I325" s="35"/>
      <c r="J325" s="35"/>
      <c r="K325" s="35"/>
      <c r="L325" s="35"/>
      <c r="M325" s="35"/>
      <c r="N325" s="35"/>
      <c r="O325" s="35"/>
      <c r="P325" s="35"/>
      <c r="Q325" s="35"/>
      <c r="R325" s="35"/>
      <c r="S325" s="35"/>
      <c r="T325" s="35"/>
      <c r="U325" s="35"/>
      <c r="V325" s="35"/>
      <c r="W325" s="35"/>
      <c r="X325" s="35"/>
      <c r="Y325" s="35"/>
    </row>
    <row r="326" ht="15.75" customHeight="1">
      <c r="A326" s="35"/>
      <c r="B326" s="35"/>
      <c r="C326" s="35"/>
      <c r="D326" s="35"/>
      <c r="E326" s="35"/>
      <c r="F326" s="50"/>
      <c r="G326" s="35"/>
      <c r="H326" s="35"/>
      <c r="I326" s="35"/>
      <c r="J326" s="35"/>
      <c r="K326" s="35"/>
      <c r="L326" s="35"/>
      <c r="M326" s="35"/>
      <c r="N326" s="35"/>
      <c r="O326" s="35"/>
      <c r="P326" s="35"/>
      <c r="Q326" s="35"/>
      <c r="R326" s="35"/>
      <c r="S326" s="35"/>
      <c r="T326" s="35"/>
      <c r="U326" s="35"/>
      <c r="V326" s="35"/>
      <c r="W326" s="35"/>
      <c r="X326" s="35"/>
      <c r="Y326" s="35"/>
    </row>
    <row r="327" ht="15.75" customHeight="1">
      <c r="A327" s="35"/>
      <c r="B327" s="35"/>
      <c r="C327" s="35"/>
      <c r="D327" s="35"/>
      <c r="E327" s="35"/>
      <c r="F327" s="50"/>
      <c r="G327" s="35"/>
      <c r="H327" s="35"/>
      <c r="I327" s="35"/>
      <c r="J327" s="35"/>
      <c r="K327" s="35"/>
      <c r="L327" s="35"/>
      <c r="M327" s="35"/>
      <c r="N327" s="35"/>
      <c r="O327" s="35"/>
      <c r="P327" s="35"/>
      <c r="Q327" s="35"/>
      <c r="R327" s="35"/>
      <c r="S327" s="35"/>
      <c r="T327" s="35"/>
      <c r="U327" s="35"/>
      <c r="V327" s="35"/>
      <c r="W327" s="35"/>
      <c r="X327" s="35"/>
      <c r="Y327" s="35"/>
    </row>
    <row r="328" ht="15.75" customHeight="1">
      <c r="A328" s="35"/>
      <c r="B328" s="35"/>
      <c r="C328" s="35"/>
      <c r="D328" s="35"/>
      <c r="E328" s="35"/>
      <c r="F328" s="50"/>
      <c r="G328" s="35"/>
      <c r="H328" s="35"/>
      <c r="I328" s="35"/>
      <c r="J328" s="35"/>
      <c r="K328" s="35"/>
      <c r="L328" s="35"/>
      <c r="M328" s="35"/>
      <c r="N328" s="35"/>
      <c r="O328" s="35"/>
      <c r="P328" s="35"/>
      <c r="Q328" s="35"/>
      <c r="R328" s="35"/>
      <c r="S328" s="35"/>
      <c r="T328" s="35"/>
      <c r="U328" s="35"/>
      <c r="V328" s="35"/>
      <c r="W328" s="35"/>
      <c r="X328" s="35"/>
      <c r="Y328" s="35"/>
    </row>
    <row r="329" ht="15.75" customHeight="1">
      <c r="A329" s="35"/>
      <c r="B329" s="35"/>
      <c r="C329" s="35"/>
      <c r="D329" s="35"/>
      <c r="E329" s="35"/>
      <c r="F329" s="50"/>
      <c r="G329" s="35"/>
      <c r="H329" s="35"/>
      <c r="I329" s="35"/>
      <c r="J329" s="35"/>
      <c r="K329" s="35"/>
      <c r="L329" s="35"/>
      <c r="M329" s="35"/>
      <c r="N329" s="35"/>
      <c r="O329" s="35"/>
      <c r="P329" s="35"/>
      <c r="Q329" s="35"/>
      <c r="R329" s="35"/>
      <c r="S329" s="35"/>
      <c r="T329" s="35"/>
      <c r="U329" s="35"/>
      <c r="V329" s="35"/>
      <c r="W329" s="35"/>
      <c r="X329" s="35"/>
      <c r="Y329" s="35"/>
    </row>
    <row r="330" ht="15.75" customHeight="1">
      <c r="A330" s="35"/>
      <c r="B330" s="35"/>
      <c r="C330" s="35"/>
      <c r="D330" s="35"/>
      <c r="E330" s="35"/>
      <c r="F330" s="50"/>
      <c r="G330" s="35"/>
      <c r="H330" s="35"/>
      <c r="I330" s="35"/>
      <c r="J330" s="35"/>
      <c r="K330" s="35"/>
      <c r="L330" s="35"/>
      <c r="M330" s="35"/>
      <c r="N330" s="35"/>
      <c r="O330" s="35"/>
      <c r="P330" s="35"/>
      <c r="Q330" s="35"/>
      <c r="R330" s="35"/>
      <c r="S330" s="35"/>
      <c r="T330" s="35"/>
      <c r="U330" s="35"/>
      <c r="V330" s="35"/>
      <c r="W330" s="35"/>
      <c r="X330" s="35"/>
      <c r="Y330" s="35"/>
    </row>
    <row r="331" ht="15.75" customHeight="1">
      <c r="A331" s="35"/>
      <c r="B331" s="35"/>
      <c r="C331" s="35"/>
      <c r="D331" s="35"/>
      <c r="E331" s="35"/>
      <c r="F331" s="50"/>
      <c r="G331" s="35"/>
      <c r="H331" s="35"/>
      <c r="I331" s="35"/>
      <c r="J331" s="35"/>
      <c r="K331" s="35"/>
      <c r="L331" s="35"/>
      <c r="M331" s="35"/>
      <c r="N331" s="35"/>
      <c r="O331" s="35"/>
      <c r="P331" s="35"/>
      <c r="Q331" s="35"/>
      <c r="R331" s="35"/>
      <c r="S331" s="35"/>
      <c r="T331" s="35"/>
      <c r="U331" s="35"/>
      <c r="V331" s="35"/>
      <c r="W331" s="35"/>
      <c r="X331" s="35"/>
      <c r="Y331" s="35"/>
    </row>
    <row r="332" ht="15.75" customHeight="1">
      <c r="A332" s="35"/>
      <c r="B332" s="35"/>
      <c r="C332" s="35"/>
      <c r="D332" s="35"/>
      <c r="E332" s="35"/>
      <c r="F332" s="50"/>
      <c r="G332" s="35"/>
      <c r="H332" s="35"/>
      <c r="I332" s="35"/>
      <c r="J332" s="35"/>
      <c r="K332" s="35"/>
      <c r="L332" s="35"/>
      <c r="M332" s="35"/>
      <c r="N332" s="35"/>
      <c r="O332" s="35"/>
      <c r="P332" s="35"/>
      <c r="Q332" s="35"/>
      <c r="R332" s="35"/>
      <c r="S332" s="35"/>
      <c r="T332" s="35"/>
      <c r="U332" s="35"/>
      <c r="V332" s="35"/>
      <c r="W332" s="35"/>
      <c r="X332" s="35"/>
      <c r="Y332" s="35"/>
    </row>
    <row r="333" ht="15.75" customHeight="1">
      <c r="A333" s="35"/>
      <c r="B333" s="35"/>
      <c r="C333" s="35"/>
      <c r="D333" s="35"/>
      <c r="E333" s="35"/>
      <c r="F333" s="50"/>
      <c r="G333" s="35"/>
      <c r="H333" s="35"/>
      <c r="I333" s="35"/>
      <c r="J333" s="35"/>
      <c r="K333" s="35"/>
      <c r="L333" s="35"/>
      <c r="M333" s="35"/>
      <c r="N333" s="35"/>
      <c r="O333" s="35"/>
      <c r="P333" s="35"/>
      <c r="Q333" s="35"/>
      <c r="R333" s="35"/>
      <c r="S333" s="35"/>
      <c r="T333" s="35"/>
      <c r="U333" s="35"/>
      <c r="V333" s="35"/>
      <c r="W333" s="35"/>
      <c r="X333" s="35"/>
      <c r="Y333" s="35"/>
    </row>
    <row r="334" ht="15.75" customHeight="1">
      <c r="A334" s="35"/>
      <c r="B334" s="35"/>
      <c r="C334" s="35"/>
      <c r="D334" s="35"/>
      <c r="E334" s="35"/>
      <c r="F334" s="50"/>
      <c r="G334" s="35"/>
      <c r="H334" s="35"/>
      <c r="I334" s="35"/>
      <c r="J334" s="35"/>
      <c r="K334" s="35"/>
      <c r="L334" s="35"/>
      <c r="M334" s="35"/>
      <c r="N334" s="35"/>
      <c r="O334" s="35"/>
      <c r="P334" s="35"/>
      <c r="Q334" s="35"/>
      <c r="R334" s="35"/>
      <c r="S334" s="35"/>
      <c r="T334" s="35"/>
      <c r="U334" s="35"/>
      <c r="V334" s="35"/>
      <c r="W334" s="35"/>
      <c r="X334" s="35"/>
      <c r="Y334" s="35"/>
    </row>
    <row r="335" ht="15.75" customHeight="1">
      <c r="A335" s="35"/>
      <c r="B335" s="35"/>
      <c r="C335" s="35"/>
      <c r="D335" s="35"/>
      <c r="E335" s="35"/>
      <c r="F335" s="50"/>
      <c r="G335" s="35"/>
      <c r="H335" s="35"/>
      <c r="I335" s="35"/>
      <c r="J335" s="35"/>
      <c r="K335" s="35"/>
      <c r="L335" s="35"/>
      <c r="M335" s="35"/>
      <c r="N335" s="35"/>
      <c r="O335" s="35"/>
      <c r="P335" s="35"/>
      <c r="Q335" s="35"/>
      <c r="R335" s="35"/>
      <c r="S335" s="35"/>
      <c r="T335" s="35"/>
      <c r="U335" s="35"/>
      <c r="V335" s="35"/>
      <c r="W335" s="35"/>
      <c r="X335" s="35"/>
      <c r="Y335" s="35"/>
    </row>
    <row r="336" ht="15.75" customHeight="1">
      <c r="A336" s="35"/>
      <c r="B336" s="35"/>
      <c r="C336" s="35"/>
      <c r="D336" s="35"/>
      <c r="E336" s="35"/>
      <c r="F336" s="50"/>
      <c r="G336" s="35"/>
      <c r="H336" s="35"/>
      <c r="I336" s="35"/>
      <c r="J336" s="35"/>
      <c r="K336" s="35"/>
      <c r="L336" s="35"/>
      <c r="M336" s="35"/>
      <c r="N336" s="35"/>
      <c r="O336" s="35"/>
      <c r="P336" s="35"/>
      <c r="Q336" s="35"/>
      <c r="R336" s="35"/>
      <c r="S336" s="35"/>
      <c r="T336" s="35"/>
      <c r="U336" s="35"/>
      <c r="V336" s="35"/>
      <c r="W336" s="35"/>
      <c r="X336" s="35"/>
      <c r="Y336" s="35"/>
    </row>
    <row r="337" ht="15.75" customHeight="1">
      <c r="A337" s="35"/>
      <c r="B337" s="35"/>
      <c r="C337" s="35"/>
      <c r="D337" s="35"/>
      <c r="E337" s="35"/>
      <c r="F337" s="50"/>
      <c r="G337" s="35"/>
      <c r="H337" s="35"/>
      <c r="I337" s="35"/>
      <c r="J337" s="35"/>
      <c r="K337" s="35"/>
      <c r="L337" s="35"/>
      <c r="M337" s="35"/>
      <c r="N337" s="35"/>
      <c r="O337" s="35"/>
      <c r="P337" s="35"/>
      <c r="Q337" s="35"/>
      <c r="R337" s="35"/>
      <c r="S337" s="35"/>
      <c r="T337" s="35"/>
      <c r="U337" s="35"/>
      <c r="V337" s="35"/>
      <c r="W337" s="35"/>
      <c r="X337" s="35"/>
      <c r="Y337" s="35"/>
    </row>
    <row r="338" ht="15.75" customHeight="1">
      <c r="A338" s="35"/>
      <c r="B338" s="35"/>
      <c r="C338" s="35"/>
      <c r="D338" s="35"/>
      <c r="E338" s="35"/>
      <c r="F338" s="50"/>
      <c r="G338" s="35"/>
      <c r="H338" s="35"/>
      <c r="I338" s="35"/>
      <c r="J338" s="35"/>
      <c r="K338" s="35"/>
      <c r="L338" s="35"/>
      <c r="M338" s="35"/>
      <c r="N338" s="35"/>
      <c r="O338" s="35"/>
      <c r="P338" s="35"/>
      <c r="Q338" s="35"/>
      <c r="R338" s="35"/>
      <c r="S338" s="35"/>
      <c r="T338" s="35"/>
      <c r="U338" s="35"/>
      <c r="V338" s="35"/>
      <c r="W338" s="35"/>
      <c r="X338" s="35"/>
      <c r="Y338" s="35"/>
    </row>
    <row r="339" ht="15.75" customHeight="1">
      <c r="A339" s="35"/>
      <c r="B339" s="35"/>
      <c r="C339" s="35"/>
      <c r="D339" s="35"/>
      <c r="E339" s="35"/>
      <c r="F339" s="50"/>
      <c r="G339" s="35"/>
      <c r="H339" s="35"/>
      <c r="I339" s="35"/>
      <c r="J339" s="35"/>
      <c r="K339" s="35"/>
      <c r="L339" s="35"/>
      <c r="M339" s="35"/>
      <c r="N339" s="35"/>
      <c r="O339" s="35"/>
      <c r="P339" s="35"/>
      <c r="Q339" s="35"/>
      <c r="R339" s="35"/>
      <c r="S339" s="35"/>
      <c r="T339" s="35"/>
      <c r="U339" s="35"/>
      <c r="V339" s="35"/>
      <c r="W339" s="35"/>
      <c r="X339" s="35"/>
      <c r="Y339" s="35"/>
    </row>
    <row r="340" ht="15.75" customHeight="1">
      <c r="A340" s="35"/>
      <c r="B340" s="35"/>
      <c r="C340" s="35"/>
      <c r="D340" s="35"/>
      <c r="E340" s="35"/>
      <c r="F340" s="50"/>
      <c r="G340" s="35"/>
      <c r="H340" s="35"/>
      <c r="I340" s="35"/>
      <c r="J340" s="35"/>
      <c r="K340" s="35"/>
      <c r="L340" s="35"/>
      <c r="M340" s="35"/>
      <c r="N340" s="35"/>
      <c r="O340" s="35"/>
      <c r="P340" s="35"/>
      <c r="Q340" s="35"/>
      <c r="R340" s="35"/>
      <c r="S340" s="35"/>
      <c r="T340" s="35"/>
      <c r="U340" s="35"/>
      <c r="V340" s="35"/>
      <c r="W340" s="35"/>
      <c r="X340" s="35"/>
      <c r="Y340" s="35"/>
    </row>
    <row r="341" ht="15.75" customHeight="1">
      <c r="A341" s="35"/>
      <c r="B341" s="35"/>
      <c r="C341" s="35"/>
      <c r="D341" s="35"/>
      <c r="E341" s="35"/>
      <c r="F341" s="50"/>
      <c r="G341" s="35"/>
      <c r="H341" s="35"/>
      <c r="I341" s="35"/>
      <c r="J341" s="35"/>
      <c r="K341" s="35"/>
      <c r="L341" s="35"/>
      <c r="M341" s="35"/>
      <c r="N341" s="35"/>
      <c r="O341" s="35"/>
      <c r="P341" s="35"/>
      <c r="Q341" s="35"/>
      <c r="R341" s="35"/>
      <c r="S341" s="35"/>
      <c r="T341" s="35"/>
      <c r="U341" s="35"/>
      <c r="V341" s="35"/>
      <c r="W341" s="35"/>
      <c r="X341" s="35"/>
      <c r="Y341" s="35"/>
    </row>
    <row r="342" ht="15.75" customHeight="1">
      <c r="A342" s="35"/>
      <c r="B342" s="35"/>
      <c r="C342" s="35"/>
      <c r="D342" s="35"/>
      <c r="E342" s="35"/>
      <c r="F342" s="50"/>
      <c r="G342" s="35"/>
      <c r="H342" s="35"/>
      <c r="I342" s="35"/>
      <c r="J342" s="35"/>
      <c r="K342" s="35"/>
      <c r="L342" s="35"/>
      <c r="M342" s="35"/>
      <c r="N342" s="35"/>
      <c r="O342" s="35"/>
      <c r="P342" s="35"/>
      <c r="Q342" s="35"/>
      <c r="R342" s="35"/>
      <c r="S342" s="35"/>
      <c r="T342" s="35"/>
      <c r="U342" s="35"/>
      <c r="V342" s="35"/>
      <c r="W342" s="35"/>
      <c r="X342" s="35"/>
      <c r="Y342" s="35"/>
    </row>
    <row r="343" ht="15.75" customHeight="1">
      <c r="A343" s="35"/>
      <c r="B343" s="35"/>
      <c r="C343" s="35"/>
      <c r="D343" s="35"/>
      <c r="E343" s="35"/>
      <c r="F343" s="50"/>
      <c r="G343" s="35"/>
      <c r="H343" s="35"/>
      <c r="I343" s="35"/>
      <c r="J343" s="35"/>
      <c r="K343" s="35"/>
      <c r="L343" s="35"/>
      <c r="M343" s="35"/>
      <c r="N343" s="35"/>
      <c r="O343" s="35"/>
      <c r="P343" s="35"/>
      <c r="Q343" s="35"/>
      <c r="R343" s="35"/>
      <c r="S343" s="35"/>
      <c r="T343" s="35"/>
      <c r="U343" s="35"/>
      <c r="V343" s="35"/>
      <c r="W343" s="35"/>
      <c r="X343" s="35"/>
      <c r="Y343" s="35"/>
    </row>
    <row r="344" ht="15.75" customHeight="1">
      <c r="A344" s="35"/>
      <c r="B344" s="35"/>
      <c r="C344" s="35"/>
      <c r="D344" s="35"/>
      <c r="E344" s="35"/>
      <c r="F344" s="50"/>
      <c r="G344" s="35"/>
      <c r="H344" s="35"/>
      <c r="I344" s="35"/>
      <c r="J344" s="35"/>
      <c r="K344" s="35"/>
      <c r="L344" s="35"/>
      <c r="M344" s="35"/>
      <c r="N344" s="35"/>
      <c r="O344" s="35"/>
      <c r="P344" s="35"/>
      <c r="Q344" s="35"/>
      <c r="R344" s="35"/>
      <c r="S344" s="35"/>
      <c r="T344" s="35"/>
      <c r="U344" s="35"/>
      <c r="V344" s="35"/>
      <c r="W344" s="35"/>
      <c r="X344" s="35"/>
      <c r="Y344" s="35"/>
    </row>
    <row r="345" ht="15.75" customHeight="1">
      <c r="A345" s="35"/>
      <c r="B345" s="35"/>
      <c r="C345" s="35"/>
      <c r="D345" s="35"/>
      <c r="E345" s="35"/>
      <c r="F345" s="50"/>
      <c r="G345" s="35"/>
      <c r="H345" s="35"/>
      <c r="I345" s="35"/>
      <c r="J345" s="35"/>
      <c r="K345" s="35"/>
      <c r="L345" s="35"/>
      <c r="M345" s="35"/>
      <c r="N345" s="35"/>
      <c r="O345" s="35"/>
      <c r="P345" s="35"/>
      <c r="Q345" s="35"/>
      <c r="R345" s="35"/>
      <c r="S345" s="35"/>
      <c r="T345" s="35"/>
      <c r="U345" s="35"/>
      <c r="V345" s="35"/>
      <c r="W345" s="35"/>
      <c r="X345" s="35"/>
      <c r="Y345" s="35"/>
    </row>
    <row r="346" ht="15.75" customHeight="1">
      <c r="A346" s="35"/>
      <c r="B346" s="35"/>
      <c r="C346" s="35"/>
      <c r="D346" s="35"/>
      <c r="E346" s="35"/>
      <c r="F346" s="50"/>
      <c r="G346" s="35"/>
      <c r="H346" s="35"/>
      <c r="I346" s="35"/>
      <c r="J346" s="35"/>
      <c r="K346" s="35"/>
      <c r="L346" s="35"/>
      <c r="M346" s="35"/>
      <c r="N346" s="35"/>
      <c r="O346" s="35"/>
      <c r="P346" s="35"/>
      <c r="Q346" s="35"/>
      <c r="R346" s="35"/>
      <c r="S346" s="35"/>
      <c r="T346" s="35"/>
      <c r="U346" s="35"/>
      <c r="V346" s="35"/>
      <c r="W346" s="35"/>
      <c r="X346" s="35"/>
      <c r="Y346" s="35"/>
    </row>
    <row r="347" ht="15.75" customHeight="1">
      <c r="A347" s="35"/>
      <c r="B347" s="35"/>
      <c r="C347" s="35"/>
      <c r="D347" s="35"/>
      <c r="E347" s="35"/>
      <c r="F347" s="50"/>
      <c r="G347" s="35"/>
      <c r="H347" s="35"/>
      <c r="I347" s="35"/>
      <c r="J347" s="35"/>
      <c r="K347" s="35"/>
      <c r="L347" s="35"/>
      <c r="M347" s="35"/>
      <c r="N347" s="35"/>
      <c r="O347" s="35"/>
      <c r="P347" s="35"/>
      <c r="Q347" s="35"/>
      <c r="R347" s="35"/>
      <c r="S347" s="35"/>
      <c r="T347" s="35"/>
      <c r="U347" s="35"/>
      <c r="V347" s="35"/>
      <c r="W347" s="35"/>
      <c r="X347" s="35"/>
      <c r="Y347" s="35"/>
    </row>
    <row r="348" ht="15.75" customHeight="1">
      <c r="A348" s="35"/>
      <c r="B348" s="35"/>
      <c r="C348" s="35"/>
      <c r="D348" s="35"/>
      <c r="E348" s="35"/>
      <c r="F348" s="50"/>
      <c r="G348" s="35"/>
      <c r="H348" s="35"/>
      <c r="I348" s="35"/>
      <c r="J348" s="35"/>
      <c r="K348" s="35"/>
      <c r="L348" s="35"/>
      <c r="M348" s="35"/>
      <c r="N348" s="35"/>
      <c r="O348" s="35"/>
      <c r="P348" s="35"/>
      <c r="Q348" s="35"/>
      <c r="R348" s="35"/>
      <c r="S348" s="35"/>
      <c r="T348" s="35"/>
      <c r="U348" s="35"/>
      <c r="V348" s="35"/>
      <c r="W348" s="35"/>
      <c r="X348" s="35"/>
      <c r="Y348" s="35"/>
    </row>
    <row r="349" ht="15.75" customHeight="1">
      <c r="A349" s="35"/>
      <c r="B349" s="35"/>
      <c r="C349" s="35"/>
      <c r="D349" s="35"/>
      <c r="E349" s="35"/>
      <c r="F349" s="50"/>
      <c r="G349" s="35"/>
      <c r="H349" s="35"/>
      <c r="I349" s="35"/>
      <c r="J349" s="35"/>
      <c r="K349" s="35"/>
      <c r="L349" s="35"/>
      <c r="M349" s="35"/>
      <c r="N349" s="35"/>
      <c r="O349" s="35"/>
      <c r="P349" s="35"/>
      <c r="Q349" s="35"/>
      <c r="R349" s="35"/>
      <c r="S349" s="35"/>
      <c r="T349" s="35"/>
      <c r="U349" s="35"/>
      <c r="V349" s="35"/>
      <c r="W349" s="35"/>
      <c r="X349" s="35"/>
      <c r="Y349" s="35"/>
    </row>
    <row r="350" ht="15.75" customHeight="1">
      <c r="A350" s="35"/>
      <c r="B350" s="35"/>
      <c r="C350" s="35"/>
      <c r="D350" s="35"/>
      <c r="E350" s="35"/>
      <c r="F350" s="50"/>
      <c r="G350" s="35"/>
      <c r="H350" s="35"/>
      <c r="I350" s="35"/>
      <c r="J350" s="35"/>
      <c r="K350" s="35"/>
      <c r="L350" s="35"/>
      <c r="M350" s="35"/>
      <c r="N350" s="35"/>
      <c r="O350" s="35"/>
      <c r="P350" s="35"/>
      <c r="Q350" s="35"/>
      <c r="R350" s="35"/>
      <c r="S350" s="35"/>
      <c r="T350" s="35"/>
      <c r="U350" s="35"/>
      <c r="V350" s="35"/>
      <c r="W350" s="35"/>
      <c r="X350" s="35"/>
      <c r="Y350" s="35"/>
    </row>
    <row r="351" ht="15.75" customHeight="1">
      <c r="A351" s="35"/>
      <c r="B351" s="35"/>
      <c r="C351" s="35"/>
      <c r="D351" s="35"/>
      <c r="E351" s="35"/>
      <c r="F351" s="50"/>
      <c r="G351" s="35"/>
      <c r="H351" s="35"/>
      <c r="I351" s="35"/>
      <c r="J351" s="35"/>
      <c r="K351" s="35"/>
      <c r="L351" s="35"/>
      <c r="M351" s="35"/>
      <c r="N351" s="35"/>
      <c r="O351" s="35"/>
      <c r="P351" s="35"/>
      <c r="Q351" s="35"/>
      <c r="R351" s="35"/>
      <c r="S351" s="35"/>
      <c r="T351" s="35"/>
      <c r="U351" s="35"/>
      <c r="V351" s="35"/>
      <c r="W351" s="35"/>
      <c r="X351" s="35"/>
      <c r="Y351" s="35"/>
    </row>
    <row r="352" ht="15.75" customHeight="1">
      <c r="A352" s="35"/>
      <c r="B352" s="35"/>
      <c r="C352" s="35"/>
      <c r="D352" s="35"/>
      <c r="E352" s="35"/>
      <c r="F352" s="50"/>
      <c r="G352" s="35"/>
      <c r="H352" s="35"/>
      <c r="I352" s="35"/>
      <c r="J352" s="35"/>
      <c r="K352" s="35"/>
      <c r="L352" s="35"/>
      <c r="M352" s="35"/>
      <c r="N352" s="35"/>
      <c r="O352" s="35"/>
      <c r="P352" s="35"/>
      <c r="Q352" s="35"/>
      <c r="R352" s="35"/>
      <c r="S352" s="35"/>
      <c r="T352" s="35"/>
      <c r="U352" s="35"/>
      <c r="V352" s="35"/>
      <c r="W352" s="35"/>
      <c r="X352" s="35"/>
      <c r="Y352" s="35"/>
    </row>
    <row r="353" ht="15.75" customHeight="1">
      <c r="A353" s="35"/>
      <c r="B353" s="35"/>
      <c r="C353" s="35"/>
      <c r="D353" s="35"/>
      <c r="E353" s="35"/>
      <c r="F353" s="50"/>
      <c r="G353" s="35"/>
      <c r="H353" s="35"/>
      <c r="I353" s="35"/>
      <c r="J353" s="35"/>
      <c r="K353" s="35"/>
      <c r="L353" s="35"/>
      <c r="M353" s="35"/>
      <c r="N353" s="35"/>
      <c r="O353" s="35"/>
      <c r="P353" s="35"/>
      <c r="Q353" s="35"/>
      <c r="R353" s="35"/>
      <c r="S353" s="35"/>
      <c r="T353" s="35"/>
      <c r="U353" s="35"/>
      <c r="V353" s="35"/>
      <c r="W353" s="35"/>
      <c r="X353" s="35"/>
      <c r="Y353" s="35"/>
    </row>
    <row r="354" ht="15.75" customHeight="1">
      <c r="A354" s="35"/>
      <c r="B354" s="35"/>
      <c r="C354" s="35"/>
      <c r="D354" s="35"/>
      <c r="E354" s="35"/>
      <c r="F354" s="50"/>
      <c r="G354" s="35"/>
      <c r="H354" s="35"/>
      <c r="I354" s="35"/>
      <c r="J354" s="35"/>
      <c r="K354" s="35"/>
      <c r="L354" s="35"/>
      <c r="M354" s="35"/>
      <c r="N354" s="35"/>
      <c r="O354" s="35"/>
      <c r="P354" s="35"/>
      <c r="Q354" s="35"/>
      <c r="R354" s="35"/>
      <c r="S354" s="35"/>
      <c r="T354" s="35"/>
      <c r="U354" s="35"/>
      <c r="V354" s="35"/>
      <c r="W354" s="35"/>
      <c r="X354" s="35"/>
      <c r="Y354" s="35"/>
    </row>
    <row r="355" ht="15.75" customHeight="1">
      <c r="A355" s="35"/>
      <c r="B355" s="35"/>
      <c r="C355" s="35"/>
      <c r="D355" s="35"/>
      <c r="E355" s="35"/>
      <c r="F355" s="50"/>
      <c r="G355" s="35"/>
      <c r="H355" s="35"/>
      <c r="I355" s="35"/>
      <c r="J355" s="35"/>
      <c r="K355" s="35"/>
      <c r="L355" s="35"/>
      <c r="M355" s="35"/>
      <c r="N355" s="35"/>
      <c r="O355" s="35"/>
      <c r="P355" s="35"/>
      <c r="Q355" s="35"/>
      <c r="R355" s="35"/>
      <c r="S355" s="35"/>
      <c r="T355" s="35"/>
      <c r="U355" s="35"/>
      <c r="V355" s="35"/>
      <c r="W355" s="35"/>
      <c r="X355" s="35"/>
      <c r="Y355" s="35"/>
    </row>
    <row r="356" ht="15.75" customHeight="1">
      <c r="A356" s="35"/>
      <c r="B356" s="35"/>
      <c r="C356" s="35"/>
      <c r="D356" s="35"/>
      <c r="E356" s="35"/>
      <c r="F356" s="50"/>
      <c r="G356" s="35"/>
      <c r="H356" s="35"/>
      <c r="I356" s="35"/>
      <c r="J356" s="35"/>
      <c r="K356" s="35"/>
      <c r="L356" s="35"/>
      <c r="M356" s="35"/>
      <c r="N356" s="35"/>
      <c r="O356" s="35"/>
      <c r="P356" s="35"/>
      <c r="Q356" s="35"/>
      <c r="R356" s="35"/>
      <c r="S356" s="35"/>
      <c r="T356" s="35"/>
      <c r="U356" s="35"/>
      <c r="V356" s="35"/>
      <c r="W356" s="35"/>
      <c r="X356" s="35"/>
      <c r="Y356" s="35"/>
    </row>
    <row r="357" ht="15.75" customHeight="1">
      <c r="A357" s="35"/>
      <c r="B357" s="35"/>
      <c r="C357" s="35"/>
      <c r="D357" s="35"/>
      <c r="E357" s="35"/>
      <c r="F357" s="50"/>
      <c r="G357" s="35"/>
      <c r="H357" s="35"/>
      <c r="I357" s="35"/>
      <c r="J357" s="35"/>
      <c r="K357" s="35"/>
      <c r="L357" s="35"/>
      <c r="M357" s="35"/>
      <c r="N357" s="35"/>
      <c r="O357" s="35"/>
      <c r="P357" s="35"/>
      <c r="Q357" s="35"/>
      <c r="R357" s="35"/>
      <c r="S357" s="35"/>
      <c r="T357" s="35"/>
      <c r="U357" s="35"/>
      <c r="V357" s="35"/>
      <c r="W357" s="35"/>
      <c r="X357" s="35"/>
      <c r="Y357" s="35"/>
    </row>
    <row r="358" ht="15.75" customHeight="1">
      <c r="A358" s="35"/>
      <c r="B358" s="35"/>
      <c r="C358" s="35"/>
      <c r="D358" s="35"/>
      <c r="E358" s="35"/>
      <c r="F358" s="50"/>
      <c r="G358" s="35"/>
      <c r="H358" s="35"/>
      <c r="I358" s="35"/>
      <c r="J358" s="35"/>
      <c r="K358" s="35"/>
      <c r="L358" s="35"/>
      <c r="M358" s="35"/>
      <c r="N358" s="35"/>
      <c r="O358" s="35"/>
      <c r="P358" s="35"/>
      <c r="Q358" s="35"/>
      <c r="R358" s="35"/>
      <c r="S358" s="35"/>
      <c r="T358" s="35"/>
      <c r="U358" s="35"/>
      <c r="V358" s="35"/>
      <c r="W358" s="35"/>
      <c r="X358" s="35"/>
      <c r="Y358" s="35"/>
    </row>
    <row r="359" ht="15.75" customHeight="1">
      <c r="A359" s="35"/>
      <c r="B359" s="35"/>
      <c r="C359" s="35"/>
      <c r="D359" s="35"/>
      <c r="E359" s="35"/>
      <c r="F359" s="50"/>
      <c r="G359" s="35"/>
      <c r="H359" s="35"/>
      <c r="I359" s="35"/>
      <c r="J359" s="35"/>
      <c r="K359" s="35"/>
      <c r="L359" s="35"/>
      <c r="M359" s="35"/>
      <c r="N359" s="35"/>
      <c r="O359" s="35"/>
      <c r="P359" s="35"/>
      <c r="Q359" s="35"/>
      <c r="R359" s="35"/>
      <c r="S359" s="35"/>
      <c r="T359" s="35"/>
      <c r="U359" s="35"/>
      <c r="V359" s="35"/>
      <c r="W359" s="35"/>
      <c r="X359" s="35"/>
      <c r="Y359" s="35"/>
    </row>
    <row r="360" ht="15.75" customHeight="1">
      <c r="A360" s="35"/>
      <c r="B360" s="35"/>
      <c r="C360" s="35"/>
      <c r="D360" s="35"/>
      <c r="E360" s="35"/>
      <c r="F360" s="50"/>
      <c r="G360" s="35"/>
      <c r="H360" s="35"/>
      <c r="I360" s="35"/>
      <c r="J360" s="35"/>
      <c r="K360" s="35"/>
      <c r="L360" s="35"/>
      <c r="M360" s="35"/>
      <c r="N360" s="35"/>
      <c r="O360" s="35"/>
      <c r="P360" s="35"/>
      <c r="Q360" s="35"/>
      <c r="R360" s="35"/>
      <c r="S360" s="35"/>
      <c r="T360" s="35"/>
      <c r="U360" s="35"/>
      <c r="V360" s="35"/>
      <c r="W360" s="35"/>
      <c r="X360" s="35"/>
      <c r="Y360" s="35"/>
    </row>
    <row r="361" ht="15.75" customHeight="1">
      <c r="A361" s="35"/>
      <c r="B361" s="35"/>
      <c r="C361" s="35"/>
      <c r="D361" s="35"/>
      <c r="E361" s="35"/>
      <c r="F361" s="50"/>
      <c r="G361" s="35"/>
      <c r="H361" s="35"/>
      <c r="I361" s="35"/>
      <c r="J361" s="35"/>
      <c r="K361" s="35"/>
      <c r="L361" s="35"/>
      <c r="M361" s="35"/>
      <c r="N361" s="35"/>
      <c r="O361" s="35"/>
      <c r="P361" s="35"/>
      <c r="Q361" s="35"/>
      <c r="R361" s="35"/>
      <c r="S361" s="35"/>
      <c r="T361" s="35"/>
      <c r="U361" s="35"/>
      <c r="V361" s="35"/>
      <c r="W361" s="35"/>
      <c r="X361" s="35"/>
      <c r="Y361" s="35"/>
    </row>
    <row r="362" ht="15.75" customHeight="1">
      <c r="A362" s="35"/>
      <c r="B362" s="35"/>
      <c r="C362" s="35"/>
      <c r="D362" s="35"/>
      <c r="E362" s="35"/>
      <c r="F362" s="50"/>
      <c r="G362" s="35"/>
      <c r="H362" s="35"/>
      <c r="I362" s="35"/>
      <c r="J362" s="35"/>
      <c r="K362" s="35"/>
      <c r="L362" s="35"/>
      <c r="M362" s="35"/>
      <c r="N362" s="35"/>
      <c r="O362" s="35"/>
      <c r="P362" s="35"/>
      <c r="Q362" s="35"/>
      <c r="R362" s="35"/>
      <c r="S362" s="35"/>
      <c r="T362" s="35"/>
      <c r="U362" s="35"/>
      <c r="V362" s="35"/>
      <c r="W362" s="35"/>
      <c r="X362" s="35"/>
      <c r="Y362" s="35"/>
    </row>
    <row r="363" ht="15.75" customHeight="1">
      <c r="A363" s="35"/>
      <c r="B363" s="35"/>
      <c r="C363" s="35"/>
      <c r="D363" s="35"/>
      <c r="E363" s="35"/>
      <c r="F363" s="50"/>
      <c r="G363" s="35"/>
      <c r="H363" s="35"/>
      <c r="I363" s="35"/>
      <c r="J363" s="35"/>
      <c r="K363" s="35"/>
      <c r="L363" s="35"/>
      <c r="M363" s="35"/>
      <c r="N363" s="35"/>
      <c r="O363" s="35"/>
      <c r="P363" s="35"/>
      <c r="Q363" s="35"/>
      <c r="R363" s="35"/>
      <c r="S363" s="35"/>
      <c r="T363" s="35"/>
      <c r="U363" s="35"/>
      <c r="V363" s="35"/>
      <c r="W363" s="35"/>
      <c r="X363" s="35"/>
      <c r="Y363" s="35"/>
    </row>
    <row r="364" ht="15.75" customHeight="1">
      <c r="A364" s="35"/>
      <c r="B364" s="35"/>
      <c r="C364" s="35"/>
      <c r="D364" s="35"/>
      <c r="E364" s="35"/>
      <c r="F364" s="50"/>
      <c r="G364" s="35"/>
      <c r="H364" s="35"/>
      <c r="I364" s="35"/>
      <c r="J364" s="35"/>
      <c r="K364" s="35"/>
      <c r="L364" s="35"/>
      <c r="M364" s="35"/>
      <c r="N364" s="35"/>
      <c r="O364" s="35"/>
      <c r="P364" s="35"/>
      <c r="Q364" s="35"/>
      <c r="R364" s="35"/>
      <c r="S364" s="35"/>
      <c r="T364" s="35"/>
      <c r="U364" s="35"/>
      <c r="V364" s="35"/>
      <c r="W364" s="35"/>
      <c r="X364" s="35"/>
      <c r="Y364" s="35"/>
    </row>
    <row r="365" ht="15.75" customHeight="1">
      <c r="A365" s="35"/>
      <c r="B365" s="35"/>
      <c r="C365" s="35"/>
      <c r="D365" s="35"/>
      <c r="E365" s="35"/>
      <c r="F365" s="50"/>
      <c r="G365" s="35"/>
      <c r="H365" s="35"/>
      <c r="I365" s="35"/>
      <c r="J365" s="35"/>
      <c r="K365" s="35"/>
      <c r="L365" s="35"/>
      <c r="M365" s="35"/>
      <c r="N365" s="35"/>
      <c r="O365" s="35"/>
      <c r="P365" s="35"/>
      <c r="Q365" s="35"/>
      <c r="R365" s="35"/>
      <c r="S365" s="35"/>
      <c r="T365" s="35"/>
      <c r="U365" s="35"/>
      <c r="V365" s="35"/>
      <c r="W365" s="35"/>
      <c r="X365" s="35"/>
      <c r="Y365" s="35"/>
    </row>
    <row r="366" ht="15.75" customHeight="1">
      <c r="A366" s="35"/>
      <c r="B366" s="35"/>
      <c r="C366" s="35"/>
      <c r="D366" s="35"/>
      <c r="E366" s="35"/>
      <c r="F366" s="50"/>
      <c r="G366" s="35"/>
      <c r="H366" s="35"/>
      <c r="I366" s="35"/>
      <c r="J366" s="35"/>
      <c r="K366" s="35"/>
      <c r="L366" s="35"/>
      <c r="M366" s="35"/>
      <c r="N366" s="35"/>
      <c r="O366" s="35"/>
      <c r="P366" s="35"/>
      <c r="Q366" s="35"/>
      <c r="R366" s="35"/>
      <c r="S366" s="35"/>
      <c r="T366" s="35"/>
      <c r="U366" s="35"/>
      <c r="V366" s="35"/>
      <c r="W366" s="35"/>
      <c r="X366" s="35"/>
      <c r="Y366" s="35"/>
    </row>
    <row r="367" ht="15.75" customHeight="1">
      <c r="A367" s="35"/>
      <c r="B367" s="35"/>
      <c r="C367" s="35"/>
      <c r="D367" s="35"/>
      <c r="E367" s="35"/>
      <c r="F367" s="50"/>
      <c r="G367" s="35"/>
      <c r="H367" s="35"/>
      <c r="I367" s="35"/>
      <c r="J367" s="35"/>
      <c r="K367" s="35"/>
      <c r="L367" s="35"/>
      <c r="M367" s="35"/>
      <c r="N367" s="35"/>
      <c r="O367" s="35"/>
      <c r="P367" s="35"/>
      <c r="Q367" s="35"/>
      <c r="R367" s="35"/>
      <c r="S367" s="35"/>
      <c r="T367" s="35"/>
      <c r="U367" s="35"/>
      <c r="V367" s="35"/>
      <c r="W367" s="35"/>
      <c r="X367" s="35"/>
      <c r="Y367" s="35"/>
    </row>
    <row r="368" ht="15.75" customHeight="1">
      <c r="A368" s="35"/>
      <c r="B368" s="35"/>
      <c r="C368" s="35"/>
      <c r="D368" s="35"/>
      <c r="E368" s="35"/>
      <c r="F368" s="50"/>
      <c r="G368" s="35"/>
      <c r="H368" s="35"/>
      <c r="I368" s="35"/>
      <c r="J368" s="35"/>
      <c r="K368" s="35"/>
      <c r="L368" s="35"/>
      <c r="M368" s="35"/>
      <c r="N368" s="35"/>
      <c r="O368" s="35"/>
      <c r="P368" s="35"/>
      <c r="Q368" s="35"/>
      <c r="R368" s="35"/>
      <c r="S368" s="35"/>
      <c r="T368" s="35"/>
      <c r="U368" s="35"/>
      <c r="V368" s="35"/>
      <c r="W368" s="35"/>
      <c r="X368" s="35"/>
      <c r="Y368" s="35"/>
    </row>
    <row r="369" ht="15.75" customHeight="1">
      <c r="A369" s="35"/>
      <c r="B369" s="35"/>
      <c r="C369" s="35"/>
      <c r="D369" s="35"/>
      <c r="E369" s="35"/>
      <c r="F369" s="50"/>
      <c r="G369" s="35"/>
      <c r="H369" s="35"/>
      <c r="I369" s="35"/>
      <c r="J369" s="35"/>
      <c r="K369" s="35"/>
      <c r="L369" s="35"/>
      <c r="M369" s="35"/>
      <c r="N369" s="35"/>
      <c r="O369" s="35"/>
      <c r="P369" s="35"/>
      <c r="Q369" s="35"/>
      <c r="R369" s="35"/>
      <c r="S369" s="35"/>
      <c r="T369" s="35"/>
      <c r="U369" s="35"/>
      <c r="V369" s="35"/>
      <c r="W369" s="35"/>
      <c r="X369" s="35"/>
      <c r="Y369" s="35"/>
    </row>
    <row r="370" ht="15.75" customHeight="1">
      <c r="A370" s="35"/>
      <c r="B370" s="35"/>
      <c r="C370" s="35"/>
      <c r="D370" s="35"/>
      <c r="E370" s="35"/>
      <c r="F370" s="50"/>
      <c r="G370" s="35"/>
      <c r="H370" s="35"/>
      <c r="I370" s="35"/>
      <c r="J370" s="35"/>
      <c r="K370" s="35"/>
      <c r="L370" s="35"/>
      <c r="M370" s="35"/>
      <c r="N370" s="35"/>
      <c r="O370" s="35"/>
      <c r="P370" s="35"/>
      <c r="Q370" s="35"/>
      <c r="R370" s="35"/>
      <c r="S370" s="35"/>
      <c r="T370" s="35"/>
      <c r="U370" s="35"/>
      <c r="V370" s="35"/>
      <c r="W370" s="35"/>
      <c r="X370" s="35"/>
      <c r="Y370" s="35"/>
    </row>
    <row r="371" ht="15.75" customHeight="1">
      <c r="A371" s="35"/>
      <c r="B371" s="35"/>
      <c r="C371" s="35"/>
      <c r="D371" s="35"/>
      <c r="E371" s="35"/>
      <c r="F371" s="50"/>
      <c r="G371" s="35"/>
      <c r="H371" s="35"/>
      <c r="I371" s="35"/>
      <c r="J371" s="35"/>
      <c r="K371" s="35"/>
      <c r="L371" s="35"/>
      <c r="M371" s="35"/>
      <c r="N371" s="35"/>
      <c r="O371" s="35"/>
      <c r="P371" s="35"/>
      <c r="Q371" s="35"/>
      <c r="R371" s="35"/>
      <c r="S371" s="35"/>
      <c r="T371" s="35"/>
      <c r="U371" s="35"/>
      <c r="V371" s="35"/>
      <c r="W371" s="35"/>
      <c r="X371" s="35"/>
      <c r="Y371" s="35"/>
    </row>
    <row r="372" ht="15.75" customHeight="1">
      <c r="A372" s="35"/>
      <c r="B372" s="35"/>
      <c r="C372" s="35"/>
      <c r="D372" s="35"/>
      <c r="E372" s="35"/>
      <c r="F372" s="50"/>
      <c r="G372" s="35"/>
      <c r="H372" s="35"/>
      <c r="I372" s="35"/>
      <c r="J372" s="35"/>
      <c r="K372" s="35"/>
      <c r="L372" s="35"/>
      <c r="M372" s="35"/>
      <c r="N372" s="35"/>
      <c r="O372" s="35"/>
      <c r="P372" s="35"/>
      <c r="Q372" s="35"/>
      <c r="R372" s="35"/>
      <c r="S372" s="35"/>
      <c r="T372" s="35"/>
      <c r="U372" s="35"/>
      <c r="V372" s="35"/>
      <c r="W372" s="35"/>
      <c r="X372" s="35"/>
      <c r="Y372" s="35"/>
    </row>
    <row r="373" ht="15.75" customHeight="1">
      <c r="A373" s="35"/>
      <c r="B373" s="35"/>
      <c r="C373" s="35"/>
      <c r="D373" s="35"/>
      <c r="E373" s="35"/>
      <c r="F373" s="50"/>
      <c r="G373" s="35"/>
      <c r="H373" s="35"/>
      <c r="I373" s="35"/>
      <c r="J373" s="35"/>
      <c r="K373" s="35"/>
      <c r="L373" s="35"/>
      <c r="M373" s="35"/>
      <c r="N373" s="35"/>
      <c r="O373" s="35"/>
      <c r="P373" s="35"/>
      <c r="Q373" s="35"/>
      <c r="R373" s="35"/>
      <c r="S373" s="35"/>
      <c r="T373" s="35"/>
      <c r="U373" s="35"/>
      <c r="V373" s="35"/>
      <c r="W373" s="35"/>
      <c r="X373" s="35"/>
      <c r="Y373" s="35"/>
    </row>
    <row r="374" ht="15.75" customHeight="1">
      <c r="A374" s="35"/>
      <c r="B374" s="35"/>
      <c r="C374" s="35"/>
      <c r="D374" s="35"/>
      <c r="E374" s="35"/>
      <c r="F374" s="50"/>
      <c r="G374" s="35"/>
      <c r="H374" s="35"/>
      <c r="I374" s="35"/>
      <c r="J374" s="35"/>
      <c r="K374" s="35"/>
      <c r="L374" s="35"/>
      <c r="M374" s="35"/>
      <c r="N374" s="35"/>
      <c r="O374" s="35"/>
      <c r="P374" s="35"/>
      <c r="Q374" s="35"/>
      <c r="R374" s="35"/>
      <c r="S374" s="35"/>
      <c r="T374" s="35"/>
      <c r="U374" s="35"/>
      <c r="V374" s="35"/>
      <c r="W374" s="35"/>
      <c r="X374" s="35"/>
      <c r="Y374" s="35"/>
    </row>
    <row r="375" ht="15.75" customHeight="1">
      <c r="A375" s="35"/>
      <c r="B375" s="35"/>
      <c r="C375" s="35"/>
      <c r="D375" s="35"/>
      <c r="E375" s="35"/>
      <c r="F375" s="50"/>
      <c r="G375" s="35"/>
      <c r="H375" s="35"/>
      <c r="I375" s="35"/>
      <c r="J375" s="35"/>
      <c r="K375" s="35"/>
      <c r="L375" s="35"/>
      <c r="M375" s="35"/>
      <c r="N375" s="35"/>
      <c r="O375" s="35"/>
      <c r="P375" s="35"/>
      <c r="Q375" s="35"/>
      <c r="R375" s="35"/>
      <c r="S375" s="35"/>
      <c r="T375" s="35"/>
      <c r="U375" s="35"/>
      <c r="V375" s="35"/>
      <c r="W375" s="35"/>
      <c r="X375" s="35"/>
      <c r="Y375" s="35"/>
    </row>
    <row r="376" ht="15.75" customHeight="1">
      <c r="A376" s="35"/>
      <c r="B376" s="35"/>
      <c r="C376" s="35"/>
      <c r="D376" s="35"/>
      <c r="E376" s="35"/>
      <c r="F376" s="50"/>
      <c r="G376" s="35"/>
      <c r="H376" s="35"/>
      <c r="I376" s="35"/>
      <c r="J376" s="35"/>
      <c r="K376" s="35"/>
      <c r="L376" s="35"/>
      <c r="M376" s="35"/>
      <c r="N376" s="35"/>
      <c r="O376" s="35"/>
      <c r="P376" s="35"/>
      <c r="Q376" s="35"/>
      <c r="R376" s="35"/>
      <c r="S376" s="35"/>
      <c r="T376" s="35"/>
      <c r="U376" s="35"/>
      <c r="V376" s="35"/>
      <c r="W376" s="35"/>
      <c r="X376" s="35"/>
      <c r="Y376" s="35"/>
    </row>
    <row r="377" ht="15.75" customHeight="1">
      <c r="A377" s="35"/>
      <c r="B377" s="35"/>
      <c r="C377" s="35"/>
      <c r="D377" s="35"/>
      <c r="E377" s="35"/>
      <c r="F377" s="50"/>
      <c r="G377" s="35"/>
      <c r="H377" s="35"/>
      <c r="I377" s="35"/>
      <c r="J377" s="35"/>
      <c r="K377" s="35"/>
      <c r="L377" s="35"/>
      <c r="M377" s="35"/>
      <c r="N377" s="35"/>
      <c r="O377" s="35"/>
      <c r="P377" s="35"/>
      <c r="Q377" s="35"/>
      <c r="R377" s="35"/>
      <c r="S377" s="35"/>
      <c r="T377" s="35"/>
      <c r="U377" s="35"/>
      <c r="V377" s="35"/>
      <c r="W377" s="35"/>
      <c r="X377" s="35"/>
      <c r="Y377" s="35"/>
    </row>
    <row r="378" ht="15.75" customHeight="1">
      <c r="A378" s="35"/>
      <c r="B378" s="35"/>
      <c r="C378" s="35"/>
      <c r="D378" s="35"/>
      <c r="E378" s="35"/>
      <c r="F378" s="50"/>
      <c r="G378" s="35"/>
      <c r="H378" s="35"/>
      <c r="I378" s="35"/>
      <c r="J378" s="35"/>
      <c r="K378" s="35"/>
      <c r="L378" s="35"/>
      <c r="M378" s="35"/>
      <c r="N378" s="35"/>
      <c r="O378" s="35"/>
      <c r="P378" s="35"/>
      <c r="Q378" s="35"/>
      <c r="R378" s="35"/>
      <c r="S378" s="35"/>
      <c r="T378" s="35"/>
      <c r="U378" s="35"/>
      <c r="V378" s="35"/>
      <c r="W378" s="35"/>
      <c r="X378" s="35"/>
      <c r="Y378" s="35"/>
    </row>
    <row r="379" ht="15.75" customHeight="1">
      <c r="A379" s="35"/>
      <c r="B379" s="35"/>
      <c r="C379" s="35"/>
      <c r="D379" s="35"/>
      <c r="E379" s="35"/>
      <c r="F379" s="50"/>
      <c r="G379" s="35"/>
      <c r="H379" s="35"/>
      <c r="I379" s="35"/>
      <c r="J379" s="35"/>
      <c r="K379" s="35"/>
      <c r="L379" s="35"/>
      <c r="M379" s="35"/>
      <c r="N379" s="35"/>
      <c r="O379" s="35"/>
      <c r="P379" s="35"/>
      <c r="Q379" s="35"/>
      <c r="R379" s="35"/>
      <c r="S379" s="35"/>
      <c r="T379" s="35"/>
      <c r="U379" s="35"/>
      <c r="V379" s="35"/>
      <c r="W379" s="35"/>
      <c r="X379" s="35"/>
      <c r="Y379" s="35"/>
    </row>
    <row r="380" ht="15.75" customHeight="1">
      <c r="A380" s="35"/>
      <c r="B380" s="35"/>
      <c r="C380" s="35"/>
      <c r="D380" s="35"/>
      <c r="E380" s="35"/>
      <c r="F380" s="50"/>
      <c r="G380" s="35"/>
      <c r="H380" s="35"/>
      <c r="I380" s="35"/>
      <c r="J380" s="35"/>
      <c r="K380" s="35"/>
      <c r="L380" s="35"/>
      <c r="M380" s="35"/>
      <c r="N380" s="35"/>
      <c r="O380" s="35"/>
      <c r="P380" s="35"/>
      <c r="Q380" s="35"/>
      <c r="R380" s="35"/>
      <c r="S380" s="35"/>
      <c r="T380" s="35"/>
      <c r="U380" s="35"/>
      <c r="V380" s="35"/>
      <c r="W380" s="35"/>
      <c r="X380" s="35"/>
      <c r="Y380" s="35"/>
    </row>
    <row r="381" ht="15.75" customHeight="1">
      <c r="A381" s="35"/>
      <c r="B381" s="35"/>
      <c r="C381" s="35"/>
      <c r="D381" s="35"/>
      <c r="E381" s="35"/>
      <c r="F381" s="50"/>
      <c r="G381" s="35"/>
      <c r="H381" s="35"/>
      <c r="I381" s="35"/>
      <c r="J381" s="35"/>
      <c r="K381" s="35"/>
      <c r="L381" s="35"/>
      <c r="M381" s="35"/>
      <c r="N381" s="35"/>
      <c r="O381" s="35"/>
      <c r="P381" s="35"/>
      <c r="Q381" s="35"/>
      <c r="R381" s="35"/>
      <c r="S381" s="35"/>
      <c r="T381" s="35"/>
      <c r="U381" s="35"/>
      <c r="V381" s="35"/>
      <c r="W381" s="35"/>
      <c r="X381" s="35"/>
      <c r="Y381" s="35"/>
    </row>
    <row r="382" ht="15.75" customHeight="1">
      <c r="A382" s="35"/>
      <c r="B382" s="35"/>
      <c r="C382" s="35"/>
      <c r="D382" s="35"/>
      <c r="E382" s="35"/>
      <c r="F382" s="50"/>
      <c r="G382" s="35"/>
      <c r="H382" s="35"/>
      <c r="I382" s="35"/>
      <c r="J382" s="35"/>
      <c r="K382" s="35"/>
      <c r="L382" s="35"/>
      <c r="M382" s="35"/>
      <c r="N382" s="35"/>
      <c r="O382" s="35"/>
      <c r="P382" s="35"/>
      <c r="Q382" s="35"/>
      <c r="R382" s="35"/>
      <c r="S382" s="35"/>
      <c r="T382" s="35"/>
      <c r="U382" s="35"/>
      <c r="V382" s="35"/>
      <c r="W382" s="35"/>
      <c r="X382" s="35"/>
      <c r="Y382" s="35"/>
    </row>
    <row r="383" ht="15.75" customHeight="1">
      <c r="A383" s="35"/>
      <c r="B383" s="35"/>
      <c r="C383" s="35"/>
      <c r="D383" s="35"/>
      <c r="E383" s="35"/>
      <c r="F383" s="50"/>
      <c r="G383" s="35"/>
      <c r="H383" s="35"/>
      <c r="I383" s="35"/>
      <c r="J383" s="35"/>
      <c r="K383" s="35"/>
      <c r="L383" s="35"/>
      <c r="M383" s="35"/>
      <c r="N383" s="35"/>
      <c r="O383" s="35"/>
      <c r="P383" s="35"/>
      <c r="Q383" s="35"/>
      <c r="R383" s="35"/>
      <c r="S383" s="35"/>
      <c r="T383" s="35"/>
      <c r="U383" s="35"/>
      <c r="V383" s="35"/>
      <c r="W383" s="35"/>
      <c r="X383" s="35"/>
      <c r="Y383" s="35"/>
    </row>
    <row r="384" ht="15.75" customHeight="1">
      <c r="A384" s="35"/>
      <c r="B384" s="35"/>
      <c r="C384" s="35"/>
      <c r="D384" s="35"/>
      <c r="E384" s="35"/>
      <c r="F384" s="50"/>
      <c r="G384" s="35"/>
      <c r="H384" s="35"/>
      <c r="I384" s="35"/>
      <c r="J384" s="35"/>
      <c r="K384" s="35"/>
      <c r="L384" s="35"/>
      <c r="M384" s="35"/>
      <c r="N384" s="35"/>
      <c r="O384" s="35"/>
      <c r="P384" s="35"/>
      <c r="Q384" s="35"/>
      <c r="R384" s="35"/>
      <c r="S384" s="35"/>
      <c r="T384" s="35"/>
      <c r="U384" s="35"/>
      <c r="V384" s="35"/>
      <c r="W384" s="35"/>
      <c r="X384" s="35"/>
      <c r="Y384" s="35"/>
    </row>
    <row r="385" ht="15.75" customHeight="1">
      <c r="A385" s="35"/>
      <c r="B385" s="35"/>
      <c r="C385" s="35"/>
      <c r="D385" s="35"/>
      <c r="E385" s="35"/>
      <c r="F385" s="50"/>
      <c r="G385" s="35"/>
      <c r="H385" s="35"/>
      <c r="I385" s="35"/>
      <c r="J385" s="35"/>
      <c r="K385" s="35"/>
      <c r="L385" s="35"/>
      <c r="M385" s="35"/>
      <c r="N385" s="35"/>
      <c r="O385" s="35"/>
      <c r="P385" s="35"/>
      <c r="Q385" s="35"/>
      <c r="R385" s="35"/>
      <c r="S385" s="35"/>
      <c r="T385" s="35"/>
      <c r="U385" s="35"/>
      <c r="V385" s="35"/>
      <c r="W385" s="35"/>
      <c r="X385" s="35"/>
      <c r="Y385" s="35"/>
    </row>
    <row r="386" ht="15.75" customHeight="1">
      <c r="A386" s="35"/>
      <c r="B386" s="35"/>
      <c r="C386" s="35"/>
      <c r="D386" s="35"/>
      <c r="E386" s="35"/>
      <c r="F386" s="50"/>
      <c r="G386" s="35"/>
      <c r="H386" s="35"/>
      <c r="I386" s="35"/>
      <c r="J386" s="35"/>
      <c r="K386" s="35"/>
      <c r="L386" s="35"/>
      <c r="M386" s="35"/>
      <c r="N386" s="35"/>
      <c r="O386" s="35"/>
      <c r="P386" s="35"/>
      <c r="Q386" s="35"/>
      <c r="R386" s="35"/>
      <c r="S386" s="35"/>
      <c r="T386" s="35"/>
      <c r="U386" s="35"/>
      <c r="V386" s="35"/>
      <c r="W386" s="35"/>
      <c r="X386" s="35"/>
      <c r="Y386" s="35"/>
    </row>
    <row r="387" ht="15.75" customHeight="1">
      <c r="A387" s="35"/>
      <c r="B387" s="35"/>
      <c r="C387" s="35"/>
      <c r="D387" s="35"/>
      <c r="E387" s="35"/>
      <c r="F387" s="50"/>
      <c r="G387" s="35"/>
      <c r="H387" s="35"/>
      <c r="I387" s="35"/>
      <c r="J387" s="35"/>
      <c r="K387" s="35"/>
      <c r="L387" s="35"/>
      <c r="M387" s="35"/>
      <c r="N387" s="35"/>
      <c r="O387" s="35"/>
      <c r="P387" s="35"/>
      <c r="Q387" s="35"/>
      <c r="R387" s="35"/>
      <c r="S387" s="35"/>
      <c r="T387" s="35"/>
      <c r="U387" s="35"/>
      <c r="V387" s="35"/>
      <c r="W387" s="35"/>
      <c r="X387" s="35"/>
      <c r="Y387" s="35"/>
    </row>
    <row r="388" ht="15.75" customHeight="1">
      <c r="A388" s="35"/>
      <c r="B388" s="35"/>
      <c r="C388" s="35"/>
      <c r="D388" s="35"/>
      <c r="E388" s="35"/>
      <c r="F388" s="50"/>
      <c r="G388" s="35"/>
      <c r="H388" s="35"/>
      <c r="I388" s="35"/>
      <c r="J388" s="35"/>
      <c r="K388" s="35"/>
      <c r="L388" s="35"/>
      <c r="M388" s="35"/>
      <c r="N388" s="35"/>
      <c r="O388" s="35"/>
      <c r="P388" s="35"/>
      <c r="Q388" s="35"/>
      <c r="R388" s="35"/>
      <c r="S388" s="35"/>
      <c r="T388" s="35"/>
      <c r="U388" s="35"/>
      <c r="V388" s="35"/>
      <c r="W388" s="35"/>
      <c r="X388" s="35"/>
      <c r="Y388" s="35"/>
    </row>
    <row r="389" ht="15.75" customHeight="1">
      <c r="A389" s="35"/>
      <c r="B389" s="35"/>
      <c r="C389" s="35"/>
      <c r="D389" s="35"/>
      <c r="E389" s="35"/>
      <c r="F389" s="50"/>
      <c r="G389" s="35"/>
      <c r="H389" s="35"/>
      <c r="I389" s="35"/>
      <c r="J389" s="35"/>
      <c r="K389" s="35"/>
      <c r="L389" s="35"/>
      <c r="M389" s="35"/>
      <c r="N389" s="35"/>
      <c r="O389" s="35"/>
      <c r="P389" s="35"/>
      <c r="Q389" s="35"/>
      <c r="R389" s="35"/>
      <c r="S389" s="35"/>
      <c r="T389" s="35"/>
      <c r="U389" s="35"/>
      <c r="V389" s="35"/>
      <c r="W389" s="35"/>
      <c r="X389" s="35"/>
      <c r="Y389" s="35"/>
    </row>
    <row r="390" ht="15.75" customHeight="1">
      <c r="A390" s="35"/>
      <c r="B390" s="35"/>
      <c r="C390" s="35"/>
      <c r="D390" s="35"/>
      <c r="E390" s="35"/>
      <c r="F390" s="50"/>
      <c r="G390" s="35"/>
      <c r="H390" s="35"/>
      <c r="I390" s="35"/>
      <c r="J390" s="35"/>
      <c r="K390" s="35"/>
      <c r="L390" s="35"/>
      <c r="M390" s="35"/>
      <c r="N390" s="35"/>
      <c r="O390" s="35"/>
      <c r="P390" s="35"/>
      <c r="Q390" s="35"/>
      <c r="R390" s="35"/>
      <c r="S390" s="35"/>
      <c r="T390" s="35"/>
      <c r="U390" s="35"/>
      <c r="V390" s="35"/>
      <c r="W390" s="35"/>
      <c r="X390" s="35"/>
      <c r="Y390" s="35"/>
    </row>
    <row r="391" ht="15.75" customHeight="1">
      <c r="A391" s="35"/>
      <c r="B391" s="35"/>
      <c r="C391" s="35"/>
      <c r="D391" s="35"/>
      <c r="E391" s="35"/>
      <c r="F391" s="50"/>
      <c r="G391" s="35"/>
      <c r="H391" s="35"/>
      <c r="I391" s="35"/>
      <c r="J391" s="35"/>
      <c r="K391" s="35"/>
      <c r="L391" s="35"/>
      <c r="M391" s="35"/>
      <c r="N391" s="35"/>
      <c r="O391" s="35"/>
      <c r="P391" s="35"/>
      <c r="Q391" s="35"/>
      <c r="R391" s="35"/>
      <c r="S391" s="35"/>
      <c r="T391" s="35"/>
      <c r="U391" s="35"/>
      <c r="V391" s="35"/>
      <c r="W391" s="35"/>
      <c r="X391" s="35"/>
      <c r="Y391" s="35"/>
    </row>
    <row r="392" ht="15.75" customHeight="1">
      <c r="A392" s="35"/>
      <c r="B392" s="35"/>
      <c r="C392" s="35"/>
      <c r="D392" s="35"/>
      <c r="E392" s="35"/>
      <c r="F392" s="50"/>
      <c r="G392" s="35"/>
      <c r="H392" s="35"/>
      <c r="I392" s="35"/>
      <c r="J392" s="35"/>
      <c r="K392" s="35"/>
      <c r="L392" s="35"/>
      <c r="M392" s="35"/>
      <c r="N392" s="35"/>
      <c r="O392" s="35"/>
      <c r="P392" s="35"/>
      <c r="Q392" s="35"/>
      <c r="R392" s="35"/>
      <c r="S392" s="35"/>
      <c r="T392" s="35"/>
      <c r="U392" s="35"/>
      <c r="V392" s="35"/>
      <c r="W392" s="35"/>
      <c r="X392" s="35"/>
      <c r="Y392" s="35"/>
    </row>
    <row r="393" ht="15.75" customHeight="1">
      <c r="A393" s="35"/>
      <c r="B393" s="35"/>
      <c r="C393" s="35"/>
      <c r="D393" s="35"/>
      <c r="E393" s="35"/>
      <c r="F393" s="50"/>
      <c r="G393" s="35"/>
      <c r="H393" s="35"/>
      <c r="I393" s="35"/>
      <c r="J393" s="35"/>
      <c r="K393" s="35"/>
      <c r="L393" s="35"/>
      <c r="M393" s="35"/>
      <c r="N393" s="35"/>
      <c r="O393" s="35"/>
      <c r="P393" s="35"/>
      <c r="Q393" s="35"/>
      <c r="R393" s="35"/>
      <c r="S393" s="35"/>
      <c r="T393" s="35"/>
      <c r="U393" s="35"/>
      <c r="V393" s="35"/>
      <c r="W393" s="35"/>
      <c r="X393" s="35"/>
      <c r="Y393" s="35"/>
    </row>
    <row r="394" ht="15.75" customHeight="1">
      <c r="A394" s="35"/>
      <c r="B394" s="35"/>
      <c r="C394" s="35"/>
      <c r="D394" s="35"/>
      <c r="E394" s="35"/>
      <c r="F394" s="50"/>
      <c r="G394" s="35"/>
      <c r="H394" s="35"/>
      <c r="I394" s="35"/>
      <c r="J394" s="35"/>
      <c r="K394" s="35"/>
      <c r="L394" s="35"/>
      <c r="M394" s="35"/>
      <c r="N394" s="35"/>
      <c r="O394" s="35"/>
      <c r="P394" s="35"/>
      <c r="Q394" s="35"/>
      <c r="R394" s="35"/>
      <c r="S394" s="35"/>
      <c r="T394" s="35"/>
      <c r="U394" s="35"/>
      <c r="V394" s="35"/>
      <c r="W394" s="35"/>
      <c r="X394" s="35"/>
      <c r="Y394" s="35"/>
    </row>
    <row r="395" ht="15.75" customHeight="1">
      <c r="A395" s="35"/>
      <c r="B395" s="35"/>
      <c r="C395" s="35"/>
      <c r="D395" s="35"/>
      <c r="E395" s="35"/>
      <c r="F395" s="50"/>
      <c r="G395" s="35"/>
      <c r="H395" s="35"/>
      <c r="I395" s="35"/>
      <c r="J395" s="35"/>
      <c r="K395" s="35"/>
      <c r="L395" s="35"/>
      <c r="M395" s="35"/>
      <c r="N395" s="35"/>
      <c r="O395" s="35"/>
      <c r="P395" s="35"/>
      <c r="Q395" s="35"/>
      <c r="R395" s="35"/>
      <c r="S395" s="35"/>
      <c r="T395" s="35"/>
      <c r="U395" s="35"/>
      <c r="V395" s="35"/>
      <c r="W395" s="35"/>
      <c r="X395" s="35"/>
      <c r="Y395" s="35"/>
    </row>
    <row r="396" ht="15.75" customHeight="1">
      <c r="A396" s="35"/>
      <c r="B396" s="35"/>
      <c r="C396" s="35"/>
      <c r="D396" s="35"/>
      <c r="E396" s="35"/>
      <c r="F396" s="50"/>
      <c r="G396" s="35"/>
      <c r="H396" s="35"/>
      <c r="I396" s="35"/>
      <c r="J396" s="35"/>
      <c r="K396" s="35"/>
      <c r="L396" s="35"/>
      <c r="M396" s="35"/>
      <c r="N396" s="35"/>
      <c r="O396" s="35"/>
      <c r="P396" s="35"/>
      <c r="Q396" s="35"/>
      <c r="R396" s="35"/>
      <c r="S396" s="35"/>
      <c r="T396" s="35"/>
      <c r="U396" s="35"/>
      <c r="V396" s="35"/>
      <c r="W396" s="35"/>
      <c r="X396" s="35"/>
      <c r="Y396" s="35"/>
    </row>
    <row r="397" ht="15.75" customHeight="1">
      <c r="A397" s="35"/>
      <c r="B397" s="35"/>
      <c r="C397" s="35"/>
      <c r="D397" s="35"/>
      <c r="E397" s="35"/>
      <c r="F397" s="50"/>
      <c r="G397" s="35"/>
      <c r="H397" s="35"/>
      <c r="I397" s="35"/>
      <c r="J397" s="35"/>
      <c r="K397" s="35"/>
      <c r="L397" s="35"/>
      <c r="M397" s="35"/>
      <c r="N397" s="35"/>
      <c r="O397" s="35"/>
      <c r="P397" s="35"/>
      <c r="Q397" s="35"/>
      <c r="R397" s="35"/>
      <c r="S397" s="35"/>
      <c r="T397" s="35"/>
      <c r="U397" s="35"/>
      <c r="V397" s="35"/>
      <c r="W397" s="35"/>
      <c r="X397" s="35"/>
      <c r="Y397" s="35"/>
    </row>
    <row r="398" ht="15.75" customHeight="1">
      <c r="A398" s="35"/>
      <c r="B398" s="35"/>
      <c r="C398" s="35"/>
      <c r="D398" s="35"/>
      <c r="E398" s="35"/>
      <c r="F398" s="50"/>
      <c r="G398" s="35"/>
      <c r="H398" s="35"/>
      <c r="I398" s="35"/>
      <c r="J398" s="35"/>
      <c r="K398" s="35"/>
      <c r="L398" s="35"/>
      <c r="M398" s="35"/>
      <c r="N398" s="35"/>
      <c r="O398" s="35"/>
      <c r="P398" s="35"/>
      <c r="Q398" s="35"/>
      <c r="R398" s="35"/>
      <c r="S398" s="35"/>
      <c r="T398" s="35"/>
      <c r="U398" s="35"/>
      <c r="V398" s="35"/>
      <c r="W398" s="35"/>
      <c r="X398" s="35"/>
      <c r="Y398" s="35"/>
    </row>
    <row r="399" ht="15.75" customHeight="1">
      <c r="A399" s="35"/>
      <c r="B399" s="35"/>
      <c r="C399" s="35"/>
      <c r="D399" s="35"/>
      <c r="E399" s="35"/>
      <c r="F399" s="50"/>
      <c r="G399" s="35"/>
      <c r="H399" s="35"/>
      <c r="I399" s="35"/>
      <c r="J399" s="35"/>
      <c r="K399" s="35"/>
      <c r="L399" s="35"/>
      <c r="M399" s="35"/>
      <c r="N399" s="35"/>
      <c r="O399" s="35"/>
      <c r="P399" s="35"/>
      <c r="Q399" s="35"/>
      <c r="R399" s="35"/>
      <c r="S399" s="35"/>
      <c r="T399" s="35"/>
      <c r="U399" s="35"/>
      <c r="V399" s="35"/>
      <c r="W399" s="35"/>
      <c r="X399" s="35"/>
      <c r="Y399" s="35"/>
    </row>
    <row r="400" ht="15.75" customHeight="1">
      <c r="A400" s="35"/>
      <c r="B400" s="35"/>
      <c r="C400" s="35"/>
      <c r="D400" s="35"/>
      <c r="E400" s="35"/>
      <c r="F400" s="50"/>
      <c r="G400" s="35"/>
      <c r="H400" s="35"/>
      <c r="I400" s="35"/>
      <c r="J400" s="35"/>
      <c r="K400" s="35"/>
      <c r="L400" s="35"/>
      <c r="M400" s="35"/>
      <c r="N400" s="35"/>
      <c r="O400" s="35"/>
      <c r="P400" s="35"/>
      <c r="Q400" s="35"/>
      <c r="R400" s="35"/>
      <c r="S400" s="35"/>
      <c r="T400" s="35"/>
      <c r="U400" s="35"/>
      <c r="V400" s="35"/>
      <c r="W400" s="35"/>
      <c r="X400" s="35"/>
      <c r="Y400" s="35"/>
    </row>
    <row r="401" ht="15.75" customHeight="1">
      <c r="A401" s="35"/>
      <c r="B401" s="35"/>
      <c r="C401" s="35"/>
      <c r="D401" s="35"/>
      <c r="E401" s="35"/>
      <c r="F401" s="50"/>
      <c r="G401" s="35"/>
      <c r="H401" s="35"/>
      <c r="I401" s="35"/>
      <c r="J401" s="35"/>
      <c r="K401" s="35"/>
      <c r="L401" s="35"/>
      <c r="M401" s="35"/>
      <c r="N401" s="35"/>
      <c r="O401" s="35"/>
      <c r="P401" s="35"/>
      <c r="Q401" s="35"/>
      <c r="R401" s="35"/>
      <c r="S401" s="35"/>
      <c r="T401" s="35"/>
      <c r="U401" s="35"/>
      <c r="V401" s="35"/>
      <c r="W401" s="35"/>
      <c r="X401" s="35"/>
      <c r="Y401" s="35"/>
    </row>
    <row r="402" ht="15.75" customHeight="1">
      <c r="A402" s="35"/>
      <c r="B402" s="35"/>
      <c r="C402" s="35"/>
      <c r="D402" s="35"/>
      <c r="E402" s="35"/>
      <c r="F402" s="50"/>
      <c r="G402" s="35"/>
      <c r="H402" s="35"/>
      <c r="I402" s="35"/>
      <c r="J402" s="35"/>
      <c r="K402" s="35"/>
      <c r="L402" s="35"/>
      <c r="M402" s="35"/>
      <c r="N402" s="35"/>
      <c r="O402" s="35"/>
      <c r="P402" s="35"/>
      <c r="Q402" s="35"/>
      <c r="R402" s="35"/>
      <c r="S402" s="35"/>
      <c r="T402" s="35"/>
      <c r="U402" s="35"/>
      <c r="V402" s="35"/>
      <c r="W402" s="35"/>
      <c r="X402" s="35"/>
      <c r="Y402" s="35"/>
    </row>
    <row r="403" ht="15.75" customHeight="1">
      <c r="A403" s="35"/>
      <c r="B403" s="35"/>
      <c r="C403" s="35"/>
      <c r="D403" s="35"/>
      <c r="E403" s="35"/>
      <c r="F403" s="50"/>
      <c r="G403" s="35"/>
      <c r="H403" s="35"/>
      <c r="I403" s="35"/>
      <c r="J403" s="35"/>
      <c r="K403" s="35"/>
      <c r="L403" s="35"/>
      <c r="M403" s="35"/>
      <c r="N403" s="35"/>
      <c r="O403" s="35"/>
      <c r="P403" s="35"/>
      <c r="Q403" s="35"/>
      <c r="R403" s="35"/>
      <c r="S403" s="35"/>
      <c r="T403" s="35"/>
      <c r="U403" s="35"/>
      <c r="V403" s="35"/>
      <c r="W403" s="35"/>
      <c r="X403" s="35"/>
      <c r="Y403" s="35"/>
    </row>
    <row r="404" ht="15.75" customHeight="1">
      <c r="A404" s="35"/>
      <c r="B404" s="35"/>
      <c r="C404" s="35"/>
      <c r="D404" s="35"/>
      <c r="E404" s="35"/>
      <c r="F404" s="50"/>
      <c r="G404" s="35"/>
      <c r="H404" s="35"/>
      <c r="I404" s="35"/>
      <c r="J404" s="35"/>
      <c r="K404" s="35"/>
      <c r="L404" s="35"/>
      <c r="M404" s="35"/>
      <c r="N404" s="35"/>
      <c r="O404" s="35"/>
      <c r="P404" s="35"/>
      <c r="Q404" s="35"/>
      <c r="R404" s="35"/>
      <c r="S404" s="35"/>
      <c r="T404" s="35"/>
      <c r="U404" s="35"/>
      <c r="V404" s="35"/>
      <c r="W404" s="35"/>
      <c r="X404" s="35"/>
      <c r="Y404" s="35"/>
    </row>
    <row r="405" ht="15.75" customHeight="1">
      <c r="A405" s="35"/>
      <c r="B405" s="35"/>
      <c r="C405" s="35"/>
      <c r="D405" s="35"/>
      <c r="E405" s="35"/>
      <c r="F405" s="50"/>
      <c r="G405" s="35"/>
      <c r="H405" s="35"/>
      <c r="I405" s="35"/>
      <c r="J405" s="35"/>
      <c r="K405" s="35"/>
      <c r="L405" s="35"/>
      <c r="M405" s="35"/>
      <c r="N405" s="35"/>
      <c r="O405" s="35"/>
      <c r="P405" s="35"/>
      <c r="Q405" s="35"/>
      <c r="R405" s="35"/>
      <c r="S405" s="35"/>
      <c r="T405" s="35"/>
      <c r="U405" s="35"/>
      <c r="V405" s="35"/>
      <c r="W405" s="35"/>
      <c r="X405" s="35"/>
      <c r="Y405" s="35"/>
    </row>
    <row r="406" ht="15.75" customHeight="1">
      <c r="A406" s="35"/>
      <c r="B406" s="35"/>
      <c r="C406" s="35"/>
      <c r="D406" s="35"/>
      <c r="E406" s="35"/>
      <c r="F406" s="50"/>
      <c r="G406" s="35"/>
      <c r="H406" s="35"/>
      <c r="I406" s="35"/>
      <c r="J406" s="35"/>
      <c r="K406" s="35"/>
      <c r="L406" s="35"/>
      <c r="M406" s="35"/>
      <c r="N406" s="35"/>
      <c r="O406" s="35"/>
      <c r="P406" s="35"/>
      <c r="Q406" s="35"/>
      <c r="R406" s="35"/>
      <c r="S406" s="35"/>
      <c r="T406" s="35"/>
      <c r="U406" s="35"/>
      <c r="V406" s="35"/>
      <c r="W406" s="35"/>
      <c r="X406" s="35"/>
      <c r="Y406" s="35"/>
    </row>
    <row r="407" ht="15.75" customHeight="1">
      <c r="A407" s="35"/>
      <c r="B407" s="35"/>
      <c r="C407" s="35"/>
      <c r="D407" s="35"/>
      <c r="E407" s="35"/>
      <c r="F407" s="50"/>
      <c r="G407" s="35"/>
      <c r="H407" s="35"/>
      <c r="I407" s="35"/>
      <c r="J407" s="35"/>
      <c r="K407" s="35"/>
      <c r="L407" s="35"/>
      <c r="M407" s="35"/>
      <c r="N407" s="35"/>
      <c r="O407" s="35"/>
      <c r="P407" s="35"/>
      <c r="Q407" s="35"/>
      <c r="R407" s="35"/>
      <c r="S407" s="35"/>
      <c r="T407" s="35"/>
      <c r="U407" s="35"/>
      <c r="V407" s="35"/>
      <c r="W407" s="35"/>
      <c r="X407" s="35"/>
      <c r="Y407" s="35"/>
    </row>
    <row r="408" ht="15.75" customHeight="1">
      <c r="A408" s="35"/>
      <c r="B408" s="35"/>
      <c r="C408" s="35"/>
      <c r="D408" s="35"/>
      <c r="E408" s="35"/>
      <c r="F408" s="50"/>
      <c r="G408" s="35"/>
      <c r="H408" s="35"/>
      <c r="I408" s="35"/>
      <c r="J408" s="35"/>
      <c r="K408" s="35"/>
      <c r="L408" s="35"/>
      <c r="M408" s="35"/>
      <c r="N408" s="35"/>
      <c r="O408" s="35"/>
      <c r="P408" s="35"/>
      <c r="Q408" s="35"/>
      <c r="R408" s="35"/>
      <c r="S408" s="35"/>
      <c r="T408" s="35"/>
      <c r="U408" s="35"/>
      <c r="V408" s="35"/>
      <c r="W408" s="35"/>
      <c r="X408" s="35"/>
      <c r="Y408" s="35"/>
    </row>
    <row r="409" ht="15.75" customHeight="1">
      <c r="A409" s="35"/>
      <c r="B409" s="35"/>
      <c r="C409" s="35"/>
      <c r="D409" s="35"/>
      <c r="E409" s="35"/>
      <c r="F409" s="50"/>
      <c r="G409" s="35"/>
      <c r="H409" s="35"/>
      <c r="I409" s="35"/>
      <c r="J409" s="35"/>
      <c r="K409" s="35"/>
      <c r="L409" s="35"/>
      <c r="M409" s="35"/>
      <c r="N409" s="35"/>
      <c r="O409" s="35"/>
      <c r="P409" s="35"/>
      <c r="Q409" s="35"/>
      <c r="R409" s="35"/>
      <c r="S409" s="35"/>
      <c r="T409" s="35"/>
      <c r="U409" s="35"/>
      <c r="V409" s="35"/>
      <c r="W409" s="35"/>
      <c r="X409" s="35"/>
      <c r="Y409" s="35"/>
    </row>
    <row r="410" ht="15.75" customHeight="1">
      <c r="A410" s="35"/>
      <c r="B410" s="35"/>
      <c r="C410" s="35"/>
      <c r="D410" s="35"/>
      <c r="E410" s="35"/>
      <c r="F410" s="50"/>
      <c r="G410" s="35"/>
      <c r="H410" s="35"/>
      <c r="I410" s="35"/>
      <c r="J410" s="35"/>
      <c r="K410" s="35"/>
      <c r="L410" s="35"/>
      <c r="M410" s="35"/>
      <c r="N410" s="35"/>
      <c r="O410" s="35"/>
      <c r="P410" s="35"/>
      <c r="Q410" s="35"/>
      <c r="R410" s="35"/>
      <c r="S410" s="35"/>
      <c r="T410" s="35"/>
      <c r="U410" s="35"/>
      <c r="V410" s="35"/>
      <c r="W410" s="35"/>
      <c r="X410" s="35"/>
      <c r="Y410" s="35"/>
    </row>
    <row r="411" ht="15.75" customHeight="1">
      <c r="A411" s="35"/>
      <c r="B411" s="35"/>
      <c r="C411" s="35"/>
      <c r="D411" s="35"/>
      <c r="E411" s="35"/>
      <c r="F411" s="50"/>
      <c r="G411" s="35"/>
      <c r="H411" s="35"/>
      <c r="I411" s="35"/>
      <c r="J411" s="35"/>
      <c r="K411" s="35"/>
      <c r="L411" s="35"/>
      <c r="M411" s="35"/>
      <c r="N411" s="35"/>
      <c r="O411" s="35"/>
      <c r="P411" s="35"/>
      <c r="Q411" s="35"/>
      <c r="R411" s="35"/>
      <c r="S411" s="35"/>
      <c r="T411" s="35"/>
      <c r="U411" s="35"/>
      <c r="V411" s="35"/>
      <c r="W411" s="35"/>
      <c r="X411" s="35"/>
      <c r="Y411" s="35"/>
    </row>
    <row r="412" ht="15.75" customHeight="1">
      <c r="A412" s="35"/>
      <c r="B412" s="35"/>
      <c r="C412" s="35"/>
      <c r="D412" s="35"/>
      <c r="E412" s="35"/>
      <c r="F412" s="50"/>
      <c r="G412" s="35"/>
      <c r="H412" s="35"/>
      <c r="I412" s="35"/>
      <c r="J412" s="35"/>
      <c r="K412" s="35"/>
      <c r="L412" s="35"/>
      <c r="M412" s="35"/>
      <c r="N412" s="35"/>
      <c r="O412" s="35"/>
      <c r="P412" s="35"/>
      <c r="Q412" s="35"/>
      <c r="R412" s="35"/>
      <c r="S412" s="35"/>
      <c r="T412" s="35"/>
      <c r="U412" s="35"/>
      <c r="V412" s="35"/>
      <c r="W412" s="35"/>
      <c r="X412" s="35"/>
      <c r="Y412" s="35"/>
    </row>
    <row r="413" ht="15.75" customHeight="1">
      <c r="A413" s="35"/>
      <c r="B413" s="35"/>
      <c r="C413" s="35"/>
      <c r="D413" s="35"/>
      <c r="E413" s="35"/>
      <c r="F413" s="50"/>
      <c r="G413" s="35"/>
      <c r="H413" s="35"/>
      <c r="I413" s="35"/>
      <c r="J413" s="35"/>
      <c r="K413" s="35"/>
      <c r="L413" s="35"/>
      <c r="M413" s="35"/>
      <c r="N413" s="35"/>
      <c r="O413" s="35"/>
      <c r="P413" s="35"/>
      <c r="Q413" s="35"/>
      <c r="R413" s="35"/>
      <c r="S413" s="35"/>
      <c r="T413" s="35"/>
      <c r="U413" s="35"/>
      <c r="V413" s="35"/>
      <c r="W413" s="35"/>
      <c r="X413" s="35"/>
      <c r="Y413" s="35"/>
    </row>
    <row r="414" ht="15.75" customHeight="1">
      <c r="A414" s="35"/>
      <c r="B414" s="35"/>
      <c r="C414" s="35"/>
      <c r="D414" s="35"/>
      <c r="E414" s="35"/>
      <c r="F414" s="50"/>
      <c r="G414" s="35"/>
      <c r="H414" s="35"/>
      <c r="I414" s="35"/>
      <c r="J414" s="35"/>
      <c r="K414" s="35"/>
      <c r="L414" s="35"/>
      <c r="M414" s="35"/>
      <c r="N414" s="35"/>
      <c r="O414" s="35"/>
      <c r="P414" s="35"/>
      <c r="Q414" s="35"/>
      <c r="R414" s="35"/>
      <c r="S414" s="35"/>
      <c r="T414" s="35"/>
      <c r="U414" s="35"/>
      <c r="V414" s="35"/>
      <c r="W414" s="35"/>
      <c r="X414" s="35"/>
      <c r="Y414" s="35"/>
    </row>
    <row r="415" ht="15.75" customHeight="1">
      <c r="A415" s="35"/>
      <c r="B415" s="35"/>
      <c r="C415" s="35"/>
      <c r="D415" s="35"/>
      <c r="E415" s="35"/>
      <c r="F415" s="50"/>
      <c r="G415" s="35"/>
      <c r="H415" s="35"/>
      <c r="I415" s="35"/>
      <c r="J415" s="35"/>
      <c r="K415" s="35"/>
      <c r="L415" s="35"/>
      <c r="M415" s="35"/>
      <c r="N415" s="35"/>
      <c r="O415" s="35"/>
      <c r="P415" s="35"/>
      <c r="Q415" s="35"/>
      <c r="R415" s="35"/>
      <c r="S415" s="35"/>
      <c r="T415" s="35"/>
      <c r="U415" s="35"/>
      <c r="V415" s="35"/>
      <c r="W415" s="35"/>
      <c r="X415" s="35"/>
      <c r="Y415" s="35"/>
    </row>
    <row r="416" ht="15.75" customHeight="1">
      <c r="A416" s="35"/>
      <c r="B416" s="35"/>
      <c r="C416" s="35"/>
      <c r="D416" s="35"/>
      <c r="E416" s="35"/>
      <c r="F416" s="50"/>
      <c r="G416" s="35"/>
      <c r="H416" s="35"/>
      <c r="I416" s="35"/>
      <c r="J416" s="35"/>
      <c r="K416" s="35"/>
      <c r="L416" s="35"/>
      <c r="M416" s="35"/>
      <c r="N416" s="35"/>
      <c r="O416" s="35"/>
      <c r="P416" s="35"/>
      <c r="Q416" s="35"/>
      <c r="R416" s="35"/>
      <c r="S416" s="35"/>
      <c r="T416" s="35"/>
      <c r="U416" s="35"/>
      <c r="V416" s="35"/>
      <c r="W416" s="35"/>
      <c r="X416" s="35"/>
      <c r="Y416" s="35"/>
    </row>
    <row r="417" ht="15.75" customHeight="1">
      <c r="A417" s="35"/>
      <c r="B417" s="35"/>
      <c r="C417" s="35"/>
      <c r="D417" s="35"/>
      <c r="E417" s="35"/>
      <c r="F417" s="50"/>
      <c r="G417" s="35"/>
      <c r="H417" s="35"/>
      <c r="I417" s="35"/>
      <c r="J417" s="35"/>
      <c r="K417" s="35"/>
      <c r="L417" s="35"/>
      <c r="M417" s="35"/>
      <c r="N417" s="35"/>
      <c r="O417" s="35"/>
      <c r="P417" s="35"/>
      <c r="Q417" s="35"/>
      <c r="R417" s="35"/>
      <c r="S417" s="35"/>
      <c r="T417" s="35"/>
      <c r="U417" s="35"/>
      <c r="V417" s="35"/>
      <c r="W417" s="35"/>
      <c r="X417" s="35"/>
      <c r="Y417" s="35"/>
    </row>
    <row r="418" ht="15.75" customHeight="1">
      <c r="A418" s="35"/>
      <c r="B418" s="35"/>
      <c r="C418" s="35"/>
      <c r="D418" s="35"/>
      <c r="E418" s="35"/>
      <c r="F418" s="50"/>
      <c r="G418" s="35"/>
      <c r="H418" s="35"/>
      <c r="I418" s="35"/>
      <c r="J418" s="35"/>
      <c r="K418" s="35"/>
      <c r="L418" s="35"/>
      <c r="M418" s="35"/>
      <c r="N418" s="35"/>
      <c r="O418" s="35"/>
      <c r="P418" s="35"/>
      <c r="Q418" s="35"/>
      <c r="R418" s="35"/>
      <c r="S418" s="35"/>
      <c r="T418" s="35"/>
      <c r="U418" s="35"/>
      <c r="V418" s="35"/>
      <c r="W418" s="35"/>
      <c r="X418" s="35"/>
      <c r="Y418" s="35"/>
    </row>
    <row r="419" ht="15.75" customHeight="1">
      <c r="A419" s="35"/>
      <c r="B419" s="35"/>
      <c r="C419" s="35"/>
      <c r="D419" s="35"/>
      <c r="E419" s="35"/>
      <c r="F419" s="50"/>
      <c r="G419" s="35"/>
      <c r="H419" s="35"/>
      <c r="I419" s="35"/>
      <c r="J419" s="35"/>
      <c r="K419" s="35"/>
      <c r="L419" s="35"/>
      <c r="M419" s="35"/>
      <c r="N419" s="35"/>
      <c r="O419" s="35"/>
      <c r="P419" s="35"/>
      <c r="Q419" s="35"/>
      <c r="R419" s="35"/>
      <c r="S419" s="35"/>
      <c r="T419" s="35"/>
      <c r="U419" s="35"/>
      <c r="V419" s="35"/>
      <c r="W419" s="35"/>
      <c r="X419" s="35"/>
      <c r="Y419" s="35"/>
    </row>
    <row r="420" ht="15.75" customHeight="1">
      <c r="A420" s="35"/>
      <c r="B420" s="35"/>
      <c r="C420" s="35"/>
      <c r="D420" s="35"/>
      <c r="E420" s="35"/>
      <c r="F420" s="50"/>
      <c r="G420" s="35"/>
      <c r="H420" s="35"/>
      <c r="I420" s="35"/>
      <c r="J420" s="35"/>
      <c r="K420" s="35"/>
      <c r="L420" s="35"/>
      <c r="M420" s="35"/>
      <c r="N420" s="35"/>
      <c r="O420" s="35"/>
      <c r="P420" s="35"/>
      <c r="Q420" s="35"/>
      <c r="R420" s="35"/>
      <c r="S420" s="35"/>
      <c r="T420" s="35"/>
      <c r="U420" s="35"/>
      <c r="V420" s="35"/>
      <c r="W420" s="35"/>
      <c r="X420" s="35"/>
      <c r="Y420" s="35"/>
    </row>
    <row r="421" ht="15.75" customHeight="1">
      <c r="A421" s="35"/>
      <c r="B421" s="35"/>
      <c r="C421" s="35"/>
      <c r="D421" s="35"/>
      <c r="E421" s="35"/>
      <c r="F421" s="50"/>
      <c r="G421" s="35"/>
      <c r="H421" s="35"/>
      <c r="I421" s="35"/>
      <c r="J421" s="35"/>
      <c r="K421" s="35"/>
      <c r="L421" s="35"/>
      <c r="M421" s="35"/>
      <c r="N421" s="35"/>
      <c r="O421" s="35"/>
      <c r="P421" s="35"/>
      <c r="Q421" s="35"/>
      <c r="R421" s="35"/>
      <c r="S421" s="35"/>
      <c r="T421" s="35"/>
      <c r="U421" s="35"/>
      <c r="V421" s="35"/>
      <c r="W421" s="35"/>
      <c r="X421" s="35"/>
      <c r="Y421" s="35"/>
    </row>
    <row r="422" ht="15.75" customHeight="1">
      <c r="A422" s="35"/>
      <c r="B422" s="35"/>
      <c r="C422" s="35"/>
      <c r="D422" s="35"/>
      <c r="E422" s="35"/>
      <c r="F422" s="50"/>
      <c r="G422" s="35"/>
      <c r="H422" s="35"/>
      <c r="I422" s="35"/>
      <c r="J422" s="35"/>
      <c r="K422" s="35"/>
      <c r="L422" s="35"/>
      <c r="M422" s="35"/>
      <c r="N422" s="35"/>
      <c r="O422" s="35"/>
      <c r="P422" s="35"/>
      <c r="Q422" s="35"/>
      <c r="R422" s="35"/>
      <c r="S422" s="35"/>
      <c r="T422" s="35"/>
      <c r="U422" s="35"/>
      <c r="V422" s="35"/>
      <c r="W422" s="35"/>
      <c r="X422" s="35"/>
      <c r="Y422" s="35"/>
    </row>
    <row r="423" ht="15.75" customHeight="1">
      <c r="A423" s="35"/>
      <c r="B423" s="35"/>
      <c r="C423" s="35"/>
      <c r="D423" s="35"/>
      <c r="E423" s="35"/>
      <c r="F423" s="50"/>
      <c r="G423" s="35"/>
      <c r="H423" s="35"/>
      <c r="I423" s="35"/>
      <c r="J423" s="35"/>
      <c r="K423" s="35"/>
      <c r="L423" s="35"/>
      <c r="M423" s="35"/>
      <c r="N423" s="35"/>
      <c r="O423" s="35"/>
      <c r="P423" s="35"/>
      <c r="Q423" s="35"/>
      <c r="R423" s="35"/>
      <c r="S423" s="35"/>
      <c r="T423" s="35"/>
      <c r="U423" s="35"/>
      <c r="V423" s="35"/>
      <c r="W423" s="35"/>
      <c r="X423" s="35"/>
      <c r="Y423" s="35"/>
    </row>
    <row r="424" ht="15.75" customHeight="1">
      <c r="A424" s="35"/>
      <c r="B424" s="35"/>
      <c r="C424" s="35"/>
      <c r="D424" s="35"/>
      <c r="E424" s="35"/>
      <c r="F424" s="50"/>
      <c r="G424" s="35"/>
      <c r="H424" s="35"/>
      <c r="I424" s="35"/>
      <c r="J424" s="35"/>
      <c r="K424" s="35"/>
      <c r="L424" s="35"/>
      <c r="M424" s="35"/>
      <c r="N424" s="35"/>
      <c r="O424" s="35"/>
      <c r="P424" s="35"/>
      <c r="Q424" s="35"/>
      <c r="R424" s="35"/>
      <c r="S424" s="35"/>
      <c r="T424" s="35"/>
      <c r="U424" s="35"/>
      <c r="V424" s="35"/>
      <c r="W424" s="35"/>
      <c r="X424" s="35"/>
      <c r="Y424" s="35"/>
    </row>
    <row r="425" ht="15.75" customHeight="1">
      <c r="A425" s="35"/>
      <c r="B425" s="35"/>
      <c r="C425" s="35"/>
      <c r="D425" s="35"/>
      <c r="E425" s="35"/>
      <c r="F425" s="50"/>
      <c r="G425" s="35"/>
      <c r="H425" s="35"/>
      <c r="I425" s="35"/>
      <c r="J425" s="35"/>
      <c r="K425" s="35"/>
      <c r="L425" s="35"/>
      <c r="M425" s="35"/>
      <c r="N425" s="35"/>
      <c r="O425" s="35"/>
      <c r="P425" s="35"/>
      <c r="Q425" s="35"/>
      <c r="R425" s="35"/>
      <c r="S425" s="35"/>
      <c r="T425" s="35"/>
      <c r="U425" s="35"/>
      <c r="V425" s="35"/>
      <c r="W425" s="35"/>
      <c r="X425" s="35"/>
      <c r="Y425" s="35"/>
    </row>
    <row r="426" ht="15.75" customHeight="1">
      <c r="A426" s="35"/>
      <c r="B426" s="35"/>
      <c r="C426" s="35"/>
      <c r="D426" s="35"/>
      <c r="E426" s="35"/>
      <c r="F426" s="50"/>
      <c r="G426" s="35"/>
      <c r="H426" s="35"/>
      <c r="I426" s="35"/>
      <c r="J426" s="35"/>
      <c r="K426" s="35"/>
      <c r="L426" s="35"/>
      <c r="M426" s="35"/>
      <c r="N426" s="35"/>
      <c r="O426" s="35"/>
      <c r="P426" s="35"/>
      <c r="Q426" s="35"/>
      <c r="R426" s="35"/>
      <c r="S426" s="35"/>
      <c r="T426" s="35"/>
      <c r="U426" s="35"/>
      <c r="V426" s="35"/>
      <c r="W426" s="35"/>
      <c r="X426" s="35"/>
      <c r="Y426" s="35"/>
    </row>
    <row r="427" ht="15.75" customHeight="1">
      <c r="A427" s="35"/>
      <c r="B427" s="35"/>
      <c r="C427" s="35"/>
      <c r="D427" s="35"/>
      <c r="E427" s="35"/>
      <c r="F427" s="50"/>
      <c r="G427" s="35"/>
      <c r="H427" s="35"/>
      <c r="I427" s="35"/>
      <c r="J427" s="35"/>
      <c r="K427" s="35"/>
      <c r="L427" s="35"/>
      <c r="M427" s="35"/>
      <c r="N427" s="35"/>
      <c r="O427" s="35"/>
      <c r="P427" s="35"/>
      <c r="Q427" s="35"/>
      <c r="R427" s="35"/>
      <c r="S427" s="35"/>
      <c r="T427" s="35"/>
      <c r="U427" s="35"/>
      <c r="V427" s="35"/>
      <c r="W427" s="35"/>
      <c r="X427" s="35"/>
      <c r="Y427" s="35"/>
    </row>
    <row r="428" ht="15.75" customHeight="1">
      <c r="A428" s="35"/>
      <c r="B428" s="35"/>
      <c r="C428" s="35"/>
      <c r="D428" s="35"/>
      <c r="E428" s="35"/>
      <c r="F428" s="50"/>
      <c r="G428" s="35"/>
      <c r="H428" s="35"/>
      <c r="I428" s="35"/>
      <c r="J428" s="35"/>
      <c r="K428" s="35"/>
      <c r="L428" s="35"/>
      <c r="M428" s="35"/>
      <c r="N428" s="35"/>
      <c r="O428" s="35"/>
      <c r="P428" s="35"/>
      <c r="Q428" s="35"/>
      <c r="R428" s="35"/>
      <c r="S428" s="35"/>
      <c r="T428" s="35"/>
      <c r="U428" s="35"/>
      <c r="V428" s="35"/>
      <c r="W428" s="35"/>
      <c r="X428" s="35"/>
      <c r="Y428" s="35"/>
    </row>
    <row r="429" ht="15.75" customHeight="1">
      <c r="A429" s="35"/>
      <c r="B429" s="35"/>
      <c r="C429" s="35"/>
      <c r="D429" s="35"/>
      <c r="E429" s="35"/>
      <c r="F429" s="50"/>
      <c r="G429" s="35"/>
      <c r="H429" s="35"/>
      <c r="I429" s="35"/>
      <c r="J429" s="35"/>
      <c r="K429" s="35"/>
      <c r="L429" s="35"/>
      <c r="M429" s="35"/>
      <c r="N429" s="35"/>
      <c r="O429" s="35"/>
      <c r="P429" s="35"/>
      <c r="Q429" s="35"/>
      <c r="R429" s="35"/>
      <c r="S429" s="35"/>
      <c r="T429" s="35"/>
      <c r="U429" s="35"/>
      <c r="V429" s="35"/>
      <c r="W429" s="35"/>
      <c r="X429" s="35"/>
      <c r="Y429" s="35"/>
    </row>
    <row r="430" ht="15.75" customHeight="1">
      <c r="A430" s="35"/>
      <c r="B430" s="35"/>
      <c r="C430" s="35"/>
      <c r="D430" s="35"/>
      <c r="E430" s="35"/>
      <c r="F430" s="50"/>
      <c r="G430" s="35"/>
      <c r="H430" s="35"/>
      <c r="I430" s="35"/>
      <c r="J430" s="35"/>
      <c r="K430" s="35"/>
      <c r="L430" s="35"/>
      <c r="M430" s="35"/>
      <c r="N430" s="35"/>
      <c r="O430" s="35"/>
      <c r="P430" s="35"/>
      <c r="Q430" s="35"/>
      <c r="R430" s="35"/>
      <c r="S430" s="35"/>
      <c r="T430" s="35"/>
      <c r="U430" s="35"/>
      <c r="V430" s="35"/>
      <c r="W430" s="35"/>
      <c r="X430" s="35"/>
      <c r="Y430" s="35"/>
    </row>
    <row r="431" ht="15.75" customHeight="1">
      <c r="A431" s="35"/>
      <c r="B431" s="35"/>
      <c r="C431" s="35"/>
      <c r="D431" s="35"/>
      <c r="E431" s="35"/>
      <c r="F431" s="50"/>
      <c r="G431" s="35"/>
      <c r="H431" s="35"/>
      <c r="I431" s="35"/>
      <c r="J431" s="35"/>
      <c r="K431" s="35"/>
      <c r="L431" s="35"/>
      <c r="M431" s="35"/>
      <c r="N431" s="35"/>
      <c r="O431" s="35"/>
      <c r="P431" s="35"/>
      <c r="Q431" s="35"/>
      <c r="R431" s="35"/>
      <c r="S431" s="35"/>
      <c r="T431" s="35"/>
      <c r="U431" s="35"/>
      <c r="V431" s="35"/>
      <c r="W431" s="35"/>
      <c r="X431" s="35"/>
      <c r="Y431" s="35"/>
    </row>
    <row r="432" ht="15.75" customHeight="1">
      <c r="A432" s="35"/>
      <c r="B432" s="35"/>
      <c r="C432" s="35"/>
      <c r="D432" s="35"/>
      <c r="E432" s="35"/>
      <c r="F432" s="50"/>
      <c r="G432" s="35"/>
      <c r="H432" s="35"/>
      <c r="I432" s="35"/>
      <c r="J432" s="35"/>
      <c r="K432" s="35"/>
      <c r="L432" s="35"/>
      <c r="M432" s="35"/>
      <c r="N432" s="35"/>
      <c r="O432" s="35"/>
      <c r="P432" s="35"/>
      <c r="Q432" s="35"/>
      <c r="R432" s="35"/>
      <c r="S432" s="35"/>
      <c r="T432" s="35"/>
      <c r="U432" s="35"/>
      <c r="V432" s="35"/>
      <c r="W432" s="35"/>
      <c r="X432" s="35"/>
      <c r="Y432" s="35"/>
    </row>
    <row r="433" ht="15.75" customHeight="1">
      <c r="A433" s="35"/>
      <c r="B433" s="35"/>
      <c r="C433" s="35"/>
      <c r="D433" s="35"/>
      <c r="E433" s="35"/>
      <c r="F433" s="50"/>
      <c r="G433" s="35"/>
      <c r="H433" s="35"/>
      <c r="I433" s="35"/>
      <c r="J433" s="35"/>
      <c r="K433" s="35"/>
      <c r="L433" s="35"/>
      <c r="M433" s="35"/>
      <c r="N433" s="35"/>
      <c r="O433" s="35"/>
      <c r="P433" s="35"/>
      <c r="Q433" s="35"/>
      <c r="R433" s="35"/>
      <c r="S433" s="35"/>
      <c r="T433" s="35"/>
      <c r="U433" s="35"/>
      <c r="V433" s="35"/>
      <c r="W433" s="35"/>
      <c r="X433" s="35"/>
      <c r="Y433" s="35"/>
    </row>
    <row r="434" ht="15.75" customHeight="1">
      <c r="A434" s="35"/>
      <c r="B434" s="35"/>
      <c r="C434" s="35"/>
      <c r="D434" s="35"/>
      <c r="E434" s="35"/>
      <c r="F434" s="50"/>
      <c r="G434" s="35"/>
      <c r="H434" s="35"/>
      <c r="I434" s="35"/>
      <c r="J434" s="35"/>
      <c r="K434" s="35"/>
      <c r="L434" s="35"/>
      <c r="M434" s="35"/>
      <c r="N434" s="35"/>
      <c r="O434" s="35"/>
      <c r="P434" s="35"/>
      <c r="Q434" s="35"/>
      <c r="R434" s="35"/>
      <c r="S434" s="35"/>
      <c r="T434" s="35"/>
      <c r="U434" s="35"/>
      <c r="V434" s="35"/>
      <c r="W434" s="35"/>
      <c r="X434" s="35"/>
      <c r="Y434" s="35"/>
    </row>
    <row r="435" ht="15.75" customHeight="1">
      <c r="A435" s="35"/>
      <c r="B435" s="35"/>
      <c r="C435" s="35"/>
      <c r="D435" s="35"/>
      <c r="E435" s="35"/>
      <c r="F435" s="50"/>
      <c r="G435" s="35"/>
      <c r="H435" s="35"/>
      <c r="I435" s="35"/>
      <c r="J435" s="35"/>
      <c r="K435" s="35"/>
      <c r="L435" s="35"/>
      <c r="M435" s="35"/>
      <c r="N435" s="35"/>
      <c r="O435" s="35"/>
      <c r="P435" s="35"/>
      <c r="Q435" s="35"/>
      <c r="R435" s="35"/>
      <c r="S435" s="35"/>
      <c r="T435" s="35"/>
      <c r="U435" s="35"/>
      <c r="V435" s="35"/>
      <c r="W435" s="35"/>
      <c r="X435" s="35"/>
      <c r="Y435" s="35"/>
    </row>
    <row r="436" ht="15.75" customHeight="1">
      <c r="A436" s="35"/>
      <c r="B436" s="35"/>
      <c r="C436" s="35"/>
      <c r="D436" s="35"/>
      <c r="E436" s="35"/>
      <c r="F436" s="50"/>
      <c r="G436" s="35"/>
      <c r="H436" s="35"/>
      <c r="I436" s="35"/>
      <c r="J436" s="35"/>
      <c r="K436" s="35"/>
      <c r="L436" s="35"/>
      <c r="M436" s="35"/>
      <c r="N436" s="35"/>
      <c r="O436" s="35"/>
      <c r="P436" s="35"/>
      <c r="Q436" s="35"/>
      <c r="R436" s="35"/>
      <c r="S436" s="35"/>
      <c r="T436" s="35"/>
      <c r="U436" s="35"/>
      <c r="V436" s="35"/>
      <c r="W436" s="35"/>
      <c r="X436" s="35"/>
      <c r="Y436" s="35"/>
    </row>
    <row r="437" ht="15.75" customHeight="1">
      <c r="A437" s="35"/>
      <c r="B437" s="35"/>
      <c r="C437" s="35"/>
      <c r="D437" s="35"/>
      <c r="E437" s="35"/>
      <c r="F437" s="50"/>
      <c r="G437" s="35"/>
      <c r="H437" s="35"/>
      <c r="I437" s="35"/>
      <c r="J437" s="35"/>
      <c r="K437" s="35"/>
      <c r="L437" s="35"/>
      <c r="M437" s="35"/>
      <c r="N437" s="35"/>
      <c r="O437" s="35"/>
      <c r="P437" s="35"/>
      <c r="Q437" s="35"/>
      <c r="R437" s="35"/>
      <c r="S437" s="35"/>
      <c r="T437" s="35"/>
      <c r="U437" s="35"/>
      <c r="V437" s="35"/>
      <c r="W437" s="35"/>
      <c r="X437" s="35"/>
      <c r="Y437" s="35"/>
    </row>
    <row r="438" ht="15.75" customHeight="1">
      <c r="A438" s="35"/>
      <c r="B438" s="35"/>
      <c r="C438" s="35"/>
      <c r="D438" s="35"/>
      <c r="E438" s="35"/>
      <c r="F438" s="50"/>
      <c r="G438" s="35"/>
      <c r="H438" s="35"/>
      <c r="I438" s="35"/>
      <c r="J438" s="35"/>
      <c r="K438" s="35"/>
      <c r="L438" s="35"/>
      <c r="M438" s="35"/>
      <c r="N438" s="35"/>
      <c r="O438" s="35"/>
      <c r="P438" s="35"/>
      <c r="Q438" s="35"/>
      <c r="R438" s="35"/>
      <c r="S438" s="35"/>
      <c r="T438" s="35"/>
      <c r="U438" s="35"/>
      <c r="V438" s="35"/>
      <c r="W438" s="35"/>
      <c r="X438" s="35"/>
      <c r="Y438" s="35"/>
    </row>
    <row r="439" ht="15.75" customHeight="1">
      <c r="A439" s="35"/>
      <c r="B439" s="35"/>
      <c r="C439" s="35"/>
      <c r="D439" s="35"/>
      <c r="E439" s="35"/>
      <c r="F439" s="50"/>
      <c r="G439" s="35"/>
      <c r="H439" s="35"/>
      <c r="I439" s="35"/>
      <c r="J439" s="35"/>
      <c r="K439" s="35"/>
      <c r="L439" s="35"/>
      <c r="M439" s="35"/>
      <c r="N439" s="35"/>
      <c r="O439" s="35"/>
      <c r="P439" s="35"/>
      <c r="Q439" s="35"/>
      <c r="R439" s="35"/>
      <c r="S439" s="35"/>
      <c r="T439" s="35"/>
      <c r="U439" s="35"/>
      <c r="V439" s="35"/>
      <c r="W439" s="35"/>
      <c r="X439" s="35"/>
      <c r="Y439" s="35"/>
    </row>
    <row r="440" ht="15.75" customHeight="1">
      <c r="A440" s="35"/>
      <c r="B440" s="35"/>
      <c r="C440" s="35"/>
      <c r="D440" s="35"/>
      <c r="E440" s="35"/>
      <c r="F440" s="50"/>
      <c r="G440" s="35"/>
      <c r="H440" s="35"/>
      <c r="I440" s="35"/>
      <c r="J440" s="35"/>
      <c r="K440" s="35"/>
      <c r="L440" s="35"/>
      <c r="M440" s="35"/>
      <c r="N440" s="35"/>
      <c r="O440" s="35"/>
      <c r="P440" s="35"/>
      <c r="Q440" s="35"/>
      <c r="R440" s="35"/>
      <c r="S440" s="35"/>
      <c r="T440" s="35"/>
      <c r="U440" s="35"/>
      <c r="V440" s="35"/>
      <c r="W440" s="35"/>
      <c r="X440" s="35"/>
      <c r="Y440" s="35"/>
    </row>
    <row r="441" ht="15.75" customHeight="1">
      <c r="A441" s="35"/>
      <c r="B441" s="35"/>
      <c r="C441" s="35"/>
      <c r="D441" s="35"/>
      <c r="E441" s="35"/>
      <c r="F441" s="50"/>
      <c r="G441" s="35"/>
      <c r="H441" s="35"/>
      <c r="I441" s="35"/>
      <c r="J441" s="35"/>
      <c r="K441" s="35"/>
      <c r="L441" s="35"/>
      <c r="M441" s="35"/>
      <c r="N441" s="35"/>
      <c r="O441" s="35"/>
      <c r="P441" s="35"/>
      <c r="Q441" s="35"/>
      <c r="R441" s="35"/>
      <c r="S441" s="35"/>
      <c r="T441" s="35"/>
      <c r="U441" s="35"/>
      <c r="V441" s="35"/>
      <c r="W441" s="35"/>
      <c r="X441" s="35"/>
      <c r="Y441" s="35"/>
    </row>
    <row r="442" ht="15.75" customHeight="1">
      <c r="A442" s="35"/>
      <c r="B442" s="35"/>
      <c r="C442" s="35"/>
      <c r="D442" s="35"/>
      <c r="E442" s="35"/>
      <c r="F442" s="50"/>
      <c r="G442" s="35"/>
      <c r="H442" s="35"/>
      <c r="I442" s="35"/>
      <c r="J442" s="35"/>
      <c r="K442" s="35"/>
      <c r="L442" s="35"/>
      <c r="M442" s="35"/>
      <c r="N442" s="35"/>
      <c r="O442" s="35"/>
      <c r="P442" s="35"/>
      <c r="Q442" s="35"/>
      <c r="R442" s="35"/>
      <c r="S442" s="35"/>
      <c r="T442" s="35"/>
      <c r="U442" s="35"/>
      <c r="V442" s="35"/>
      <c r="W442" s="35"/>
      <c r="X442" s="35"/>
      <c r="Y442" s="35"/>
    </row>
    <row r="443" ht="15.75" customHeight="1">
      <c r="A443" s="35"/>
      <c r="B443" s="35"/>
      <c r="C443" s="35"/>
      <c r="D443" s="35"/>
      <c r="E443" s="35"/>
      <c r="F443" s="50"/>
      <c r="G443" s="35"/>
      <c r="H443" s="35"/>
      <c r="I443" s="35"/>
      <c r="J443" s="35"/>
      <c r="K443" s="35"/>
      <c r="L443" s="35"/>
      <c r="M443" s="35"/>
      <c r="N443" s="35"/>
      <c r="O443" s="35"/>
      <c r="P443" s="35"/>
      <c r="Q443" s="35"/>
      <c r="R443" s="35"/>
      <c r="S443" s="35"/>
      <c r="T443" s="35"/>
      <c r="U443" s="35"/>
      <c r="V443" s="35"/>
      <c r="W443" s="35"/>
      <c r="X443" s="35"/>
      <c r="Y443" s="35"/>
    </row>
    <row r="444" ht="15.75" customHeight="1">
      <c r="A444" s="35"/>
      <c r="B444" s="35"/>
      <c r="C444" s="35"/>
      <c r="D444" s="35"/>
      <c r="E444" s="35"/>
      <c r="F444" s="50"/>
      <c r="G444" s="35"/>
      <c r="H444" s="35"/>
      <c r="I444" s="35"/>
      <c r="J444" s="35"/>
      <c r="K444" s="35"/>
      <c r="L444" s="35"/>
      <c r="M444" s="35"/>
      <c r="N444" s="35"/>
      <c r="O444" s="35"/>
      <c r="P444" s="35"/>
      <c r="Q444" s="35"/>
      <c r="R444" s="35"/>
      <c r="S444" s="35"/>
      <c r="T444" s="35"/>
      <c r="U444" s="35"/>
      <c r="V444" s="35"/>
      <c r="W444" s="35"/>
      <c r="X444" s="35"/>
      <c r="Y444" s="35"/>
    </row>
    <row r="445" ht="15.75" customHeight="1">
      <c r="A445" s="35"/>
      <c r="B445" s="35"/>
      <c r="C445" s="35"/>
      <c r="D445" s="35"/>
      <c r="E445" s="35"/>
      <c r="F445" s="50"/>
      <c r="G445" s="35"/>
      <c r="H445" s="35"/>
      <c r="I445" s="35"/>
      <c r="J445" s="35"/>
      <c r="K445" s="35"/>
      <c r="L445" s="35"/>
      <c r="M445" s="35"/>
      <c r="N445" s="35"/>
      <c r="O445" s="35"/>
      <c r="P445" s="35"/>
      <c r="Q445" s="35"/>
      <c r="R445" s="35"/>
      <c r="S445" s="35"/>
      <c r="T445" s="35"/>
      <c r="U445" s="35"/>
      <c r="V445" s="35"/>
      <c r="W445" s="35"/>
      <c r="X445" s="35"/>
      <c r="Y445" s="35"/>
    </row>
    <row r="446" ht="15.75" customHeight="1">
      <c r="A446" s="35"/>
      <c r="B446" s="35"/>
      <c r="C446" s="35"/>
      <c r="D446" s="35"/>
      <c r="E446" s="35"/>
      <c r="F446" s="50"/>
      <c r="G446" s="35"/>
      <c r="H446" s="35"/>
      <c r="I446" s="35"/>
      <c r="J446" s="35"/>
      <c r="K446" s="35"/>
      <c r="L446" s="35"/>
      <c r="M446" s="35"/>
      <c r="N446" s="35"/>
      <c r="O446" s="35"/>
      <c r="P446" s="35"/>
      <c r="Q446" s="35"/>
      <c r="R446" s="35"/>
      <c r="S446" s="35"/>
      <c r="T446" s="35"/>
      <c r="U446" s="35"/>
      <c r="V446" s="35"/>
      <c r="W446" s="35"/>
      <c r="X446" s="35"/>
      <c r="Y446" s="35"/>
    </row>
    <row r="447" ht="15.75" customHeight="1">
      <c r="A447" s="35"/>
      <c r="B447" s="35"/>
      <c r="C447" s="35"/>
      <c r="D447" s="35"/>
      <c r="E447" s="35"/>
      <c r="F447" s="50"/>
      <c r="G447" s="35"/>
      <c r="H447" s="35"/>
      <c r="I447" s="35"/>
      <c r="J447" s="35"/>
      <c r="K447" s="35"/>
      <c r="L447" s="35"/>
      <c r="M447" s="35"/>
      <c r="N447" s="35"/>
      <c r="O447" s="35"/>
      <c r="P447" s="35"/>
      <c r="Q447" s="35"/>
      <c r="R447" s="35"/>
      <c r="S447" s="35"/>
      <c r="T447" s="35"/>
      <c r="U447" s="35"/>
      <c r="V447" s="35"/>
      <c r="W447" s="35"/>
      <c r="X447" s="35"/>
      <c r="Y447" s="35"/>
    </row>
    <row r="448" ht="15.75" customHeight="1">
      <c r="A448" s="35"/>
      <c r="B448" s="35"/>
      <c r="C448" s="35"/>
      <c r="D448" s="35"/>
      <c r="E448" s="35"/>
      <c r="F448" s="50"/>
      <c r="G448" s="35"/>
      <c r="H448" s="35"/>
      <c r="I448" s="35"/>
      <c r="J448" s="35"/>
      <c r="K448" s="35"/>
      <c r="L448" s="35"/>
      <c r="M448" s="35"/>
      <c r="N448" s="35"/>
      <c r="O448" s="35"/>
      <c r="P448" s="35"/>
      <c r="Q448" s="35"/>
      <c r="R448" s="35"/>
      <c r="S448" s="35"/>
      <c r="T448" s="35"/>
      <c r="U448" s="35"/>
      <c r="V448" s="35"/>
      <c r="W448" s="35"/>
      <c r="X448" s="35"/>
      <c r="Y448" s="35"/>
    </row>
    <row r="449" ht="15.75" customHeight="1">
      <c r="A449" s="35"/>
      <c r="B449" s="35"/>
      <c r="C449" s="35"/>
      <c r="D449" s="35"/>
      <c r="E449" s="35"/>
      <c r="F449" s="50"/>
      <c r="G449" s="35"/>
      <c r="H449" s="35"/>
      <c r="I449" s="35"/>
      <c r="J449" s="35"/>
      <c r="K449" s="35"/>
      <c r="L449" s="35"/>
      <c r="M449" s="35"/>
      <c r="N449" s="35"/>
      <c r="O449" s="35"/>
      <c r="P449" s="35"/>
      <c r="Q449" s="35"/>
      <c r="R449" s="35"/>
      <c r="S449" s="35"/>
      <c r="T449" s="35"/>
      <c r="U449" s="35"/>
      <c r="V449" s="35"/>
      <c r="W449" s="35"/>
      <c r="X449" s="35"/>
      <c r="Y449" s="35"/>
    </row>
    <row r="450" ht="15.75" customHeight="1">
      <c r="A450" s="35"/>
      <c r="B450" s="35"/>
      <c r="C450" s="35"/>
      <c r="D450" s="35"/>
      <c r="E450" s="35"/>
      <c r="F450" s="50"/>
      <c r="G450" s="35"/>
      <c r="H450" s="35"/>
      <c r="I450" s="35"/>
      <c r="J450" s="35"/>
      <c r="K450" s="35"/>
      <c r="L450" s="35"/>
      <c r="M450" s="35"/>
      <c r="N450" s="35"/>
      <c r="O450" s="35"/>
      <c r="P450" s="35"/>
      <c r="Q450" s="35"/>
      <c r="R450" s="35"/>
      <c r="S450" s="35"/>
      <c r="T450" s="35"/>
      <c r="U450" s="35"/>
      <c r="V450" s="35"/>
      <c r="W450" s="35"/>
      <c r="X450" s="35"/>
      <c r="Y450" s="35"/>
    </row>
    <row r="451" ht="15.75" customHeight="1">
      <c r="A451" s="35"/>
      <c r="B451" s="35"/>
      <c r="C451" s="35"/>
      <c r="D451" s="35"/>
      <c r="E451" s="35"/>
      <c r="F451" s="50"/>
      <c r="G451" s="35"/>
      <c r="H451" s="35"/>
      <c r="I451" s="35"/>
      <c r="J451" s="35"/>
      <c r="K451" s="35"/>
      <c r="L451" s="35"/>
      <c r="M451" s="35"/>
      <c r="N451" s="35"/>
      <c r="O451" s="35"/>
      <c r="P451" s="35"/>
      <c r="Q451" s="35"/>
      <c r="R451" s="35"/>
      <c r="S451" s="35"/>
      <c r="T451" s="35"/>
      <c r="U451" s="35"/>
      <c r="V451" s="35"/>
      <c r="W451" s="35"/>
      <c r="X451" s="35"/>
      <c r="Y451" s="35"/>
    </row>
    <row r="452" ht="15.75" customHeight="1">
      <c r="A452" s="35"/>
      <c r="B452" s="35"/>
      <c r="C452" s="35"/>
      <c r="D452" s="35"/>
      <c r="E452" s="35"/>
      <c r="F452" s="50"/>
      <c r="G452" s="35"/>
      <c r="H452" s="35"/>
      <c r="I452" s="35"/>
      <c r="J452" s="35"/>
      <c r="K452" s="35"/>
      <c r="L452" s="35"/>
      <c r="M452" s="35"/>
      <c r="N452" s="35"/>
      <c r="O452" s="35"/>
      <c r="P452" s="35"/>
      <c r="Q452" s="35"/>
      <c r="R452" s="35"/>
      <c r="S452" s="35"/>
      <c r="T452" s="35"/>
      <c r="U452" s="35"/>
      <c r="V452" s="35"/>
      <c r="W452" s="35"/>
      <c r="X452" s="35"/>
      <c r="Y452" s="35"/>
    </row>
    <row r="453" ht="15.75" customHeight="1">
      <c r="A453" s="35"/>
      <c r="B453" s="35"/>
      <c r="C453" s="35"/>
      <c r="D453" s="35"/>
      <c r="E453" s="35"/>
      <c r="F453" s="50"/>
      <c r="G453" s="35"/>
      <c r="H453" s="35"/>
      <c r="I453" s="35"/>
      <c r="J453" s="35"/>
      <c r="K453" s="35"/>
      <c r="L453" s="35"/>
      <c r="M453" s="35"/>
      <c r="N453" s="35"/>
      <c r="O453" s="35"/>
      <c r="P453" s="35"/>
      <c r="Q453" s="35"/>
      <c r="R453" s="35"/>
      <c r="S453" s="35"/>
      <c r="T453" s="35"/>
      <c r="U453" s="35"/>
      <c r="V453" s="35"/>
      <c r="W453" s="35"/>
      <c r="X453" s="35"/>
      <c r="Y453" s="35"/>
    </row>
    <row r="454" ht="15.75" customHeight="1">
      <c r="A454" s="35"/>
      <c r="B454" s="35"/>
      <c r="C454" s="35"/>
      <c r="D454" s="35"/>
      <c r="E454" s="35"/>
      <c r="F454" s="50"/>
      <c r="G454" s="35"/>
      <c r="H454" s="35"/>
      <c r="I454" s="35"/>
      <c r="J454" s="35"/>
      <c r="K454" s="35"/>
      <c r="L454" s="35"/>
      <c r="M454" s="35"/>
      <c r="N454" s="35"/>
      <c r="O454" s="35"/>
      <c r="P454" s="35"/>
      <c r="Q454" s="35"/>
      <c r="R454" s="35"/>
      <c r="S454" s="35"/>
      <c r="T454" s="35"/>
      <c r="U454" s="35"/>
      <c r="V454" s="35"/>
      <c r="W454" s="35"/>
      <c r="X454" s="35"/>
      <c r="Y454" s="35"/>
    </row>
    <row r="455" ht="15.75" customHeight="1">
      <c r="A455" s="35"/>
      <c r="B455" s="35"/>
      <c r="C455" s="35"/>
      <c r="D455" s="35"/>
      <c r="E455" s="35"/>
      <c r="F455" s="50"/>
      <c r="G455" s="35"/>
      <c r="H455" s="35"/>
      <c r="I455" s="35"/>
      <c r="J455" s="35"/>
      <c r="K455" s="35"/>
      <c r="L455" s="35"/>
      <c r="M455" s="35"/>
      <c r="N455" s="35"/>
      <c r="O455" s="35"/>
      <c r="P455" s="35"/>
      <c r="Q455" s="35"/>
      <c r="R455" s="35"/>
      <c r="S455" s="35"/>
      <c r="T455" s="35"/>
      <c r="U455" s="35"/>
      <c r="V455" s="35"/>
      <c r="W455" s="35"/>
      <c r="X455" s="35"/>
      <c r="Y455" s="35"/>
    </row>
    <row r="456" ht="15.75" customHeight="1">
      <c r="A456" s="35"/>
      <c r="B456" s="35"/>
      <c r="C456" s="35"/>
      <c r="D456" s="35"/>
      <c r="E456" s="35"/>
      <c r="F456" s="50"/>
      <c r="G456" s="35"/>
      <c r="H456" s="35"/>
      <c r="I456" s="35"/>
      <c r="J456" s="35"/>
      <c r="K456" s="35"/>
      <c r="L456" s="35"/>
      <c r="M456" s="35"/>
      <c r="N456" s="35"/>
      <c r="O456" s="35"/>
      <c r="P456" s="35"/>
      <c r="Q456" s="35"/>
      <c r="R456" s="35"/>
      <c r="S456" s="35"/>
      <c r="T456" s="35"/>
      <c r="U456" s="35"/>
      <c r="V456" s="35"/>
      <c r="W456" s="35"/>
      <c r="X456" s="35"/>
      <c r="Y456" s="35"/>
    </row>
    <row r="457" ht="15.75" customHeight="1">
      <c r="A457" s="35"/>
      <c r="B457" s="35"/>
      <c r="C457" s="35"/>
      <c r="D457" s="35"/>
      <c r="E457" s="35"/>
      <c r="F457" s="50"/>
      <c r="G457" s="35"/>
      <c r="H457" s="35"/>
      <c r="I457" s="35"/>
      <c r="J457" s="35"/>
      <c r="K457" s="35"/>
      <c r="L457" s="35"/>
      <c r="M457" s="35"/>
      <c r="N457" s="35"/>
      <c r="O457" s="35"/>
      <c r="P457" s="35"/>
      <c r="Q457" s="35"/>
      <c r="R457" s="35"/>
      <c r="S457" s="35"/>
      <c r="T457" s="35"/>
      <c r="U457" s="35"/>
      <c r="V457" s="35"/>
      <c r="W457" s="35"/>
      <c r="X457" s="35"/>
      <c r="Y457" s="35"/>
    </row>
    <row r="458" ht="15.75" customHeight="1">
      <c r="A458" s="35"/>
      <c r="B458" s="35"/>
      <c r="C458" s="35"/>
      <c r="D458" s="35"/>
      <c r="E458" s="35"/>
      <c r="F458" s="50"/>
      <c r="G458" s="35"/>
      <c r="H458" s="35"/>
      <c r="I458" s="35"/>
      <c r="J458" s="35"/>
      <c r="K458" s="35"/>
      <c r="L458" s="35"/>
      <c r="M458" s="35"/>
      <c r="N458" s="35"/>
      <c r="O458" s="35"/>
      <c r="P458" s="35"/>
      <c r="Q458" s="35"/>
      <c r="R458" s="35"/>
      <c r="S458" s="35"/>
      <c r="T458" s="35"/>
      <c r="U458" s="35"/>
      <c r="V458" s="35"/>
      <c r="W458" s="35"/>
      <c r="X458" s="35"/>
      <c r="Y458" s="35"/>
    </row>
    <row r="459" ht="15.75" customHeight="1">
      <c r="A459" s="35"/>
      <c r="B459" s="35"/>
      <c r="C459" s="35"/>
      <c r="D459" s="35"/>
      <c r="E459" s="35"/>
      <c r="F459" s="50"/>
      <c r="G459" s="35"/>
      <c r="H459" s="35"/>
      <c r="I459" s="35"/>
      <c r="J459" s="35"/>
      <c r="K459" s="35"/>
      <c r="L459" s="35"/>
      <c r="M459" s="35"/>
      <c r="N459" s="35"/>
      <c r="O459" s="35"/>
      <c r="P459" s="35"/>
      <c r="Q459" s="35"/>
      <c r="R459" s="35"/>
      <c r="S459" s="35"/>
      <c r="T459" s="35"/>
      <c r="U459" s="35"/>
      <c r="V459" s="35"/>
      <c r="W459" s="35"/>
      <c r="X459" s="35"/>
      <c r="Y459" s="35"/>
    </row>
    <row r="460" ht="15.75" customHeight="1">
      <c r="A460" s="35"/>
      <c r="B460" s="35"/>
      <c r="C460" s="35"/>
      <c r="D460" s="35"/>
      <c r="E460" s="35"/>
      <c r="F460" s="50"/>
      <c r="G460" s="35"/>
      <c r="H460" s="35"/>
      <c r="I460" s="35"/>
      <c r="J460" s="35"/>
      <c r="K460" s="35"/>
      <c r="L460" s="35"/>
      <c r="M460" s="35"/>
      <c r="N460" s="35"/>
      <c r="O460" s="35"/>
      <c r="P460" s="35"/>
      <c r="Q460" s="35"/>
      <c r="R460" s="35"/>
      <c r="S460" s="35"/>
      <c r="T460" s="35"/>
      <c r="U460" s="35"/>
      <c r="V460" s="35"/>
      <c r="W460" s="35"/>
      <c r="X460" s="35"/>
      <c r="Y460" s="35"/>
    </row>
    <row r="461" ht="15.75" customHeight="1">
      <c r="A461" s="35"/>
      <c r="B461" s="35"/>
      <c r="C461" s="35"/>
      <c r="D461" s="35"/>
      <c r="E461" s="35"/>
      <c r="F461" s="50"/>
      <c r="G461" s="35"/>
      <c r="H461" s="35"/>
      <c r="I461" s="35"/>
      <c r="J461" s="35"/>
      <c r="K461" s="35"/>
      <c r="L461" s="35"/>
      <c r="M461" s="35"/>
      <c r="N461" s="35"/>
      <c r="O461" s="35"/>
      <c r="P461" s="35"/>
      <c r="Q461" s="35"/>
      <c r="R461" s="35"/>
      <c r="S461" s="35"/>
      <c r="T461" s="35"/>
      <c r="U461" s="35"/>
      <c r="V461" s="35"/>
      <c r="W461" s="35"/>
      <c r="X461" s="35"/>
      <c r="Y461" s="35"/>
    </row>
    <row r="462" ht="15.75" customHeight="1">
      <c r="A462" s="35"/>
      <c r="B462" s="35"/>
      <c r="C462" s="35"/>
      <c r="D462" s="35"/>
      <c r="E462" s="35"/>
      <c r="F462" s="50"/>
      <c r="G462" s="35"/>
      <c r="H462" s="35"/>
      <c r="I462" s="35"/>
      <c r="J462" s="35"/>
      <c r="K462" s="35"/>
      <c r="L462" s="35"/>
      <c r="M462" s="35"/>
      <c r="N462" s="35"/>
      <c r="O462" s="35"/>
      <c r="P462" s="35"/>
      <c r="Q462" s="35"/>
      <c r="R462" s="35"/>
      <c r="S462" s="35"/>
      <c r="T462" s="35"/>
      <c r="U462" s="35"/>
      <c r="V462" s="35"/>
      <c r="W462" s="35"/>
      <c r="X462" s="35"/>
      <c r="Y462" s="35"/>
    </row>
    <row r="463" ht="15.75" customHeight="1">
      <c r="A463" s="35"/>
      <c r="B463" s="35"/>
      <c r="C463" s="35"/>
      <c r="D463" s="35"/>
      <c r="E463" s="35"/>
      <c r="F463" s="50"/>
      <c r="G463" s="35"/>
      <c r="H463" s="35"/>
      <c r="I463" s="35"/>
      <c r="J463" s="35"/>
      <c r="K463" s="35"/>
      <c r="L463" s="35"/>
      <c r="M463" s="35"/>
      <c r="N463" s="35"/>
      <c r="O463" s="35"/>
      <c r="P463" s="35"/>
      <c r="Q463" s="35"/>
      <c r="R463" s="35"/>
      <c r="S463" s="35"/>
      <c r="T463" s="35"/>
      <c r="U463" s="35"/>
      <c r="V463" s="35"/>
      <c r="W463" s="35"/>
      <c r="X463" s="35"/>
      <c r="Y463" s="35"/>
    </row>
    <row r="464" ht="15.75" customHeight="1">
      <c r="A464" s="35"/>
      <c r="B464" s="35"/>
      <c r="C464" s="35"/>
      <c r="D464" s="35"/>
      <c r="E464" s="35"/>
      <c r="F464" s="50"/>
      <c r="G464" s="35"/>
      <c r="H464" s="35"/>
      <c r="I464" s="35"/>
      <c r="J464" s="35"/>
      <c r="K464" s="35"/>
      <c r="L464" s="35"/>
      <c r="M464" s="35"/>
      <c r="N464" s="35"/>
      <c r="O464" s="35"/>
      <c r="P464" s="35"/>
      <c r="Q464" s="35"/>
      <c r="R464" s="35"/>
      <c r="S464" s="35"/>
      <c r="T464" s="35"/>
      <c r="U464" s="35"/>
      <c r="V464" s="35"/>
      <c r="W464" s="35"/>
      <c r="X464" s="35"/>
      <c r="Y464" s="35"/>
    </row>
    <row r="465" ht="15.75" customHeight="1">
      <c r="A465" s="35"/>
      <c r="B465" s="35"/>
      <c r="C465" s="35"/>
      <c r="D465" s="35"/>
      <c r="E465" s="35"/>
      <c r="F465" s="50"/>
      <c r="G465" s="35"/>
      <c r="H465" s="35"/>
      <c r="I465" s="35"/>
      <c r="J465" s="35"/>
      <c r="K465" s="35"/>
      <c r="L465" s="35"/>
      <c r="M465" s="35"/>
      <c r="N465" s="35"/>
      <c r="O465" s="35"/>
      <c r="P465" s="35"/>
      <c r="Q465" s="35"/>
      <c r="R465" s="35"/>
      <c r="S465" s="35"/>
      <c r="T465" s="35"/>
      <c r="U465" s="35"/>
      <c r="V465" s="35"/>
      <c r="W465" s="35"/>
      <c r="X465" s="35"/>
      <c r="Y465" s="35"/>
    </row>
    <row r="466" ht="15.75" customHeight="1">
      <c r="A466" s="35"/>
      <c r="B466" s="35"/>
      <c r="C466" s="35"/>
      <c r="D466" s="35"/>
      <c r="E466" s="35"/>
      <c r="F466" s="50"/>
      <c r="G466" s="35"/>
      <c r="H466" s="35"/>
      <c r="I466" s="35"/>
      <c r="J466" s="35"/>
      <c r="K466" s="35"/>
      <c r="L466" s="35"/>
      <c r="M466" s="35"/>
      <c r="N466" s="35"/>
      <c r="O466" s="35"/>
      <c r="P466" s="35"/>
      <c r="Q466" s="35"/>
      <c r="R466" s="35"/>
      <c r="S466" s="35"/>
      <c r="T466" s="35"/>
      <c r="U466" s="35"/>
      <c r="V466" s="35"/>
      <c r="W466" s="35"/>
      <c r="X466" s="35"/>
      <c r="Y466" s="35"/>
    </row>
    <row r="467" ht="15.75" customHeight="1">
      <c r="A467" s="35"/>
      <c r="B467" s="35"/>
      <c r="C467" s="35"/>
      <c r="D467" s="35"/>
      <c r="E467" s="35"/>
      <c r="F467" s="50"/>
      <c r="G467" s="35"/>
      <c r="H467" s="35"/>
      <c r="I467" s="35"/>
      <c r="J467" s="35"/>
      <c r="K467" s="35"/>
      <c r="L467" s="35"/>
      <c r="M467" s="35"/>
      <c r="N467" s="35"/>
      <c r="O467" s="35"/>
      <c r="P467" s="35"/>
      <c r="Q467" s="35"/>
      <c r="R467" s="35"/>
      <c r="S467" s="35"/>
      <c r="T467" s="35"/>
      <c r="U467" s="35"/>
      <c r="V467" s="35"/>
      <c r="W467" s="35"/>
      <c r="X467" s="35"/>
      <c r="Y467" s="35"/>
    </row>
    <row r="468" ht="15.75" customHeight="1">
      <c r="A468" s="35"/>
      <c r="B468" s="35"/>
      <c r="C468" s="35"/>
      <c r="D468" s="35"/>
      <c r="E468" s="35"/>
      <c r="F468" s="50"/>
      <c r="G468" s="35"/>
      <c r="H468" s="35"/>
      <c r="I468" s="35"/>
      <c r="J468" s="35"/>
      <c r="K468" s="35"/>
      <c r="L468" s="35"/>
      <c r="M468" s="35"/>
      <c r="N468" s="35"/>
      <c r="O468" s="35"/>
      <c r="P468" s="35"/>
      <c r="Q468" s="35"/>
      <c r="R468" s="35"/>
      <c r="S468" s="35"/>
      <c r="T468" s="35"/>
      <c r="U468" s="35"/>
      <c r="V468" s="35"/>
      <c r="W468" s="35"/>
      <c r="X468" s="35"/>
      <c r="Y468" s="35"/>
    </row>
    <row r="469" ht="15.75" customHeight="1">
      <c r="A469" s="35"/>
      <c r="B469" s="35"/>
      <c r="C469" s="35"/>
      <c r="D469" s="35"/>
      <c r="E469" s="35"/>
      <c r="F469" s="50"/>
      <c r="G469" s="35"/>
      <c r="H469" s="35"/>
      <c r="I469" s="35"/>
      <c r="J469" s="35"/>
      <c r="K469" s="35"/>
      <c r="L469" s="35"/>
      <c r="M469" s="35"/>
      <c r="N469" s="35"/>
      <c r="O469" s="35"/>
      <c r="P469" s="35"/>
      <c r="Q469" s="35"/>
      <c r="R469" s="35"/>
      <c r="S469" s="35"/>
      <c r="T469" s="35"/>
      <c r="U469" s="35"/>
      <c r="V469" s="35"/>
      <c r="W469" s="35"/>
      <c r="X469" s="35"/>
      <c r="Y469" s="35"/>
    </row>
    <row r="470" ht="15.75" customHeight="1">
      <c r="A470" s="35"/>
      <c r="B470" s="35"/>
      <c r="C470" s="35"/>
      <c r="D470" s="35"/>
      <c r="E470" s="35"/>
      <c r="F470" s="50"/>
      <c r="G470" s="35"/>
      <c r="H470" s="35"/>
      <c r="I470" s="35"/>
      <c r="J470" s="35"/>
      <c r="K470" s="35"/>
      <c r="L470" s="35"/>
      <c r="M470" s="35"/>
      <c r="N470" s="35"/>
      <c r="O470" s="35"/>
      <c r="P470" s="35"/>
      <c r="Q470" s="35"/>
      <c r="R470" s="35"/>
      <c r="S470" s="35"/>
      <c r="T470" s="35"/>
      <c r="U470" s="35"/>
      <c r="V470" s="35"/>
      <c r="W470" s="35"/>
      <c r="X470" s="35"/>
      <c r="Y470" s="35"/>
    </row>
    <row r="471" ht="15.75" customHeight="1">
      <c r="A471" s="35"/>
      <c r="B471" s="35"/>
      <c r="C471" s="35"/>
      <c r="D471" s="35"/>
      <c r="E471" s="35"/>
      <c r="F471" s="50"/>
      <c r="G471" s="35"/>
      <c r="H471" s="35"/>
      <c r="I471" s="35"/>
      <c r="J471" s="35"/>
      <c r="K471" s="35"/>
      <c r="L471" s="35"/>
      <c r="M471" s="35"/>
      <c r="N471" s="35"/>
      <c r="O471" s="35"/>
      <c r="P471" s="35"/>
      <c r="Q471" s="35"/>
      <c r="R471" s="35"/>
      <c r="S471" s="35"/>
      <c r="T471" s="35"/>
      <c r="U471" s="35"/>
      <c r="V471" s="35"/>
      <c r="W471" s="35"/>
      <c r="X471" s="35"/>
      <c r="Y471" s="35"/>
    </row>
    <row r="472" ht="15.75" customHeight="1">
      <c r="A472" s="35"/>
      <c r="B472" s="35"/>
      <c r="C472" s="35"/>
      <c r="D472" s="35"/>
      <c r="E472" s="35"/>
      <c r="F472" s="50"/>
      <c r="G472" s="35"/>
      <c r="H472" s="35"/>
      <c r="I472" s="35"/>
      <c r="J472" s="35"/>
      <c r="K472" s="35"/>
      <c r="L472" s="35"/>
      <c r="M472" s="35"/>
      <c r="N472" s="35"/>
      <c r="O472" s="35"/>
      <c r="P472" s="35"/>
      <c r="Q472" s="35"/>
      <c r="R472" s="35"/>
      <c r="S472" s="35"/>
      <c r="T472" s="35"/>
      <c r="U472" s="35"/>
      <c r="V472" s="35"/>
      <c r="W472" s="35"/>
      <c r="X472" s="35"/>
      <c r="Y472" s="35"/>
    </row>
    <row r="473" ht="15.75" customHeight="1">
      <c r="A473" s="35"/>
      <c r="B473" s="35"/>
      <c r="C473" s="35"/>
      <c r="D473" s="35"/>
      <c r="E473" s="35"/>
      <c r="F473" s="50"/>
      <c r="G473" s="35"/>
      <c r="H473" s="35"/>
      <c r="I473" s="35"/>
      <c r="J473" s="35"/>
      <c r="K473" s="35"/>
      <c r="L473" s="35"/>
      <c r="M473" s="35"/>
      <c r="N473" s="35"/>
      <c r="O473" s="35"/>
      <c r="P473" s="35"/>
      <c r="Q473" s="35"/>
      <c r="R473" s="35"/>
      <c r="S473" s="35"/>
      <c r="T473" s="35"/>
      <c r="U473" s="35"/>
      <c r="V473" s="35"/>
      <c r="W473" s="35"/>
      <c r="X473" s="35"/>
      <c r="Y473" s="35"/>
    </row>
    <row r="474" ht="15.75" customHeight="1">
      <c r="A474" s="35"/>
      <c r="B474" s="35"/>
      <c r="C474" s="35"/>
      <c r="D474" s="35"/>
      <c r="E474" s="35"/>
      <c r="F474" s="50"/>
      <c r="G474" s="35"/>
      <c r="H474" s="35"/>
      <c r="I474" s="35"/>
      <c r="J474" s="35"/>
      <c r="K474" s="35"/>
      <c r="L474" s="35"/>
      <c r="M474" s="35"/>
      <c r="N474" s="35"/>
      <c r="O474" s="35"/>
      <c r="P474" s="35"/>
      <c r="Q474" s="35"/>
      <c r="R474" s="35"/>
      <c r="S474" s="35"/>
      <c r="T474" s="35"/>
      <c r="U474" s="35"/>
      <c r="V474" s="35"/>
      <c r="W474" s="35"/>
      <c r="X474" s="35"/>
      <c r="Y474" s="35"/>
    </row>
    <row r="475" ht="15.75" customHeight="1">
      <c r="A475" s="35"/>
      <c r="B475" s="35"/>
      <c r="C475" s="35"/>
      <c r="D475" s="35"/>
      <c r="E475" s="35"/>
      <c r="F475" s="50"/>
      <c r="G475" s="35"/>
      <c r="H475" s="35"/>
      <c r="I475" s="35"/>
      <c r="J475" s="35"/>
      <c r="K475" s="35"/>
      <c r="L475" s="35"/>
      <c r="M475" s="35"/>
      <c r="N475" s="35"/>
      <c r="O475" s="35"/>
      <c r="P475" s="35"/>
      <c r="Q475" s="35"/>
      <c r="R475" s="35"/>
      <c r="S475" s="35"/>
      <c r="T475" s="35"/>
      <c r="U475" s="35"/>
      <c r="V475" s="35"/>
      <c r="W475" s="35"/>
      <c r="X475" s="35"/>
      <c r="Y475" s="35"/>
    </row>
    <row r="476" ht="15.75" customHeight="1">
      <c r="A476" s="35"/>
      <c r="B476" s="35"/>
      <c r="C476" s="35"/>
      <c r="D476" s="35"/>
      <c r="E476" s="35"/>
      <c r="F476" s="50"/>
      <c r="G476" s="35"/>
      <c r="H476" s="35"/>
      <c r="I476" s="35"/>
      <c r="J476" s="35"/>
      <c r="K476" s="35"/>
      <c r="L476" s="35"/>
      <c r="M476" s="35"/>
      <c r="N476" s="35"/>
      <c r="O476" s="35"/>
      <c r="P476" s="35"/>
      <c r="Q476" s="35"/>
      <c r="R476" s="35"/>
      <c r="S476" s="35"/>
      <c r="T476" s="35"/>
      <c r="U476" s="35"/>
      <c r="V476" s="35"/>
      <c r="W476" s="35"/>
      <c r="X476" s="35"/>
      <c r="Y476" s="35"/>
    </row>
    <row r="477" ht="15.75" customHeight="1">
      <c r="A477" s="35"/>
      <c r="B477" s="35"/>
      <c r="C477" s="35"/>
      <c r="D477" s="35"/>
      <c r="E477" s="35"/>
      <c r="F477" s="50"/>
      <c r="G477" s="35"/>
      <c r="H477" s="35"/>
      <c r="I477" s="35"/>
      <c r="J477" s="35"/>
      <c r="K477" s="35"/>
      <c r="L477" s="35"/>
      <c r="M477" s="35"/>
      <c r="N477" s="35"/>
      <c r="O477" s="35"/>
      <c r="P477" s="35"/>
      <c r="Q477" s="35"/>
      <c r="R477" s="35"/>
      <c r="S477" s="35"/>
      <c r="T477" s="35"/>
      <c r="U477" s="35"/>
      <c r="V477" s="35"/>
      <c r="W477" s="35"/>
      <c r="X477" s="35"/>
      <c r="Y477" s="35"/>
    </row>
    <row r="478" ht="15.75" customHeight="1">
      <c r="A478" s="35"/>
      <c r="B478" s="35"/>
      <c r="C478" s="35"/>
      <c r="D478" s="35"/>
      <c r="E478" s="35"/>
      <c r="F478" s="50"/>
      <c r="G478" s="35"/>
      <c r="H478" s="35"/>
      <c r="I478" s="35"/>
      <c r="J478" s="35"/>
      <c r="K478" s="35"/>
      <c r="L478" s="35"/>
      <c r="M478" s="35"/>
      <c r="N478" s="35"/>
      <c r="O478" s="35"/>
      <c r="P478" s="35"/>
      <c r="Q478" s="35"/>
      <c r="R478" s="35"/>
      <c r="S478" s="35"/>
      <c r="T478" s="35"/>
      <c r="U478" s="35"/>
      <c r="V478" s="35"/>
      <c r="W478" s="35"/>
      <c r="X478" s="35"/>
      <c r="Y478" s="35"/>
    </row>
    <row r="479" ht="15.75" customHeight="1">
      <c r="A479" s="35"/>
      <c r="B479" s="35"/>
      <c r="C479" s="35"/>
      <c r="D479" s="35"/>
      <c r="E479" s="35"/>
      <c r="F479" s="50"/>
      <c r="G479" s="35"/>
      <c r="H479" s="35"/>
      <c r="I479" s="35"/>
      <c r="J479" s="35"/>
      <c r="K479" s="35"/>
      <c r="L479" s="35"/>
      <c r="M479" s="35"/>
      <c r="N479" s="35"/>
      <c r="O479" s="35"/>
      <c r="P479" s="35"/>
      <c r="Q479" s="35"/>
      <c r="R479" s="35"/>
      <c r="S479" s="35"/>
      <c r="T479" s="35"/>
      <c r="U479" s="35"/>
      <c r="V479" s="35"/>
      <c r="W479" s="35"/>
      <c r="X479" s="35"/>
      <c r="Y479" s="35"/>
    </row>
    <row r="480" ht="15.75" customHeight="1">
      <c r="A480" s="35"/>
      <c r="B480" s="35"/>
      <c r="C480" s="35"/>
      <c r="D480" s="35"/>
      <c r="E480" s="35"/>
      <c r="F480" s="50"/>
      <c r="G480" s="35"/>
      <c r="H480" s="35"/>
      <c r="I480" s="35"/>
      <c r="J480" s="35"/>
      <c r="K480" s="35"/>
      <c r="L480" s="35"/>
      <c r="M480" s="35"/>
      <c r="N480" s="35"/>
      <c r="O480" s="35"/>
      <c r="P480" s="35"/>
      <c r="Q480" s="35"/>
      <c r="R480" s="35"/>
      <c r="S480" s="35"/>
      <c r="T480" s="35"/>
      <c r="U480" s="35"/>
      <c r="V480" s="35"/>
      <c r="W480" s="35"/>
      <c r="X480" s="35"/>
      <c r="Y480" s="35"/>
    </row>
    <row r="481" ht="15.75" customHeight="1">
      <c r="A481" s="35"/>
      <c r="B481" s="35"/>
      <c r="C481" s="35"/>
      <c r="D481" s="35"/>
      <c r="E481" s="35"/>
      <c r="F481" s="50"/>
      <c r="G481" s="35"/>
      <c r="H481" s="35"/>
      <c r="I481" s="35"/>
      <c r="J481" s="35"/>
      <c r="K481" s="35"/>
      <c r="L481" s="35"/>
      <c r="M481" s="35"/>
      <c r="N481" s="35"/>
      <c r="O481" s="35"/>
      <c r="P481" s="35"/>
      <c r="Q481" s="35"/>
      <c r="R481" s="35"/>
      <c r="S481" s="35"/>
      <c r="T481" s="35"/>
      <c r="U481" s="35"/>
      <c r="V481" s="35"/>
      <c r="W481" s="35"/>
      <c r="X481" s="35"/>
      <c r="Y481" s="35"/>
    </row>
    <row r="482" ht="15.75" customHeight="1">
      <c r="A482" s="35"/>
      <c r="B482" s="35"/>
      <c r="C482" s="35"/>
      <c r="D482" s="35"/>
      <c r="E482" s="35"/>
      <c r="F482" s="50"/>
      <c r="G482" s="35"/>
      <c r="H482" s="35"/>
      <c r="I482" s="35"/>
      <c r="J482" s="35"/>
      <c r="K482" s="35"/>
      <c r="L482" s="35"/>
      <c r="M482" s="35"/>
      <c r="N482" s="35"/>
      <c r="O482" s="35"/>
      <c r="P482" s="35"/>
      <c r="Q482" s="35"/>
      <c r="R482" s="35"/>
      <c r="S482" s="35"/>
      <c r="T482" s="35"/>
      <c r="U482" s="35"/>
      <c r="V482" s="35"/>
      <c r="W482" s="35"/>
      <c r="X482" s="35"/>
      <c r="Y482" s="35"/>
    </row>
    <row r="483" ht="15.75" customHeight="1">
      <c r="A483" s="35"/>
      <c r="B483" s="35"/>
      <c r="C483" s="35"/>
      <c r="D483" s="35"/>
      <c r="E483" s="35"/>
      <c r="F483" s="50"/>
      <c r="G483" s="35"/>
      <c r="H483" s="35"/>
      <c r="I483" s="35"/>
      <c r="J483" s="35"/>
      <c r="K483" s="35"/>
      <c r="L483" s="35"/>
      <c r="M483" s="35"/>
      <c r="N483" s="35"/>
      <c r="O483" s="35"/>
      <c r="P483" s="35"/>
      <c r="Q483" s="35"/>
      <c r="R483" s="35"/>
      <c r="S483" s="35"/>
      <c r="T483" s="35"/>
      <c r="U483" s="35"/>
      <c r="V483" s="35"/>
      <c r="W483" s="35"/>
      <c r="X483" s="35"/>
      <c r="Y483" s="35"/>
    </row>
    <row r="484" ht="15.75" customHeight="1">
      <c r="A484" s="35"/>
      <c r="B484" s="35"/>
      <c r="C484" s="35"/>
      <c r="D484" s="35"/>
      <c r="E484" s="35"/>
      <c r="F484" s="50"/>
      <c r="G484" s="35"/>
      <c r="H484" s="35"/>
      <c r="I484" s="35"/>
      <c r="J484" s="35"/>
      <c r="K484" s="35"/>
      <c r="L484" s="35"/>
      <c r="M484" s="35"/>
      <c r="N484" s="35"/>
      <c r="O484" s="35"/>
      <c r="P484" s="35"/>
      <c r="Q484" s="35"/>
      <c r="R484" s="35"/>
      <c r="S484" s="35"/>
      <c r="T484" s="35"/>
      <c r="U484" s="35"/>
      <c r="V484" s="35"/>
      <c r="W484" s="35"/>
      <c r="X484" s="35"/>
      <c r="Y484" s="35"/>
    </row>
    <row r="485" ht="15.75" customHeight="1">
      <c r="A485" s="35"/>
      <c r="B485" s="35"/>
      <c r="C485" s="35"/>
      <c r="D485" s="35"/>
      <c r="E485" s="35"/>
      <c r="F485" s="50"/>
      <c r="G485" s="35"/>
      <c r="H485" s="35"/>
      <c r="I485" s="35"/>
      <c r="J485" s="35"/>
      <c r="K485" s="35"/>
      <c r="L485" s="35"/>
      <c r="M485" s="35"/>
      <c r="N485" s="35"/>
      <c r="O485" s="35"/>
      <c r="P485" s="35"/>
      <c r="Q485" s="35"/>
      <c r="R485" s="35"/>
      <c r="S485" s="35"/>
      <c r="T485" s="35"/>
      <c r="U485" s="35"/>
      <c r="V485" s="35"/>
      <c r="W485" s="35"/>
      <c r="X485" s="35"/>
      <c r="Y485" s="35"/>
    </row>
    <row r="486" ht="15.75" customHeight="1">
      <c r="A486" s="35"/>
      <c r="B486" s="35"/>
      <c r="C486" s="35"/>
      <c r="D486" s="35"/>
      <c r="E486" s="35"/>
      <c r="F486" s="50"/>
      <c r="G486" s="35"/>
      <c r="H486" s="35"/>
      <c r="I486" s="35"/>
      <c r="J486" s="35"/>
      <c r="K486" s="35"/>
      <c r="L486" s="35"/>
      <c r="M486" s="35"/>
      <c r="N486" s="35"/>
      <c r="O486" s="35"/>
      <c r="P486" s="35"/>
      <c r="Q486" s="35"/>
      <c r="R486" s="35"/>
      <c r="S486" s="35"/>
      <c r="T486" s="35"/>
      <c r="U486" s="35"/>
      <c r="V486" s="35"/>
      <c r="W486" s="35"/>
      <c r="X486" s="35"/>
      <c r="Y486" s="35"/>
    </row>
    <row r="487" ht="15.75" customHeight="1">
      <c r="A487" s="35"/>
      <c r="B487" s="35"/>
      <c r="C487" s="35"/>
      <c r="D487" s="35"/>
      <c r="E487" s="35"/>
      <c r="F487" s="50"/>
      <c r="G487" s="35"/>
      <c r="H487" s="35"/>
      <c r="I487" s="35"/>
      <c r="J487" s="35"/>
      <c r="K487" s="35"/>
      <c r="L487" s="35"/>
      <c r="M487" s="35"/>
      <c r="N487" s="35"/>
      <c r="O487" s="35"/>
      <c r="P487" s="35"/>
      <c r="Q487" s="35"/>
      <c r="R487" s="35"/>
      <c r="S487" s="35"/>
      <c r="T487" s="35"/>
      <c r="U487" s="35"/>
      <c r="V487" s="35"/>
      <c r="W487" s="35"/>
      <c r="X487" s="35"/>
      <c r="Y487" s="35"/>
    </row>
    <row r="488" ht="15.75" customHeight="1">
      <c r="A488" s="35"/>
      <c r="B488" s="35"/>
      <c r="C488" s="35"/>
      <c r="D488" s="35"/>
      <c r="E488" s="35"/>
      <c r="F488" s="50"/>
      <c r="G488" s="35"/>
      <c r="H488" s="35"/>
      <c r="I488" s="35"/>
      <c r="J488" s="35"/>
      <c r="K488" s="35"/>
      <c r="L488" s="35"/>
      <c r="M488" s="35"/>
      <c r="N488" s="35"/>
      <c r="O488" s="35"/>
      <c r="P488" s="35"/>
      <c r="Q488" s="35"/>
      <c r="R488" s="35"/>
      <c r="S488" s="35"/>
      <c r="T488" s="35"/>
      <c r="U488" s="35"/>
      <c r="V488" s="35"/>
      <c r="W488" s="35"/>
      <c r="X488" s="35"/>
      <c r="Y488" s="35"/>
    </row>
    <row r="489" ht="15.75" customHeight="1">
      <c r="A489" s="35"/>
      <c r="B489" s="35"/>
      <c r="C489" s="35"/>
      <c r="D489" s="35"/>
      <c r="E489" s="35"/>
      <c r="F489" s="50"/>
      <c r="G489" s="35"/>
      <c r="H489" s="35"/>
      <c r="I489" s="35"/>
      <c r="J489" s="35"/>
      <c r="K489" s="35"/>
      <c r="L489" s="35"/>
      <c r="M489" s="35"/>
      <c r="N489" s="35"/>
      <c r="O489" s="35"/>
      <c r="P489" s="35"/>
      <c r="Q489" s="35"/>
      <c r="R489" s="35"/>
      <c r="S489" s="35"/>
      <c r="T489" s="35"/>
      <c r="U489" s="35"/>
      <c r="V489" s="35"/>
      <c r="W489" s="35"/>
      <c r="X489" s="35"/>
      <c r="Y489" s="35"/>
    </row>
    <row r="490" ht="15.75" customHeight="1">
      <c r="A490" s="35"/>
      <c r="B490" s="35"/>
      <c r="C490" s="35"/>
      <c r="D490" s="35"/>
      <c r="E490" s="35"/>
      <c r="F490" s="50"/>
      <c r="G490" s="35"/>
      <c r="H490" s="35"/>
      <c r="I490" s="35"/>
      <c r="J490" s="35"/>
      <c r="K490" s="35"/>
      <c r="L490" s="35"/>
      <c r="M490" s="35"/>
      <c r="N490" s="35"/>
      <c r="O490" s="35"/>
      <c r="P490" s="35"/>
      <c r="Q490" s="35"/>
      <c r="R490" s="35"/>
      <c r="S490" s="35"/>
      <c r="T490" s="35"/>
      <c r="U490" s="35"/>
      <c r="V490" s="35"/>
      <c r="W490" s="35"/>
      <c r="X490" s="35"/>
      <c r="Y490" s="35"/>
    </row>
    <row r="491" ht="15.75" customHeight="1">
      <c r="A491" s="35"/>
      <c r="B491" s="35"/>
      <c r="C491" s="35"/>
      <c r="D491" s="35"/>
      <c r="E491" s="35"/>
      <c r="F491" s="50"/>
      <c r="G491" s="35"/>
      <c r="H491" s="35"/>
      <c r="I491" s="35"/>
      <c r="J491" s="35"/>
      <c r="K491" s="35"/>
      <c r="L491" s="35"/>
      <c r="M491" s="35"/>
      <c r="N491" s="35"/>
      <c r="O491" s="35"/>
      <c r="P491" s="35"/>
      <c r="Q491" s="35"/>
      <c r="R491" s="35"/>
      <c r="S491" s="35"/>
      <c r="T491" s="35"/>
      <c r="U491" s="35"/>
      <c r="V491" s="35"/>
      <c r="W491" s="35"/>
      <c r="X491" s="35"/>
      <c r="Y491" s="35"/>
    </row>
    <row r="492" ht="15.75" customHeight="1">
      <c r="A492" s="35"/>
      <c r="B492" s="35"/>
      <c r="C492" s="35"/>
      <c r="D492" s="35"/>
      <c r="E492" s="35"/>
      <c r="F492" s="50"/>
      <c r="G492" s="35"/>
      <c r="H492" s="35"/>
      <c r="I492" s="35"/>
      <c r="J492" s="35"/>
      <c r="K492" s="35"/>
      <c r="L492" s="35"/>
      <c r="M492" s="35"/>
      <c r="N492" s="35"/>
      <c r="O492" s="35"/>
      <c r="P492" s="35"/>
      <c r="Q492" s="35"/>
      <c r="R492" s="35"/>
      <c r="S492" s="35"/>
      <c r="T492" s="35"/>
      <c r="U492" s="35"/>
      <c r="V492" s="35"/>
      <c r="W492" s="35"/>
      <c r="X492" s="35"/>
      <c r="Y492" s="35"/>
    </row>
    <row r="493" ht="15.75" customHeight="1">
      <c r="A493" s="35"/>
      <c r="B493" s="35"/>
      <c r="C493" s="35"/>
      <c r="D493" s="35"/>
      <c r="E493" s="35"/>
      <c r="F493" s="50"/>
      <c r="G493" s="35"/>
      <c r="H493" s="35"/>
      <c r="I493" s="35"/>
      <c r="J493" s="35"/>
      <c r="K493" s="35"/>
      <c r="L493" s="35"/>
      <c r="M493" s="35"/>
      <c r="N493" s="35"/>
      <c r="O493" s="35"/>
      <c r="P493" s="35"/>
      <c r="Q493" s="35"/>
      <c r="R493" s="35"/>
      <c r="S493" s="35"/>
      <c r="T493" s="35"/>
      <c r="U493" s="35"/>
      <c r="V493" s="35"/>
      <c r="W493" s="35"/>
      <c r="X493" s="35"/>
      <c r="Y493" s="35"/>
    </row>
    <row r="494" ht="15.75" customHeight="1">
      <c r="A494" s="35"/>
      <c r="B494" s="35"/>
      <c r="C494" s="35"/>
      <c r="D494" s="35"/>
      <c r="E494" s="35"/>
      <c r="F494" s="50"/>
      <c r="G494" s="35"/>
      <c r="H494" s="35"/>
      <c r="I494" s="35"/>
      <c r="J494" s="35"/>
      <c r="K494" s="35"/>
      <c r="L494" s="35"/>
      <c r="M494" s="35"/>
      <c r="N494" s="35"/>
      <c r="O494" s="35"/>
      <c r="P494" s="35"/>
      <c r="Q494" s="35"/>
      <c r="R494" s="35"/>
      <c r="S494" s="35"/>
      <c r="T494" s="35"/>
      <c r="U494" s="35"/>
      <c r="V494" s="35"/>
      <c r="W494" s="35"/>
      <c r="X494" s="35"/>
      <c r="Y494" s="35"/>
    </row>
    <row r="495" ht="15.75" customHeight="1">
      <c r="A495" s="35"/>
      <c r="B495" s="35"/>
      <c r="C495" s="35"/>
      <c r="D495" s="35"/>
      <c r="E495" s="35"/>
      <c r="F495" s="50"/>
      <c r="G495" s="35"/>
      <c r="H495" s="35"/>
      <c r="I495" s="35"/>
      <c r="J495" s="35"/>
      <c r="K495" s="35"/>
      <c r="L495" s="35"/>
      <c r="M495" s="35"/>
      <c r="N495" s="35"/>
      <c r="O495" s="35"/>
      <c r="P495" s="35"/>
      <c r="Q495" s="35"/>
      <c r="R495" s="35"/>
      <c r="S495" s="35"/>
      <c r="T495" s="35"/>
      <c r="U495" s="35"/>
      <c r="V495" s="35"/>
      <c r="W495" s="35"/>
      <c r="X495" s="35"/>
      <c r="Y495" s="35"/>
    </row>
    <row r="496" ht="15.75" customHeight="1">
      <c r="A496" s="35"/>
      <c r="B496" s="35"/>
      <c r="C496" s="35"/>
      <c r="D496" s="35"/>
      <c r="E496" s="35"/>
      <c r="F496" s="50"/>
      <c r="G496" s="35"/>
      <c r="H496" s="35"/>
      <c r="I496" s="35"/>
      <c r="J496" s="35"/>
      <c r="K496" s="35"/>
      <c r="L496" s="35"/>
      <c r="M496" s="35"/>
      <c r="N496" s="35"/>
      <c r="O496" s="35"/>
      <c r="P496" s="35"/>
      <c r="Q496" s="35"/>
      <c r="R496" s="35"/>
      <c r="S496" s="35"/>
      <c r="T496" s="35"/>
      <c r="U496" s="35"/>
      <c r="V496" s="35"/>
      <c r="W496" s="35"/>
      <c r="X496" s="35"/>
      <c r="Y496" s="35"/>
    </row>
    <row r="497" ht="15.75" customHeight="1">
      <c r="A497" s="35"/>
      <c r="B497" s="35"/>
      <c r="C497" s="35"/>
      <c r="D497" s="35"/>
      <c r="E497" s="35"/>
      <c r="F497" s="50"/>
      <c r="G497" s="35"/>
      <c r="H497" s="35"/>
      <c r="I497" s="35"/>
      <c r="J497" s="35"/>
      <c r="K497" s="35"/>
      <c r="L497" s="35"/>
      <c r="M497" s="35"/>
      <c r="N497" s="35"/>
      <c r="O497" s="35"/>
      <c r="P497" s="35"/>
      <c r="Q497" s="35"/>
      <c r="R497" s="35"/>
      <c r="S497" s="35"/>
      <c r="T497" s="35"/>
      <c r="U497" s="35"/>
      <c r="V497" s="35"/>
      <c r="W497" s="35"/>
      <c r="X497" s="35"/>
      <c r="Y497" s="35"/>
    </row>
    <row r="498" ht="15.75" customHeight="1">
      <c r="A498" s="35"/>
      <c r="B498" s="35"/>
      <c r="C498" s="35"/>
      <c r="D498" s="35"/>
      <c r="E498" s="35"/>
      <c r="F498" s="50"/>
      <c r="G498" s="35"/>
      <c r="H498" s="35"/>
      <c r="I498" s="35"/>
      <c r="J498" s="35"/>
      <c r="K498" s="35"/>
      <c r="L498" s="35"/>
      <c r="M498" s="35"/>
      <c r="N498" s="35"/>
      <c r="O498" s="35"/>
      <c r="P498" s="35"/>
      <c r="Q498" s="35"/>
      <c r="R498" s="35"/>
      <c r="S498" s="35"/>
      <c r="T498" s="35"/>
      <c r="U498" s="35"/>
      <c r="V498" s="35"/>
      <c r="W498" s="35"/>
      <c r="X498" s="35"/>
      <c r="Y498" s="35"/>
    </row>
    <row r="499" ht="15.75" customHeight="1">
      <c r="A499" s="35"/>
      <c r="B499" s="35"/>
      <c r="C499" s="35"/>
      <c r="D499" s="35"/>
      <c r="E499" s="35"/>
      <c r="F499" s="50"/>
      <c r="G499" s="35"/>
      <c r="H499" s="35"/>
      <c r="I499" s="35"/>
      <c r="J499" s="35"/>
      <c r="K499" s="35"/>
      <c r="L499" s="35"/>
      <c r="M499" s="35"/>
      <c r="N499" s="35"/>
      <c r="O499" s="35"/>
      <c r="P499" s="35"/>
      <c r="Q499" s="35"/>
      <c r="R499" s="35"/>
      <c r="S499" s="35"/>
      <c r="T499" s="35"/>
      <c r="U499" s="35"/>
      <c r="V499" s="35"/>
      <c r="W499" s="35"/>
      <c r="X499" s="35"/>
      <c r="Y499" s="35"/>
    </row>
    <row r="500" ht="15.75" customHeight="1">
      <c r="A500" s="35"/>
      <c r="B500" s="35"/>
      <c r="C500" s="35"/>
      <c r="D500" s="35"/>
      <c r="E500" s="35"/>
      <c r="F500" s="50"/>
      <c r="G500" s="35"/>
      <c r="H500" s="35"/>
      <c r="I500" s="35"/>
      <c r="J500" s="35"/>
      <c r="K500" s="35"/>
      <c r="L500" s="35"/>
      <c r="M500" s="35"/>
      <c r="N500" s="35"/>
      <c r="O500" s="35"/>
      <c r="P500" s="35"/>
      <c r="Q500" s="35"/>
      <c r="R500" s="35"/>
      <c r="S500" s="35"/>
      <c r="T500" s="35"/>
      <c r="U500" s="35"/>
      <c r="V500" s="35"/>
      <c r="W500" s="35"/>
      <c r="X500" s="35"/>
      <c r="Y500" s="35"/>
    </row>
    <row r="501" ht="15.75" customHeight="1">
      <c r="A501" s="35"/>
      <c r="B501" s="35"/>
      <c r="C501" s="35"/>
      <c r="D501" s="35"/>
      <c r="E501" s="35"/>
      <c r="F501" s="50"/>
      <c r="G501" s="35"/>
      <c r="H501" s="35"/>
      <c r="I501" s="35"/>
      <c r="J501" s="35"/>
      <c r="K501" s="35"/>
      <c r="L501" s="35"/>
      <c r="M501" s="35"/>
      <c r="N501" s="35"/>
      <c r="O501" s="35"/>
      <c r="P501" s="35"/>
      <c r="Q501" s="35"/>
      <c r="R501" s="35"/>
      <c r="S501" s="35"/>
      <c r="T501" s="35"/>
      <c r="U501" s="35"/>
      <c r="V501" s="35"/>
      <c r="W501" s="35"/>
      <c r="X501" s="35"/>
      <c r="Y501" s="35"/>
    </row>
    <row r="502" ht="15.75" customHeight="1">
      <c r="A502" s="35"/>
      <c r="B502" s="35"/>
      <c r="C502" s="35"/>
      <c r="D502" s="35"/>
      <c r="E502" s="35"/>
      <c r="F502" s="50"/>
      <c r="G502" s="35"/>
      <c r="H502" s="35"/>
      <c r="I502" s="35"/>
      <c r="J502" s="35"/>
      <c r="K502" s="35"/>
      <c r="L502" s="35"/>
      <c r="M502" s="35"/>
      <c r="N502" s="35"/>
      <c r="O502" s="35"/>
      <c r="P502" s="35"/>
      <c r="Q502" s="35"/>
      <c r="R502" s="35"/>
      <c r="S502" s="35"/>
      <c r="T502" s="35"/>
      <c r="U502" s="35"/>
      <c r="V502" s="35"/>
      <c r="W502" s="35"/>
      <c r="X502" s="35"/>
      <c r="Y502" s="35"/>
    </row>
    <row r="503" ht="15.75" customHeight="1">
      <c r="A503" s="35"/>
      <c r="B503" s="35"/>
      <c r="C503" s="35"/>
      <c r="D503" s="35"/>
      <c r="E503" s="35"/>
      <c r="F503" s="50"/>
      <c r="G503" s="35"/>
      <c r="H503" s="35"/>
      <c r="I503" s="35"/>
      <c r="J503" s="35"/>
      <c r="K503" s="35"/>
      <c r="L503" s="35"/>
      <c r="M503" s="35"/>
      <c r="N503" s="35"/>
      <c r="O503" s="35"/>
      <c r="P503" s="35"/>
      <c r="Q503" s="35"/>
      <c r="R503" s="35"/>
      <c r="S503" s="35"/>
      <c r="T503" s="35"/>
      <c r="U503" s="35"/>
      <c r="V503" s="35"/>
      <c r="W503" s="35"/>
      <c r="X503" s="35"/>
      <c r="Y503" s="35"/>
    </row>
    <row r="504" ht="15.75" customHeight="1">
      <c r="A504" s="35"/>
      <c r="B504" s="35"/>
      <c r="C504" s="35"/>
      <c r="D504" s="35"/>
      <c r="E504" s="35"/>
      <c r="F504" s="50"/>
      <c r="G504" s="35"/>
      <c r="H504" s="35"/>
      <c r="I504" s="35"/>
      <c r="J504" s="35"/>
      <c r="K504" s="35"/>
      <c r="L504" s="35"/>
      <c r="M504" s="35"/>
      <c r="N504" s="35"/>
      <c r="O504" s="35"/>
      <c r="P504" s="35"/>
      <c r="Q504" s="35"/>
      <c r="R504" s="35"/>
      <c r="S504" s="35"/>
      <c r="T504" s="35"/>
      <c r="U504" s="35"/>
      <c r="V504" s="35"/>
      <c r="W504" s="35"/>
      <c r="X504" s="35"/>
      <c r="Y504" s="35"/>
    </row>
    <row r="505" ht="15.75" customHeight="1">
      <c r="A505" s="35"/>
      <c r="B505" s="35"/>
      <c r="C505" s="35"/>
      <c r="D505" s="35"/>
      <c r="E505" s="35"/>
      <c r="F505" s="50"/>
      <c r="G505" s="35"/>
      <c r="H505" s="35"/>
      <c r="I505" s="35"/>
      <c r="J505" s="35"/>
      <c r="K505" s="35"/>
      <c r="L505" s="35"/>
      <c r="M505" s="35"/>
      <c r="N505" s="35"/>
      <c r="O505" s="35"/>
      <c r="P505" s="35"/>
      <c r="Q505" s="35"/>
      <c r="R505" s="35"/>
      <c r="S505" s="35"/>
      <c r="T505" s="35"/>
      <c r="U505" s="35"/>
      <c r="V505" s="35"/>
      <c r="W505" s="35"/>
      <c r="X505" s="35"/>
      <c r="Y505" s="35"/>
    </row>
    <row r="506" ht="15.75" customHeight="1">
      <c r="A506" s="35"/>
      <c r="B506" s="35"/>
      <c r="C506" s="35"/>
      <c r="D506" s="35"/>
      <c r="E506" s="35"/>
      <c r="F506" s="50"/>
      <c r="G506" s="35"/>
      <c r="H506" s="35"/>
      <c r="I506" s="35"/>
      <c r="J506" s="35"/>
      <c r="K506" s="35"/>
      <c r="L506" s="35"/>
      <c r="M506" s="35"/>
      <c r="N506" s="35"/>
      <c r="O506" s="35"/>
      <c r="P506" s="35"/>
      <c r="Q506" s="35"/>
      <c r="R506" s="35"/>
      <c r="S506" s="35"/>
      <c r="T506" s="35"/>
      <c r="U506" s="35"/>
      <c r="V506" s="35"/>
      <c r="W506" s="35"/>
      <c r="X506" s="35"/>
      <c r="Y506" s="35"/>
    </row>
    <row r="507" ht="15.75" customHeight="1">
      <c r="A507" s="35"/>
      <c r="B507" s="35"/>
      <c r="C507" s="35"/>
      <c r="D507" s="35"/>
      <c r="E507" s="35"/>
      <c r="F507" s="50"/>
      <c r="G507" s="35"/>
      <c r="H507" s="35"/>
      <c r="I507" s="35"/>
      <c r="J507" s="35"/>
      <c r="K507" s="35"/>
      <c r="L507" s="35"/>
      <c r="M507" s="35"/>
      <c r="N507" s="35"/>
      <c r="O507" s="35"/>
      <c r="P507" s="35"/>
      <c r="Q507" s="35"/>
      <c r="R507" s="35"/>
      <c r="S507" s="35"/>
      <c r="T507" s="35"/>
      <c r="U507" s="35"/>
      <c r="V507" s="35"/>
      <c r="W507" s="35"/>
      <c r="X507" s="35"/>
      <c r="Y507" s="35"/>
    </row>
    <row r="508" ht="15.75" customHeight="1">
      <c r="A508" s="35"/>
      <c r="B508" s="35"/>
      <c r="C508" s="35"/>
      <c r="D508" s="35"/>
      <c r="E508" s="35"/>
      <c r="F508" s="50"/>
      <c r="G508" s="35"/>
      <c r="H508" s="35"/>
      <c r="I508" s="35"/>
      <c r="J508" s="35"/>
      <c r="K508" s="35"/>
      <c r="L508" s="35"/>
      <c r="M508" s="35"/>
      <c r="N508" s="35"/>
      <c r="O508" s="35"/>
      <c r="P508" s="35"/>
      <c r="Q508" s="35"/>
      <c r="R508" s="35"/>
      <c r="S508" s="35"/>
      <c r="T508" s="35"/>
      <c r="U508" s="35"/>
      <c r="V508" s="35"/>
      <c r="W508" s="35"/>
      <c r="X508" s="35"/>
      <c r="Y508" s="35"/>
    </row>
    <row r="509" ht="15.75" customHeight="1">
      <c r="A509" s="35"/>
      <c r="B509" s="35"/>
      <c r="C509" s="35"/>
      <c r="D509" s="35"/>
      <c r="E509" s="35"/>
      <c r="F509" s="50"/>
      <c r="G509" s="35"/>
      <c r="H509" s="35"/>
      <c r="I509" s="35"/>
      <c r="J509" s="35"/>
      <c r="K509" s="35"/>
      <c r="L509" s="35"/>
      <c r="M509" s="35"/>
      <c r="N509" s="35"/>
      <c r="O509" s="35"/>
      <c r="P509" s="35"/>
      <c r="Q509" s="35"/>
      <c r="R509" s="35"/>
      <c r="S509" s="35"/>
      <c r="T509" s="35"/>
      <c r="U509" s="35"/>
      <c r="V509" s="35"/>
      <c r="W509" s="35"/>
      <c r="X509" s="35"/>
      <c r="Y509" s="35"/>
    </row>
    <row r="510" ht="15.75" customHeight="1">
      <c r="A510" s="35"/>
      <c r="B510" s="35"/>
      <c r="C510" s="35"/>
      <c r="D510" s="35"/>
      <c r="E510" s="35"/>
      <c r="F510" s="50"/>
      <c r="G510" s="35"/>
      <c r="H510" s="35"/>
      <c r="I510" s="35"/>
      <c r="J510" s="35"/>
      <c r="K510" s="35"/>
      <c r="L510" s="35"/>
      <c r="M510" s="35"/>
      <c r="N510" s="35"/>
      <c r="O510" s="35"/>
      <c r="P510" s="35"/>
      <c r="Q510" s="35"/>
      <c r="R510" s="35"/>
      <c r="S510" s="35"/>
      <c r="T510" s="35"/>
      <c r="U510" s="35"/>
      <c r="V510" s="35"/>
      <c r="W510" s="35"/>
      <c r="X510" s="35"/>
      <c r="Y510" s="35"/>
    </row>
    <row r="511" ht="15.75" customHeight="1">
      <c r="A511" s="35"/>
      <c r="B511" s="35"/>
      <c r="C511" s="35"/>
      <c r="D511" s="35"/>
      <c r="E511" s="35"/>
      <c r="F511" s="50"/>
      <c r="G511" s="35"/>
      <c r="H511" s="35"/>
      <c r="I511" s="35"/>
      <c r="J511" s="35"/>
      <c r="K511" s="35"/>
      <c r="L511" s="35"/>
      <c r="M511" s="35"/>
      <c r="N511" s="35"/>
      <c r="O511" s="35"/>
      <c r="P511" s="35"/>
      <c r="Q511" s="35"/>
      <c r="R511" s="35"/>
      <c r="S511" s="35"/>
      <c r="T511" s="35"/>
      <c r="U511" s="35"/>
      <c r="V511" s="35"/>
      <c r="W511" s="35"/>
      <c r="X511" s="35"/>
      <c r="Y511" s="35"/>
    </row>
    <row r="512" ht="15.75" customHeight="1">
      <c r="A512" s="35"/>
      <c r="B512" s="35"/>
      <c r="C512" s="35"/>
      <c r="D512" s="35"/>
      <c r="E512" s="35"/>
      <c r="F512" s="50"/>
      <c r="G512" s="35"/>
      <c r="H512" s="35"/>
      <c r="I512" s="35"/>
      <c r="J512" s="35"/>
      <c r="K512" s="35"/>
      <c r="L512" s="35"/>
      <c r="M512" s="35"/>
      <c r="N512" s="35"/>
      <c r="O512" s="35"/>
      <c r="P512" s="35"/>
      <c r="Q512" s="35"/>
      <c r="R512" s="35"/>
      <c r="S512" s="35"/>
      <c r="T512" s="35"/>
      <c r="U512" s="35"/>
      <c r="V512" s="35"/>
      <c r="W512" s="35"/>
      <c r="X512" s="35"/>
      <c r="Y512" s="35"/>
    </row>
    <row r="513" ht="15.75" customHeight="1">
      <c r="A513" s="35"/>
      <c r="B513" s="35"/>
      <c r="C513" s="35"/>
      <c r="D513" s="35"/>
      <c r="E513" s="35"/>
      <c r="F513" s="50"/>
      <c r="G513" s="35"/>
      <c r="H513" s="35"/>
      <c r="I513" s="35"/>
      <c r="J513" s="35"/>
      <c r="K513" s="35"/>
      <c r="L513" s="35"/>
      <c r="M513" s="35"/>
      <c r="N513" s="35"/>
      <c r="O513" s="35"/>
      <c r="P513" s="35"/>
      <c r="Q513" s="35"/>
      <c r="R513" s="35"/>
      <c r="S513" s="35"/>
      <c r="T513" s="35"/>
      <c r="U513" s="35"/>
      <c r="V513" s="35"/>
      <c r="W513" s="35"/>
      <c r="X513" s="35"/>
      <c r="Y513" s="35"/>
    </row>
    <row r="514" ht="15.75" customHeight="1">
      <c r="A514" s="35"/>
      <c r="B514" s="35"/>
      <c r="C514" s="35"/>
      <c r="D514" s="35"/>
      <c r="E514" s="35"/>
      <c r="F514" s="50"/>
      <c r="G514" s="35"/>
      <c r="H514" s="35"/>
      <c r="I514" s="35"/>
      <c r="J514" s="35"/>
      <c r="K514" s="35"/>
      <c r="L514" s="35"/>
      <c r="M514" s="35"/>
      <c r="N514" s="35"/>
      <c r="O514" s="35"/>
      <c r="P514" s="35"/>
      <c r="Q514" s="35"/>
      <c r="R514" s="35"/>
      <c r="S514" s="35"/>
      <c r="T514" s="35"/>
      <c r="U514" s="35"/>
      <c r="V514" s="35"/>
      <c r="W514" s="35"/>
      <c r="X514" s="35"/>
      <c r="Y514" s="35"/>
    </row>
    <row r="515" ht="15.75" customHeight="1">
      <c r="A515" s="35"/>
      <c r="B515" s="35"/>
      <c r="C515" s="35"/>
      <c r="D515" s="35"/>
      <c r="E515" s="35"/>
      <c r="F515" s="50"/>
      <c r="G515" s="35"/>
      <c r="H515" s="35"/>
      <c r="I515" s="35"/>
      <c r="J515" s="35"/>
      <c r="K515" s="35"/>
      <c r="L515" s="35"/>
      <c r="M515" s="35"/>
      <c r="N515" s="35"/>
      <c r="O515" s="35"/>
      <c r="P515" s="35"/>
      <c r="Q515" s="35"/>
      <c r="R515" s="35"/>
      <c r="S515" s="35"/>
      <c r="T515" s="35"/>
      <c r="U515" s="35"/>
      <c r="V515" s="35"/>
      <c r="W515" s="35"/>
      <c r="X515" s="35"/>
      <c r="Y515" s="35"/>
    </row>
    <row r="516" ht="15.75" customHeight="1">
      <c r="A516" s="35"/>
      <c r="B516" s="35"/>
      <c r="C516" s="35"/>
      <c r="D516" s="35"/>
      <c r="E516" s="35"/>
      <c r="F516" s="50"/>
      <c r="G516" s="35"/>
      <c r="H516" s="35"/>
      <c r="I516" s="35"/>
      <c r="J516" s="35"/>
      <c r="K516" s="35"/>
      <c r="L516" s="35"/>
      <c r="M516" s="35"/>
      <c r="N516" s="35"/>
      <c r="O516" s="35"/>
      <c r="P516" s="35"/>
      <c r="Q516" s="35"/>
      <c r="R516" s="35"/>
      <c r="S516" s="35"/>
      <c r="T516" s="35"/>
      <c r="U516" s="35"/>
      <c r="V516" s="35"/>
      <c r="W516" s="35"/>
      <c r="X516" s="35"/>
      <c r="Y516" s="35"/>
    </row>
    <row r="517" ht="15.75" customHeight="1">
      <c r="A517" s="35"/>
      <c r="B517" s="35"/>
      <c r="C517" s="35"/>
      <c r="D517" s="35"/>
      <c r="E517" s="35"/>
      <c r="F517" s="50"/>
      <c r="G517" s="35"/>
      <c r="H517" s="35"/>
      <c r="I517" s="35"/>
      <c r="J517" s="35"/>
      <c r="K517" s="35"/>
      <c r="L517" s="35"/>
      <c r="M517" s="35"/>
      <c r="N517" s="35"/>
      <c r="O517" s="35"/>
      <c r="P517" s="35"/>
      <c r="Q517" s="35"/>
      <c r="R517" s="35"/>
      <c r="S517" s="35"/>
      <c r="T517" s="35"/>
      <c r="U517" s="35"/>
      <c r="V517" s="35"/>
      <c r="W517" s="35"/>
      <c r="X517" s="35"/>
      <c r="Y517" s="35"/>
    </row>
    <row r="518" ht="15.75" customHeight="1">
      <c r="A518" s="35"/>
      <c r="B518" s="35"/>
      <c r="C518" s="35"/>
      <c r="D518" s="35"/>
      <c r="E518" s="35"/>
      <c r="F518" s="50"/>
      <c r="G518" s="35"/>
      <c r="H518" s="35"/>
      <c r="I518" s="35"/>
      <c r="J518" s="35"/>
      <c r="K518" s="35"/>
      <c r="L518" s="35"/>
      <c r="M518" s="35"/>
      <c r="N518" s="35"/>
      <c r="O518" s="35"/>
      <c r="P518" s="35"/>
      <c r="Q518" s="35"/>
      <c r="R518" s="35"/>
      <c r="S518" s="35"/>
      <c r="T518" s="35"/>
      <c r="U518" s="35"/>
      <c r="V518" s="35"/>
      <c r="W518" s="35"/>
      <c r="X518" s="35"/>
      <c r="Y518" s="35"/>
    </row>
    <row r="519" ht="15.75" customHeight="1">
      <c r="A519" s="35"/>
      <c r="B519" s="35"/>
      <c r="C519" s="35"/>
      <c r="D519" s="35"/>
      <c r="E519" s="35"/>
      <c r="F519" s="50"/>
      <c r="G519" s="35"/>
      <c r="H519" s="35"/>
      <c r="I519" s="35"/>
      <c r="J519" s="35"/>
      <c r="K519" s="35"/>
      <c r="L519" s="35"/>
      <c r="M519" s="35"/>
      <c r="N519" s="35"/>
      <c r="O519" s="35"/>
      <c r="P519" s="35"/>
      <c r="Q519" s="35"/>
      <c r="R519" s="35"/>
      <c r="S519" s="35"/>
      <c r="T519" s="35"/>
      <c r="U519" s="35"/>
      <c r="V519" s="35"/>
      <c r="W519" s="35"/>
      <c r="X519" s="35"/>
      <c r="Y519" s="35"/>
    </row>
    <row r="520" ht="15.75" customHeight="1">
      <c r="A520" s="35"/>
      <c r="B520" s="35"/>
      <c r="C520" s="35"/>
      <c r="D520" s="35"/>
      <c r="E520" s="35"/>
      <c r="F520" s="50"/>
      <c r="G520" s="35"/>
      <c r="H520" s="35"/>
      <c r="I520" s="35"/>
      <c r="J520" s="35"/>
      <c r="K520" s="35"/>
      <c r="L520" s="35"/>
      <c r="M520" s="35"/>
      <c r="N520" s="35"/>
      <c r="O520" s="35"/>
      <c r="P520" s="35"/>
      <c r="Q520" s="35"/>
      <c r="R520" s="35"/>
      <c r="S520" s="35"/>
      <c r="T520" s="35"/>
      <c r="U520" s="35"/>
      <c r="V520" s="35"/>
      <c r="W520" s="35"/>
      <c r="X520" s="35"/>
      <c r="Y520" s="35"/>
    </row>
    <row r="521" ht="15.75" customHeight="1">
      <c r="A521" s="35"/>
      <c r="B521" s="35"/>
      <c r="C521" s="35"/>
      <c r="D521" s="35"/>
      <c r="E521" s="35"/>
      <c r="F521" s="50"/>
      <c r="G521" s="35"/>
      <c r="H521" s="35"/>
      <c r="I521" s="35"/>
      <c r="J521" s="35"/>
      <c r="K521" s="35"/>
      <c r="L521" s="35"/>
      <c r="M521" s="35"/>
      <c r="N521" s="35"/>
      <c r="O521" s="35"/>
      <c r="P521" s="35"/>
      <c r="Q521" s="35"/>
      <c r="R521" s="35"/>
      <c r="S521" s="35"/>
      <c r="T521" s="35"/>
      <c r="U521" s="35"/>
      <c r="V521" s="35"/>
      <c r="W521" s="35"/>
      <c r="X521" s="35"/>
      <c r="Y521" s="35"/>
    </row>
    <row r="522" ht="15.75" customHeight="1">
      <c r="A522" s="35"/>
      <c r="B522" s="35"/>
      <c r="C522" s="35"/>
      <c r="D522" s="35"/>
      <c r="E522" s="35"/>
      <c r="F522" s="50"/>
      <c r="G522" s="35"/>
      <c r="H522" s="35"/>
      <c r="I522" s="35"/>
      <c r="J522" s="35"/>
      <c r="K522" s="35"/>
      <c r="L522" s="35"/>
      <c r="M522" s="35"/>
      <c r="N522" s="35"/>
      <c r="O522" s="35"/>
      <c r="P522" s="35"/>
      <c r="Q522" s="35"/>
      <c r="R522" s="35"/>
      <c r="S522" s="35"/>
      <c r="T522" s="35"/>
      <c r="U522" s="35"/>
      <c r="V522" s="35"/>
      <c r="W522" s="35"/>
      <c r="X522" s="35"/>
      <c r="Y522" s="35"/>
    </row>
    <row r="523" ht="15.75" customHeight="1">
      <c r="A523" s="35"/>
      <c r="B523" s="35"/>
      <c r="C523" s="35"/>
      <c r="D523" s="35"/>
      <c r="E523" s="35"/>
      <c r="F523" s="50"/>
      <c r="G523" s="35"/>
      <c r="H523" s="35"/>
      <c r="I523" s="35"/>
      <c r="J523" s="35"/>
      <c r="K523" s="35"/>
      <c r="L523" s="35"/>
      <c r="M523" s="35"/>
      <c r="N523" s="35"/>
      <c r="O523" s="35"/>
      <c r="P523" s="35"/>
      <c r="Q523" s="35"/>
      <c r="R523" s="35"/>
      <c r="S523" s="35"/>
      <c r="T523" s="35"/>
      <c r="U523" s="35"/>
      <c r="V523" s="35"/>
      <c r="W523" s="35"/>
      <c r="X523" s="35"/>
      <c r="Y523" s="35"/>
    </row>
    <row r="524" ht="15.75" customHeight="1">
      <c r="A524" s="35"/>
      <c r="B524" s="35"/>
      <c r="C524" s="35"/>
      <c r="D524" s="35"/>
      <c r="E524" s="35"/>
      <c r="F524" s="50"/>
      <c r="G524" s="35"/>
      <c r="H524" s="35"/>
      <c r="I524" s="35"/>
      <c r="J524" s="35"/>
      <c r="K524" s="35"/>
      <c r="L524" s="35"/>
      <c r="M524" s="35"/>
      <c r="N524" s="35"/>
      <c r="O524" s="35"/>
      <c r="P524" s="35"/>
      <c r="Q524" s="35"/>
      <c r="R524" s="35"/>
      <c r="S524" s="35"/>
      <c r="T524" s="35"/>
      <c r="U524" s="35"/>
      <c r="V524" s="35"/>
      <c r="W524" s="35"/>
      <c r="X524" s="35"/>
      <c r="Y524" s="35"/>
    </row>
    <row r="525" ht="15.75" customHeight="1">
      <c r="A525" s="35"/>
      <c r="B525" s="35"/>
      <c r="C525" s="35"/>
      <c r="D525" s="35"/>
      <c r="E525" s="35"/>
      <c r="F525" s="50"/>
      <c r="G525" s="35"/>
      <c r="H525" s="35"/>
      <c r="I525" s="35"/>
      <c r="J525" s="35"/>
      <c r="K525" s="35"/>
      <c r="L525" s="35"/>
      <c r="M525" s="35"/>
      <c r="N525" s="35"/>
      <c r="O525" s="35"/>
      <c r="P525" s="35"/>
      <c r="Q525" s="35"/>
      <c r="R525" s="35"/>
      <c r="S525" s="35"/>
      <c r="T525" s="35"/>
      <c r="U525" s="35"/>
      <c r="V525" s="35"/>
      <c r="W525" s="35"/>
      <c r="X525" s="35"/>
      <c r="Y525" s="35"/>
    </row>
    <row r="526" ht="15.75" customHeight="1">
      <c r="A526" s="35"/>
      <c r="B526" s="35"/>
      <c r="C526" s="35"/>
      <c r="D526" s="35"/>
      <c r="E526" s="35"/>
      <c r="F526" s="50"/>
      <c r="G526" s="35"/>
      <c r="H526" s="35"/>
      <c r="I526" s="35"/>
      <c r="J526" s="35"/>
      <c r="K526" s="35"/>
      <c r="L526" s="35"/>
      <c r="M526" s="35"/>
      <c r="N526" s="35"/>
      <c r="O526" s="35"/>
      <c r="P526" s="35"/>
      <c r="Q526" s="35"/>
      <c r="R526" s="35"/>
      <c r="S526" s="35"/>
      <c r="T526" s="35"/>
      <c r="U526" s="35"/>
      <c r="V526" s="35"/>
      <c r="W526" s="35"/>
      <c r="X526" s="35"/>
      <c r="Y526" s="35"/>
    </row>
    <row r="527" ht="15.75" customHeight="1">
      <c r="A527" s="35"/>
      <c r="B527" s="35"/>
      <c r="C527" s="35"/>
      <c r="D527" s="35"/>
      <c r="E527" s="35"/>
      <c r="F527" s="50"/>
      <c r="G527" s="35"/>
      <c r="H527" s="35"/>
      <c r="I527" s="35"/>
      <c r="J527" s="35"/>
      <c r="K527" s="35"/>
      <c r="L527" s="35"/>
      <c r="M527" s="35"/>
      <c r="N527" s="35"/>
      <c r="O527" s="35"/>
      <c r="P527" s="35"/>
      <c r="Q527" s="35"/>
      <c r="R527" s="35"/>
      <c r="S527" s="35"/>
      <c r="T527" s="35"/>
      <c r="U527" s="35"/>
      <c r="V527" s="35"/>
      <c r="W527" s="35"/>
      <c r="X527" s="35"/>
      <c r="Y527" s="35"/>
    </row>
    <row r="528" ht="15.75" customHeight="1">
      <c r="A528" s="35"/>
      <c r="B528" s="35"/>
      <c r="C528" s="35"/>
      <c r="D528" s="35"/>
      <c r="E528" s="35"/>
      <c r="F528" s="50"/>
      <c r="G528" s="35"/>
      <c r="H528" s="35"/>
      <c r="I528" s="35"/>
      <c r="J528" s="35"/>
      <c r="K528" s="35"/>
      <c r="L528" s="35"/>
      <c r="M528" s="35"/>
      <c r="N528" s="35"/>
      <c r="O528" s="35"/>
      <c r="P528" s="35"/>
      <c r="Q528" s="35"/>
      <c r="R528" s="35"/>
      <c r="S528" s="35"/>
      <c r="T528" s="35"/>
      <c r="U528" s="35"/>
      <c r="V528" s="35"/>
      <c r="W528" s="35"/>
      <c r="X528" s="35"/>
      <c r="Y528" s="35"/>
    </row>
    <row r="529" ht="15.75" customHeight="1">
      <c r="A529" s="35"/>
      <c r="B529" s="35"/>
      <c r="C529" s="35"/>
      <c r="D529" s="35"/>
      <c r="E529" s="35"/>
      <c r="F529" s="50"/>
      <c r="G529" s="35"/>
      <c r="H529" s="35"/>
      <c r="I529" s="35"/>
      <c r="J529" s="35"/>
      <c r="K529" s="35"/>
      <c r="L529" s="35"/>
      <c r="M529" s="35"/>
      <c r="N529" s="35"/>
      <c r="O529" s="35"/>
      <c r="P529" s="35"/>
      <c r="Q529" s="35"/>
      <c r="R529" s="35"/>
      <c r="S529" s="35"/>
      <c r="T529" s="35"/>
      <c r="U529" s="35"/>
      <c r="V529" s="35"/>
      <c r="W529" s="35"/>
      <c r="X529" s="35"/>
      <c r="Y529" s="35"/>
    </row>
    <row r="530" ht="15.75" customHeight="1">
      <c r="A530" s="35"/>
      <c r="B530" s="35"/>
      <c r="C530" s="35"/>
      <c r="D530" s="35"/>
      <c r="E530" s="35"/>
      <c r="F530" s="50"/>
      <c r="G530" s="35"/>
      <c r="H530" s="35"/>
      <c r="I530" s="35"/>
      <c r="J530" s="35"/>
      <c r="K530" s="35"/>
      <c r="L530" s="35"/>
      <c r="M530" s="35"/>
      <c r="N530" s="35"/>
      <c r="O530" s="35"/>
      <c r="P530" s="35"/>
      <c r="Q530" s="35"/>
      <c r="R530" s="35"/>
      <c r="S530" s="35"/>
      <c r="T530" s="35"/>
      <c r="U530" s="35"/>
      <c r="V530" s="35"/>
      <c r="W530" s="35"/>
      <c r="X530" s="35"/>
      <c r="Y530" s="35"/>
    </row>
    <row r="531" ht="15.75" customHeight="1">
      <c r="A531" s="35"/>
      <c r="B531" s="35"/>
      <c r="C531" s="35"/>
      <c r="D531" s="35"/>
      <c r="E531" s="35"/>
      <c r="F531" s="50"/>
      <c r="G531" s="35"/>
      <c r="H531" s="35"/>
      <c r="I531" s="35"/>
      <c r="J531" s="35"/>
      <c r="K531" s="35"/>
      <c r="L531" s="35"/>
      <c r="M531" s="35"/>
      <c r="N531" s="35"/>
      <c r="O531" s="35"/>
      <c r="P531" s="35"/>
      <c r="Q531" s="35"/>
      <c r="R531" s="35"/>
      <c r="S531" s="35"/>
      <c r="T531" s="35"/>
      <c r="U531" s="35"/>
      <c r="V531" s="35"/>
      <c r="W531" s="35"/>
      <c r="X531" s="35"/>
      <c r="Y531" s="35"/>
    </row>
    <row r="532" ht="15.75" customHeight="1">
      <c r="A532" s="35"/>
      <c r="B532" s="35"/>
      <c r="C532" s="35"/>
      <c r="D532" s="35"/>
      <c r="E532" s="35"/>
      <c r="F532" s="50"/>
      <c r="G532" s="35"/>
      <c r="H532" s="35"/>
      <c r="I532" s="35"/>
      <c r="J532" s="35"/>
      <c r="K532" s="35"/>
      <c r="L532" s="35"/>
      <c r="M532" s="35"/>
      <c r="N532" s="35"/>
      <c r="O532" s="35"/>
      <c r="P532" s="35"/>
      <c r="Q532" s="35"/>
      <c r="R532" s="35"/>
      <c r="S532" s="35"/>
      <c r="T532" s="35"/>
      <c r="U532" s="35"/>
      <c r="V532" s="35"/>
      <c r="W532" s="35"/>
      <c r="X532" s="35"/>
      <c r="Y532" s="35"/>
    </row>
    <row r="533" ht="15.75" customHeight="1">
      <c r="A533" s="35"/>
      <c r="B533" s="35"/>
      <c r="C533" s="35"/>
      <c r="D533" s="35"/>
      <c r="E533" s="35"/>
      <c r="F533" s="50"/>
      <c r="G533" s="35"/>
      <c r="H533" s="35"/>
      <c r="I533" s="35"/>
      <c r="J533" s="35"/>
      <c r="K533" s="35"/>
      <c r="L533" s="35"/>
      <c r="M533" s="35"/>
      <c r="N533" s="35"/>
      <c r="O533" s="35"/>
      <c r="P533" s="35"/>
      <c r="Q533" s="35"/>
      <c r="R533" s="35"/>
      <c r="S533" s="35"/>
      <c r="T533" s="35"/>
      <c r="U533" s="35"/>
      <c r="V533" s="35"/>
      <c r="W533" s="35"/>
      <c r="X533" s="35"/>
      <c r="Y533" s="35"/>
    </row>
    <row r="534" ht="15.75" customHeight="1">
      <c r="A534" s="35"/>
      <c r="B534" s="35"/>
      <c r="C534" s="35"/>
      <c r="D534" s="35"/>
      <c r="E534" s="35"/>
      <c r="F534" s="50"/>
      <c r="G534" s="35"/>
      <c r="H534" s="35"/>
      <c r="I534" s="35"/>
      <c r="J534" s="35"/>
      <c r="K534" s="35"/>
      <c r="L534" s="35"/>
      <c r="M534" s="35"/>
      <c r="N534" s="35"/>
      <c r="O534" s="35"/>
      <c r="P534" s="35"/>
      <c r="Q534" s="35"/>
      <c r="R534" s="35"/>
      <c r="S534" s="35"/>
      <c r="T534" s="35"/>
      <c r="U534" s="35"/>
      <c r="V534" s="35"/>
      <c r="W534" s="35"/>
      <c r="X534" s="35"/>
      <c r="Y534" s="35"/>
    </row>
    <row r="535" ht="15.75" customHeight="1">
      <c r="A535" s="35"/>
      <c r="B535" s="35"/>
      <c r="C535" s="35"/>
      <c r="D535" s="35"/>
      <c r="E535" s="35"/>
      <c r="F535" s="50"/>
      <c r="G535" s="35"/>
      <c r="H535" s="35"/>
      <c r="I535" s="35"/>
      <c r="J535" s="35"/>
      <c r="K535" s="35"/>
      <c r="L535" s="35"/>
      <c r="M535" s="35"/>
      <c r="N535" s="35"/>
      <c r="O535" s="35"/>
      <c r="P535" s="35"/>
      <c r="Q535" s="35"/>
      <c r="R535" s="35"/>
      <c r="S535" s="35"/>
      <c r="T535" s="35"/>
      <c r="U535" s="35"/>
      <c r="V535" s="35"/>
      <c r="W535" s="35"/>
      <c r="X535" s="35"/>
      <c r="Y535" s="35"/>
    </row>
    <row r="536" ht="15.75" customHeight="1">
      <c r="A536" s="35"/>
      <c r="B536" s="35"/>
      <c r="C536" s="35"/>
      <c r="D536" s="35"/>
      <c r="E536" s="35"/>
      <c r="F536" s="50"/>
      <c r="G536" s="35"/>
      <c r="H536" s="35"/>
      <c r="I536" s="35"/>
      <c r="J536" s="35"/>
      <c r="K536" s="35"/>
      <c r="L536" s="35"/>
      <c r="M536" s="35"/>
      <c r="N536" s="35"/>
      <c r="O536" s="35"/>
      <c r="P536" s="35"/>
      <c r="Q536" s="35"/>
      <c r="R536" s="35"/>
      <c r="S536" s="35"/>
      <c r="T536" s="35"/>
      <c r="U536" s="35"/>
      <c r="V536" s="35"/>
      <c r="W536" s="35"/>
      <c r="X536" s="35"/>
      <c r="Y536" s="35"/>
    </row>
    <row r="537" ht="15.75" customHeight="1">
      <c r="A537" s="35"/>
      <c r="B537" s="35"/>
      <c r="C537" s="35"/>
      <c r="D537" s="35"/>
      <c r="E537" s="35"/>
      <c r="F537" s="50"/>
      <c r="G537" s="35"/>
      <c r="H537" s="35"/>
      <c r="I537" s="35"/>
      <c r="J537" s="35"/>
      <c r="K537" s="35"/>
      <c r="L537" s="35"/>
      <c r="M537" s="35"/>
      <c r="N537" s="35"/>
      <c r="O537" s="35"/>
      <c r="P537" s="35"/>
      <c r="Q537" s="35"/>
      <c r="R537" s="35"/>
      <c r="S537" s="35"/>
      <c r="T537" s="35"/>
      <c r="U537" s="35"/>
      <c r="V537" s="35"/>
      <c r="W537" s="35"/>
      <c r="X537" s="35"/>
      <c r="Y537" s="35"/>
    </row>
    <row r="538" ht="15.75" customHeight="1">
      <c r="A538" s="35"/>
      <c r="B538" s="35"/>
      <c r="C538" s="35"/>
      <c r="D538" s="35"/>
      <c r="E538" s="35"/>
      <c r="F538" s="50"/>
      <c r="G538" s="35"/>
      <c r="H538" s="35"/>
      <c r="I538" s="35"/>
      <c r="J538" s="35"/>
      <c r="K538" s="35"/>
      <c r="L538" s="35"/>
      <c r="M538" s="35"/>
      <c r="N538" s="35"/>
      <c r="O538" s="35"/>
      <c r="P538" s="35"/>
      <c r="Q538" s="35"/>
      <c r="R538" s="35"/>
      <c r="S538" s="35"/>
      <c r="T538" s="35"/>
      <c r="U538" s="35"/>
      <c r="V538" s="35"/>
      <c r="W538" s="35"/>
      <c r="X538" s="35"/>
      <c r="Y538" s="35"/>
    </row>
    <row r="539" ht="15.75" customHeight="1">
      <c r="A539" s="35"/>
      <c r="B539" s="35"/>
      <c r="C539" s="35"/>
      <c r="D539" s="35"/>
      <c r="E539" s="35"/>
      <c r="F539" s="50"/>
      <c r="G539" s="35"/>
      <c r="H539" s="35"/>
      <c r="I539" s="35"/>
      <c r="J539" s="35"/>
      <c r="K539" s="35"/>
      <c r="L539" s="35"/>
      <c r="M539" s="35"/>
      <c r="N539" s="35"/>
      <c r="O539" s="35"/>
      <c r="P539" s="35"/>
      <c r="Q539" s="35"/>
      <c r="R539" s="35"/>
      <c r="S539" s="35"/>
      <c r="T539" s="35"/>
      <c r="U539" s="35"/>
      <c r="V539" s="35"/>
      <c r="W539" s="35"/>
      <c r="X539" s="35"/>
      <c r="Y539" s="35"/>
    </row>
    <row r="540" ht="15.75" customHeight="1">
      <c r="A540" s="35"/>
      <c r="B540" s="35"/>
      <c r="C540" s="35"/>
      <c r="D540" s="35"/>
      <c r="E540" s="35"/>
      <c r="F540" s="50"/>
      <c r="G540" s="35"/>
      <c r="H540" s="35"/>
      <c r="I540" s="35"/>
      <c r="J540" s="35"/>
      <c r="K540" s="35"/>
      <c r="L540" s="35"/>
      <c r="M540" s="35"/>
      <c r="N540" s="35"/>
      <c r="O540" s="35"/>
      <c r="P540" s="35"/>
      <c r="Q540" s="35"/>
      <c r="R540" s="35"/>
      <c r="S540" s="35"/>
      <c r="T540" s="35"/>
      <c r="U540" s="35"/>
      <c r="V540" s="35"/>
      <c r="W540" s="35"/>
      <c r="X540" s="35"/>
      <c r="Y540" s="35"/>
    </row>
    <row r="541" ht="15.75" customHeight="1">
      <c r="A541" s="35"/>
      <c r="B541" s="35"/>
      <c r="C541" s="35"/>
      <c r="D541" s="35"/>
      <c r="E541" s="35"/>
      <c r="F541" s="50"/>
      <c r="G541" s="35"/>
      <c r="H541" s="35"/>
      <c r="I541" s="35"/>
      <c r="J541" s="35"/>
      <c r="K541" s="35"/>
      <c r="L541" s="35"/>
      <c r="M541" s="35"/>
      <c r="N541" s="35"/>
      <c r="O541" s="35"/>
      <c r="P541" s="35"/>
      <c r="Q541" s="35"/>
      <c r="R541" s="35"/>
      <c r="S541" s="35"/>
      <c r="T541" s="35"/>
      <c r="U541" s="35"/>
      <c r="V541" s="35"/>
      <c r="W541" s="35"/>
      <c r="X541" s="35"/>
      <c r="Y541" s="35"/>
    </row>
    <row r="542" ht="15.75" customHeight="1">
      <c r="A542" s="35"/>
      <c r="B542" s="35"/>
      <c r="C542" s="35"/>
      <c r="D542" s="35"/>
      <c r="E542" s="35"/>
      <c r="F542" s="50"/>
      <c r="G542" s="35"/>
      <c r="H542" s="35"/>
      <c r="I542" s="35"/>
      <c r="J542" s="35"/>
      <c r="K542" s="35"/>
      <c r="L542" s="35"/>
      <c r="M542" s="35"/>
      <c r="N542" s="35"/>
      <c r="O542" s="35"/>
      <c r="P542" s="35"/>
      <c r="Q542" s="35"/>
      <c r="R542" s="35"/>
      <c r="S542" s="35"/>
      <c r="T542" s="35"/>
      <c r="U542" s="35"/>
      <c r="V542" s="35"/>
      <c r="W542" s="35"/>
      <c r="X542" s="35"/>
      <c r="Y542" s="35"/>
    </row>
    <row r="543" ht="15.75" customHeight="1">
      <c r="A543" s="35"/>
      <c r="B543" s="35"/>
      <c r="C543" s="35"/>
      <c r="D543" s="35"/>
      <c r="E543" s="35"/>
      <c r="F543" s="50"/>
      <c r="G543" s="35"/>
      <c r="H543" s="35"/>
      <c r="I543" s="35"/>
      <c r="J543" s="35"/>
      <c r="K543" s="35"/>
      <c r="L543" s="35"/>
      <c r="M543" s="35"/>
      <c r="N543" s="35"/>
      <c r="O543" s="35"/>
      <c r="P543" s="35"/>
      <c r="Q543" s="35"/>
      <c r="R543" s="35"/>
      <c r="S543" s="35"/>
      <c r="T543" s="35"/>
      <c r="U543" s="35"/>
      <c r="V543" s="35"/>
      <c r="W543" s="35"/>
      <c r="X543" s="35"/>
      <c r="Y543" s="35"/>
    </row>
    <row r="544" ht="15.75" customHeight="1">
      <c r="A544" s="35"/>
      <c r="B544" s="35"/>
      <c r="C544" s="35"/>
      <c r="D544" s="35"/>
      <c r="E544" s="35"/>
      <c r="F544" s="50"/>
      <c r="G544" s="35"/>
      <c r="H544" s="35"/>
      <c r="I544" s="35"/>
      <c r="J544" s="35"/>
      <c r="K544" s="35"/>
      <c r="L544" s="35"/>
      <c r="M544" s="35"/>
      <c r="N544" s="35"/>
      <c r="O544" s="35"/>
      <c r="P544" s="35"/>
      <c r="Q544" s="35"/>
      <c r="R544" s="35"/>
      <c r="S544" s="35"/>
      <c r="T544" s="35"/>
      <c r="U544" s="35"/>
      <c r="V544" s="35"/>
      <c r="W544" s="35"/>
      <c r="X544" s="35"/>
      <c r="Y544" s="35"/>
    </row>
    <row r="545" ht="15.75" customHeight="1">
      <c r="A545" s="35"/>
      <c r="B545" s="35"/>
      <c r="C545" s="35"/>
      <c r="D545" s="35"/>
      <c r="E545" s="35"/>
      <c r="F545" s="50"/>
      <c r="G545" s="35"/>
      <c r="H545" s="35"/>
      <c r="I545" s="35"/>
      <c r="J545" s="35"/>
      <c r="K545" s="35"/>
      <c r="L545" s="35"/>
      <c r="M545" s="35"/>
      <c r="N545" s="35"/>
      <c r="O545" s="35"/>
      <c r="P545" s="35"/>
      <c r="Q545" s="35"/>
      <c r="R545" s="35"/>
      <c r="S545" s="35"/>
      <c r="T545" s="35"/>
      <c r="U545" s="35"/>
      <c r="V545" s="35"/>
      <c r="W545" s="35"/>
      <c r="X545" s="35"/>
      <c r="Y545" s="35"/>
    </row>
    <row r="546" ht="15.75" customHeight="1">
      <c r="A546" s="35"/>
      <c r="B546" s="35"/>
      <c r="C546" s="35"/>
      <c r="D546" s="35"/>
      <c r="E546" s="35"/>
      <c r="F546" s="50"/>
      <c r="G546" s="35"/>
      <c r="H546" s="35"/>
      <c r="I546" s="35"/>
      <c r="J546" s="35"/>
      <c r="K546" s="35"/>
      <c r="L546" s="35"/>
      <c r="M546" s="35"/>
      <c r="N546" s="35"/>
      <c r="O546" s="35"/>
      <c r="P546" s="35"/>
      <c r="Q546" s="35"/>
      <c r="R546" s="35"/>
      <c r="S546" s="35"/>
      <c r="T546" s="35"/>
      <c r="U546" s="35"/>
      <c r="V546" s="35"/>
      <c r="W546" s="35"/>
      <c r="X546" s="35"/>
      <c r="Y546" s="35"/>
    </row>
    <row r="547" ht="15.75" customHeight="1">
      <c r="A547" s="35"/>
      <c r="B547" s="35"/>
      <c r="C547" s="35"/>
      <c r="D547" s="35"/>
      <c r="E547" s="35"/>
      <c r="F547" s="50"/>
      <c r="G547" s="35"/>
      <c r="H547" s="35"/>
      <c r="I547" s="35"/>
      <c r="J547" s="35"/>
      <c r="K547" s="35"/>
      <c r="L547" s="35"/>
      <c r="M547" s="35"/>
      <c r="N547" s="35"/>
      <c r="O547" s="35"/>
      <c r="P547" s="35"/>
      <c r="Q547" s="35"/>
      <c r="R547" s="35"/>
      <c r="S547" s="35"/>
      <c r="T547" s="35"/>
      <c r="U547" s="35"/>
      <c r="V547" s="35"/>
      <c r="W547" s="35"/>
      <c r="X547" s="35"/>
      <c r="Y547" s="35"/>
    </row>
    <row r="548" ht="15.75" customHeight="1">
      <c r="A548" s="35"/>
      <c r="B548" s="35"/>
      <c r="C548" s="35"/>
      <c r="D548" s="35"/>
      <c r="E548" s="35"/>
      <c r="F548" s="50"/>
      <c r="G548" s="35"/>
      <c r="H548" s="35"/>
      <c r="I548" s="35"/>
      <c r="J548" s="35"/>
      <c r="K548" s="35"/>
      <c r="L548" s="35"/>
      <c r="M548" s="35"/>
      <c r="N548" s="35"/>
      <c r="O548" s="35"/>
      <c r="P548" s="35"/>
      <c r="Q548" s="35"/>
      <c r="R548" s="35"/>
      <c r="S548" s="35"/>
      <c r="T548" s="35"/>
      <c r="U548" s="35"/>
      <c r="V548" s="35"/>
      <c r="W548" s="35"/>
      <c r="X548" s="35"/>
      <c r="Y548" s="35"/>
    </row>
    <row r="549" ht="15.75" customHeight="1">
      <c r="A549" s="35"/>
      <c r="B549" s="35"/>
      <c r="C549" s="35"/>
      <c r="D549" s="35"/>
      <c r="E549" s="35"/>
      <c r="F549" s="50"/>
      <c r="G549" s="35"/>
      <c r="H549" s="35"/>
      <c r="I549" s="35"/>
      <c r="J549" s="35"/>
      <c r="K549" s="35"/>
      <c r="L549" s="35"/>
      <c r="M549" s="35"/>
      <c r="N549" s="35"/>
      <c r="O549" s="35"/>
      <c r="P549" s="35"/>
      <c r="Q549" s="35"/>
      <c r="R549" s="35"/>
      <c r="S549" s="35"/>
      <c r="T549" s="35"/>
      <c r="U549" s="35"/>
      <c r="V549" s="35"/>
      <c r="W549" s="35"/>
      <c r="X549" s="35"/>
      <c r="Y549" s="35"/>
    </row>
    <row r="550" ht="15.75" customHeight="1">
      <c r="A550" s="35"/>
      <c r="B550" s="35"/>
      <c r="C550" s="35"/>
      <c r="D550" s="35"/>
      <c r="E550" s="35"/>
      <c r="F550" s="50"/>
      <c r="G550" s="35"/>
      <c r="H550" s="35"/>
      <c r="I550" s="35"/>
      <c r="J550" s="35"/>
      <c r="K550" s="35"/>
      <c r="L550" s="35"/>
      <c r="M550" s="35"/>
      <c r="N550" s="35"/>
      <c r="O550" s="35"/>
      <c r="P550" s="35"/>
      <c r="Q550" s="35"/>
      <c r="R550" s="35"/>
      <c r="S550" s="35"/>
      <c r="T550" s="35"/>
      <c r="U550" s="35"/>
      <c r="V550" s="35"/>
      <c r="W550" s="35"/>
      <c r="X550" s="35"/>
      <c r="Y550" s="35"/>
    </row>
    <row r="551" ht="15.75" customHeight="1">
      <c r="A551" s="35"/>
      <c r="B551" s="35"/>
      <c r="C551" s="35"/>
      <c r="D551" s="35"/>
      <c r="E551" s="35"/>
      <c r="F551" s="50"/>
      <c r="G551" s="35"/>
      <c r="H551" s="35"/>
      <c r="I551" s="35"/>
      <c r="J551" s="35"/>
      <c r="K551" s="35"/>
      <c r="L551" s="35"/>
      <c r="M551" s="35"/>
      <c r="N551" s="35"/>
      <c r="O551" s="35"/>
      <c r="P551" s="35"/>
      <c r="Q551" s="35"/>
      <c r="R551" s="35"/>
      <c r="S551" s="35"/>
      <c r="T551" s="35"/>
      <c r="U551" s="35"/>
      <c r="V551" s="35"/>
      <c r="W551" s="35"/>
      <c r="X551" s="35"/>
      <c r="Y551" s="35"/>
    </row>
    <row r="552" ht="15.75" customHeight="1">
      <c r="A552" s="35"/>
      <c r="B552" s="35"/>
      <c r="C552" s="35"/>
      <c r="D552" s="35"/>
      <c r="E552" s="35"/>
      <c r="F552" s="50"/>
      <c r="G552" s="35"/>
      <c r="H552" s="35"/>
      <c r="I552" s="35"/>
      <c r="J552" s="35"/>
      <c r="K552" s="35"/>
      <c r="L552" s="35"/>
      <c r="M552" s="35"/>
      <c r="N552" s="35"/>
      <c r="O552" s="35"/>
      <c r="P552" s="35"/>
      <c r="Q552" s="35"/>
      <c r="R552" s="35"/>
      <c r="S552" s="35"/>
      <c r="T552" s="35"/>
      <c r="U552" s="35"/>
      <c r="V552" s="35"/>
      <c r="W552" s="35"/>
      <c r="X552" s="35"/>
      <c r="Y552" s="35"/>
    </row>
    <row r="553" ht="15.75" customHeight="1">
      <c r="A553" s="35"/>
      <c r="B553" s="35"/>
      <c r="C553" s="35"/>
      <c r="D553" s="35"/>
      <c r="E553" s="35"/>
      <c r="F553" s="50"/>
      <c r="G553" s="35"/>
      <c r="H553" s="35"/>
      <c r="I553" s="35"/>
      <c r="J553" s="35"/>
      <c r="K553" s="35"/>
      <c r="L553" s="35"/>
      <c r="M553" s="35"/>
      <c r="N553" s="35"/>
      <c r="O553" s="35"/>
      <c r="P553" s="35"/>
      <c r="Q553" s="35"/>
      <c r="R553" s="35"/>
      <c r="S553" s="35"/>
      <c r="T553" s="35"/>
      <c r="U553" s="35"/>
      <c r="V553" s="35"/>
      <c r="W553" s="35"/>
      <c r="X553" s="35"/>
      <c r="Y553" s="35"/>
    </row>
    <row r="554" ht="15.75" customHeight="1">
      <c r="A554" s="35"/>
      <c r="B554" s="35"/>
      <c r="C554" s="35"/>
      <c r="D554" s="35"/>
      <c r="E554" s="35"/>
      <c r="F554" s="50"/>
      <c r="G554" s="35"/>
      <c r="H554" s="35"/>
      <c r="I554" s="35"/>
      <c r="J554" s="35"/>
      <c r="K554" s="35"/>
      <c r="L554" s="35"/>
      <c r="M554" s="35"/>
      <c r="N554" s="35"/>
      <c r="O554" s="35"/>
      <c r="P554" s="35"/>
      <c r="Q554" s="35"/>
      <c r="R554" s="35"/>
      <c r="S554" s="35"/>
      <c r="T554" s="35"/>
      <c r="U554" s="35"/>
      <c r="V554" s="35"/>
      <c r="W554" s="35"/>
      <c r="X554" s="35"/>
      <c r="Y554" s="35"/>
    </row>
    <row r="555" ht="15.75" customHeight="1">
      <c r="A555" s="35"/>
      <c r="B555" s="35"/>
      <c r="C555" s="35"/>
      <c r="D555" s="35"/>
      <c r="E555" s="35"/>
      <c r="F555" s="50"/>
      <c r="G555" s="35"/>
      <c r="H555" s="35"/>
      <c r="I555" s="35"/>
      <c r="J555" s="35"/>
      <c r="K555" s="35"/>
      <c r="L555" s="35"/>
      <c r="M555" s="35"/>
      <c r="N555" s="35"/>
      <c r="O555" s="35"/>
      <c r="P555" s="35"/>
      <c r="Q555" s="35"/>
      <c r="R555" s="35"/>
      <c r="S555" s="35"/>
      <c r="T555" s="35"/>
      <c r="U555" s="35"/>
      <c r="V555" s="35"/>
      <c r="W555" s="35"/>
      <c r="X555" s="35"/>
      <c r="Y555" s="35"/>
    </row>
    <row r="556" ht="15.75" customHeight="1">
      <c r="A556" s="35"/>
      <c r="B556" s="35"/>
      <c r="C556" s="35"/>
      <c r="D556" s="35"/>
      <c r="E556" s="35"/>
      <c r="F556" s="50"/>
      <c r="G556" s="35"/>
      <c r="H556" s="35"/>
      <c r="I556" s="35"/>
      <c r="J556" s="35"/>
      <c r="K556" s="35"/>
      <c r="L556" s="35"/>
      <c r="M556" s="35"/>
      <c r="N556" s="35"/>
      <c r="O556" s="35"/>
      <c r="P556" s="35"/>
      <c r="Q556" s="35"/>
      <c r="R556" s="35"/>
      <c r="S556" s="35"/>
      <c r="T556" s="35"/>
      <c r="U556" s="35"/>
      <c r="V556" s="35"/>
      <c r="W556" s="35"/>
      <c r="X556" s="35"/>
      <c r="Y556" s="35"/>
    </row>
    <row r="557" ht="15.75" customHeight="1">
      <c r="A557" s="35"/>
      <c r="B557" s="35"/>
      <c r="C557" s="35"/>
      <c r="D557" s="35"/>
      <c r="E557" s="35"/>
      <c r="F557" s="50"/>
      <c r="G557" s="35"/>
      <c r="H557" s="35"/>
      <c r="I557" s="35"/>
      <c r="J557" s="35"/>
      <c r="K557" s="35"/>
      <c r="L557" s="35"/>
      <c r="M557" s="35"/>
      <c r="N557" s="35"/>
      <c r="O557" s="35"/>
      <c r="P557" s="35"/>
      <c r="Q557" s="35"/>
      <c r="R557" s="35"/>
      <c r="S557" s="35"/>
      <c r="T557" s="35"/>
      <c r="U557" s="35"/>
      <c r="V557" s="35"/>
      <c r="W557" s="35"/>
      <c r="X557" s="35"/>
      <c r="Y557" s="35"/>
    </row>
    <row r="558" ht="15.75" customHeight="1">
      <c r="A558" s="35"/>
      <c r="B558" s="35"/>
      <c r="C558" s="35"/>
      <c r="D558" s="35"/>
      <c r="E558" s="35"/>
      <c r="F558" s="50"/>
      <c r="G558" s="35"/>
      <c r="H558" s="35"/>
      <c r="I558" s="35"/>
      <c r="J558" s="35"/>
      <c r="K558" s="35"/>
      <c r="L558" s="35"/>
      <c r="M558" s="35"/>
      <c r="N558" s="35"/>
      <c r="O558" s="35"/>
      <c r="P558" s="35"/>
      <c r="Q558" s="35"/>
      <c r="R558" s="35"/>
      <c r="S558" s="35"/>
      <c r="T558" s="35"/>
      <c r="U558" s="35"/>
      <c r="V558" s="35"/>
      <c r="W558" s="35"/>
      <c r="X558" s="35"/>
      <c r="Y558" s="35"/>
    </row>
    <row r="559" ht="15.75" customHeight="1">
      <c r="A559" s="35"/>
      <c r="B559" s="35"/>
      <c r="C559" s="35"/>
      <c r="D559" s="35"/>
      <c r="E559" s="35"/>
      <c r="F559" s="50"/>
      <c r="G559" s="35"/>
      <c r="H559" s="35"/>
      <c r="I559" s="35"/>
      <c r="J559" s="35"/>
      <c r="K559" s="35"/>
      <c r="L559" s="35"/>
      <c r="M559" s="35"/>
      <c r="N559" s="35"/>
      <c r="O559" s="35"/>
      <c r="P559" s="35"/>
      <c r="Q559" s="35"/>
      <c r="R559" s="35"/>
      <c r="S559" s="35"/>
      <c r="T559" s="35"/>
      <c r="U559" s="35"/>
      <c r="V559" s="35"/>
      <c r="W559" s="35"/>
      <c r="X559" s="35"/>
      <c r="Y559" s="35"/>
    </row>
    <row r="560" ht="15.75" customHeight="1">
      <c r="A560" s="35"/>
      <c r="B560" s="35"/>
      <c r="C560" s="35"/>
      <c r="D560" s="35"/>
      <c r="E560" s="35"/>
      <c r="F560" s="50"/>
      <c r="G560" s="35"/>
      <c r="H560" s="35"/>
      <c r="I560" s="35"/>
      <c r="J560" s="35"/>
      <c r="K560" s="35"/>
      <c r="L560" s="35"/>
      <c r="M560" s="35"/>
      <c r="N560" s="35"/>
      <c r="O560" s="35"/>
      <c r="P560" s="35"/>
      <c r="Q560" s="35"/>
      <c r="R560" s="35"/>
      <c r="S560" s="35"/>
      <c r="T560" s="35"/>
      <c r="U560" s="35"/>
      <c r="V560" s="35"/>
      <c r="W560" s="35"/>
      <c r="X560" s="35"/>
      <c r="Y560" s="35"/>
    </row>
    <row r="561" ht="15.75" customHeight="1">
      <c r="A561" s="35"/>
      <c r="B561" s="35"/>
      <c r="C561" s="35"/>
      <c r="D561" s="35"/>
      <c r="E561" s="35"/>
      <c r="F561" s="50"/>
      <c r="G561" s="35"/>
      <c r="H561" s="35"/>
      <c r="I561" s="35"/>
      <c r="J561" s="35"/>
      <c r="K561" s="35"/>
      <c r="L561" s="35"/>
      <c r="M561" s="35"/>
      <c r="N561" s="35"/>
      <c r="O561" s="35"/>
      <c r="P561" s="35"/>
      <c r="Q561" s="35"/>
      <c r="R561" s="35"/>
      <c r="S561" s="35"/>
      <c r="T561" s="35"/>
      <c r="U561" s="35"/>
      <c r="V561" s="35"/>
      <c r="W561" s="35"/>
      <c r="X561" s="35"/>
      <c r="Y561" s="35"/>
    </row>
    <row r="562" ht="15.75" customHeight="1">
      <c r="A562" s="35"/>
      <c r="B562" s="35"/>
      <c r="C562" s="35"/>
      <c r="D562" s="35"/>
      <c r="E562" s="35"/>
      <c r="F562" s="50"/>
      <c r="G562" s="35"/>
      <c r="H562" s="35"/>
      <c r="I562" s="35"/>
      <c r="J562" s="35"/>
      <c r="K562" s="35"/>
      <c r="L562" s="35"/>
      <c r="M562" s="35"/>
      <c r="N562" s="35"/>
      <c r="O562" s="35"/>
      <c r="P562" s="35"/>
      <c r="Q562" s="35"/>
      <c r="R562" s="35"/>
      <c r="S562" s="35"/>
      <c r="T562" s="35"/>
      <c r="U562" s="35"/>
      <c r="V562" s="35"/>
      <c r="W562" s="35"/>
      <c r="X562" s="35"/>
      <c r="Y562" s="35"/>
    </row>
    <row r="563" ht="15.75" customHeight="1">
      <c r="A563" s="35"/>
      <c r="B563" s="35"/>
      <c r="C563" s="35"/>
      <c r="D563" s="35"/>
      <c r="E563" s="35"/>
      <c r="F563" s="50"/>
      <c r="G563" s="35"/>
      <c r="H563" s="35"/>
      <c r="I563" s="35"/>
      <c r="J563" s="35"/>
      <c r="K563" s="35"/>
      <c r="L563" s="35"/>
      <c r="M563" s="35"/>
      <c r="N563" s="35"/>
      <c r="O563" s="35"/>
      <c r="P563" s="35"/>
      <c r="Q563" s="35"/>
      <c r="R563" s="35"/>
      <c r="S563" s="35"/>
      <c r="T563" s="35"/>
      <c r="U563" s="35"/>
      <c r="V563" s="35"/>
      <c r="W563" s="35"/>
      <c r="X563" s="35"/>
      <c r="Y563" s="35"/>
    </row>
    <row r="564" ht="15.75" customHeight="1">
      <c r="A564" s="35"/>
      <c r="B564" s="35"/>
      <c r="C564" s="35"/>
      <c r="D564" s="35"/>
      <c r="E564" s="35"/>
      <c r="F564" s="50"/>
      <c r="G564" s="35"/>
      <c r="H564" s="35"/>
      <c r="I564" s="35"/>
      <c r="J564" s="35"/>
      <c r="K564" s="35"/>
      <c r="L564" s="35"/>
      <c r="M564" s="35"/>
      <c r="N564" s="35"/>
      <c r="O564" s="35"/>
      <c r="P564" s="35"/>
      <c r="Q564" s="35"/>
      <c r="R564" s="35"/>
      <c r="S564" s="35"/>
      <c r="T564" s="35"/>
      <c r="U564" s="35"/>
      <c r="V564" s="35"/>
      <c r="W564" s="35"/>
      <c r="X564" s="35"/>
      <c r="Y564" s="35"/>
    </row>
    <row r="565" ht="15.75" customHeight="1">
      <c r="A565" s="35"/>
      <c r="B565" s="35"/>
      <c r="C565" s="35"/>
      <c r="D565" s="35"/>
      <c r="E565" s="35"/>
      <c r="F565" s="50"/>
      <c r="G565" s="35"/>
      <c r="H565" s="35"/>
      <c r="I565" s="35"/>
      <c r="J565" s="35"/>
      <c r="K565" s="35"/>
      <c r="L565" s="35"/>
      <c r="M565" s="35"/>
      <c r="N565" s="35"/>
      <c r="O565" s="35"/>
      <c r="P565" s="35"/>
      <c r="Q565" s="35"/>
      <c r="R565" s="35"/>
      <c r="S565" s="35"/>
      <c r="T565" s="35"/>
      <c r="U565" s="35"/>
      <c r="V565" s="35"/>
      <c r="W565" s="35"/>
      <c r="X565" s="35"/>
      <c r="Y565" s="35"/>
    </row>
    <row r="566" ht="15.75" customHeight="1">
      <c r="A566" s="35"/>
      <c r="B566" s="35"/>
      <c r="C566" s="35"/>
      <c r="D566" s="35"/>
      <c r="E566" s="35"/>
      <c r="F566" s="50"/>
      <c r="G566" s="35"/>
      <c r="H566" s="35"/>
      <c r="I566" s="35"/>
      <c r="J566" s="35"/>
      <c r="K566" s="35"/>
      <c r="L566" s="35"/>
      <c r="M566" s="35"/>
      <c r="N566" s="35"/>
      <c r="O566" s="35"/>
      <c r="P566" s="35"/>
      <c r="Q566" s="35"/>
      <c r="R566" s="35"/>
      <c r="S566" s="35"/>
      <c r="T566" s="35"/>
      <c r="U566" s="35"/>
      <c r="V566" s="35"/>
      <c r="W566" s="35"/>
      <c r="X566" s="35"/>
      <c r="Y566" s="35"/>
    </row>
    <row r="567" ht="15.75" customHeight="1">
      <c r="A567" s="35"/>
      <c r="B567" s="35"/>
      <c r="C567" s="35"/>
      <c r="D567" s="35"/>
      <c r="E567" s="35"/>
      <c r="F567" s="50"/>
      <c r="G567" s="35"/>
      <c r="H567" s="35"/>
      <c r="I567" s="35"/>
      <c r="J567" s="35"/>
      <c r="K567" s="35"/>
      <c r="L567" s="35"/>
      <c r="M567" s="35"/>
      <c r="N567" s="35"/>
      <c r="O567" s="35"/>
      <c r="P567" s="35"/>
      <c r="Q567" s="35"/>
      <c r="R567" s="35"/>
      <c r="S567" s="35"/>
      <c r="T567" s="35"/>
      <c r="U567" s="35"/>
      <c r="V567" s="35"/>
      <c r="W567" s="35"/>
      <c r="X567" s="35"/>
      <c r="Y567" s="35"/>
    </row>
    <row r="568" ht="15.75" customHeight="1">
      <c r="A568" s="35"/>
      <c r="B568" s="35"/>
      <c r="C568" s="35"/>
      <c r="D568" s="35"/>
      <c r="E568" s="35"/>
      <c r="F568" s="50"/>
      <c r="G568" s="35"/>
      <c r="H568" s="35"/>
      <c r="I568" s="35"/>
      <c r="J568" s="35"/>
      <c r="K568" s="35"/>
      <c r="L568" s="35"/>
      <c r="M568" s="35"/>
      <c r="N568" s="35"/>
      <c r="O568" s="35"/>
      <c r="P568" s="35"/>
      <c r="Q568" s="35"/>
      <c r="R568" s="35"/>
      <c r="S568" s="35"/>
      <c r="T568" s="35"/>
      <c r="U568" s="35"/>
      <c r="V568" s="35"/>
      <c r="W568" s="35"/>
      <c r="X568" s="35"/>
      <c r="Y568" s="35"/>
    </row>
    <row r="569" ht="15.75" customHeight="1">
      <c r="A569" s="35"/>
      <c r="B569" s="35"/>
      <c r="C569" s="35"/>
      <c r="D569" s="35"/>
      <c r="E569" s="35"/>
      <c r="F569" s="50"/>
      <c r="G569" s="35"/>
      <c r="H569" s="35"/>
      <c r="I569" s="35"/>
      <c r="J569" s="35"/>
      <c r="K569" s="35"/>
      <c r="L569" s="35"/>
      <c r="M569" s="35"/>
      <c r="N569" s="35"/>
      <c r="O569" s="35"/>
      <c r="P569" s="35"/>
      <c r="Q569" s="35"/>
      <c r="R569" s="35"/>
      <c r="S569" s="35"/>
      <c r="T569" s="35"/>
      <c r="U569" s="35"/>
      <c r="V569" s="35"/>
      <c r="W569" s="35"/>
      <c r="X569" s="35"/>
      <c r="Y569" s="35"/>
    </row>
    <row r="570" ht="15.75" customHeight="1">
      <c r="A570" s="35"/>
      <c r="B570" s="35"/>
      <c r="C570" s="35"/>
      <c r="D570" s="35"/>
      <c r="E570" s="35"/>
      <c r="F570" s="50"/>
      <c r="G570" s="35"/>
      <c r="H570" s="35"/>
      <c r="I570" s="35"/>
      <c r="J570" s="35"/>
      <c r="K570" s="35"/>
      <c r="L570" s="35"/>
      <c r="M570" s="35"/>
      <c r="N570" s="35"/>
      <c r="O570" s="35"/>
      <c r="P570" s="35"/>
      <c r="Q570" s="35"/>
      <c r="R570" s="35"/>
      <c r="S570" s="35"/>
      <c r="T570" s="35"/>
      <c r="U570" s="35"/>
      <c r="V570" s="35"/>
      <c r="W570" s="35"/>
      <c r="X570" s="35"/>
      <c r="Y570" s="35"/>
    </row>
    <row r="571" ht="15.75" customHeight="1">
      <c r="A571" s="35"/>
      <c r="B571" s="35"/>
      <c r="C571" s="35"/>
      <c r="D571" s="35"/>
      <c r="E571" s="35"/>
      <c r="F571" s="50"/>
      <c r="G571" s="35"/>
      <c r="H571" s="35"/>
      <c r="I571" s="35"/>
      <c r="J571" s="35"/>
      <c r="K571" s="35"/>
      <c r="L571" s="35"/>
      <c r="M571" s="35"/>
      <c r="N571" s="35"/>
      <c r="O571" s="35"/>
      <c r="P571" s="35"/>
      <c r="Q571" s="35"/>
      <c r="R571" s="35"/>
      <c r="S571" s="35"/>
      <c r="T571" s="35"/>
      <c r="U571" s="35"/>
      <c r="V571" s="35"/>
      <c r="W571" s="35"/>
      <c r="X571" s="35"/>
      <c r="Y571" s="35"/>
    </row>
    <row r="572" ht="15.75" customHeight="1">
      <c r="A572" s="35"/>
      <c r="B572" s="35"/>
      <c r="C572" s="35"/>
      <c r="D572" s="35"/>
      <c r="E572" s="35"/>
      <c r="F572" s="50"/>
      <c r="G572" s="35"/>
      <c r="H572" s="35"/>
      <c r="I572" s="35"/>
      <c r="J572" s="35"/>
      <c r="K572" s="35"/>
      <c r="L572" s="35"/>
      <c r="M572" s="35"/>
      <c r="N572" s="35"/>
      <c r="O572" s="35"/>
      <c r="P572" s="35"/>
      <c r="Q572" s="35"/>
      <c r="R572" s="35"/>
      <c r="S572" s="35"/>
      <c r="T572" s="35"/>
      <c r="U572" s="35"/>
      <c r="V572" s="35"/>
      <c r="W572" s="35"/>
      <c r="X572" s="35"/>
      <c r="Y572" s="35"/>
    </row>
    <row r="573" ht="15.75" customHeight="1">
      <c r="A573" s="35"/>
      <c r="B573" s="35"/>
      <c r="C573" s="35"/>
      <c r="D573" s="35"/>
      <c r="E573" s="35"/>
      <c r="F573" s="50"/>
      <c r="G573" s="35"/>
      <c r="H573" s="35"/>
      <c r="I573" s="35"/>
      <c r="J573" s="35"/>
      <c r="K573" s="35"/>
      <c r="L573" s="35"/>
      <c r="M573" s="35"/>
      <c r="N573" s="35"/>
      <c r="O573" s="35"/>
      <c r="P573" s="35"/>
      <c r="Q573" s="35"/>
      <c r="R573" s="35"/>
      <c r="S573" s="35"/>
      <c r="T573" s="35"/>
      <c r="U573" s="35"/>
      <c r="V573" s="35"/>
      <c r="W573" s="35"/>
      <c r="X573" s="35"/>
      <c r="Y573" s="35"/>
    </row>
    <row r="574" ht="15.75" customHeight="1">
      <c r="A574" s="35"/>
      <c r="B574" s="35"/>
      <c r="C574" s="35"/>
      <c r="D574" s="35"/>
      <c r="E574" s="35"/>
      <c r="F574" s="50"/>
      <c r="G574" s="35"/>
      <c r="H574" s="35"/>
      <c r="I574" s="35"/>
      <c r="J574" s="35"/>
      <c r="K574" s="35"/>
      <c r="L574" s="35"/>
      <c r="M574" s="35"/>
      <c r="N574" s="35"/>
      <c r="O574" s="35"/>
      <c r="P574" s="35"/>
      <c r="Q574" s="35"/>
      <c r="R574" s="35"/>
      <c r="S574" s="35"/>
      <c r="T574" s="35"/>
      <c r="U574" s="35"/>
      <c r="V574" s="35"/>
      <c r="W574" s="35"/>
      <c r="X574" s="35"/>
      <c r="Y574" s="35"/>
    </row>
    <row r="575" ht="15.75" customHeight="1">
      <c r="A575" s="35"/>
      <c r="B575" s="35"/>
      <c r="C575" s="35"/>
      <c r="D575" s="35"/>
      <c r="E575" s="35"/>
      <c r="F575" s="50"/>
      <c r="G575" s="35"/>
      <c r="H575" s="35"/>
      <c r="I575" s="35"/>
      <c r="J575" s="35"/>
      <c r="K575" s="35"/>
      <c r="L575" s="35"/>
      <c r="M575" s="35"/>
      <c r="N575" s="35"/>
      <c r="O575" s="35"/>
      <c r="P575" s="35"/>
      <c r="Q575" s="35"/>
      <c r="R575" s="35"/>
      <c r="S575" s="35"/>
      <c r="T575" s="35"/>
      <c r="U575" s="35"/>
      <c r="V575" s="35"/>
      <c r="W575" s="35"/>
      <c r="X575" s="35"/>
      <c r="Y575" s="35"/>
    </row>
    <row r="576" ht="15.75" customHeight="1">
      <c r="A576" s="35"/>
      <c r="B576" s="35"/>
      <c r="C576" s="35"/>
      <c r="D576" s="35"/>
      <c r="E576" s="35"/>
      <c r="F576" s="50"/>
      <c r="G576" s="35"/>
      <c r="H576" s="35"/>
      <c r="I576" s="35"/>
      <c r="J576" s="35"/>
      <c r="K576" s="35"/>
      <c r="L576" s="35"/>
      <c r="M576" s="35"/>
      <c r="N576" s="35"/>
      <c r="O576" s="35"/>
      <c r="P576" s="35"/>
      <c r="Q576" s="35"/>
      <c r="R576" s="35"/>
      <c r="S576" s="35"/>
      <c r="T576" s="35"/>
      <c r="U576" s="35"/>
      <c r="V576" s="35"/>
      <c r="W576" s="35"/>
      <c r="X576" s="35"/>
      <c r="Y576" s="35"/>
    </row>
    <row r="577" ht="15.75" customHeight="1">
      <c r="A577" s="35"/>
      <c r="B577" s="35"/>
      <c r="C577" s="35"/>
      <c r="D577" s="35"/>
      <c r="E577" s="35"/>
      <c r="F577" s="50"/>
      <c r="G577" s="35"/>
      <c r="H577" s="35"/>
      <c r="I577" s="35"/>
      <c r="J577" s="35"/>
      <c r="K577" s="35"/>
      <c r="L577" s="35"/>
      <c r="M577" s="35"/>
      <c r="N577" s="35"/>
      <c r="O577" s="35"/>
      <c r="P577" s="35"/>
      <c r="Q577" s="35"/>
      <c r="R577" s="35"/>
      <c r="S577" s="35"/>
      <c r="T577" s="35"/>
      <c r="U577" s="35"/>
      <c r="V577" s="35"/>
      <c r="W577" s="35"/>
      <c r="X577" s="35"/>
      <c r="Y577" s="35"/>
    </row>
    <row r="578" ht="15.75" customHeight="1">
      <c r="A578" s="35"/>
      <c r="B578" s="35"/>
      <c r="C578" s="35"/>
      <c r="D578" s="35"/>
      <c r="E578" s="35"/>
      <c r="F578" s="50"/>
      <c r="G578" s="35"/>
      <c r="H578" s="35"/>
      <c r="I578" s="35"/>
      <c r="J578" s="35"/>
      <c r="K578" s="35"/>
      <c r="L578" s="35"/>
      <c r="M578" s="35"/>
      <c r="N578" s="35"/>
      <c r="O578" s="35"/>
      <c r="P578" s="35"/>
      <c r="Q578" s="35"/>
      <c r="R578" s="35"/>
      <c r="S578" s="35"/>
      <c r="T578" s="35"/>
      <c r="U578" s="35"/>
      <c r="V578" s="35"/>
      <c r="W578" s="35"/>
      <c r="X578" s="35"/>
      <c r="Y578" s="35"/>
    </row>
    <row r="579" ht="15.75" customHeight="1">
      <c r="A579" s="35"/>
      <c r="B579" s="35"/>
      <c r="C579" s="35"/>
      <c r="D579" s="35"/>
      <c r="E579" s="35"/>
      <c r="F579" s="50"/>
      <c r="G579" s="35"/>
      <c r="H579" s="35"/>
      <c r="I579" s="35"/>
      <c r="J579" s="35"/>
      <c r="K579" s="35"/>
      <c r="L579" s="35"/>
      <c r="M579" s="35"/>
      <c r="N579" s="35"/>
      <c r="O579" s="35"/>
      <c r="P579" s="35"/>
      <c r="Q579" s="35"/>
      <c r="R579" s="35"/>
      <c r="S579" s="35"/>
      <c r="T579" s="35"/>
      <c r="U579" s="35"/>
      <c r="V579" s="35"/>
      <c r="W579" s="35"/>
      <c r="X579" s="35"/>
      <c r="Y579" s="35"/>
    </row>
    <row r="580" ht="15.75" customHeight="1">
      <c r="A580" s="35"/>
      <c r="B580" s="35"/>
      <c r="C580" s="35"/>
      <c r="D580" s="35"/>
      <c r="E580" s="35"/>
      <c r="F580" s="50"/>
      <c r="G580" s="35"/>
      <c r="H580" s="35"/>
      <c r="I580" s="35"/>
      <c r="J580" s="35"/>
      <c r="K580" s="35"/>
      <c r="L580" s="35"/>
      <c r="M580" s="35"/>
      <c r="N580" s="35"/>
      <c r="O580" s="35"/>
      <c r="P580" s="35"/>
      <c r="Q580" s="35"/>
      <c r="R580" s="35"/>
      <c r="S580" s="35"/>
      <c r="T580" s="35"/>
      <c r="U580" s="35"/>
      <c r="V580" s="35"/>
      <c r="W580" s="35"/>
      <c r="X580" s="35"/>
      <c r="Y580" s="35"/>
    </row>
    <row r="581" ht="15.75" customHeight="1">
      <c r="A581" s="35"/>
      <c r="B581" s="35"/>
      <c r="C581" s="35"/>
      <c r="D581" s="35"/>
      <c r="E581" s="35"/>
      <c r="F581" s="50"/>
      <c r="G581" s="35"/>
      <c r="H581" s="35"/>
      <c r="I581" s="35"/>
      <c r="J581" s="35"/>
      <c r="K581" s="35"/>
      <c r="L581" s="35"/>
      <c r="M581" s="35"/>
      <c r="N581" s="35"/>
      <c r="O581" s="35"/>
      <c r="P581" s="35"/>
      <c r="Q581" s="35"/>
      <c r="R581" s="35"/>
      <c r="S581" s="35"/>
      <c r="T581" s="35"/>
      <c r="U581" s="35"/>
      <c r="V581" s="35"/>
      <c r="W581" s="35"/>
      <c r="X581" s="35"/>
      <c r="Y581" s="35"/>
    </row>
    <row r="582" ht="15.75" customHeight="1">
      <c r="A582" s="35"/>
      <c r="B582" s="35"/>
      <c r="C582" s="35"/>
      <c r="D582" s="35"/>
      <c r="E582" s="35"/>
      <c r="F582" s="50"/>
      <c r="G582" s="35"/>
      <c r="H582" s="35"/>
      <c r="I582" s="35"/>
      <c r="J582" s="35"/>
      <c r="K582" s="35"/>
      <c r="L582" s="35"/>
      <c r="M582" s="35"/>
      <c r="N582" s="35"/>
      <c r="O582" s="35"/>
      <c r="P582" s="35"/>
      <c r="Q582" s="35"/>
      <c r="R582" s="35"/>
      <c r="S582" s="35"/>
      <c r="T582" s="35"/>
      <c r="U582" s="35"/>
      <c r="V582" s="35"/>
      <c r="W582" s="35"/>
      <c r="X582" s="35"/>
      <c r="Y582" s="35"/>
    </row>
    <row r="583" ht="15.75" customHeight="1">
      <c r="A583" s="35"/>
      <c r="B583" s="35"/>
      <c r="C583" s="35"/>
      <c r="D583" s="35"/>
      <c r="E583" s="35"/>
      <c r="F583" s="50"/>
      <c r="G583" s="35"/>
      <c r="H583" s="35"/>
      <c r="I583" s="35"/>
      <c r="J583" s="35"/>
      <c r="K583" s="35"/>
      <c r="L583" s="35"/>
      <c r="M583" s="35"/>
      <c r="N583" s="35"/>
      <c r="O583" s="35"/>
      <c r="P583" s="35"/>
      <c r="Q583" s="35"/>
      <c r="R583" s="35"/>
      <c r="S583" s="35"/>
      <c r="T583" s="35"/>
      <c r="U583" s="35"/>
      <c r="V583" s="35"/>
      <c r="W583" s="35"/>
      <c r="X583" s="35"/>
      <c r="Y583" s="35"/>
    </row>
    <row r="584" ht="15.75" customHeight="1">
      <c r="A584" s="35"/>
      <c r="B584" s="35"/>
      <c r="C584" s="35"/>
      <c r="D584" s="35"/>
      <c r="E584" s="35"/>
      <c r="F584" s="50"/>
      <c r="G584" s="35"/>
      <c r="H584" s="35"/>
      <c r="I584" s="35"/>
      <c r="J584" s="35"/>
      <c r="K584" s="35"/>
      <c r="L584" s="35"/>
      <c r="M584" s="35"/>
      <c r="N584" s="35"/>
      <c r="O584" s="35"/>
      <c r="P584" s="35"/>
      <c r="Q584" s="35"/>
      <c r="R584" s="35"/>
      <c r="S584" s="35"/>
      <c r="T584" s="35"/>
      <c r="U584" s="35"/>
      <c r="V584" s="35"/>
      <c r="W584" s="35"/>
      <c r="X584" s="35"/>
      <c r="Y584" s="35"/>
    </row>
    <row r="585" ht="15.75" customHeight="1">
      <c r="A585" s="35"/>
      <c r="B585" s="35"/>
      <c r="C585" s="35"/>
      <c r="D585" s="35"/>
      <c r="E585" s="35"/>
      <c r="F585" s="50"/>
      <c r="G585" s="35"/>
      <c r="H585" s="35"/>
      <c r="I585" s="35"/>
      <c r="J585" s="35"/>
      <c r="K585" s="35"/>
      <c r="L585" s="35"/>
      <c r="M585" s="35"/>
      <c r="N585" s="35"/>
      <c r="O585" s="35"/>
      <c r="P585" s="35"/>
      <c r="Q585" s="35"/>
      <c r="R585" s="35"/>
      <c r="S585" s="35"/>
      <c r="T585" s="35"/>
      <c r="U585" s="35"/>
      <c r="V585" s="35"/>
      <c r="W585" s="35"/>
      <c r="X585" s="35"/>
      <c r="Y585" s="35"/>
    </row>
    <row r="586" ht="15.75" customHeight="1">
      <c r="A586" s="35"/>
      <c r="B586" s="35"/>
      <c r="C586" s="35"/>
      <c r="D586" s="35"/>
      <c r="E586" s="35"/>
      <c r="F586" s="50"/>
      <c r="G586" s="35"/>
      <c r="H586" s="35"/>
      <c r="I586" s="35"/>
      <c r="J586" s="35"/>
      <c r="K586" s="35"/>
      <c r="L586" s="35"/>
      <c r="M586" s="35"/>
      <c r="N586" s="35"/>
      <c r="O586" s="35"/>
      <c r="P586" s="35"/>
      <c r="Q586" s="35"/>
      <c r="R586" s="35"/>
      <c r="S586" s="35"/>
      <c r="T586" s="35"/>
      <c r="U586" s="35"/>
      <c r="V586" s="35"/>
      <c r="W586" s="35"/>
      <c r="X586" s="35"/>
      <c r="Y586" s="35"/>
    </row>
    <row r="587" ht="15.75" customHeight="1">
      <c r="A587" s="35"/>
      <c r="B587" s="35"/>
      <c r="C587" s="35"/>
      <c r="D587" s="35"/>
      <c r="E587" s="35"/>
      <c r="F587" s="50"/>
      <c r="G587" s="35"/>
      <c r="H587" s="35"/>
      <c r="I587" s="35"/>
      <c r="J587" s="35"/>
      <c r="K587" s="35"/>
      <c r="L587" s="35"/>
      <c r="M587" s="35"/>
      <c r="N587" s="35"/>
      <c r="O587" s="35"/>
      <c r="P587" s="35"/>
      <c r="Q587" s="35"/>
      <c r="R587" s="35"/>
      <c r="S587" s="35"/>
      <c r="T587" s="35"/>
      <c r="U587" s="35"/>
      <c r="V587" s="35"/>
      <c r="W587" s="35"/>
      <c r="X587" s="35"/>
      <c r="Y587" s="35"/>
    </row>
    <row r="588" ht="15.75" customHeight="1">
      <c r="A588" s="35"/>
      <c r="B588" s="35"/>
      <c r="C588" s="35"/>
      <c r="D588" s="35"/>
      <c r="E588" s="35"/>
      <c r="F588" s="50"/>
      <c r="G588" s="35"/>
      <c r="H588" s="35"/>
      <c r="I588" s="35"/>
      <c r="J588" s="35"/>
      <c r="K588" s="35"/>
      <c r="L588" s="35"/>
      <c r="M588" s="35"/>
      <c r="N588" s="35"/>
      <c r="O588" s="35"/>
      <c r="P588" s="35"/>
      <c r="Q588" s="35"/>
      <c r="R588" s="35"/>
      <c r="S588" s="35"/>
      <c r="T588" s="35"/>
      <c r="U588" s="35"/>
      <c r="V588" s="35"/>
      <c r="W588" s="35"/>
      <c r="X588" s="35"/>
      <c r="Y588" s="35"/>
    </row>
    <row r="589" ht="15.75" customHeight="1">
      <c r="A589" s="35"/>
      <c r="B589" s="35"/>
      <c r="C589" s="35"/>
      <c r="D589" s="35"/>
      <c r="E589" s="35"/>
      <c r="F589" s="50"/>
      <c r="G589" s="35"/>
      <c r="H589" s="35"/>
      <c r="I589" s="35"/>
      <c r="J589" s="35"/>
      <c r="K589" s="35"/>
      <c r="L589" s="35"/>
      <c r="M589" s="35"/>
      <c r="N589" s="35"/>
      <c r="O589" s="35"/>
      <c r="P589" s="35"/>
      <c r="Q589" s="35"/>
      <c r="R589" s="35"/>
      <c r="S589" s="35"/>
      <c r="T589" s="35"/>
      <c r="U589" s="35"/>
      <c r="V589" s="35"/>
      <c r="W589" s="35"/>
      <c r="X589" s="35"/>
      <c r="Y589" s="35"/>
    </row>
    <row r="590" ht="15.75" customHeight="1">
      <c r="A590" s="35"/>
      <c r="B590" s="35"/>
      <c r="C590" s="35"/>
      <c r="D590" s="35"/>
      <c r="E590" s="35"/>
      <c r="F590" s="50"/>
      <c r="G590" s="35"/>
      <c r="H590" s="35"/>
      <c r="I590" s="35"/>
      <c r="J590" s="35"/>
      <c r="K590" s="35"/>
      <c r="L590" s="35"/>
      <c r="M590" s="35"/>
      <c r="N590" s="35"/>
      <c r="O590" s="35"/>
      <c r="P590" s="35"/>
      <c r="Q590" s="35"/>
      <c r="R590" s="35"/>
      <c r="S590" s="35"/>
      <c r="T590" s="35"/>
      <c r="U590" s="35"/>
      <c r="V590" s="35"/>
      <c r="W590" s="35"/>
      <c r="X590" s="35"/>
      <c r="Y590" s="35"/>
    </row>
    <row r="591" ht="15.75" customHeight="1">
      <c r="A591" s="35"/>
      <c r="B591" s="35"/>
      <c r="C591" s="35"/>
      <c r="D591" s="35"/>
      <c r="E591" s="35"/>
      <c r="F591" s="50"/>
      <c r="G591" s="35"/>
      <c r="H591" s="35"/>
      <c r="I591" s="35"/>
      <c r="J591" s="35"/>
      <c r="K591" s="35"/>
      <c r="L591" s="35"/>
      <c r="M591" s="35"/>
      <c r="N591" s="35"/>
      <c r="O591" s="35"/>
      <c r="P591" s="35"/>
      <c r="Q591" s="35"/>
      <c r="R591" s="35"/>
      <c r="S591" s="35"/>
      <c r="T591" s="35"/>
      <c r="U591" s="35"/>
      <c r="V591" s="35"/>
      <c r="W591" s="35"/>
      <c r="X591" s="35"/>
      <c r="Y591" s="35"/>
    </row>
    <row r="592" ht="15.75" customHeight="1">
      <c r="A592" s="35"/>
      <c r="B592" s="35"/>
      <c r="C592" s="35"/>
      <c r="D592" s="35"/>
      <c r="E592" s="35"/>
      <c r="F592" s="50"/>
      <c r="G592" s="35"/>
      <c r="H592" s="35"/>
      <c r="I592" s="35"/>
      <c r="J592" s="35"/>
      <c r="K592" s="35"/>
      <c r="L592" s="35"/>
      <c r="M592" s="35"/>
      <c r="N592" s="35"/>
      <c r="O592" s="35"/>
      <c r="P592" s="35"/>
      <c r="Q592" s="35"/>
      <c r="R592" s="35"/>
      <c r="S592" s="35"/>
      <c r="T592" s="35"/>
      <c r="U592" s="35"/>
      <c r="V592" s="35"/>
      <c r="W592" s="35"/>
      <c r="X592" s="35"/>
      <c r="Y592" s="35"/>
    </row>
    <row r="593" ht="15.75" customHeight="1">
      <c r="A593" s="35"/>
      <c r="B593" s="35"/>
      <c r="C593" s="35"/>
      <c r="D593" s="35"/>
      <c r="E593" s="35"/>
      <c r="F593" s="50"/>
      <c r="G593" s="35"/>
      <c r="H593" s="35"/>
      <c r="I593" s="35"/>
      <c r="J593" s="35"/>
      <c r="K593" s="35"/>
      <c r="L593" s="35"/>
      <c r="M593" s="35"/>
      <c r="N593" s="35"/>
      <c r="O593" s="35"/>
      <c r="P593" s="35"/>
      <c r="Q593" s="35"/>
      <c r="R593" s="35"/>
      <c r="S593" s="35"/>
      <c r="T593" s="35"/>
      <c r="U593" s="35"/>
      <c r="V593" s="35"/>
      <c r="W593" s="35"/>
      <c r="X593" s="35"/>
      <c r="Y593" s="35"/>
    </row>
    <row r="594" ht="15.75" customHeight="1">
      <c r="A594" s="35"/>
      <c r="B594" s="35"/>
      <c r="C594" s="35"/>
      <c r="D594" s="35"/>
      <c r="E594" s="35"/>
      <c r="F594" s="50"/>
      <c r="G594" s="35"/>
      <c r="H594" s="35"/>
      <c r="I594" s="35"/>
      <c r="J594" s="35"/>
      <c r="K594" s="35"/>
      <c r="L594" s="35"/>
      <c r="M594" s="35"/>
      <c r="N594" s="35"/>
      <c r="O594" s="35"/>
      <c r="P594" s="35"/>
      <c r="Q594" s="35"/>
      <c r="R594" s="35"/>
      <c r="S594" s="35"/>
      <c r="T594" s="35"/>
      <c r="U594" s="35"/>
      <c r="V594" s="35"/>
      <c r="W594" s="35"/>
      <c r="X594" s="35"/>
      <c r="Y594" s="35"/>
    </row>
    <row r="595" ht="15.75" customHeight="1">
      <c r="A595" s="35"/>
      <c r="B595" s="35"/>
      <c r="C595" s="35"/>
      <c r="D595" s="35"/>
      <c r="E595" s="35"/>
      <c r="F595" s="50"/>
      <c r="G595" s="35"/>
      <c r="H595" s="35"/>
      <c r="I595" s="35"/>
      <c r="J595" s="35"/>
      <c r="K595" s="35"/>
      <c r="L595" s="35"/>
      <c r="M595" s="35"/>
      <c r="N595" s="35"/>
      <c r="O595" s="35"/>
      <c r="P595" s="35"/>
      <c r="Q595" s="35"/>
      <c r="R595" s="35"/>
      <c r="S595" s="35"/>
      <c r="T595" s="35"/>
      <c r="U595" s="35"/>
      <c r="V595" s="35"/>
      <c r="W595" s="35"/>
      <c r="X595" s="35"/>
      <c r="Y595" s="35"/>
    </row>
    <row r="596" ht="15.75" customHeight="1">
      <c r="A596" s="35"/>
      <c r="B596" s="35"/>
      <c r="C596" s="35"/>
      <c r="D596" s="35"/>
      <c r="E596" s="35"/>
      <c r="F596" s="50"/>
      <c r="G596" s="35"/>
      <c r="H596" s="35"/>
      <c r="I596" s="35"/>
      <c r="J596" s="35"/>
      <c r="K596" s="35"/>
      <c r="L596" s="35"/>
      <c r="M596" s="35"/>
      <c r="N596" s="35"/>
      <c r="O596" s="35"/>
      <c r="P596" s="35"/>
      <c r="Q596" s="35"/>
      <c r="R596" s="35"/>
      <c r="S596" s="35"/>
      <c r="T596" s="35"/>
      <c r="U596" s="35"/>
      <c r="V596" s="35"/>
      <c r="W596" s="35"/>
      <c r="X596" s="35"/>
      <c r="Y596" s="35"/>
    </row>
    <row r="597" ht="15.75" customHeight="1">
      <c r="A597" s="35"/>
      <c r="B597" s="35"/>
      <c r="C597" s="35"/>
      <c r="D597" s="35"/>
      <c r="E597" s="35"/>
      <c r="F597" s="50"/>
      <c r="G597" s="35"/>
      <c r="H597" s="35"/>
      <c r="I597" s="35"/>
      <c r="J597" s="35"/>
      <c r="K597" s="35"/>
      <c r="L597" s="35"/>
      <c r="M597" s="35"/>
      <c r="N597" s="35"/>
      <c r="O597" s="35"/>
      <c r="P597" s="35"/>
      <c r="Q597" s="35"/>
      <c r="R597" s="35"/>
      <c r="S597" s="35"/>
      <c r="T597" s="35"/>
      <c r="U597" s="35"/>
      <c r="V597" s="35"/>
      <c r="W597" s="35"/>
      <c r="X597" s="35"/>
      <c r="Y597" s="35"/>
    </row>
    <row r="598" ht="15.75" customHeight="1">
      <c r="A598" s="35"/>
      <c r="B598" s="35"/>
      <c r="C598" s="35"/>
      <c r="D598" s="35"/>
      <c r="E598" s="35"/>
      <c r="F598" s="50"/>
      <c r="G598" s="35"/>
      <c r="H598" s="35"/>
      <c r="I598" s="35"/>
      <c r="J598" s="35"/>
      <c r="K598" s="35"/>
      <c r="L598" s="35"/>
      <c r="M598" s="35"/>
      <c r="N598" s="35"/>
      <c r="O598" s="35"/>
      <c r="P598" s="35"/>
      <c r="Q598" s="35"/>
      <c r="R598" s="35"/>
      <c r="S598" s="35"/>
      <c r="T598" s="35"/>
      <c r="U598" s="35"/>
      <c r="V598" s="35"/>
      <c r="W598" s="35"/>
      <c r="X598" s="35"/>
      <c r="Y598" s="35"/>
    </row>
    <row r="599" ht="15.75" customHeight="1">
      <c r="A599" s="35"/>
      <c r="B599" s="35"/>
      <c r="C599" s="35"/>
      <c r="D599" s="35"/>
      <c r="E599" s="35"/>
      <c r="F599" s="50"/>
      <c r="G599" s="35"/>
      <c r="H599" s="35"/>
      <c r="I599" s="35"/>
      <c r="J599" s="35"/>
      <c r="K599" s="35"/>
      <c r="L599" s="35"/>
      <c r="M599" s="35"/>
      <c r="N599" s="35"/>
      <c r="O599" s="35"/>
      <c r="P599" s="35"/>
      <c r="Q599" s="35"/>
      <c r="R599" s="35"/>
      <c r="S599" s="35"/>
      <c r="T599" s="35"/>
      <c r="U599" s="35"/>
      <c r="V599" s="35"/>
      <c r="W599" s="35"/>
      <c r="X599" s="35"/>
      <c r="Y599" s="35"/>
    </row>
    <row r="600" ht="15.75" customHeight="1">
      <c r="A600" s="35"/>
      <c r="B600" s="35"/>
      <c r="C600" s="35"/>
      <c r="D600" s="35"/>
      <c r="E600" s="35"/>
      <c r="F600" s="50"/>
      <c r="G600" s="35"/>
      <c r="H600" s="35"/>
      <c r="I600" s="35"/>
      <c r="J600" s="35"/>
      <c r="K600" s="35"/>
      <c r="L600" s="35"/>
      <c r="M600" s="35"/>
      <c r="N600" s="35"/>
      <c r="O600" s="35"/>
      <c r="P600" s="35"/>
      <c r="Q600" s="35"/>
      <c r="R600" s="35"/>
      <c r="S600" s="35"/>
      <c r="T600" s="35"/>
      <c r="U600" s="35"/>
      <c r="V600" s="35"/>
      <c r="W600" s="35"/>
      <c r="X600" s="35"/>
      <c r="Y600" s="35"/>
    </row>
    <row r="601" ht="15.75" customHeight="1">
      <c r="A601" s="35"/>
      <c r="B601" s="35"/>
      <c r="C601" s="35"/>
      <c r="D601" s="35"/>
      <c r="E601" s="35"/>
      <c r="F601" s="50"/>
      <c r="G601" s="35"/>
      <c r="H601" s="35"/>
      <c r="I601" s="35"/>
      <c r="J601" s="35"/>
      <c r="K601" s="35"/>
      <c r="L601" s="35"/>
      <c r="M601" s="35"/>
      <c r="N601" s="35"/>
      <c r="O601" s="35"/>
      <c r="P601" s="35"/>
      <c r="Q601" s="35"/>
      <c r="R601" s="35"/>
      <c r="S601" s="35"/>
      <c r="T601" s="35"/>
      <c r="U601" s="35"/>
      <c r="V601" s="35"/>
      <c r="W601" s="35"/>
      <c r="X601" s="35"/>
      <c r="Y601" s="35"/>
    </row>
    <row r="602" ht="15.75" customHeight="1">
      <c r="A602" s="35"/>
      <c r="B602" s="35"/>
      <c r="C602" s="35"/>
      <c r="D602" s="35"/>
      <c r="E602" s="35"/>
      <c r="F602" s="50"/>
      <c r="G602" s="35"/>
      <c r="H602" s="35"/>
      <c r="I602" s="35"/>
      <c r="J602" s="35"/>
      <c r="K602" s="35"/>
      <c r="L602" s="35"/>
      <c r="M602" s="35"/>
      <c r="N602" s="35"/>
      <c r="O602" s="35"/>
      <c r="P602" s="35"/>
      <c r="Q602" s="35"/>
      <c r="R602" s="35"/>
      <c r="S602" s="35"/>
      <c r="T602" s="35"/>
      <c r="U602" s="35"/>
      <c r="V602" s="35"/>
      <c r="W602" s="35"/>
      <c r="X602" s="35"/>
      <c r="Y602" s="35"/>
    </row>
    <row r="603" ht="15.75" customHeight="1">
      <c r="A603" s="35"/>
      <c r="B603" s="35"/>
      <c r="C603" s="35"/>
      <c r="D603" s="35"/>
      <c r="E603" s="35"/>
      <c r="F603" s="50"/>
      <c r="G603" s="35"/>
      <c r="H603" s="35"/>
      <c r="I603" s="35"/>
      <c r="J603" s="35"/>
      <c r="K603" s="35"/>
      <c r="L603" s="35"/>
      <c r="M603" s="35"/>
      <c r="N603" s="35"/>
      <c r="O603" s="35"/>
      <c r="P603" s="35"/>
      <c r="Q603" s="35"/>
      <c r="R603" s="35"/>
      <c r="S603" s="35"/>
      <c r="T603" s="35"/>
      <c r="U603" s="35"/>
      <c r="V603" s="35"/>
      <c r="W603" s="35"/>
      <c r="X603" s="35"/>
      <c r="Y603" s="35"/>
    </row>
    <row r="604" ht="15.75" customHeight="1">
      <c r="A604" s="35"/>
      <c r="B604" s="35"/>
      <c r="C604" s="35"/>
      <c r="D604" s="35"/>
      <c r="E604" s="35"/>
      <c r="F604" s="50"/>
      <c r="G604" s="35"/>
      <c r="H604" s="35"/>
      <c r="I604" s="35"/>
      <c r="J604" s="35"/>
      <c r="K604" s="35"/>
      <c r="L604" s="35"/>
      <c r="M604" s="35"/>
      <c r="N604" s="35"/>
      <c r="O604" s="35"/>
      <c r="P604" s="35"/>
      <c r="Q604" s="35"/>
      <c r="R604" s="35"/>
      <c r="S604" s="35"/>
      <c r="T604" s="35"/>
      <c r="U604" s="35"/>
      <c r="V604" s="35"/>
      <c r="W604" s="35"/>
      <c r="X604" s="35"/>
      <c r="Y604" s="35"/>
    </row>
    <row r="605" ht="15.75" customHeight="1">
      <c r="A605" s="35"/>
      <c r="B605" s="35"/>
      <c r="C605" s="35"/>
      <c r="D605" s="35"/>
      <c r="E605" s="35"/>
      <c r="F605" s="50"/>
      <c r="G605" s="35"/>
      <c r="H605" s="35"/>
      <c r="I605" s="35"/>
      <c r="J605" s="35"/>
      <c r="K605" s="35"/>
      <c r="L605" s="35"/>
      <c r="M605" s="35"/>
      <c r="N605" s="35"/>
      <c r="O605" s="35"/>
      <c r="P605" s="35"/>
      <c r="Q605" s="35"/>
      <c r="R605" s="35"/>
      <c r="S605" s="35"/>
      <c r="T605" s="35"/>
      <c r="U605" s="35"/>
      <c r="V605" s="35"/>
      <c r="W605" s="35"/>
      <c r="X605" s="35"/>
      <c r="Y605" s="35"/>
    </row>
    <row r="606" ht="15.75" customHeight="1">
      <c r="A606" s="35"/>
      <c r="B606" s="35"/>
      <c r="C606" s="35"/>
      <c r="D606" s="35"/>
      <c r="E606" s="35"/>
      <c r="F606" s="50"/>
      <c r="G606" s="35"/>
      <c r="H606" s="35"/>
      <c r="I606" s="35"/>
      <c r="J606" s="35"/>
      <c r="K606" s="35"/>
      <c r="L606" s="35"/>
      <c r="M606" s="35"/>
      <c r="N606" s="35"/>
      <c r="O606" s="35"/>
      <c r="P606" s="35"/>
      <c r="Q606" s="35"/>
      <c r="R606" s="35"/>
      <c r="S606" s="35"/>
      <c r="T606" s="35"/>
      <c r="U606" s="35"/>
      <c r="V606" s="35"/>
      <c r="W606" s="35"/>
      <c r="X606" s="35"/>
      <c r="Y606" s="35"/>
    </row>
    <row r="607" ht="15.75" customHeight="1">
      <c r="A607" s="35"/>
      <c r="B607" s="35"/>
      <c r="C607" s="35"/>
      <c r="D607" s="35"/>
      <c r="E607" s="35"/>
      <c r="F607" s="50"/>
      <c r="G607" s="35"/>
      <c r="H607" s="35"/>
      <c r="I607" s="35"/>
      <c r="J607" s="35"/>
      <c r="K607" s="35"/>
      <c r="L607" s="35"/>
      <c r="M607" s="35"/>
      <c r="N607" s="35"/>
      <c r="O607" s="35"/>
      <c r="P607" s="35"/>
      <c r="Q607" s="35"/>
      <c r="R607" s="35"/>
      <c r="S607" s="35"/>
      <c r="T607" s="35"/>
      <c r="U607" s="35"/>
      <c r="V607" s="35"/>
      <c r="W607" s="35"/>
      <c r="X607" s="35"/>
      <c r="Y607" s="35"/>
    </row>
    <row r="608" ht="15.75" customHeight="1">
      <c r="A608" s="35"/>
      <c r="B608" s="35"/>
      <c r="C608" s="35"/>
      <c r="D608" s="35"/>
      <c r="E608" s="35"/>
      <c r="F608" s="50"/>
      <c r="G608" s="35"/>
      <c r="H608" s="35"/>
      <c r="I608" s="35"/>
      <c r="J608" s="35"/>
      <c r="K608" s="35"/>
      <c r="L608" s="35"/>
      <c r="M608" s="35"/>
      <c r="N608" s="35"/>
      <c r="O608" s="35"/>
      <c r="P608" s="35"/>
      <c r="Q608" s="35"/>
      <c r="R608" s="35"/>
      <c r="S608" s="35"/>
      <c r="T608" s="35"/>
      <c r="U608" s="35"/>
      <c r="V608" s="35"/>
      <c r="W608" s="35"/>
      <c r="X608" s="35"/>
      <c r="Y608" s="35"/>
    </row>
    <row r="609" ht="15.75" customHeight="1">
      <c r="A609" s="35"/>
      <c r="B609" s="35"/>
      <c r="C609" s="35"/>
      <c r="D609" s="35"/>
      <c r="E609" s="35"/>
      <c r="F609" s="50"/>
      <c r="G609" s="35"/>
      <c r="H609" s="35"/>
      <c r="I609" s="35"/>
      <c r="J609" s="35"/>
      <c r="K609" s="35"/>
      <c r="L609" s="35"/>
      <c r="M609" s="35"/>
      <c r="N609" s="35"/>
      <c r="O609" s="35"/>
      <c r="P609" s="35"/>
      <c r="Q609" s="35"/>
      <c r="R609" s="35"/>
      <c r="S609" s="35"/>
      <c r="T609" s="35"/>
      <c r="U609" s="35"/>
      <c r="V609" s="35"/>
      <c r="W609" s="35"/>
      <c r="X609" s="35"/>
      <c r="Y609" s="35"/>
    </row>
    <row r="610" ht="15.75" customHeight="1">
      <c r="A610" s="35"/>
      <c r="B610" s="35"/>
      <c r="C610" s="35"/>
      <c r="D610" s="35"/>
      <c r="E610" s="35"/>
      <c r="F610" s="50"/>
      <c r="G610" s="35"/>
      <c r="H610" s="35"/>
      <c r="I610" s="35"/>
      <c r="J610" s="35"/>
      <c r="K610" s="35"/>
      <c r="L610" s="35"/>
      <c r="M610" s="35"/>
      <c r="N610" s="35"/>
      <c r="O610" s="35"/>
      <c r="P610" s="35"/>
      <c r="Q610" s="35"/>
      <c r="R610" s="35"/>
      <c r="S610" s="35"/>
      <c r="T610" s="35"/>
      <c r="U610" s="35"/>
      <c r="V610" s="35"/>
      <c r="W610" s="35"/>
      <c r="X610" s="35"/>
      <c r="Y610" s="35"/>
    </row>
    <row r="611" ht="15.75" customHeight="1">
      <c r="A611" s="35"/>
      <c r="B611" s="35"/>
      <c r="C611" s="35"/>
      <c r="D611" s="35"/>
      <c r="E611" s="35"/>
      <c r="F611" s="50"/>
      <c r="G611" s="35"/>
      <c r="H611" s="35"/>
      <c r="I611" s="35"/>
      <c r="J611" s="35"/>
      <c r="K611" s="35"/>
      <c r="L611" s="35"/>
      <c r="M611" s="35"/>
      <c r="N611" s="35"/>
      <c r="O611" s="35"/>
      <c r="P611" s="35"/>
      <c r="Q611" s="35"/>
      <c r="R611" s="35"/>
      <c r="S611" s="35"/>
      <c r="T611" s="35"/>
      <c r="U611" s="35"/>
      <c r="V611" s="35"/>
      <c r="W611" s="35"/>
      <c r="X611" s="35"/>
      <c r="Y611" s="35"/>
    </row>
    <row r="612" ht="15.75" customHeight="1">
      <c r="A612" s="35"/>
      <c r="B612" s="35"/>
      <c r="C612" s="35"/>
      <c r="D612" s="35"/>
      <c r="E612" s="35"/>
      <c r="F612" s="50"/>
      <c r="G612" s="35"/>
      <c r="H612" s="35"/>
      <c r="I612" s="35"/>
      <c r="J612" s="35"/>
      <c r="K612" s="35"/>
      <c r="L612" s="35"/>
      <c r="M612" s="35"/>
      <c r="N612" s="35"/>
      <c r="O612" s="35"/>
      <c r="P612" s="35"/>
      <c r="Q612" s="35"/>
      <c r="R612" s="35"/>
      <c r="S612" s="35"/>
      <c r="T612" s="35"/>
      <c r="U612" s="35"/>
      <c r="V612" s="35"/>
      <c r="W612" s="35"/>
      <c r="X612" s="35"/>
      <c r="Y612" s="35"/>
    </row>
    <row r="613" ht="15.75" customHeight="1">
      <c r="A613" s="35"/>
      <c r="B613" s="35"/>
      <c r="C613" s="35"/>
      <c r="D613" s="35"/>
      <c r="E613" s="35"/>
      <c r="F613" s="50"/>
      <c r="G613" s="35"/>
      <c r="H613" s="35"/>
      <c r="I613" s="35"/>
      <c r="J613" s="35"/>
      <c r="K613" s="35"/>
      <c r="L613" s="35"/>
      <c r="M613" s="35"/>
      <c r="N613" s="35"/>
      <c r="O613" s="35"/>
      <c r="P613" s="35"/>
      <c r="Q613" s="35"/>
      <c r="R613" s="35"/>
      <c r="S613" s="35"/>
      <c r="T613" s="35"/>
      <c r="U613" s="35"/>
      <c r="V613" s="35"/>
      <c r="W613" s="35"/>
      <c r="X613" s="35"/>
      <c r="Y613" s="35"/>
    </row>
    <row r="614" ht="15.75" customHeight="1">
      <c r="A614" s="35"/>
      <c r="B614" s="35"/>
      <c r="C614" s="35"/>
      <c r="D614" s="35"/>
      <c r="E614" s="35"/>
      <c r="F614" s="50"/>
      <c r="G614" s="35"/>
      <c r="H614" s="35"/>
      <c r="I614" s="35"/>
      <c r="J614" s="35"/>
      <c r="K614" s="35"/>
      <c r="L614" s="35"/>
      <c r="M614" s="35"/>
      <c r="N614" s="35"/>
      <c r="O614" s="35"/>
      <c r="P614" s="35"/>
      <c r="Q614" s="35"/>
      <c r="R614" s="35"/>
      <c r="S614" s="35"/>
      <c r="T614" s="35"/>
      <c r="U614" s="35"/>
      <c r="V614" s="35"/>
      <c r="W614" s="35"/>
      <c r="X614" s="35"/>
      <c r="Y614" s="35"/>
    </row>
    <row r="615" ht="15.75" customHeight="1">
      <c r="A615" s="35"/>
      <c r="B615" s="35"/>
      <c r="C615" s="35"/>
      <c r="D615" s="35"/>
      <c r="E615" s="35"/>
      <c r="F615" s="50"/>
      <c r="G615" s="35"/>
      <c r="H615" s="35"/>
      <c r="I615" s="35"/>
      <c r="J615" s="35"/>
      <c r="K615" s="35"/>
      <c r="L615" s="35"/>
      <c r="M615" s="35"/>
      <c r="N615" s="35"/>
      <c r="O615" s="35"/>
      <c r="P615" s="35"/>
      <c r="Q615" s="35"/>
      <c r="R615" s="35"/>
      <c r="S615" s="35"/>
      <c r="T615" s="35"/>
      <c r="U615" s="35"/>
      <c r="V615" s="35"/>
      <c r="W615" s="35"/>
      <c r="X615" s="35"/>
      <c r="Y615" s="35"/>
    </row>
    <row r="616" ht="15.75" customHeight="1">
      <c r="A616" s="35"/>
      <c r="B616" s="35"/>
      <c r="C616" s="35"/>
      <c r="D616" s="35"/>
      <c r="E616" s="35"/>
      <c r="F616" s="50"/>
      <c r="G616" s="35"/>
      <c r="H616" s="35"/>
      <c r="I616" s="35"/>
      <c r="J616" s="35"/>
      <c r="K616" s="35"/>
      <c r="L616" s="35"/>
      <c r="M616" s="35"/>
      <c r="N616" s="35"/>
      <c r="O616" s="35"/>
      <c r="P616" s="35"/>
      <c r="Q616" s="35"/>
      <c r="R616" s="35"/>
      <c r="S616" s="35"/>
      <c r="T616" s="35"/>
      <c r="U616" s="35"/>
      <c r="V616" s="35"/>
      <c r="W616" s="35"/>
      <c r="X616" s="35"/>
      <c r="Y616" s="35"/>
    </row>
    <row r="617" ht="15.75" customHeight="1">
      <c r="A617" s="35"/>
      <c r="B617" s="35"/>
      <c r="C617" s="35"/>
      <c r="D617" s="35"/>
      <c r="E617" s="35"/>
      <c r="F617" s="50"/>
      <c r="G617" s="35"/>
      <c r="H617" s="35"/>
      <c r="I617" s="35"/>
      <c r="J617" s="35"/>
      <c r="K617" s="35"/>
      <c r="L617" s="35"/>
      <c r="M617" s="35"/>
      <c r="N617" s="35"/>
      <c r="O617" s="35"/>
      <c r="P617" s="35"/>
      <c r="Q617" s="35"/>
      <c r="R617" s="35"/>
      <c r="S617" s="35"/>
      <c r="T617" s="35"/>
      <c r="U617" s="35"/>
      <c r="V617" s="35"/>
      <c r="W617" s="35"/>
      <c r="X617" s="35"/>
      <c r="Y617" s="35"/>
    </row>
    <row r="618" ht="15.75" customHeight="1">
      <c r="A618" s="35"/>
      <c r="B618" s="35"/>
      <c r="C618" s="35"/>
      <c r="D618" s="35"/>
      <c r="E618" s="35"/>
      <c r="F618" s="50"/>
      <c r="G618" s="35"/>
      <c r="H618" s="35"/>
      <c r="I618" s="35"/>
      <c r="J618" s="35"/>
      <c r="K618" s="35"/>
      <c r="L618" s="35"/>
      <c r="M618" s="35"/>
      <c r="N618" s="35"/>
      <c r="O618" s="35"/>
      <c r="P618" s="35"/>
      <c r="Q618" s="35"/>
      <c r="R618" s="35"/>
      <c r="S618" s="35"/>
      <c r="T618" s="35"/>
      <c r="U618" s="35"/>
      <c r="V618" s="35"/>
      <c r="W618" s="35"/>
      <c r="X618" s="35"/>
      <c r="Y618" s="35"/>
    </row>
    <row r="619" ht="15.75" customHeight="1">
      <c r="A619" s="35"/>
      <c r="B619" s="35"/>
      <c r="C619" s="35"/>
      <c r="D619" s="35"/>
      <c r="E619" s="35"/>
      <c r="F619" s="50"/>
      <c r="G619" s="35"/>
      <c r="H619" s="35"/>
      <c r="I619" s="35"/>
      <c r="J619" s="35"/>
      <c r="K619" s="35"/>
      <c r="L619" s="35"/>
      <c r="M619" s="35"/>
      <c r="N619" s="35"/>
      <c r="O619" s="35"/>
      <c r="P619" s="35"/>
      <c r="Q619" s="35"/>
      <c r="R619" s="35"/>
      <c r="S619" s="35"/>
      <c r="T619" s="35"/>
      <c r="U619" s="35"/>
      <c r="V619" s="35"/>
      <c r="W619" s="35"/>
      <c r="X619" s="35"/>
      <c r="Y619" s="35"/>
    </row>
    <row r="620" ht="15.75" customHeight="1">
      <c r="A620" s="35"/>
      <c r="B620" s="35"/>
      <c r="C620" s="35"/>
      <c r="D620" s="35"/>
      <c r="E620" s="35"/>
      <c r="F620" s="50"/>
      <c r="G620" s="35"/>
      <c r="H620" s="35"/>
      <c r="I620" s="35"/>
      <c r="J620" s="35"/>
      <c r="K620" s="35"/>
      <c r="L620" s="35"/>
      <c r="M620" s="35"/>
      <c r="N620" s="35"/>
      <c r="O620" s="35"/>
      <c r="P620" s="35"/>
      <c r="Q620" s="35"/>
      <c r="R620" s="35"/>
      <c r="S620" s="35"/>
      <c r="T620" s="35"/>
      <c r="U620" s="35"/>
      <c r="V620" s="35"/>
      <c r="W620" s="35"/>
      <c r="X620" s="35"/>
      <c r="Y620" s="35"/>
    </row>
    <row r="621" ht="15.75" customHeight="1">
      <c r="A621" s="35"/>
      <c r="B621" s="35"/>
      <c r="C621" s="35"/>
      <c r="D621" s="35"/>
      <c r="E621" s="35"/>
      <c r="F621" s="50"/>
      <c r="G621" s="35"/>
      <c r="H621" s="35"/>
      <c r="I621" s="35"/>
      <c r="J621" s="35"/>
      <c r="K621" s="35"/>
      <c r="L621" s="35"/>
      <c r="M621" s="35"/>
      <c r="N621" s="35"/>
      <c r="O621" s="35"/>
      <c r="P621" s="35"/>
      <c r="Q621" s="35"/>
      <c r="R621" s="35"/>
      <c r="S621" s="35"/>
      <c r="T621" s="35"/>
      <c r="U621" s="35"/>
      <c r="V621" s="35"/>
      <c r="W621" s="35"/>
      <c r="X621" s="35"/>
      <c r="Y621" s="35"/>
    </row>
    <row r="622" ht="15.75" customHeight="1">
      <c r="A622" s="35"/>
      <c r="B622" s="35"/>
      <c r="C622" s="35"/>
      <c r="D622" s="35"/>
      <c r="E622" s="35"/>
      <c r="F622" s="50"/>
      <c r="G622" s="35"/>
      <c r="H622" s="35"/>
      <c r="I622" s="35"/>
      <c r="J622" s="35"/>
      <c r="K622" s="35"/>
      <c r="L622" s="35"/>
      <c r="M622" s="35"/>
      <c r="N622" s="35"/>
      <c r="O622" s="35"/>
      <c r="P622" s="35"/>
      <c r="Q622" s="35"/>
      <c r="R622" s="35"/>
      <c r="S622" s="35"/>
      <c r="T622" s="35"/>
      <c r="U622" s="35"/>
      <c r="V622" s="35"/>
      <c r="W622" s="35"/>
      <c r="X622" s="35"/>
      <c r="Y622" s="35"/>
    </row>
    <row r="623" ht="15.75" customHeight="1">
      <c r="A623" s="35"/>
      <c r="B623" s="35"/>
      <c r="C623" s="35"/>
      <c r="D623" s="35"/>
      <c r="E623" s="35"/>
      <c r="F623" s="50"/>
      <c r="G623" s="35"/>
      <c r="H623" s="35"/>
      <c r="I623" s="35"/>
      <c r="J623" s="35"/>
      <c r="K623" s="35"/>
      <c r="L623" s="35"/>
      <c r="M623" s="35"/>
      <c r="N623" s="35"/>
      <c r="O623" s="35"/>
      <c r="P623" s="35"/>
      <c r="Q623" s="35"/>
      <c r="R623" s="35"/>
      <c r="S623" s="35"/>
      <c r="T623" s="35"/>
      <c r="U623" s="35"/>
      <c r="V623" s="35"/>
      <c r="W623" s="35"/>
      <c r="X623" s="35"/>
      <c r="Y623" s="35"/>
    </row>
    <row r="624" ht="15.75" customHeight="1">
      <c r="A624" s="35"/>
      <c r="B624" s="35"/>
      <c r="C624" s="35"/>
      <c r="D624" s="35"/>
      <c r="E624" s="35"/>
      <c r="F624" s="50"/>
      <c r="G624" s="35"/>
      <c r="H624" s="35"/>
      <c r="I624" s="35"/>
      <c r="J624" s="35"/>
      <c r="K624" s="35"/>
      <c r="L624" s="35"/>
      <c r="M624" s="35"/>
      <c r="N624" s="35"/>
      <c r="O624" s="35"/>
      <c r="P624" s="35"/>
      <c r="Q624" s="35"/>
      <c r="R624" s="35"/>
      <c r="S624" s="35"/>
      <c r="T624" s="35"/>
      <c r="U624" s="35"/>
      <c r="V624" s="35"/>
      <c r="W624" s="35"/>
      <c r="X624" s="35"/>
      <c r="Y624" s="35"/>
    </row>
    <row r="625" ht="15.75" customHeight="1">
      <c r="A625" s="35"/>
      <c r="B625" s="35"/>
      <c r="C625" s="35"/>
      <c r="D625" s="35"/>
      <c r="E625" s="35"/>
      <c r="F625" s="50"/>
      <c r="G625" s="35"/>
      <c r="H625" s="35"/>
      <c r="I625" s="35"/>
      <c r="J625" s="35"/>
      <c r="K625" s="35"/>
      <c r="L625" s="35"/>
      <c r="M625" s="35"/>
      <c r="N625" s="35"/>
      <c r="O625" s="35"/>
      <c r="P625" s="35"/>
      <c r="Q625" s="35"/>
      <c r="R625" s="35"/>
      <c r="S625" s="35"/>
      <c r="T625" s="35"/>
      <c r="U625" s="35"/>
      <c r="V625" s="35"/>
      <c r="W625" s="35"/>
      <c r="X625" s="35"/>
      <c r="Y625" s="35"/>
    </row>
    <row r="626" ht="15.75" customHeight="1">
      <c r="A626" s="35"/>
      <c r="B626" s="35"/>
      <c r="C626" s="35"/>
      <c r="D626" s="35"/>
      <c r="E626" s="35"/>
      <c r="F626" s="50"/>
      <c r="G626" s="35"/>
      <c r="H626" s="35"/>
      <c r="I626" s="35"/>
      <c r="J626" s="35"/>
      <c r="K626" s="35"/>
      <c r="L626" s="35"/>
      <c r="M626" s="35"/>
      <c r="N626" s="35"/>
      <c r="O626" s="35"/>
      <c r="P626" s="35"/>
      <c r="Q626" s="35"/>
      <c r="R626" s="35"/>
      <c r="S626" s="35"/>
      <c r="T626" s="35"/>
      <c r="U626" s="35"/>
      <c r="V626" s="35"/>
      <c r="W626" s="35"/>
      <c r="X626" s="35"/>
      <c r="Y626" s="35"/>
    </row>
    <row r="627" ht="15.75" customHeight="1">
      <c r="A627" s="35"/>
      <c r="B627" s="35"/>
      <c r="C627" s="35"/>
      <c r="D627" s="35"/>
      <c r="E627" s="35"/>
      <c r="F627" s="50"/>
      <c r="G627" s="35"/>
      <c r="H627" s="35"/>
      <c r="I627" s="35"/>
      <c r="J627" s="35"/>
      <c r="K627" s="35"/>
      <c r="L627" s="35"/>
      <c r="M627" s="35"/>
      <c r="N627" s="35"/>
      <c r="O627" s="35"/>
      <c r="P627" s="35"/>
      <c r="Q627" s="35"/>
      <c r="R627" s="35"/>
      <c r="S627" s="35"/>
      <c r="T627" s="35"/>
      <c r="U627" s="35"/>
      <c r="V627" s="35"/>
      <c r="W627" s="35"/>
      <c r="X627" s="35"/>
      <c r="Y627" s="35"/>
    </row>
    <row r="628" ht="15.75" customHeight="1">
      <c r="A628" s="35"/>
      <c r="B628" s="35"/>
      <c r="C628" s="35"/>
      <c r="D628" s="35"/>
      <c r="E628" s="35"/>
      <c r="F628" s="50"/>
      <c r="G628" s="35"/>
      <c r="H628" s="35"/>
      <c r="I628" s="35"/>
      <c r="J628" s="35"/>
      <c r="K628" s="35"/>
      <c r="L628" s="35"/>
      <c r="M628" s="35"/>
      <c r="N628" s="35"/>
      <c r="O628" s="35"/>
      <c r="P628" s="35"/>
      <c r="Q628" s="35"/>
      <c r="R628" s="35"/>
      <c r="S628" s="35"/>
      <c r="T628" s="35"/>
      <c r="U628" s="35"/>
      <c r="V628" s="35"/>
      <c r="W628" s="35"/>
      <c r="X628" s="35"/>
      <c r="Y628" s="35"/>
    </row>
    <row r="629" ht="15.75" customHeight="1">
      <c r="A629" s="35"/>
      <c r="B629" s="35"/>
      <c r="C629" s="35"/>
      <c r="D629" s="35"/>
      <c r="E629" s="35"/>
      <c r="F629" s="50"/>
      <c r="G629" s="35"/>
      <c r="H629" s="35"/>
      <c r="I629" s="35"/>
      <c r="J629" s="35"/>
      <c r="K629" s="35"/>
      <c r="L629" s="35"/>
      <c r="M629" s="35"/>
      <c r="N629" s="35"/>
      <c r="O629" s="35"/>
      <c r="P629" s="35"/>
      <c r="Q629" s="35"/>
      <c r="R629" s="35"/>
      <c r="S629" s="35"/>
      <c r="T629" s="35"/>
      <c r="U629" s="35"/>
      <c r="V629" s="35"/>
      <c r="W629" s="35"/>
      <c r="X629" s="35"/>
      <c r="Y629" s="35"/>
    </row>
    <row r="630" ht="15.75" customHeight="1">
      <c r="A630" s="35"/>
      <c r="B630" s="35"/>
      <c r="C630" s="35"/>
      <c r="D630" s="35"/>
      <c r="E630" s="35"/>
      <c r="F630" s="50"/>
      <c r="G630" s="35"/>
      <c r="H630" s="35"/>
      <c r="I630" s="35"/>
      <c r="J630" s="35"/>
      <c r="K630" s="35"/>
      <c r="L630" s="35"/>
      <c r="M630" s="35"/>
      <c r="N630" s="35"/>
      <c r="O630" s="35"/>
      <c r="P630" s="35"/>
      <c r="Q630" s="35"/>
      <c r="R630" s="35"/>
      <c r="S630" s="35"/>
      <c r="T630" s="35"/>
      <c r="U630" s="35"/>
      <c r="V630" s="35"/>
      <c r="W630" s="35"/>
      <c r="X630" s="35"/>
      <c r="Y630" s="35"/>
    </row>
    <row r="631" ht="15.75" customHeight="1">
      <c r="A631" s="35"/>
      <c r="B631" s="35"/>
      <c r="C631" s="35"/>
      <c r="D631" s="35"/>
      <c r="E631" s="35"/>
      <c r="F631" s="50"/>
      <c r="G631" s="35"/>
      <c r="H631" s="35"/>
      <c r="I631" s="35"/>
      <c r="J631" s="35"/>
      <c r="K631" s="35"/>
      <c r="L631" s="35"/>
      <c r="M631" s="35"/>
      <c r="N631" s="35"/>
      <c r="O631" s="35"/>
      <c r="P631" s="35"/>
      <c r="Q631" s="35"/>
      <c r="R631" s="35"/>
      <c r="S631" s="35"/>
      <c r="T631" s="35"/>
      <c r="U631" s="35"/>
      <c r="V631" s="35"/>
      <c r="W631" s="35"/>
      <c r="X631" s="35"/>
      <c r="Y631" s="35"/>
    </row>
    <row r="632" ht="15.75" customHeight="1">
      <c r="A632" s="35"/>
      <c r="B632" s="35"/>
      <c r="C632" s="35"/>
      <c r="D632" s="35"/>
      <c r="E632" s="35"/>
      <c r="F632" s="50"/>
      <c r="G632" s="35"/>
      <c r="H632" s="35"/>
      <c r="I632" s="35"/>
      <c r="J632" s="35"/>
      <c r="K632" s="35"/>
      <c r="L632" s="35"/>
      <c r="M632" s="35"/>
      <c r="N632" s="35"/>
      <c r="O632" s="35"/>
      <c r="P632" s="35"/>
      <c r="Q632" s="35"/>
      <c r="R632" s="35"/>
      <c r="S632" s="35"/>
      <c r="T632" s="35"/>
      <c r="U632" s="35"/>
      <c r="V632" s="35"/>
      <c r="W632" s="35"/>
      <c r="X632" s="35"/>
      <c r="Y632" s="35"/>
    </row>
    <row r="633" ht="15.75" customHeight="1">
      <c r="A633" s="35"/>
      <c r="B633" s="35"/>
      <c r="C633" s="35"/>
      <c r="D633" s="35"/>
      <c r="E633" s="35"/>
      <c r="F633" s="50"/>
      <c r="G633" s="35"/>
      <c r="H633" s="35"/>
      <c r="I633" s="35"/>
      <c r="J633" s="35"/>
      <c r="K633" s="35"/>
      <c r="L633" s="35"/>
      <c r="M633" s="35"/>
      <c r="N633" s="35"/>
      <c r="O633" s="35"/>
      <c r="P633" s="35"/>
      <c r="Q633" s="35"/>
      <c r="R633" s="35"/>
      <c r="S633" s="35"/>
      <c r="T633" s="35"/>
      <c r="U633" s="35"/>
      <c r="V633" s="35"/>
      <c r="W633" s="35"/>
      <c r="X633" s="35"/>
      <c r="Y633" s="35"/>
    </row>
    <row r="634" ht="15.75" customHeight="1">
      <c r="A634" s="35"/>
      <c r="B634" s="35"/>
      <c r="C634" s="35"/>
      <c r="D634" s="35"/>
      <c r="E634" s="35"/>
      <c r="F634" s="50"/>
      <c r="G634" s="35"/>
      <c r="H634" s="35"/>
      <c r="I634" s="35"/>
      <c r="J634" s="35"/>
      <c r="K634" s="35"/>
      <c r="L634" s="35"/>
      <c r="M634" s="35"/>
      <c r="N634" s="35"/>
      <c r="O634" s="35"/>
      <c r="P634" s="35"/>
      <c r="Q634" s="35"/>
      <c r="R634" s="35"/>
      <c r="S634" s="35"/>
      <c r="T634" s="35"/>
      <c r="U634" s="35"/>
      <c r="V634" s="35"/>
      <c r="W634" s="35"/>
      <c r="X634" s="35"/>
      <c r="Y634" s="35"/>
    </row>
    <row r="635" ht="15.75" customHeight="1">
      <c r="A635" s="35"/>
      <c r="B635" s="35"/>
      <c r="C635" s="35"/>
      <c r="D635" s="35"/>
      <c r="E635" s="35"/>
      <c r="F635" s="50"/>
      <c r="G635" s="35"/>
      <c r="H635" s="35"/>
      <c r="I635" s="35"/>
      <c r="J635" s="35"/>
      <c r="K635" s="35"/>
      <c r="L635" s="35"/>
      <c r="M635" s="35"/>
      <c r="N635" s="35"/>
      <c r="O635" s="35"/>
      <c r="P635" s="35"/>
      <c r="Q635" s="35"/>
      <c r="R635" s="35"/>
      <c r="S635" s="35"/>
      <c r="T635" s="35"/>
      <c r="U635" s="35"/>
      <c r="V635" s="35"/>
      <c r="W635" s="35"/>
      <c r="X635" s="35"/>
      <c r="Y635" s="35"/>
    </row>
    <row r="636" ht="15.75" customHeight="1">
      <c r="A636" s="35"/>
      <c r="B636" s="35"/>
      <c r="C636" s="35"/>
      <c r="D636" s="35"/>
      <c r="E636" s="35"/>
      <c r="F636" s="50"/>
      <c r="G636" s="35"/>
      <c r="H636" s="35"/>
      <c r="I636" s="35"/>
      <c r="J636" s="35"/>
      <c r="K636" s="35"/>
      <c r="L636" s="35"/>
      <c r="M636" s="35"/>
      <c r="N636" s="35"/>
      <c r="O636" s="35"/>
      <c r="P636" s="35"/>
      <c r="Q636" s="35"/>
      <c r="R636" s="35"/>
      <c r="S636" s="35"/>
      <c r="T636" s="35"/>
      <c r="U636" s="35"/>
      <c r="V636" s="35"/>
      <c r="W636" s="35"/>
      <c r="X636" s="35"/>
      <c r="Y636" s="35"/>
    </row>
    <row r="637" ht="15.75" customHeight="1">
      <c r="A637" s="35"/>
      <c r="B637" s="35"/>
      <c r="C637" s="35"/>
      <c r="D637" s="35"/>
      <c r="E637" s="35"/>
      <c r="F637" s="50"/>
      <c r="G637" s="35"/>
      <c r="H637" s="35"/>
      <c r="I637" s="35"/>
      <c r="J637" s="35"/>
      <c r="K637" s="35"/>
      <c r="L637" s="35"/>
      <c r="M637" s="35"/>
      <c r="N637" s="35"/>
      <c r="O637" s="35"/>
      <c r="P637" s="35"/>
      <c r="Q637" s="35"/>
      <c r="R637" s="35"/>
      <c r="S637" s="35"/>
      <c r="T637" s="35"/>
      <c r="U637" s="35"/>
      <c r="V637" s="35"/>
      <c r="W637" s="35"/>
      <c r="X637" s="35"/>
      <c r="Y637" s="35"/>
    </row>
    <row r="638" ht="15.75" customHeight="1">
      <c r="A638" s="35"/>
      <c r="B638" s="35"/>
      <c r="C638" s="35"/>
      <c r="D638" s="35"/>
      <c r="E638" s="35"/>
      <c r="F638" s="50"/>
      <c r="G638" s="35"/>
      <c r="H638" s="35"/>
      <c r="I638" s="35"/>
      <c r="J638" s="35"/>
      <c r="K638" s="35"/>
      <c r="L638" s="35"/>
      <c r="M638" s="35"/>
      <c r="N638" s="35"/>
      <c r="O638" s="35"/>
      <c r="P638" s="35"/>
      <c r="Q638" s="35"/>
      <c r="R638" s="35"/>
      <c r="S638" s="35"/>
      <c r="T638" s="35"/>
      <c r="U638" s="35"/>
      <c r="V638" s="35"/>
      <c r="W638" s="35"/>
      <c r="X638" s="35"/>
      <c r="Y638" s="35"/>
    </row>
    <row r="639" ht="15.75" customHeight="1">
      <c r="A639" s="35"/>
      <c r="B639" s="35"/>
      <c r="C639" s="35"/>
      <c r="D639" s="35"/>
      <c r="E639" s="35"/>
      <c r="F639" s="50"/>
      <c r="G639" s="35"/>
      <c r="H639" s="35"/>
      <c r="I639" s="35"/>
      <c r="J639" s="35"/>
      <c r="K639" s="35"/>
      <c r="L639" s="35"/>
      <c r="M639" s="35"/>
      <c r="N639" s="35"/>
      <c r="O639" s="35"/>
      <c r="P639" s="35"/>
      <c r="Q639" s="35"/>
      <c r="R639" s="35"/>
      <c r="S639" s="35"/>
      <c r="T639" s="35"/>
      <c r="U639" s="35"/>
      <c r="V639" s="35"/>
      <c r="W639" s="35"/>
      <c r="X639" s="35"/>
      <c r="Y639" s="35"/>
    </row>
    <row r="640" ht="15.75" customHeight="1">
      <c r="A640" s="35"/>
      <c r="B640" s="35"/>
      <c r="C640" s="35"/>
      <c r="D640" s="35"/>
      <c r="E640" s="35"/>
      <c r="F640" s="50"/>
      <c r="G640" s="35"/>
      <c r="H640" s="35"/>
      <c r="I640" s="35"/>
      <c r="J640" s="35"/>
      <c r="K640" s="35"/>
      <c r="L640" s="35"/>
      <c r="M640" s="35"/>
      <c r="N640" s="35"/>
      <c r="O640" s="35"/>
      <c r="P640" s="35"/>
      <c r="Q640" s="35"/>
      <c r="R640" s="35"/>
      <c r="S640" s="35"/>
      <c r="T640" s="35"/>
      <c r="U640" s="35"/>
      <c r="V640" s="35"/>
      <c r="W640" s="35"/>
      <c r="X640" s="35"/>
      <c r="Y640" s="35"/>
    </row>
    <row r="641" ht="15.75" customHeight="1">
      <c r="A641" s="35"/>
      <c r="B641" s="35"/>
      <c r="C641" s="35"/>
      <c r="D641" s="35"/>
      <c r="E641" s="35"/>
      <c r="F641" s="50"/>
      <c r="G641" s="35"/>
      <c r="H641" s="35"/>
      <c r="I641" s="35"/>
      <c r="J641" s="35"/>
      <c r="K641" s="35"/>
      <c r="L641" s="35"/>
      <c r="M641" s="35"/>
      <c r="N641" s="35"/>
      <c r="O641" s="35"/>
      <c r="P641" s="35"/>
      <c r="Q641" s="35"/>
      <c r="R641" s="35"/>
      <c r="S641" s="35"/>
      <c r="T641" s="35"/>
      <c r="U641" s="35"/>
      <c r="V641" s="35"/>
      <c r="W641" s="35"/>
      <c r="X641" s="35"/>
      <c r="Y641" s="35"/>
    </row>
    <row r="642" ht="15.75" customHeight="1">
      <c r="A642" s="35"/>
      <c r="B642" s="35"/>
      <c r="C642" s="35"/>
      <c r="D642" s="35"/>
      <c r="E642" s="35"/>
      <c r="F642" s="50"/>
      <c r="G642" s="35"/>
      <c r="H642" s="35"/>
      <c r="I642" s="35"/>
      <c r="J642" s="35"/>
      <c r="K642" s="35"/>
      <c r="L642" s="35"/>
      <c r="M642" s="35"/>
      <c r="N642" s="35"/>
      <c r="O642" s="35"/>
      <c r="P642" s="35"/>
      <c r="Q642" s="35"/>
      <c r="R642" s="35"/>
      <c r="S642" s="35"/>
      <c r="T642" s="35"/>
      <c r="U642" s="35"/>
      <c r="V642" s="35"/>
      <c r="W642" s="35"/>
      <c r="X642" s="35"/>
      <c r="Y642" s="35"/>
    </row>
    <row r="643" ht="15.75" customHeight="1">
      <c r="A643" s="35"/>
      <c r="B643" s="35"/>
      <c r="C643" s="35"/>
      <c r="D643" s="35"/>
      <c r="E643" s="35"/>
      <c r="F643" s="50"/>
      <c r="G643" s="35"/>
      <c r="H643" s="35"/>
      <c r="I643" s="35"/>
      <c r="J643" s="35"/>
      <c r="K643" s="35"/>
      <c r="L643" s="35"/>
      <c r="M643" s="35"/>
      <c r="N643" s="35"/>
      <c r="O643" s="35"/>
      <c r="P643" s="35"/>
      <c r="Q643" s="35"/>
      <c r="R643" s="35"/>
      <c r="S643" s="35"/>
      <c r="T643" s="35"/>
      <c r="U643" s="35"/>
      <c r="V643" s="35"/>
      <c r="W643" s="35"/>
      <c r="X643" s="35"/>
      <c r="Y643" s="35"/>
    </row>
    <row r="644" ht="15.75" customHeight="1">
      <c r="A644" s="35"/>
      <c r="B644" s="35"/>
      <c r="C644" s="35"/>
      <c r="D644" s="35"/>
      <c r="E644" s="35"/>
      <c r="F644" s="50"/>
      <c r="G644" s="35"/>
      <c r="H644" s="35"/>
      <c r="I644" s="35"/>
      <c r="J644" s="35"/>
      <c r="K644" s="35"/>
      <c r="L644" s="35"/>
      <c r="M644" s="35"/>
      <c r="N644" s="35"/>
      <c r="O644" s="35"/>
      <c r="P644" s="35"/>
      <c r="Q644" s="35"/>
      <c r="R644" s="35"/>
      <c r="S644" s="35"/>
      <c r="T644" s="35"/>
      <c r="U644" s="35"/>
      <c r="V644" s="35"/>
      <c r="W644" s="35"/>
      <c r="X644" s="35"/>
      <c r="Y644" s="35"/>
    </row>
    <row r="645" ht="15.75" customHeight="1">
      <c r="A645" s="35"/>
      <c r="B645" s="35"/>
      <c r="C645" s="35"/>
      <c r="D645" s="35"/>
      <c r="E645" s="35"/>
      <c r="F645" s="50"/>
      <c r="G645" s="35"/>
      <c r="H645" s="35"/>
      <c r="I645" s="35"/>
      <c r="J645" s="35"/>
      <c r="K645" s="35"/>
      <c r="L645" s="35"/>
      <c r="M645" s="35"/>
      <c r="N645" s="35"/>
      <c r="O645" s="35"/>
      <c r="P645" s="35"/>
      <c r="Q645" s="35"/>
      <c r="R645" s="35"/>
      <c r="S645" s="35"/>
      <c r="T645" s="35"/>
      <c r="U645" s="35"/>
      <c r="V645" s="35"/>
      <c r="W645" s="35"/>
      <c r="X645" s="35"/>
      <c r="Y645" s="35"/>
    </row>
    <row r="646" ht="15.75" customHeight="1">
      <c r="A646" s="35"/>
      <c r="B646" s="35"/>
      <c r="C646" s="35"/>
      <c r="D646" s="35"/>
      <c r="E646" s="35"/>
      <c r="F646" s="50"/>
      <c r="G646" s="35"/>
      <c r="H646" s="35"/>
      <c r="I646" s="35"/>
      <c r="J646" s="35"/>
      <c r="K646" s="35"/>
      <c r="L646" s="35"/>
      <c r="M646" s="35"/>
      <c r="N646" s="35"/>
      <c r="O646" s="35"/>
      <c r="P646" s="35"/>
      <c r="Q646" s="35"/>
      <c r="R646" s="35"/>
      <c r="S646" s="35"/>
      <c r="T646" s="35"/>
      <c r="U646" s="35"/>
      <c r="V646" s="35"/>
      <c r="W646" s="35"/>
      <c r="X646" s="35"/>
      <c r="Y646" s="35"/>
    </row>
    <row r="647" ht="15.75" customHeight="1">
      <c r="A647" s="35"/>
      <c r="B647" s="35"/>
      <c r="C647" s="35"/>
      <c r="D647" s="35"/>
      <c r="E647" s="35"/>
      <c r="F647" s="50"/>
      <c r="G647" s="35"/>
      <c r="H647" s="35"/>
      <c r="I647" s="35"/>
      <c r="J647" s="35"/>
      <c r="K647" s="35"/>
      <c r="L647" s="35"/>
      <c r="M647" s="35"/>
      <c r="N647" s="35"/>
      <c r="O647" s="35"/>
      <c r="P647" s="35"/>
      <c r="Q647" s="35"/>
      <c r="R647" s="35"/>
      <c r="S647" s="35"/>
      <c r="T647" s="35"/>
      <c r="U647" s="35"/>
      <c r="V647" s="35"/>
      <c r="W647" s="35"/>
      <c r="X647" s="35"/>
      <c r="Y647" s="35"/>
    </row>
    <row r="648" ht="15.75" customHeight="1">
      <c r="A648" s="35"/>
      <c r="B648" s="35"/>
      <c r="C648" s="35"/>
      <c r="D648" s="35"/>
      <c r="E648" s="35"/>
      <c r="F648" s="50"/>
      <c r="G648" s="35"/>
      <c r="H648" s="35"/>
      <c r="I648" s="35"/>
      <c r="J648" s="35"/>
      <c r="K648" s="35"/>
      <c r="L648" s="35"/>
      <c r="M648" s="35"/>
      <c r="N648" s="35"/>
      <c r="O648" s="35"/>
      <c r="P648" s="35"/>
      <c r="Q648" s="35"/>
      <c r="R648" s="35"/>
      <c r="S648" s="35"/>
      <c r="T648" s="35"/>
      <c r="U648" s="35"/>
      <c r="V648" s="35"/>
      <c r="W648" s="35"/>
      <c r="X648" s="35"/>
      <c r="Y648" s="35"/>
    </row>
    <row r="649" ht="15.75" customHeight="1">
      <c r="A649" s="35"/>
      <c r="B649" s="35"/>
      <c r="C649" s="35"/>
      <c r="D649" s="35"/>
      <c r="E649" s="35"/>
      <c r="F649" s="50"/>
      <c r="G649" s="35"/>
      <c r="H649" s="35"/>
      <c r="I649" s="35"/>
      <c r="J649" s="35"/>
      <c r="K649" s="35"/>
      <c r="L649" s="35"/>
      <c r="M649" s="35"/>
      <c r="N649" s="35"/>
      <c r="O649" s="35"/>
      <c r="P649" s="35"/>
      <c r="Q649" s="35"/>
      <c r="R649" s="35"/>
      <c r="S649" s="35"/>
      <c r="T649" s="35"/>
      <c r="U649" s="35"/>
      <c r="V649" s="35"/>
      <c r="W649" s="35"/>
      <c r="X649" s="35"/>
      <c r="Y649" s="35"/>
    </row>
    <row r="650" ht="15.75" customHeight="1">
      <c r="A650" s="35"/>
      <c r="B650" s="35"/>
      <c r="C650" s="35"/>
      <c r="D650" s="35"/>
      <c r="E650" s="35"/>
      <c r="F650" s="50"/>
      <c r="G650" s="35"/>
      <c r="H650" s="35"/>
      <c r="I650" s="35"/>
      <c r="J650" s="35"/>
      <c r="K650" s="35"/>
      <c r="L650" s="35"/>
      <c r="M650" s="35"/>
      <c r="N650" s="35"/>
      <c r="O650" s="35"/>
      <c r="P650" s="35"/>
      <c r="Q650" s="35"/>
      <c r="R650" s="35"/>
      <c r="S650" s="35"/>
      <c r="T650" s="35"/>
      <c r="U650" s="35"/>
      <c r="V650" s="35"/>
      <c r="W650" s="35"/>
      <c r="X650" s="35"/>
      <c r="Y650" s="35"/>
    </row>
    <row r="651" ht="15.75" customHeight="1">
      <c r="A651" s="35"/>
      <c r="B651" s="35"/>
      <c r="C651" s="35"/>
      <c r="D651" s="35"/>
      <c r="E651" s="35"/>
      <c r="F651" s="50"/>
      <c r="G651" s="35"/>
      <c r="H651" s="35"/>
      <c r="I651" s="35"/>
      <c r="J651" s="35"/>
      <c r="K651" s="35"/>
      <c r="L651" s="35"/>
      <c r="M651" s="35"/>
      <c r="N651" s="35"/>
      <c r="O651" s="35"/>
      <c r="P651" s="35"/>
      <c r="Q651" s="35"/>
      <c r="R651" s="35"/>
      <c r="S651" s="35"/>
      <c r="T651" s="35"/>
      <c r="U651" s="35"/>
      <c r="V651" s="35"/>
      <c r="W651" s="35"/>
      <c r="X651" s="35"/>
      <c r="Y651" s="35"/>
    </row>
    <row r="652" ht="15.75" customHeight="1">
      <c r="A652" s="35"/>
      <c r="B652" s="35"/>
      <c r="C652" s="35"/>
      <c r="D652" s="35"/>
      <c r="E652" s="35"/>
      <c r="F652" s="50"/>
      <c r="G652" s="35"/>
      <c r="H652" s="35"/>
      <c r="I652" s="35"/>
      <c r="J652" s="35"/>
      <c r="K652" s="35"/>
      <c r="L652" s="35"/>
      <c r="M652" s="35"/>
      <c r="N652" s="35"/>
      <c r="O652" s="35"/>
      <c r="P652" s="35"/>
      <c r="Q652" s="35"/>
      <c r="R652" s="35"/>
      <c r="S652" s="35"/>
      <c r="T652" s="35"/>
      <c r="U652" s="35"/>
      <c r="V652" s="35"/>
      <c r="W652" s="35"/>
      <c r="X652" s="35"/>
      <c r="Y652" s="35"/>
    </row>
    <row r="653" ht="15.75" customHeight="1">
      <c r="A653" s="35"/>
      <c r="B653" s="35"/>
      <c r="C653" s="35"/>
      <c r="D653" s="35"/>
      <c r="E653" s="35"/>
      <c r="F653" s="50"/>
      <c r="G653" s="35"/>
      <c r="H653" s="35"/>
      <c r="I653" s="35"/>
      <c r="J653" s="35"/>
      <c r="K653" s="35"/>
      <c r="L653" s="35"/>
      <c r="M653" s="35"/>
      <c r="N653" s="35"/>
      <c r="O653" s="35"/>
      <c r="P653" s="35"/>
      <c r="Q653" s="35"/>
      <c r="R653" s="35"/>
      <c r="S653" s="35"/>
      <c r="T653" s="35"/>
      <c r="U653" s="35"/>
      <c r="V653" s="35"/>
      <c r="W653" s="35"/>
      <c r="X653" s="35"/>
      <c r="Y653" s="35"/>
    </row>
    <row r="654" ht="15.75" customHeight="1">
      <c r="A654" s="35"/>
      <c r="B654" s="35"/>
      <c r="C654" s="35"/>
      <c r="D654" s="35"/>
      <c r="E654" s="35"/>
      <c r="F654" s="50"/>
      <c r="G654" s="35"/>
      <c r="H654" s="35"/>
      <c r="I654" s="35"/>
      <c r="J654" s="35"/>
      <c r="K654" s="35"/>
      <c r="L654" s="35"/>
      <c r="M654" s="35"/>
      <c r="N654" s="35"/>
      <c r="O654" s="35"/>
      <c r="P654" s="35"/>
      <c r="Q654" s="35"/>
      <c r="R654" s="35"/>
      <c r="S654" s="35"/>
      <c r="T654" s="35"/>
      <c r="U654" s="35"/>
      <c r="V654" s="35"/>
      <c r="W654" s="35"/>
      <c r="X654" s="35"/>
      <c r="Y654" s="35"/>
    </row>
    <row r="655" ht="15.75" customHeight="1">
      <c r="A655" s="35"/>
      <c r="B655" s="35"/>
      <c r="C655" s="35"/>
      <c r="D655" s="35"/>
      <c r="E655" s="35"/>
      <c r="F655" s="50"/>
      <c r="G655" s="35"/>
      <c r="H655" s="35"/>
      <c r="I655" s="35"/>
      <c r="J655" s="35"/>
      <c r="K655" s="35"/>
      <c r="L655" s="35"/>
      <c r="M655" s="35"/>
      <c r="N655" s="35"/>
      <c r="O655" s="35"/>
      <c r="P655" s="35"/>
      <c r="Q655" s="35"/>
      <c r="R655" s="35"/>
      <c r="S655" s="35"/>
      <c r="T655" s="35"/>
      <c r="U655" s="35"/>
      <c r="V655" s="35"/>
      <c r="W655" s="35"/>
      <c r="X655" s="35"/>
      <c r="Y655" s="35"/>
    </row>
    <row r="656" ht="15.75" customHeight="1">
      <c r="A656" s="35"/>
      <c r="B656" s="35"/>
      <c r="C656" s="35"/>
      <c r="D656" s="35"/>
      <c r="E656" s="35"/>
      <c r="F656" s="50"/>
      <c r="G656" s="35"/>
      <c r="H656" s="35"/>
      <c r="I656" s="35"/>
      <c r="J656" s="35"/>
      <c r="K656" s="35"/>
      <c r="L656" s="35"/>
      <c r="M656" s="35"/>
      <c r="N656" s="35"/>
      <c r="O656" s="35"/>
      <c r="P656" s="35"/>
      <c r="Q656" s="35"/>
      <c r="R656" s="35"/>
      <c r="S656" s="35"/>
      <c r="T656" s="35"/>
      <c r="U656" s="35"/>
      <c r="V656" s="35"/>
      <c r="W656" s="35"/>
      <c r="X656" s="35"/>
      <c r="Y656" s="35"/>
    </row>
    <row r="657" ht="15.75" customHeight="1">
      <c r="A657" s="35"/>
      <c r="B657" s="35"/>
      <c r="C657" s="35"/>
      <c r="D657" s="35"/>
      <c r="E657" s="35"/>
      <c r="F657" s="50"/>
      <c r="G657" s="35"/>
      <c r="H657" s="35"/>
      <c r="I657" s="35"/>
      <c r="J657" s="35"/>
      <c r="K657" s="35"/>
      <c r="L657" s="35"/>
      <c r="M657" s="35"/>
      <c r="N657" s="35"/>
      <c r="O657" s="35"/>
      <c r="P657" s="35"/>
      <c r="Q657" s="35"/>
      <c r="R657" s="35"/>
      <c r="S657" s="35"/>
      <c r="T657" s="35"/>
      <c r="U657" s="35"/>
      <c r="V657" s="35"/>
      <c r="W657" s="35"/>
      <c r="X657" s="35"/>
      <c r="Y657" s="35"/>
    </row>
    <row r="658" ht="15.75" customHeight="1">
      <c r="A658" s="35"/>
      <c r="B658" s="35"/>
      <c r="C658" s="35"/>
      <c r="D658" s="35"/>
      <c r="E658" s="35"/>
      <c r="F658" s="50"/>
      <c r="G658" s="35"/>
      <c r="H658" s="35"/>
      <c r="I658" s="35"/>
      <c r="J658" s="35"/>
      <c r="K658" s="35"/>
      <c r="L658" s="35"/>
      <c r="M658" s="35"/>
      <c r="N658" s="35"/>
      <c r="O658" s="35"/>
      <c r="P658" s="35"/>
      <c r="Q658" s="35"/>
      <c r="R658" s="35"/>
      <c r="S658" s="35"/>
      <c r="T658" s="35"/>
      <c r="U658" s="35"/>
      <c r="V658" s="35"/>
      <c r="W658" s="35"/>
      <c r="X658" s="35"/>
      <c r="Y658" s="35"/>
    </row>
    <row r="659" ht="15.75" customHeight="1">
      <c r="A659" s="35"/>
      <c r="B659" s="35"/>
      <c r="C659" s="35"/>
      <c r="D659" s="35"/>
      <c r="E659" s="35"/>
      <c r="F659" s="50"/>
      <c r="G659" s="35"/>
      <c r="H659" s="35"/>
      <c r="I659" s="35"/>
      <c r="J659" s="35"/>
      <c r="K659" s="35"/>
      <c r="L659" s="35"/>
      <c r="M659" s="35"/>
      <c r="N659" s="35"/>
      <c r="O659" s="35"/>
      <c r="P659" s="35"/>
      <c r="Q659" s="35"/>
      <c r="R659" s="35"/>
      <c r="S659" s="35"/>
      <c r="T659" s="35"/>
      <c r="U659" s="35"/>
      <c r="V659" s="35"/>
      <c r="W659" s="35"/>
      <c r="X659" s="35"/>
      <c r="Y659" s="35"/>
    </row>
    <row r="660" ht="15.75" customHeight="1">
      <c r="A660" s="35"/>
      <c r="B660" s="35"/>
      <c r="C660" s="35"/>
      <c r="D660" s="35"/>
      <c r="E660" s="35"/>
      <c r="F660" s="50"/>
      <c r="G660" s="35"/>
      <c r="H660" s="35"/>
      <c r="I660" s="35"/>
      <c r="J660" s="35"/>
      <c r="K660" s="35"/>
      <c r="L660" s="35"/>
      <c r="M660" s="35"/>
      <c r="N660" s="35"/>
      <c r="O660" s="35"/>
      <c r="P660" s="35"/>
      <c r="Q660" s="35"/>
      <c r="R660" s="35"/>
      <c r="S660" s="35"/>
      <c r="T660" s="35"/>
      <c r="U660" s="35"/>
      <c r="V660" s="35"/>
      <c r="W660" s="35"/>
      <c r="X660" s="35"/>
      <c r="Y660" s="35"/>
    </row>
    <row r="661" ht="15.75" customHeight="1">
      <c r="A661" s="35"/>
      <c r="B661" s="35"/>
      <c r="C661" s="35"/>
      <c r="D661" s="35"/>
      <c r="E661" s="35"/>
      <c r="F661" s="50"/>
      <c r="G661" s="35"/>
      <c r="H661" s="35"/>
      <c r="I661" s="35"/>
      <c r="J661" s="35"/>
      <c r="K661" s="35"/>
      <c r="L661" s="35"/>
      <c r="M661" s="35"/>
      <c r="N661" s="35"/>
      <c r="O661" s="35"/>
      <c r="P661" s="35"/>
      <c r="Q661" s="35"/>
      <c r="R661" s="35"/>
      <c r="S661" s="35"/>
      <c r="T661" s="35"/>
      <c r="U661" s="35"/>
      <c r="V661" s="35"/>
      <c r="W661" s="35"/>
      <c r="X661" s="35"/>
      <c r="Y661" s="35"/>
    </row>
    <row r="662" ht="15.75" customHeight="1">
      <c r="A662" s="35"/>
      <c r="B662" s="35"/>
      <c r="C662" s="35"/>
      <c r="D662" s="35"/>
      <c r="E662" s="35"/>
      <c r="F662" s="50"/>
      <c r="G662" s="35"/>
      <c r="H662" s="35"/>
      <c r="I662" s="35"/>
      <c r="J662" s="35"/>
      <c r="K662" s="35"/>
      <c r="L662" s="35"/>
      <c r="M662" s="35"/>
      <c r="N662" s="35"/>
      <c r="O662" s="35"/>
      <c r="P662" s="35"/>
      <c r="Q662" s="35"/>
      <c r="R662" s="35"/>
      <c r="S662" s="35"/>
      <c r="T662" s="35"/>
      <c r="U662" s="35"/>
      <c r="V662" s="35"/>
      <c r="W662" s="35"/>
      <c r="X662" s="35"/>
      <c r="Y662" s="35"/>
    </row>
    <row r="663" ht="15.75" customHeight="1">
      <c r="A663" s="35"/>
      <c r="B663" s="35"/>
      <c r="C663" s="35"/>
      <c r="D663" s="35"/>
      <c r="E663" s="35"/>
      <c r="F663" s="50"/>
      <c r="G663" s="35"/>
      <c r="H663" s="35"/>
      <c r="I663" s="35"/>
      <c r="J663" s="35"/>
      <c r="K663" s="35"/>
      <c r="L663" s="35"/>
      <c r="M663" s="35"/>
      <c r="N663" s="35"/>
      <c r="O663" s="35"/>
      <c r="P663" s="35"/>
      <c r="Q663" s="35"/>
      <c r="R663" s="35"/>
      <c r="S663" s="35"/>
      <c r="T663" s="35"/>
      <c r="U663" s="35"/>
      <c r="V663" s="35"/>
      <c r="W663" s="35"/>
      <c r="X663" s="35"/>
      <c r="Y663" s="35"/>
    </row>
    <row r="664" ht="15.75" customHeight="1">
      <c r="A664" s="35"/>
      <c r="B664" s="35"/>
      <c r="C664" s="35"/>
      <c r="D664" s="35"/>
      <c r="E664" s="35"/>
      <c r="F664" s="50"/>
      <c r="G664" s="35"/>
      <c r="H664" s="35"/>
      <c r="I664" s="35"/>
      <c r="J664" s="35"/>
      <c r="K664" s="35"/>
      <c r="L664" s="35"/>
      <c r="M664" s="35"/>
      <c r="N664" s="35"/>
      <c r="O664" s="35"/>
      <c r="P664" s="35"/>
      <c r="Q664" s="35"/>
      <c r="R664" s="35"/>
      <c r="S664" s="35"/>
      <c r="T664" s="35"/>
      <c r="U664" s="35"/>
      <c r="V664" s="35"/>
      <c r="W664" s="35"/>
      <c r="X664" s="35"/>
      <c r="Y664" s="35"/>
    </row>
    <row r="665" ht="15.75" customHeight="1">
      <c r="A665" s="35"/>
      <c r="B665" s="35"/>
      <c r="C665" s="35"/>
      <c r="D665" s="35"/>
      <c r="E665" s="35"/>
      <c r="F665" s="50"/>
      <c r="G665" s="35"/>
      <c r="H665" s="35"/>
      <c r="I665" s="35"/>
      <c r="J665" s="35"/>
      <c r="K665" s="35"/>
      <c r="L665" s="35"/>
      <c r="M665" s="35"/>
      <c r="N665" s="35"/>
      <c r="O665" s="35"/>
      <c r="P665" s="35"/>
      <c r="Q665" s="35"/>
      <c r="R665" s="35"/>
      <c r="S665" s="35"/>
      <c r="T665" s="35"/>
      <c r="U665" s="35"/>
      <c r="V665" s="35"/>
      <c r="W665" s="35"/>
      <c r="X665" s="35"/>
      <c r="Y665" s="35"/>
    </row>
    <row r="666" ht="15.75" customHeight="1">
      <c r="A666" s="35"/>
      <c r="B666" s="35"/>
      <c r="C666" s="35"/>
      <c r="D666" s="35"/>
      <c r="E666" s="35"/>
      <c r="F666" s="50"/>
      <c r="G666" s="35"/>
      <c r="H666" s="35"/>
      <c r="I666" s="35"/>
      <c r="J666" s="35"/>
      <c r="K666" s="35"/>
      <c r="L666" s="35"/>
      <c r="M666" s="35"/>
      <c r="N666" s="35"/>
      <c r="O666" s="35"/>
      <c r="P666" s="35"/>
      <c r="Q666" s="35"/>
      <c r="R666" s="35"/>
      <c r="S666" s="35"/>
      <c r="T666" s="35"/>
      <c r="U666" s="35"/>
      <c r="V666" s="35"/>
      <c r="W666" s="35"/>
      <c r="X666" s="35"/>
      <c r="Y666" s="35"/>
    </row>
    <row r="667" ht="15.75" customHeight="1">
      <c r="A667" s="35"/>
      <c r="B667" s="35"/>
      <c r="C667" s="35"/>
      <c r="D667" s="35"/>
      <c r="E667" s="35"/>
      <c r="F667" s="50"/>
      <c r="G667" s="35"/>
      <c r="H667" s="35"/>
      <c r="I667" s="35"/>
      <c r="J667" s="35"/>
      <c r="K667" s="35"/>
      <c r="L667" s="35"/>
      <c r="M667" s="35"/>
      <c r="N667" s="35"/>
      <c r="O667" s="35"/>
      <c r="P667" s="35"/>
      <c r="Q667" s="35"/>
      <c r="R667" s="35"/>
      <c r="S667" s="35"/>
      <c r="T667" s="35"/>
      <c r="U667" s="35"/>
      <c r="V667" s="35"/>
      <c r="W667" s="35"/>
      <c r="X667" s="35"/>
      <c r="Y667" s="35"/>
    </row>
    <row r="668" ht="15.75" customHeight="1">
      <c r="A668" s="35"/>
      <c r="B668" s="35"/>
      <c r="C668" s="35"/>
      <c r="D668" s="35"/>
      <c r="E668" s="35"/>
      <c r="F668" s="50"/>
      <c r="G668" s="35"/>
      <c r="H668" s="35"/>
      <c r="I668" s="35"/>
      <c r="J668" s="35"/>
      <c r="K668" s="35"/>
      <c r="L668" s="35"/>
      <c r="M668" s="35"/>
      <c r="N668" s="35"/>
      <c r="O668" s="35"/>
      <c r="P668" s="35"/>
      <c r="Q668" s="35"/>
      <c r="R668" s="35"/>
      <c r="S668" s="35"/>
      <c r="T668" s="35"/>
      <c r="U668" s="35"/>
      <c r="V668" s="35"/>
      <c r="W668" s="35"/>
      <c r="X668" s="35"/>
      <c r="Y668" s="35"/>
    </row>
    <row r="669" ht="15.75" customHeight="1">
      <c r="A669" s="35"/>
      <c r="B669" s="35"/>
      <c r="C669" s="35"/>
      <c r="D669" s="35"/>
      <c r="E669" s="35"/>
      <c r="F669" s="50"/>
      <c r="G669" s="35"/>
      <c r="H669" s="35"/>
      <c r="I669" s="35"/>
      <c r="J669" s="35"/>
      <c r="K669" s="35"/>
      <c r="L669" s="35"/>
      <c r="M669" s="35"/>
      <c r="N669" s="35"/>
      <c r="O669" s="35"/>
      <c r="P669" s="35"/>
      <c r="Q669" s="35"/>
      <c r="R669" s="35"/>
      <c r="S669" s="35"/>
      <c r="T669" s="35"/>
      <c r="U669" s="35"/>
      <c r="V669" s="35"/>
      <c r="W669" s="35"/>
      <c r="X669" s="35"/>
      <c r="Y669" s="35"/>
    </row>
    <row r="670" ht="15.75" customHeight="1">
      <c r="A670" s="35"/>
      <c r="B670" s="35"/>
      <c r="C670" s="35"/>
      <c r="D670" s="35"/>
      <c r="E670" s="35"/>
      <c r="F670" s="50"/>
      <c r="G670" s="35"/>
      <c r="H670" s="35"/>
      <c r="I670" s="35"/>
      <c r="J670" s="35"/>
      <c r="K670" s="35"/>
      <c r="L670" s="35"/>
      <c r="M670" s="35"/>
      <c r="N670" s="35"/>
      <c r="O670" s="35"/>
      <c r="P670" s="35"/>
      <c r="Q670" s="35"/>
      <c r="R670" s="35"/>
      <c r="S670" s="35"/>
      <c r="T670" s="35"/>
      <c r="U670" s="35"/>
      <c r="V670" s="35"/>
      <c r="W670" s="35"/>
      <c r="X670" s="35"/>
      <c r="Y670" s="35"/>
    </row>
    <row r="671" ht="15.75" customHeight="1">
      <c r="A671" s="35"/>
      <c r="B671" s="35"/>
      <c r="C671" s="35"/>
      <c r="D671" s="35"/>
      <c r="E671" s="35"/>
      <c r="F671" s="50"/>
      <c r="G671" s="35"/>
      <c r="H671" s="35"/>
      <c r="I671" s="35"/>
      <c r="J671" s="35"/>
      <c r="K671" s="35"/>
      <c r="L671" s="35"/>
      <c r="M671" s="35"/>
      <c r="N671" s="35"/>
      <c r="O671" s="35"/>
      <c r="P671" s="35"/>
      <c r="Q671" s="35"/>
      <c r="R671" s="35"/>
      <c r="S671" s="35"/>
      <c r="T671" s="35"/>
      <c r="U671" s="35"/>
      <c r="V671" s="35"/>
      <c r="W671" s="35"/>
      <c r="X671" s="35"/>
      <c r="Y671" s="35"/>
    </row>
    <row r="672" ht="15.75" customHeight="1">
      <c r="A672" s="35"/>
      <c r="B672" s="35"/>
      <c r="C672" s="35"/>
      <c r="D672" s="35"/>
      <c r="E672" s="35"/>
      <c r="F672" s="50"/>
      <c r="G672" s="35"/>
      <c r="H672" s="35"/>
      <c r="I672" s="35"/>
      <c r="J672" s="35"/>
      <c r="K672" s="35"/>
      <c r="L672" s="35"/>
      <c r="M672" s="35"/>
      <c r="N672" s="35"/>
      <c r="O672" s="35"/>
      <c r="P672" s="35"/>
      <c r="Q672" s="35"/>
      <c r="R672" s="35"/>
      <c r="S672" s="35"/>
      <c r="T672" s="35"/>
      <c r="U672" s="35"/>
      <c r="V672" s="35"/>
      <c r="W672" s="35"/>
      <c r="X672" s="35"/>
      <c r="Y672" s="35"/>
    </row>
    <row r="673" ht="15.75" customHeight="1">
      <c r="A673" s="35"/>
      <c r="B673" s="35"/>
      <c r="C673" s="35"/>
      <c r="D673" s="35"/>
      <c r="E673" s="35"/>
      <c r="F673" s="50"/>
      <c r="G673" s="35"/>
      <c r="H673" s="35"/>
      <c r="I673" s="35"/>
      <c r="J673" s="35"/>
      <c r="K673" s="35"/>
      <c r="L673" s="35"/>
      <c r="M673" s="35"/>
      <c r="N673" s="35"/>
      <c r="O673" s="35"/>
      <c r="P673" s="35"/>
      <c r="Q673" s="35"/>
      <c r="R673" s="35"/>
      <c r="S673" s="35"/>
      <c r="T673" s="35"/>
      <c r="U673" s="35"/>
      <c r="V673" s="35"/>
      <c r="W673" s="35"/>
      <c r="X673" s="35"/>
      <c r="Y673" s="35"/>
    </row>
    <row r="674" ht="15.75" customHeight="1">
      <c r="A674" s="35"/>
      <c r="B674" s="35"/>
      <c r="C674" s="35"/>
      <c r="D674" s="35"/>
      <c r="E674" s="35"/>
      <c r="F674" s="50"/>
      <c r="G674" s="35"/>
      <c r="H674" s="35"/>
      <c r="I674" s="35"/>
      <c r="J674" s="35"/>
      <c r="K674" s="35"/>
      <c r="L674" s="35"/>
      <c r="M674" s="35"/>
      <c r="N674" s="35"/>
      <c r="O674" s="35"/>
      <c r="P674" s="35"/>
      <c r="Q674" s="35"/>
      <c r="R674" s="35"/>
      <c r="S674" s="35"/>
      <c r="T674" s="35"/>
      <c r="U674" s="35"/>
      <c r="V674" s="35"/>
      <c r="W674" s="35"/>
      <c r="X674" s="35"/>
      <c r="Y674" s="35"/>
    </row>
    <row r="675" ht="15.75" customHeight="1">
      <c r="A675" s="35"/>
      <c r="B675" s="35"/>
      <c r="C675" s="35"/>
      <c r="D675" s="35"/>
      <c r="E675" s="35"/>
      <c r="F675" s="50"/>
      <c r="G675" s="35"/>
      <c r="H675" s="35"/>
      <c r="I675" s="35"/>
      <c r="J675" s="35"/>
      <c r="K675" s="35"/>
      <c r="L675" s="35"/>
      <c r="M675" s="35"/>
      <c r="N675" s="35"/>
      <c r="O675" s="35"/>
      <c r="P675" s="35"/>
      <c r="Q675" s="35"/>
      <c r="R675" s="35"/>
      <c r="S675" s="35"/>
      <c r="T675" s="35"/>
      <c r="U675" s="35"/>
      <c r="V675" s="35"/>
      <c r="W675" s="35"/>
      <c r="X675" s="35"/>
      <c r="Y675" s="35"/>
    </row>
    <row r="676" ht="15.75" customHeight="1">
      <c r="A676" s="35"/>
      <c r="B676" s="35"/>
      <c r="C676" s="35"/>
      <c r="D676" s="35"/>
      <c r="E676" s="35"/>
      <c r="F676" s="50"/>
      <c r="G676" s="35"/>
      <c r="H676" s="35"/>
      <c r="I676" s="35"/>
      <c r="J676" s="35"/>
      <c r="K676" s="35"/>
      <c r="L676" s="35"/>
      <c r="M676" s="35"/>
      <c r="N676" s="35"/>
      <c r="O676" s="35"/>
      <c r="P676" s="35"/>
      <c r="Q676" s="35"/>
      <c r="R676" s="35"/>
      <c r="S676" s="35"/>
      <c r="T676" s="35"/>
      <c r="U676" s="35"/>
      <c r="V676" s="35"/>
      <c r="W676" s="35"/>
      <c r="X676" s="35"/>
      <c r="Y676" s="35"/>
    </row>
    <row r="677" ht="15.75" customHeight="1">
      <c r="A677" s="35"/>
      <c r="B677" s="35"/>
      <c r="C677" s="35"/>
      <c r="D677" s="35"/>
      <c r="E677" s="35"/>
      <c r="F677" s="50"/>
      <c r="G677" s="35"/>
      <c r="H677" s="35"/>
      <c r="I677" s="35"/>
      <c r="J677" s="35"/>
      <c r="K677" s="35"/>
      <c r="L677" s="35"/>
      <c r="M677" s="35"/>
      <c r="N677" s="35"/>
      <c r="O677" s="35"/>
      <c r="P677" s="35"/>
      <c r="Q677" s="35"/>
      <c r="R677" s="35"/>
      <c r="S677" s="35"/>
      <c r="T677" s="35"/>
      <c r="U677" s="35"/>
      <c r="V677" s="35"/>
      <c r="W677" s="35"/>
      <c r="X677" s="35"/>
      <c r="Y677" s="35"/>
    </row>
    <row r="678" ht="15.75" customHeight="1">
      <c r="A678" s="35"/>
      <c r="B678" s="35"/>
      <c r="C678" s="35"/>
      <c r="D678" s="35"/>
      <c r="E678" s="35"/>
      <c r="F678" s="50"/>
      <c r="G678" s="35"/>
      <c r="H678" s="35"/>
      <c r="I678" s="35"/>
      <c r="J678" s="35"/>
      <c r="K678" s="35"/>
      <c r="L678" s="35"/>
      <c r="M678" s="35"/>
      <c r="N678" s="35"/>
      <c r="O678" s="35"/>
      <c r="P678" s="35"/>
      <c r="Q678" s="35"/>
      <c r="R678" s="35"/>
      <c r="S678" s="35"/>
      <c r="T678" s="35"/>
      <c r="U678" s="35"/>
      <c r="V678" s="35"/>
      <c r="W678" s="35"/>
      <c r="X678" s="35"/>
      <c r="Y678" s="35"/>
    </row>
    <row r="679" ht="15.75" customHeight="1">
      <c r="A679" s="35"/>
      <c r="B679" s="35"/>
      <c r="C679" s="35"/>
      <c r="D679" s="35"/>
      <c r="E679" s="35"/>
      <c r="F679" s="50"/>
      <c r="G679" s="35"/>
      <c r="H679" s="35"/>
      <c r="I679" s="35"/>
      <c r="J679" s="35"/>
      <c r="K679" s="35"/>
      <c r="L679" s="35"/>
      <c r="M679" s="35"/>
      <c r="N679" s="35"/>
      <c r="O679" s="35"/>
      <c r="P679" s="35"/>
      <c r="Q679" s="35"/>
      <c r="R679" s="35"/>
      <c r="S679" s="35"/>
      <c r="T679" s="35"/>
      <c r="U679" s="35"/>
      <c r="V679" s="35"/>
      <c r="W679" s="35"/>
      <c r="X679" s="35"/>
      <c r="Y679" s="35"/>
    </row>
    <row r="680" ht="15.75" customHeight="1">
      <c r="A680" s="35"/>
      <c r="B680" s="35"/>
      <c r="C680" s="35"/>
      <c r="D680" s="35"/>
      <c r="E680" s="35"/>
      <c r="F680" s="50"/>
      <c r="G680" s="35"/>
      <c r="H680" s="35"/>
      <c r="I680" s="35"/>
      <c r="J680" s="35"/>
      <c r="K680" s="35"/>
      <c r="L680" s="35"/>
      <c r="M680" s="35"/>
      <c r="N680" s="35"/>
      <c r="O680" s="35"/>
      <c r="P680" s="35"/>
      <c r="Q680" s="35"/>
      <c r="R680" s="35"/>
      <c r="S680" s="35"/>
      <c r="T680" s="35"/>
      <c r="U680" s="35"/>
      <c r="V680" s="35"/>
      <c r="W680" s="35"/>
      <c r="X680" s="35"/>
      <c r="Y680" s="35"/>
    </row>
    <row r="681" ht="15.75" customHeight="1">
      <c r="A681" s="35"/>
      <c r="B681" s="35"/>
      <c r="C681" s="35"/>
      <c r="D681" s="35"/>
      <c r="E681" s="35"/>
      <c r="F681" s="50"/>
      <c r="G681" s="35"/>
      <c r="H681" s="35"/>
      <c r="I681" s="35"/>
      <c r="J681" s="35"/>
      <c r="K681" s="35"/>
      <c r="L681" s="35"/>
      <c r="M681" s="35"/>
      <c r="N681" s="35"/>
      <c r="O681" s="35"/>
      <c r="P681" s="35"/>
      <c r="Q681" s="35"/>
      <c r="R681" s="35"/>
      <c r="S681" s="35"/>
      <c r="T681" s="35"/>
      <c r="U681" s="35"/>
      <c r="V681" s="35"/>
      <c r="W681" s="35"/>
      <c r="X681" s="35"/>
      <c r="Y681" s="35"/>
    </row>
    <row r="682" ht="15.75" customHeight="1">
      <c r="A682" s="35"/>
      <c r="B682" s="35"/>
      <c r="C682" s="35"/>
      <c r="D682" s="35"/>
      <c r="E682" s="35"/>
      <c r="F682" s="50"/>
      <c r="G682" s="35"/>
      <c r="H682" s="35"/>
      <c r="I682" s="35"/>
      <c r="J682" s="35"/>
      <c r="K682" s="35"/>
      <c r="L682" s="35"/>
      <c r="M682" s="35"/>
      <c r="N682" s="35"/>
      <c r="O682" s="35"/>
      <c r="P682" s="35"/>
      <c r="Q682" s="35"/>
      <c r="R682" s="35"/>
      <c r="S682" s="35"/>
      <c r="T682" s="35"/>
      <c r="U682" s="35"/>
      <c r="V682" s="35"/>
      <c r="W682" s="35"/>
      <c r="X682" s="35"/>
      <c r="Y682" s="35"/>
    </row>
    <row r="683" ht="15.75" customHeight="1">
      <c r="A683" s="35"/>
      <c r="B683" s="35"/>
      <c r="C683" s="35"/>
      <c r="D683" s="35"/>
      <c r="E683" s="35"/>
      <c r="F683" s="50"/>
      <c r="G683" s="35"/>
      <c r="H683" s="35"/>
      <c r="I683" s="35"/>
      <c r="J683" s="35"/>
      <c r="K683" s="35"/>
      <c r="L683" s="35"/>
      <c r="M683" s="35"/>
      <c r="N683" s="35"/>
      <c r="O683" s="35"/>
      <c r="P683" s="35"/>
      <c r="Q683" s="35"/>
      <c r="R683" s="35"/>
      <c r="S683" s="35"/>
      <c r="T683" s="35"/>
      <c r="U683" s="35"/>
      <c r="V683" s="35"/>
      <c r="W683" s="35"/>
      <c r="X683" s="35"/>
      <c r="Y683" s="35"/>
    </row>
    <row r="684" ht="15.75" customHeight="1">
      <c r="A684" s="35"/>
      <c r="B684" s="35"/>
      <c r="C684" s="35"/>
      <c r="D684" s="35"/>
      <c r="E684" s="35"/>
      <c r="F684" s="50"/>
      <c r="G684" s="35"/>
      <c r="H684" s="35"/>
      <c r="I684" s="35"/>
      <c r="J684" s="35"/>
      <c r="K684" s="35"/>
      <c r="L684" s="35"/>
      <c r="M684" s="35"/>
      <c r="N684" s="35"/>
      <c r="O684" s="35"/>
      <c r="P684" s="35"/>
      <c r="Q684" s="35"/>
      <c r="R684" s="35"/>
      <c r="S684" s="35"/>
      <c r="T684" s="35"/>
      <c r="U684" s="35"/>
      <c r="V684" s="35"/>
      <c r="W684" s="35"/>
      <c r="X684" s="35"/>
      <c r="Y684" s="35"/>
    </row>
    <row r="685" ht="15.75" customHeight="1">
      <c r="A685" s="35"/>
      <c r="B685" s="35"/>
      <c r="C685" s="35"/>
      <c r="D685" s="35"/>
      <c r="E685" s="35"/>
      <c r="F685" s="50"/>
      <c r="G685" s="35"/>
      <c r="H685" s="35"/>
      <c r="I685" s="35"/>
      <c r="J685" s="35"/>
      <c r="K685" s="35"/>
      <c r="L685" s="35"/>
      <c r="M685" s="35"/>
      <c r="N685" s="35"/>
      <c r="O685" s="35"/>
      <c r="P685" s="35"/>
      <c r="Q685" s="35"/>
      <c r="R685" s="35"/>
      <c r="S685" s="35"/>
      <c r="T685" s="35"/>
      <c r="U685" s="35"/>
      <c r="V685" s="35"/>
      <c r="W685" s="35"/>
      <c r="X685" s="35"/>
      <c r="Y685" s="35"/>
    </row>
    <row r="686" ht="15.75" customHeight="1">
      <c r="A686" s="35"/>
      <c r="B686" s="35"/>
      <c r="C686" s="35"/>
      <c r="D686" s="35"/>
      <c r="E686" s="35"/>
      <c r="F686" s="50"/>
      <c r="G686" s="35"/>
      <c r="H686" s="35"/>
      <c r="I686" s="35"/>
      <c r="J686" s="35"/>
      <c r="K686" s="35"/>
      <c r="L686" s="35"/>
      <c r="M686" s="35"/>
      <c r="N686" s="35"/>
      <c r="O686" s="35"/>
      <c r="P686" s="35"/>
      <c r="Q686" s="35"/>
      <c r="R686" s="35"/>
      <c r="S686" s="35"/>
      <c r="T686" s="35"/>
      <c r="U686" s="35"/>
      <c r="V686" s="35"/>
      <c r="W686" s="35"/>
      <c r="X686" s="35"/>
      <c r="Y686" s="35"/>
    </row>
    <row r="687" ht="15.75" customHeight="1">
      <c r="A687" s="35"/>
      <c r="B687" s="35"/>
      <c r="C687" s="35"/>
      <c r="D687" s="35"/>
      <c r="E687" s="35"/>
      <c r="F687" s="50"/>
      <c r="G687" s="35"/>
      <c r="H687" s="35"/>
      <c r="I687" s="35"/>
      <c r="J687" s="35"/>
      <c r="K687" s="35"/>
      <c r="L687" s="35"/>
      <c r="M687" s="35"/>
      <c r="N687" s="35"/>
      <c r="O687" s="35"/>
      <c r="P687" s="35"/>
      <c r="Q687" s="35"/>
      <c r="R687" s="35"/>
      <c r="S687" s="35"/>
      <c r="T687" s="35"/>
      <c r="U687" s="35"/>
      <c r="V687" s="35"/>
      <c r="W687" s="35"/>
      <c r="X687" s="35"/>
      <c r="Y687" s="35"/>
    </row>
    <row r="688" ht="15.75" customHeight="1">
      <c r="A688" s="35"/>
      <c r="B688" s="35"/>
      <c r="C688" s="35"/>
      <c r="D688" s="35"/>
      <c r="E688" s="35"/>
      <c r="F688" s="50"/>
      <c r="G688" s="35"/>
      <c r="H688" s="35"/>
      <c r="I688" s="35"/>
      <c r="J688" s="35"/>
      <c r="K688" s="35"/>
      <c r="L688" s="35"/>
      <c r="M688" s="35"/>
      <c r="N688" s="35"/>
      <c r="O688" s="35"/>
      <c r="P688" s="35"/>
      <c r="Q688" s="35"/>
      <c r="R688" s="35"/>
      <c r="S688" s="35"/>
      <c r="T688" s="35"/>
      <c r="U688" s="35"/>
      <c r="V688" s="35"/>
      <c r="W688" s="35"/>
      <c r="X688" s="35"/>
      <c r="Y688" s="35"/>
    </row>
    <row r="689" ht="15.75" customHeight="1">
      <c r="A689" s="35"/>
      <c r="B689" s="35"/>
      <c r="C689" s="35"/>
      <c r="D689" s="35"/>
      <c r="E689" s="35"/>
      <c r="F689" s="50"/>
      <c r="G689" s="35"/>
      <c r="H689" s="35"/>
      <c r="I689" s="35"/>
      <c r="J689" s="35"/>
      <c r="K689" s="35"/>
      <c r="L689" s="35"/>
      <c r="M689" s="35"/>
      <c r="N689" s="35"/>
      <c r="O689" s="35"/>
      <c r="P689" s="35"/>
      <c r="Q689" s="35"/>
      <c r="R689" s="35"/>
      <c r="S689" s="35"/>
      <c r="T689" s="35"/>
      <c r="U689" s="35"/>
      <c r="V689" s="35"/>
      <c r="W689" s="35"/>
      <c r="X689" s="35"/>
      <c r="Y689" s="35"/>
    </row>
    <row r="690" ht="15.75" customHeight="1">
      <c r="A690" s="35"/>
      <c r="B690" s="35"/>
      <c r="C690" s="35"/>
      <c r="D690" s="35"/>
      <c r="E690" s="35"/>
      <c r="F690" s="50"/>
      <c r="G690" s="35"/>
      <c r="H690" s="35"/>
      <c r="I690" s="35"/>
      <c r="J690" s="35"/>
      <c r="K690" s="35"/>
      <c r="L690" s="35"/>
      <c r="M690" s="35"/>
      <c r="N690" s="35"/>
      <c r="O690" s="35"/>
      <c r="P690" s="35"/>
      <c r="Q690" s="35"/>
      <c r="R690" s="35"/>
      <c r="S690" s="35"/>
      <c r="T690" s="35"/>
      <c r="U690" s="35"/>
      <c r="V690" s="35"/>
      <c r="W690" s="35"/>
      <c r="X690" s="35"/>
      <c r="Y690" s="35"/>
    </row>
    <row r="691" ht="15.75" customHeight="1">
      <c r="A691" s="35"/>
      <c r="B691" s="35"/>
      <c r="C691" s="35"/>
      <c r="D691" s="35"/>
      <c r="E691" s="35"/>
      <c r="F691" s="50"/>
      <c r="G691" s="35"/>
      <c r="H691" s="35"/>
      <c r="I691" s="35"/>
      <c r="J691" s="35"/>
      <c r="K691" s="35"/>
      <c r="L691" s="35"/>
      <c r="M691" s="35"/>
      <c r="N691" s="35"/>
      <c r="O691" s="35"/>
      <c r="P691" s="35"/>
      <c r="Q691" s="35"/>
      <c r="R691" s="35"/>
      <c r="S691" s="35"/>
      <c r="T691" s="35"/>
      <c r="U691" s="35"/>
      <c r="V691" s="35"/>
      <c r="W691" s="35"/>
      <c r="X691" s="35"/>
      <c r="Y691" s="35"/>
    </row>
    <row r="692" ht="15.75" customHeight="1">
      <c r="A692" s="35"/>
      <c r="B692" s="35"/>
      <c r="C692" s="35"/>
      <c r="D692" s="35"/>
      <c r="E692" s="35"/>
      <c r="F692" s="50"/>
      <c r="G692" s="35"/>
      <c r="H692" s="35"/>
      <c r="I692" s="35"/>
      <c r="J692" s="35"/>
      <c r="K692" s="35"/>
      <c r="L692" s="35"/>
      <c r="M692" s="35"/>
      <c r="N692" s="35"/>
      <c r="O692" s="35"/>
      <c r="P692" s="35"/>
      <c r="Q692" s="35"/>
      <c r="R692" s="35"/>
      <c r="S692" s="35"/>
      <c r="T692" s="35"/>
      <c r="U692" s="35"/>
      <c r="V692" s="35"/>
      <c r="W692" s="35"/>
      <c r="X692" s="35"/>
      <c r="Y692" s="35"/>
    </row>
    <row r="693" ht="15.75" customHeight="1">
      <c r="A693" s="35"/>
      <c r="B693" s="35"/>
      <c r="C693" s="35"/>
      <c r="D693" s="35"/>
      <c r="E693" s="35"/>
      <c r="F693" s="50"/>
      <c r="G693" s="35"/>
      <c r="H693" s="35"/>
      <c r="I693" s="35"/>
      <c r="J693" s="35"/>
      <c r="K693" s="35"/>
      <c r="L693" s="35"/>
      <c r="M693" s="35"/>
      <c r="N693" s="35"/>
      <c r="O693" s="35"/>
      <c r="P693" s="35"/>
      <c r="Q693" s="35"/>
      <c r="R693" s="35"/>
      <c r="S693" s="35"/>
      <c r="T693" s="35"/>
      <c r="U693" s="35"/>
      <c r="V693" s="35"/>
      <c r="W693" s="35"/>
      <c r="X693" s="35"/>
      <c r="Y693" s="35"/>
    </row>
    <row r="694" ht="15.75" customHeight="1">
      <c r="A694" s="35"/>
      <c r="B694" s="35"/>
      <c r="C694" s="35"/>
      <c r="D694" s="35"/>
      <c r="E694" s="35"/>
      <c r="F694" s="50"/>
      <c r="G694" s="35"/>
      <c r="H694" s="35"/>
      <c r="I694" s="35"/>
      <c r="J694" s="35"/>
      <c r="K694" s="35"/>
      <c r="L694" s="35"/>
      <c r="M694" s="35"/>
      <c r="N694" s="35"/>
      <c r="O694" s="35"/>
      <c r="P694" s="35"/>
      <c r="Q694" s="35"/>
      <c r="R694" s="35"/>
      <c r="S694" s="35"/>
      <c r="T694" s="35"/>
      <c r="U694" s="35"/>
      <c r="V694" s="35"/>
      <c r="W694" s="35"/>
      <c r="X694" s="35"/>
      <c r="Y694" s="35"/>
    </row>
    <row r="695" ht="15.75" customHeight="1">
      <c r="A695" s="35"/>
      <c r="B695" s="35"/>
      <c r="C695" s="35"/>
      <c r="D695" s="35"/>
      <c r="E695" s="35"/>
      <c r="F695" s="50"/>
      <c r="G695" s="35"/>
      <c r="H695" s="35"/>
      <c r="I695" s="35"/>
      <c r="J695" s="35"/>
      <c r="K695" s="35"/>
      <c r="L695" s="35"/>
      <c r="M695" s="35"/>
      <c r="N695" s="35"/>
      <c r="O695" s="35"/>
      <c r="P695" s="35"/>
      <c r="Q695" s="35"/>
      <c r="R695" s="35"/>
      <c r="S695" s="35"/>
      <c r="T695" s="35"/>
      <c r="U695" s="35"/>
      <c r="V695" s="35"/>
      <c r="W695" s="35"/>
      <c r="X695" s="35"/>
      <c r="Y695" s="35"/>
    </row>
    <row r="696" ht="15.75" customHeight="1">
      <c r="A696" s="35"/>
      <c r="B696" s="35"/>
      <c r="C696" s="35"/>
      <c r="D696" s="35"/>
      <c r="E696" s="35"/>
      <c r="F696" s="50"/>
      <c r="G696" s="35"/>
      <c r="H696" s="35"/>
      <c r="I696" s="35"/>
      <c r="J696" s="35"/>
      <c r="K696" s="35"/>
      <c r="L696" s="35"/>
      <c r="M696" s="35"/>
      <c r="N696" s="35"/>
      <c r="O696" s="35"/>
      <c r="P696" s="35"/>
      <c r="Q696" s="35"/>
      <c r="R696" s="35"/>
      <c r="S696" s="35"/>
      <c r="T696" s="35"/>
      <c r="U696" s="35"/>
      <c r="V696" s="35"/>
      <c r="W696" s="35"/>
      <c r="X696" s="35"/>
      <c r="Y696" s="35"/>
    </row>
    <row r="697" ht="15.75" customHeight="1">
      <c r="A697" s="35"/>
      <c r="B697" s="35"/>
      <c r="C697" s="35"/>
      <c r="D697" s="35"/>
      <c r="E697" s="35"/>
      <c r="F697" s="50"/>
      <c r="G697" s="35"/>
      <c r="H697" s="35"/>
      <c r="I697" s="35"/>
      <c r="J697" s="35"/>
      <c r="K697" s="35"/>
      <c r="L697" s="35"/>
      <c r="M697" s="35"/>
      <c r="N697" s="35"/>
      <c r="O697" s="35"/>
      <c r="P697" s="35"/>
      <c r="Q697" s="35"/>
      <c r="R697" s="35"/>
      <c r="S697" s="35"/>
      <c r="T697" s="35"/>
      <c r="U697" s="35"/>
      <c r="V697" s="35"/>
      <c r="W697" s="35"/>
      <c r="X697" s="35"/>
      <c r="Y697" s="35"/>
    </row>
    <row r="698" ht="15.75" customHeight="1">
      <c r="A698" s="35"/>
      <c r="B698" s="35"/>
      <c r="C698" s="35"/>
      <c r="D698" s="35"/>
      <c r="E698" s="35"/>
      <c r="F698" s="50"/>
      <c r="G698" s="35"/>
      <c r="H698" s="35"/>
      <c r="I698" s="35"/>
      <c r="J698" s="35"/>
      <c r="K698" s="35"/>
      <c r="L698" s="35"/>
      <c r="M698" s="35"/>
      <c r="N698" s="35"/>
      <c r="O698" s="35"/>
      <c r="P698" s="35"/>
      <c r="Q698" s="35"/>
      <c r="R698" s="35"/>
      <c r="S698" s="35"/>
      <c r="T698" s="35"/>
      <c r="U698" s="35"/>
      <c r="V698" s="35"/>
      <c r="W698" s="35"/>
      <c r="X698" s="35"/>
      <c r="Y698" s="35"/>
    </row>
    <row r="699" ht="15.75" customHeight="1">
      <c r="A699" s="35"/>
      <c r="B699" s="35"/>
      <c r="C699" s="35"/>
      <c r="D699" s="35"/>
      <c r="E699" s="35"/>
      <c r="F699" s="50"/>
      <c r="G699" s="35"/>
      <c r="H699" s="35"/>
      <c r="I699" s="35"/>
      <c r="J699" s="35"/>
      <c r="K699" s="35"/>
      <c r="L699" s="35"/>
      <c r="M699" s="35"/>
      <c r="N699" s="35"/>
      <c r="O699" s="35"/>
      <c r="P699" s="35"/>
      <c r="Q699" s="35"/>
      <c r="R699" s="35"/>
      <c r="S699" s="35"/>
      <c r="T699" s="35"/>
      <c r="U699" s="35"/>
      <c r="V699" s="35"/>
      <c r="W699" s="35"/>
      <c r="X699" s="35"/>
      <c r="Y699" s="35"/>
    </row>
    <row r="700" ht="15.75" customHeight="1">
      <c r="A700" s="35"/>
      <c r="B700" s="35"/>
      <c r="C700" s="35"/>
      <c r="D700" s="35"/>
      <c r="E700" s="35"/>
      <c r="F700" s="50"/>
      <c r="G700" s="35"/>
      <c r="H700" s="35"/>
      <c r="I700" s="35"/>
      <c r="J700" s="35"/>
      <c r="K700" s="35"/>
      <c r="L700" s="35"/>
      <c r="M700" s="35"/>
      <c r="N700" s="35"/>
      <c r="O700" s="35"/>
      <c r="P700" s="35"/>
      <c r="Q700" s="35"/>
      <c r="R700" s="35"/>
      <c r="S700" s="35"/>
      <c r="T700" s="35"/>
      <c r="U700" s="35"/>
      <c r="V700" s="35"/>
      <c r="W700" s="35"/>
      <c r="X700" s="35"/>
      <c r="Y700" s="35"/>
    </row>
    <row r="701" ht="15.75" customHeight="1">
      <c r="A701" s="35"/>
      <c r="B701" s="35"/>
      <c r="C701" s="35"/>
      <c r="D701" s="35"/>
      <c r="E701" s="35"/>
      <c r="F701" s="50"/>
      <c r="G701" s="35"/>
      <c r="H701" s="35"/>
      <c r="I701" s="35"/>
      <c r="J701" s="35"/>
      <c r="K701" s="35"/>
      <c r="L701" s="35"/>
      <c r="M701" s="35"/>
      <c r="N701" s="35"/>
      <c r="O701" s="35"/>
      <c r="P701" s="35"/>
      <c r="Q701" s="35"/>
      <c r="R701" s="35"/>
      <c r="S701" s="35"/>
      <c r="T701" s="35"/>
      <c r="U701" s="35"/>
      <c r="V701" s="35"/>
      <c r="W701" s="35"/>
      <c r="X701" s="35"/>
      <c r="Y701" s="35"/>
    </row>
    <row r="702" ht="15.75" customHeight="1">
      <c r="A702" s="35"/>
      <c r="B702" s="35"/>
      <c r="C702" s="35"/>
      <c r="D702" s="35"/>
      <c r="E702" s="35"/>
      <c r="F702" s="50"/>
      <c r="G702" s="35"/>
      <c r="H702" s="35"/>
      <c r="I702" s="35"/>
      <c r="J702" s="35"/>
      <c r="K702" s="35"/>
      <c r="L702" s="35"/>
      <c r="M702" s="35"/>
      <c r="N702" s="35"/>
      <c r="O702" s="35"/>
      <c r="P702" s="35"/>
      <c r="Q702" s="35"/>
      <c r="R702" s="35"/>
      <c r="S702" s="35"/>
      <c r="T702" s="35"/>
      <c r="U702" s="35"/>
      <c r="V702" s="35"/>
      <c r="W702" s="35"/>
      <c r="X702" s="35"/>
      <c r="Y702" s="35"/>
    </row>
    <row r="703" ht="15.75" customHeight="1">
      <c r="A703" s="35"/>
      <c r="B703" s="35"/>
      <c r="C703" s="35"/>
      <c r="D703" s="35"/>
      <c r="E703" s="35"/>
      <c r="F703" s="50"/>
      <c r="G703" s="35"/>
      <c r="H703" s="35"/>
      <c r="I703" s="35"/>
      <c r="J703" s="35"/>
      <c r="K703" s="35"/>
      <c r="L703" s="35"/>
      <c r="M703" s="35"/>
      <c r="N703" s="35"/>
      <c r="O703" s="35"/>
      <c r="P703" s="35"/>
      <c r="Q703" s="35"/>
      <c r="R703" s="35"/>
      <c r="S703" s="35"/>
      <c r="T703" s="35"/>
      <c r="U703" s="35"/>
      <c r="V703" s="35"/>
      <c r="W703" s="35"/>
      <c r="X703" s="35"/>
      <c r="Y703" s="35"/>
    </row>
    <row r="704" ht="15.75" customHeight="1">
      <c r="A704" s="35"/>
      <c r="B704" s="35"/>
      <c r="C704" s="35"/>
      <c r="D704" s="35"/>
      <c r="E704" s="35"/>
      <c r="F704" s="50"/>
      <c r="G704" s="35"/>
      <c r="H704" s="35"/>
      <c r="I704" s="35"/>
      <c r="J704" s="35"/>
      <c r="K704" s="35"/>
      <c r="L704" s="35"/>
      <c r="M704" s="35"/>
      <c r="N704" s="35"/>
      <c r="O704" s="35"/>
      <c r="P704" s="35"/>
      <c r="Q704" s="35"/>
      <c r="R704" s="35"/>
      <c r="S704" s="35"/>
      <c r="T704" s="35"/>
      <c r="U704" s="35"/>
      <c r="V704" s="35"/>
      <c r="W704" s="35"/>
      <c r="X704" s="35"/>
      <c r="Y704" s="35"/>
    </row>
    <row r="705" ht="15.75" customHeight="1">
      <c r="A705" s="35"/>
      <c r="B705" s="35"/>
      <c r="C705" s="35"/>
      <c r="D705" s="35"/>
      <c r="E705" s="35"/>
      <c r="F705" s="50"/>
      <c r="G705" s="35"/>
      <c r="H705" s="35"/>
      <c r="I705" s="35"/>
      <c r="J705" s="35"/>
      <c r="K705" s="35"/>
      <c r="L705" s="35"/>
      <c r="M705" s="35"/>
      <c r="N705" s="35"/>
      <c r="O705" s="35"/>
      <c r="P705" s="35"/>
      <c r="Q705" s="35"/>
      <c r="R705" s="35"/>
      <c r="S705" s="35"/>
      <c r="T705" s="35"/>
      <c r="U705" s="35"/>
      <c r="V705" s="35"/>
      <c r="W705" s="35"/>
      <c r="X705" s="35"/>
      <c r="Y705" s="35"/>
    </row>
    <row r="706" ht="15.75" customHeight="1">
      <c r="A706" s="35"/>
      <c r="B706" s="35"/>
      <c r="C706" s="35"/>
      <c r="D706" s="35"/>
      <c r="E706" s="35"/>
      <c r="F706" s="50"/>
      <c r="G706" s="35"/>
      <c r="H706" s="35"/>
      <c r="I706" s="35"/>
      <c r="J706" s="35"/>
      <c r="K706" s="35"/>
      <c r="L706" s="35"/>
      <c r="M706" s="35"/>
      <c r="N706" s="35"/>
      <c r="O706" s="35"/>
      <c r="P706" s="35"/>
      <c r="Q706" s="35"/>
      <c r="R706" s="35"/>
      <c r="S706" s="35"/>
      <c r="T706" s="35"/>
      <c r="U706" s="35"/>
      <c r="V706" s="35"/>
      <c r="W706" s="35"/>
      <c r="X706" s="35"/>
      <c r="Y706" s="35"/>
    </row>
    <row r="707" ht="15.75" customHeight="1">
      <c r="A707" s="35"/>
      <c r="B707" s="35"/>
      <c r="C707" s="35"/>
      <c r="D707" s="35"/>
      <c r="E707" s="35"/>
      <c r="F707" s="50"/>
      <c r="G707" s="35"/>
      <c r="H707" s="35"/>
      <c r="I707" s="35"/>
      <c r="J707" s="35"/>
      <c r="K707" s="35"/>
      <c r="L707" s="35"/>
      <c r="M707" s="35"/>
      <c r="N707" s="35"/>
      <c r="O707" s="35"/>
      <c r="P707" s="35"/>
      <c r="Q707" s="35"/>
      <c r="R707" s="35"/>
      <c r="S707" s="35"/>
      <c r="T707" s="35"/>
      <c r="U707" s="35"/>
      <c r="V707" s="35"/>
      <c r="W707" s="35"/>
      <c r="X707" s="35"/>
      <c r="Y707" s="35"/>
    </row>
    <row r="708" ht="15.75" customHeight="1">
      <c r="A708" s="35"/>
      <c r="B708" s="35"/>
      <c r="C708" s="35"/>
      <c r="D708" s="35"/>
      <c r="E708" s="35"/>
      <c r="F708" s="50"/>
      <c r="G708" s="35"/>
      <c r="H708" s="35"/>
      <c r="I708" s="35"/>
      <c r="J708" s="35"/>
      <c r="K708" s="35"/>
      <c r="L708" s="35"/>
      <c r="M708" s="35"/>
      <c r="N708" s="35"/>
      <c r="O708" s="35"/>
      <c r="P708" s="35"/>
      <c r="Q708" s="35"/>
      <c r="R708" s="35"/>
      <c r="S708" s="35"/>
      <c r="T708" s="35"/>
      <c r="U708" s="35"/>
      <c r="V708" s="35"/>
      <c r="W708" s="35"/>
      <c r="X708" s="35"/>
      <c r="Y708" s="35"/>
    </row>
    <row r="709" ht="15.75" customHeight="1">
      <c r="A709" s="35"/>
      <c r="B709" s="35"/>
      <c r="C709" s="35"/>
      <c r="D709" s="35"/>
      <c r="E709" s="35"/>
      <c r="F709" s="50"/>
      <c r="G709" s="35"/>
      <c r="H709" s="35"/>
      <c r="I709" s="35"/>
      <c r="J709" s="35"/>
      <c r="K709" s="35"/>
      <c r="L709" s="35"/>
      <c r="M709" s="35"/>
      <c r="N709" s="35"/>
      <c r="O709" s="35"/>
      <c r="P709" s="35"/>
      <c r="Q709" s="35"/>
      <c r="R709" s="35"/>
      <c r="S709" s="35"/>
      <c r="T709" s="35"/>
      <c r="U709" s="35"/>
      <c r="V709" s="35"/>
      <c r="W709" s="35"/>
      <c r="X709" s="35"/>
      <c r="Y709" s="35"/>
    </row>
    <row r="710" ht="15.75" customHeight="1">
      <c r="A710" s="35"/>
      <c r="B710" s="35"/>
      <c r="C710" s="35"/>
      <c r="D710" s="35"/>
      <c r="E710" s="35"/>
      <c r="F710" s="50"/>
      <c r="G710" s="35"/>
      <c r="H710" s="35"/>
      <c r="I710" s="35"/>
      <c r="J710" s="35"/>
      <c r="K710" s="35"/>
      <c r="L710" s="35"/>
      <c r="M710" s="35"/>
      <c r="N710" s="35"/>
      <c r="O710" s="35"/>
      <c r="P710" s="35"/>
      <c r="Q710" s="35"/>
      <c r="R710" s="35"/>
      <c r="S710" s="35"/>
      <c r="T710" s="35"/>
      <c r="U710" s="35"/>
      <c r="V710" s="35"/>
      <c r="W710" s="35"/>
      <c r="X710" s="35"/>
      <c r="Y710" s="35"/>
    </row>
    <row r="711" ht="15.75" customHeight="1">
      <c r="A711" s="35"/>
      <c r="B711" s="35"/>
      <c r="C711" s="35"/>
      <c r="D711" s="35"/>
      <c r="E711" s="35"/>
      <c r="F711" s="50"/>
      <c r="G711" s="35"/>
      <c r="H711" s="35"/>
      <c r="I711" s="35"/>
      <c r="J711" s="35"/>
      <c r="K711" s="35"/>
      <c r="L711" s="35"/>
      <c r="M711" s="35"/>
      <c r="N711" s="35"/>
      <c r="O711" s="35"/>
      <c r="P711" s="35"/>
      <c r="Q711" s="35"/>
      <c r="R711" s="35"/>
      <c r="S711" s="35"/>
      <c r="T711" s="35"/>
      <c r="U711" s="35"/>
      <c r="V711" s="35"/>
      <c r="W711" s="35"/>
      <c r="X711" s="35"/>
      <c r="Y711" s="35"/>
    </row>
    <row r="712" ht="15.75" customHeight="1">
      <c r="A712" s="35"/>
      <c r="B712" s="35"/>
      <c r="C712" s="35"/>
      <c r="D712" s="35"/>
      <c r="E712" s="35"/>
      <c r="F712" s="50"/>
      <c r="G712" s="35"/>
      <c r="H712" s="35"/>
      <c r="I712" s="35"/>
      <c r="J712" s="35"/>
      <c r="K712" s="35"/>
      <c r="L712" s="35"/>
      <c r="M712" s="35"/>
      <c r="N712" s="35"/>
      <c r="O712" s="35"/>
      <c r="P712" s="35"/>
      <c r="Q712" s="35"/>
      <c r="R712" s="35"/>
      <c r="S712" s="35"/>
      <c r="T712" s="35"/>
      <c r="U712" s="35"/>
      <c r="V712" s="35"/>
      <c r="W712" s="35"/>
      <c r="X712" s="35"/>
      <c r="Y712" s="35"/>
    </row>
    <row r="713" ht="15.75" customHeight="1">
      <c r="A713" s="35"/>
      <c r="B713" s="35"/>
      <c r="C713" s="35"/>
      <c r="D713" s="35"/>
      <c r="E713" s="35"/>
      <c r="F713" s="50"/>
      <c r="G713" s="35"/>
      <c r="H713" s="35"/>
      <c r="I713" s="35"/>
      <c r="J713" s="35"/>
      <c r="K713" s="35"/>
      <c r="L713" s="35"/>
      <c r="M713" s="35"/>
      <c r="N713" s="35"/>
      <c r="O713" s="35"/>
      <c r="P713" s="35"/>
      <c r="Q713" s="35"/>
      <c r="R713" s="35"/>
      <c r="S713" s="35"/>
      <c r="T713" s="35"/>
      <c r="U713" s="35"/>
      <c r="V713" s="35"/>
      <c r="W713" s="35"/>
      <c r="X713" s="35"/>
      <c r="Y713" s="35"/>
    </row>
    <row r="714" ht="15.75" customHeight="1">
      <c r="A714" s="35"/>
      <c r="B714" s="35"/>
      <c r="C714" s="35"/>
      <c r="D714" s="35"/>
      <c r="E714" s="35"/>
      <c r="F714" s="50"/>
      <c r="G714" s="35"/>
      <c r="H714" s="35"/>
      <c r="I714" s="35"/>
      <c r="J714" s="35"/>
      <c r="K714" s="35"/>
      <c r="L714" s="35"/>
      <c r="M714" s="35"/>
      <c r="N714" s="35"/>
      <c r="O714" s="35"/>
      <c r="P714" s="35"/>
      <c r="Q714" s="35"/>
      <c r="R714" s="35"/>
      <c r="S714" s="35"/>
      <c r="T714" s="35"/>
      <c r="U714" s="35"/>
      <c r="V714" s="35"/>
      <c r="W714" s="35"/>
      <c r="X714" s="35"/>
      <c r="Y714" s="35"/>
    </row>
    <row r="715" ht="15.75" customHeight="1">
      <c r="A715" s="35"/>
      <c r="B715" s="35"/>
      <c r="C715" s="35"/>
      <c r="D715" s="35"/>
      <c r="E715" s="35"/>
      <c r="F715" s="50"/>
      <c r="G715" s="35"/>
      <c r="H715" s="35"/>
      <c r="I715" s="35"/>
      <c r="J715" s="35"/>
      <c r="K715" s="35"/>
      <c r="L715" s="35"/>
      <c r="M715" s="35"/>
      <c r="N715" s="35"/>
      <c r="O715" s="35"/>
      <c r="P715" s="35"/>
      <c r="Q715" s="35"/>
      <c r="R715" s="35"/>
      <c r="S715" s="35"/>
      <c r="T715" s="35"/>
      <c r="U715" s="35"/>
      <c r="V715" s="35"/>
      <c r="W715" s="35"/>
      <c r="X715" s="35"/>
      <c r="Y715" s="35"/>
    </row>
    <row r="716" ht="15.75" customHeight="1">
      <c r="A716" s="35"/>
      <c r="B716" s="35"/>
      <c r="C716" s="35"/>
      <c r="D716" s="35"/>
      <c r="E716" s="35"/>
      <c r="F716" s="50"/>
      <c r="G716" s="35"/>
      <c r="H716" s="35"/>
      <c r="I716" s="35"/>
      <c r="J716" s="35"/>
      <c r="K716" s="35"/>
      <c r="L716" s="35"/>
      <c r="M716" s="35"/>
      <c r="N716" s="35"/>
      <c r="O716" s="35"/>
      <c r="P716" s="35"/>
      <c r="Q716" s="35"/>
      <c r="R716" s="35"/>
      <c r="S716" s="35"/>
      <c r="T716" s="35"/>
      <c r="U716" s="35"/>
      <c r="V716" s="35"/>
      <c r="W716" s="35"/>
      <c r="X716" s="35"/>
      <c r="Y716" s="35"/>
    </row>
    <row r="717" ht="15.75" customHeight="1">
      <c r="A717" s="35"/>
      <c r="B717" s="35"/>
      <c r="C717" s="35"/>
      <c r="D717" s="35"/>
      <c r="E717" s="35"/>
      <c r="F717" s="50"/>
      <c r="G717" s="35"/>
      <c r="H717" s="35"/>
      <c r="I717" s="35"/>
      <c r="J717" s="35"/>
      <c r="K717" s="35"/>
      <c r="L717" s="35"/>
      <c r="M717" s="35"/>
      <c r="N717" s="35"/>
      <c r="O717" s="35"/>
      <c r="P717" s="35"/>
      <c r="Q717" s="35"/>
      <c r="R717" s="35"/>
      <c r="S717" s="35"/>
      <c r="T717" s="35"/>
      <c r="U717" s="35"/>
      <c r="V717" s="35"/>
      <c r="W717" s="35"/>
      <c r="X717" s="35"/>
      <c r="Y717" s="35"/>
    </row>
    <row r="718" ht="15.75" customHeight="1">
      <c r="A718" s="35"/>
      <c r="B718" s="35"/>
      <c r="C718" s="35"/>
      <c r="D718" s="35"/>
      <c r="E718" s="35"/>
      <c r="F718" s="50"/>
      <c r="G718" s="35"/>
      <c r="H718" s="35"/>
      <c r="I718" s="35"/>
      <c r="J718" s="35"/>
      <c r="K718" s="35"/>
      <c r="L718" s="35"/>
      <c r="M718" s="35"/>
      <c r="N718" s="35"/>
      <c r="O718" s="35"/>
      <c r="P718" s="35"/>
      <c r="Q718" s="35"/>
      <c r="R718" s="35"/>
      <c r="S718" s="35"/>
      <c r="T718" s="35"/>
      <c r="U718" s="35"/>
      <c r="V718" s="35"/>
      <c r="W718" s="35"/>
      <c r="X718" s="35"/>
      <c r="Y718" s="35"/>
    </row>
    <row r="719" ht="15.75" customHeight="1">
      <c r="A719" s="35"/>
      <c r="B719" s="35"/>
      <c r="C719" s="35"/>
      <c r="D719" s="35"/>
      <c r="E719" s="35"/>
      <c r="F719" s="50"/>
      <c r="G719" s="35"/>
      <c r="H719" s="35"/>
      <c r="I719" s="35"/>
      <c r="J719" s="35"/>
      <c r="K719" s="35"/>
      <c r="L719" s="35"/>
      <c r="M719" s="35"/>
      <c r="N719" s="35"/>
      <c r="O719" s="35"/>
      <c r="P719" s="35"/>
      <c r="Q719" s="35"/>
      <c r="R719" s="35"/>
      <c r="S719" s="35"/>
      <c r="T719" s="35"/>
      <c r="U719" s="35"/>
      <c r="V719" s="35"/>
      <c r="W719" s="35"/>
      <c r="X719" s="35"/>
      <c r="Y719" s="35"/>
    </row>
    <row r="720" ht="15.75" customHeight="1">
      <c r="A720" s="35"/>
      <c r="B720" s="35"/>
      <c r="C720" s="35"/>
      <c r="D720" s="35"/>
      <c r="E720" s="35"/>
      <c r="F720" s="50"/>
      <c r="G720" s="35"/>
      <c r="H720" s="35"/>
      <c r="I720" s="35"/>
      <c r="J720" s="35"/>
      <c r="K720" s="35"/>
      <c r="L720" s="35"/>
      <c r="M720" s="35"/>
      <c r="N720" s="35"/>
      <c r="O720" s="35"/>
      <c r="P720" s="35"/>
      <c r="Q720" s="35"/>
      <c r="R720" s="35"/>
      <c r="S720" s="35"/>
      <c r="T720" s="35"/>
      <c r="U720" s="35"/>
      <c r="V720" s="35"/>
      <c r="W720" s="35"/>
      <c r="X720" s="35"/>
      <c r="Y720" s="35"/>
    </row>
    <row r="721" ht="15.75" customHeight="1">
      <c r="A721" s="35"/>
      <c r="B721" s="35"/>
      <c r="C721" s="35"/>
      <c r="D721" s="35"/>
      <c r="E721" s="35"/>
      <c r="F721" s="50"/>
      <c r="G721" s="35"/>
      <c r="H721" s="35"/>
      <c r="I721" s="35"/>
      <c r="J721" s="35"/>
      <c r="K721" s="35"/>
      <c r="L721" s="35"/>
      <c r="M721" s="35"/>
      <c r="N721" s="35"/>
      <c r="O721" s="35"/>
      <c r="P721" s="35"/>
      <c r="Q721" s="35"/>
      <c r="R721" s="35"/>
      <c r="S721" s="35"/>
      <c r="T721" s="35"/>
      <c r="U721" s="35"/>
      <c r="V721" s="35"/>
      <c r="W721" s="35"/>
      <c r="X721" s="35"/>
      <c r="Y721" s="35"/>
    </row>
    <row r="722" ht="15.75" customHeight="1">
      <c r="A722" s="35"/>
      <c r="B722" s="35"/>
      <c r="C722" s="35"/>
      <c r="D722" s="35"/>
      <c r="E722" s="35"/>
      <c r="F722" s="50"/>
      <c r="G722" s="35"/>
      <c r="H722" s="35"/>
      <c r="I722" s="35"/>
      <c r="J722" s="35"/>
      <c r="K722" s="35"/>
      <c r="L722" s="35"/>
      <c r="M722" s="35"/>
      <c r="N722" s="35"/>
      <c r="O722" s="35"/>
      <c r="P722" s="35"/>
      <c r="Q722" s="35"/>
      <c r="R722" s="35"/>
      <c r="S722" s="35"/>
      <c r="T722" s="35"/>
      <c r="U722" s="35"/>
      <c r="V722" s="35"/>
      <c r="W722" s="35"/>
      <c r="X722" s="35"/>
      <c r="Y722" s="35"/>
    </row>
    <row r="723" ht="15.75" customHeight="1">
      <c r="A723" s="35"/>
      <c r="B723" s="35"/>
      <c r="C723" s="35"/>
      <c r="D723" s="35"/>
      <c r="E723" s="35"/>
      <c r="F723" s="50"/>
      <c r="G723" s="35"/>
      <c r="H723" s="35"/>
      <c r="I723" s="35"/>
      <c r="J723" s="35"/>
      <c r="K723" s="35"/>
      <c r="L723" s="35"/>
      <c r="M723" s="35"/>
      <c r="N723" s="35"/>
      <c r="O723" s="35"/>
      <c r="P723" s="35"/>
      <c r="Q723" s="35"/>
      <c r="R723" s="35"/>
      <c r="S723" s="35"/>
      <c r="T723" s="35"/>
      <c r="U723" s="35"/>
      <c r="V723" s="35"/>
      <c r="W723" s="35"/>
      <c r="X723" s="35"/>
      <c r="Y723" s="35"/>
    </row>
    <row r="724" ht="15.75" customHeight="1">
      <c r="A724" s="35"/>
      <c r="B724" s="35"/>
      <c r="C724" s="35"/>
      <c r="D724" s="35"/>
      <c r="E724" s="35"/>
      <c r="F724" s="50"/>
      <c r="G724" s="35"/>
      <c r="H724" s="35"/>
      <c r="I724" s="35"/>
      <c r="J724" s="35"/>
      <c r="K724" s="35"/>
      <c r="L724" s="35"/>
      <c r="M724" s="35"/>
      <c r="N724" s="35"/>
      <c r="O724" s="35"/>
      <c r="P724" s="35"/>
      <c r="Q724" s="35"/>
      <c r="R724" s="35"/>
      <c r="S724" s="35"/>
      <c r="T724" s="35"/>
      <c r="U724" s="35"/>
      <c r="V724" s="35"/>
      <c r="W724" s="35"/>
      <c r="X724" s="35"/>
      <c r="Y724" s="35"/>
    </row>
    <row r="725" ht="15.75" customHeight="1">
      <c r="A725" s="35"/>
      <c r="B725" s="35"/>
      <c r="C725" s="35"/>
      <c r="D725" s="35"/>
      <c r="E725" s="35"/>
      <c r="F725" s="50"/>
      <c r="G725" s="35"/>
      <c r="H725" s="35"/>
      <c r="I725" s="35"/>
      <c r="J725" s="35"/>
      <c r="K725" s="35"/>
      <c r="L725" s="35"/>
      <c r="M725" s="35"/>
      <c r="N725" s="35"/>
      <c r="O725" s="35"/>
      <c r="P725" s="35"/>
      <c r="Q725" s="35"/>
      <c r="R725" s="35"/>
      <c r="S725" s="35"/>
      <c r="T725" s="35"/>
      <c r="U725" s="35"/>
      <c r="V725" s="35"/>
      <c r="W725" s="35"/>
      <c r="X725" s="35"/>
      <c r="Y725" s="35"/>
    </row>
    <row r="726" ht="15.75" customHeight="1">
      <c r="A726" s="35"/>
      <c r="B726" s="35"/>
      <c r="C726" s="35"/>
      <c r="D726" s="35"/>
      <c r="E726" s="35"/>
      <c r="F726" s="50"/>
      <c r="G726" s="35"/>
      <c r="H726" s="35"/>
      <c r="I726" s="35"/>
      <c r="J726" s="35"/>
      <c r="K726" s="35"/>
      <c r="L726" s="35"/>
      <c r="M726" s="35"/>
      <c r="N726" s="35"/>
      <c r="O726" s="35"/>
      <c r="P726" s="35"/>
      <c r="Q726" s="35"/>
      <c r="R726" s="35"/>
      <c r="S726" s="35"/>
      <c r="T726" s="35"/>
      <c r="U726" s="35"/>
      <c r="V726" s="35"/>
      <c r="W726" s="35"/>
      <c r="X726" s="35"/>
      <c r="Y726" s="35"/>
    </row>
    <row r="727" ht="15.75" customHeight="1">
      <c r="A727" s="35"/>
      <c r="B727" s="35"/>
      <c r="C727" s="35"/>
      <c r="D727" s="35"/>
      <c r="E727" s="35"/>
      <c r="F727" s="50"/>
      <c r="G727" s="35"/>
      <c r="H727" s="35"/>
      <c r="I727" s="35"/>
      <c r="J727" s="35"/>
      <c r="K727" s="35"/>
      <c r="L727" s="35"/>
      <c r="M727" s="35"/>
      <c r="N727" s="35"/>
      <c r="O727" s="35"/>
      <c r="P727" s="35"/>
      <c r="Q727" s="35"/>
      <c r="R727" s="35"/>
      <c r="S727" s="35"/>
      <c r="T727" s="35"/>
      <c r="U727" s="35"/>
      <c r="V727" s="35"/>
      <c r="W727" s="35"/>
      <c r="X727" s="35"/>
      <c r="Y727" s="35"/>
    </row>
    <row r="728" ht="15.75" customHeight="1">
      <c r="A728" s="35"/>
      <c r="B728" s="35"/>
      <c r="C728" s="35"/>
      <c r="D728" s="35"/>
      <c r="E728" s="35"/>
      <c r="F728" s="50"/>
      <c r="G728" s="35"/>
      <c r="H728" s="35"/>
      <c r="I728" s="35"/>
      <c r="J728" s="35"/>
      <c r="K728" s="35"/>
      <c r="L728" s="35"/>
      <c r="M728" s="35"/>
      <c r="N728" s="35"/>
      <c r="O728" s="35"/>
      <c r="P728" s="35"/>
      <c r="Q728" s="35"/>
      <c r="R728" s="35"/>
      <c r="S728" s="35"/>
      <c r="T728" s="35"/>
      <c r="U728" s="35"/>
      <c r="V728" s="35"/>
      <c r="W728" s="35"/>
      <c r="X728" s="35"/>
      <c r="Y728" s="35"/>
    </row>
    <row r="729" ht="15.75" customHeight="1">
      <c r="A729" s="35"/>
      <c r="B729" s="35"/>
      <c r="C729" s="35"/>
      <c r="D729" s="35"/>
      <c r="E729" s="35"/>
      <c r="F729" s="50"/>
      <c r="G729" s="35"/>
      <c r="H729" s="35"/>
      <c r="I729" s="35"/>
      <c r="J729" s="35"/>
      <c r="K729" s="35"/>
      <c r="L729" s="35"/>
      <c r="M729" s="35"/>
      <c r="N729" s="35"/>
      <c r="O729" s="35"/>
      <c r="P729" s="35"/>
      <c r="Q729" s="35"/>
      <c r="R729" s="35"/>
      <c r="S729" s="35"/>
      <c r="T729" s="35"/>
      <c r="U729" s="35"/>
      <c r="V729" s="35"/>
      <c r="W729" s="35"/>
      <c r="X729" s="35"/>
      <c r="Y729" s="35"/>
    </row>
    <row r="730" ht="15.75" customHeight="1">
      <c r="A730" s="35"/>
      <c r="B730" s="35"/>
      <c r="C730" s="35"/>
      <c r="D730" s="35"/>
      <c r="E730" s="35"/>
      <c r="F730" s="50"/>
      <c r="G730" s="35"/>
      <c r="H730" s="35"/>
      <c r="I730" s="35"/>
      <c r="J730" s="35"/>
      <c r="K730" s="35"/>
      <c r="L730" s="35"/>
      <c r="M730" s="35"/>
      <c r="N730" s="35"/>
      <c r="O730" s="35"/>
      <c r="P730" s="35"/>
      <c r="Q730" s="35"/>
      <c r="R730" s="35"/>
      <c r="S730" s="35"/>
      <c r="T730" s="35"/>
      <c r="U730" s="35"/>
      <c r="V730" s="35"/>
      <c r="W730" s="35"/>
      <c r="X730" s="35"/>
      <c r="Y730" s="35"/>
    </row>
    <row r="731" ht="15.75" customHeight="1">
      <c r="A731" s="35"/>
      <c r="B731" s="35"/>
      <c r="C731" s="35"/>
      <c r="D731" s="35"/>
      <c r="E731" s="35"/>
      <c r="F731" s="50"/>
      <c r="G731" s="35"/>
      <c r="H731" s="35"/>
      <c r="I731" s="35"/>
      <c r="J731" s="35"/>
      <c r="K731" s="35"/>
      <c r="L731" s="35"/>
      <c r="M731" s="35"/>
      <c r="N731" s="35"/>
      <c r="O731" s="35"/>
      <c r="P731" s="35"/>
      <c r="Q731" s="35"/>
      <c r="R731" s="35"/>
      <c r="S731" s="35"/>
      <c r="T731" s="35"/>
      <c r="U731" s="35"/>
      <c r="V731" s="35"/>
      <c r="W731" s="35"/>
      <c r="X731" s="35"/>
      <c r="Y731" s="35"/>
    </row>
    <row r="732" ht="15.75" customHeight="1">
      <c r="A732" s="35"/>
      <c r="B732" s="35"/>
      <c r="C732" s="35"/>
      <c r="D732" s="35"/>
      <c r="E732" s="35"/>
      <c r="F732" s="50"/>
      <c r="G732" s="35"/>
      <c r="H732" s="35"/>
      <c r="I732" s="35"/>
      <c r="J732" s="35"/>
      <c r="K732" s="35"/>
      <c r="L732" s="35"/>
      <c r="M732" s="35"/>
      <c r="N732" s="35"/>
      <c r="O732" s="35"/>
      <c r="P732" s="35"/>
      <c r="Q732" s="35"/>
      <c r="R732" s="35"/>
      <c r="S732" s="35"/>
      <c r="T732" s="35"/>
      <c r="U732" s="35"/>
      <c r="V732" s="35"/>
      <c r="W732" s="35"/>
      <c r="X732" s="35"/>
      <c r="Y732" s="35"/>
    </row>
    <row r="733" ht="15.75" customHeight="1">
      <c r="A733" s="35"/>
      <c r="B733" s="35"/>
      <c r="C733" s="35"/>
      <c r="D733" s="35"/>
      <c r="E733" s="35"/>
      <c r="F733" s="50"/>
      <c r="G733" s="35"/>
      <c r="H733" s="35"/>
      <c r="I733" s="35"/>
      <c r="J733" s="35"/>
      <c r="K733" s="35"/>
      <c r="L733" s="35"/>
      <c r="M733" s="35"/>
      <c r="N733" s="35"/>
      <c r="O733" s="35"/>
      <c r="P733" s="35"/>
      <c r="Q733" s="35"/>
      <c r="R733" s="35"/>
      <c r="S733" s="35"/>
      <c r="T733" s="35"/>
      <c r="U733" s="35"/>
      <c r="V733" s="35"/>
      <c r="W733" s="35"/>
      <c r="X733" s="35"/>
      <c r="Y733" s="35"/>
    </row>
    <row r="734" ht="15.75" customHeight="1">
      <c r="A734" s="35"/>
      <c r="B734" s="35"/>
      <c r="C734" s="35"/>
      <c r="D734" s="35"/>
      <c r="E734" s="35"/>
      <c r="F734" s="50"/>
      <c r="G734" s="35"/>
      <c r="H734" s="35"/>
      <c r="I734" s="35"/>
      <c r="J734" s="35"/>
      <c r="K734" s="35"/>
      <c r="L734" s="35"/>
      <c r="M734" s="35"/>
      <c r="N734" s="35"/>
      <c r="O734" s="35"/>
      <c r="P734" s="35"/>
      <c r="Q734" s="35"/>
      <c r="R734" s="35"/>
      <c r="S734" s="35"/>
      <c r="T734" s="35"/>
      <c r="U734" s="35"/>
      <c r="V734" s="35"/>
      <c r="W734" s="35"/>
      <c r="X734" s="35"/>
      <c r="Y734" s="35"/>
    </row>
    <row r="735" ht="15.75" customHeight="1">
      <c r="A735" s="35"/>
      <c r="B735" s="35"/>
      <c r="C735" s="35"/>
      <c r="D735" s="35"/>
      <c r="E735" s="35"/>
      <c r="F735" s="50"/>
      <c r="G735" s="35"/>
      <c r="H735" s="35"/>
      <c r="I735" s="35"/>
      <c r="J735" s="35"/>
      <c r="K735" s="35"/>
      <c r="L735" s="35"/>
      <c r="M735" s="35"/>
      <c r="N735" s="35"/>
      <c r="O735" s="35"/>
      <c r="P735" s="35"/>
      <c r="Q735" s="35"/>
      <c r="R735" s="35"/>
      <c r="S735" s="35"/>
      <c r="T735" s="35"/>
      <c r="U735" s="35"/>
      <c r="V735" s="35"/>
      <c r="W735" s="35"/>
      <c r="X735" s="35"/>
      <c r="Y735" s="35"/>
    </row>
    <row r="736" ht="15.75" customHeight="1">
      <c r="A736" s="35"/>
      <c r="B736" s="35"/>
      <c r="C736" s="35"/>
      <c r="D736" s="35"/>
      <c r="E736" s="35"/>
      <c r="F736" s="50"/>
      <c r="G736" s="35"/>
      <c r="H736" s="35"/>
      <c r="I736" s="35"/>
      <c r="J736" s="35"/>
      <c r="K736" s="35"/>
      <c r="L736" s="35"/>
      <c r="M736" s="35"/>
      <c r="N736" s="35"/>
      <c r="O736" s="35"/>
      <c r="P736" s="35"/>
      <c r="Q736" s="35"/>
      <c r="R736" s="35"/>
      <c r="S736" s="35"/>
      <c r="T736" s="35"/>
      <c r="U736" s="35"/>
      <c r="V736" s="35"/>
      <c r="W736" s="35"/>
      <c r="X736" s="35"/>
      <c r="Y736" s="35"/>
    </row>
    <row r="737" ht="15.75" customHeight="1">
      <c r="A737" s="35"/>
      <c r="B737" s="35"/>
      <c r="C737" s="35"/>
      <c r="D737" s="35"/>
      <c r="E737" s="35"/>
      <c r="F737" s="50"/>
      <c r="G737" s="35"/>
      <c r="H737" s="35"/>
      <c r="I737" s="35"/>
      <c r="J737" s="35"/>
      <c r="K737" s="35"/>
      <c r="L737" s="35"/>
      <c r="M737" s="35"/>
      <c r="N737" s="35"/>
      <c r="O737" s="35"/>
      <c r="P737" s="35"/>
      <c r="Q737" s="35"/>
      <c r="R737" s="35"/>
      <c r="S737" s="35"/>
      <c r="T737" s="35"/>
      <c r="U737" s="35"/>
      <c r="V737" s="35"/>
      <c r="W737" s="35"/>
      <c r="X737" s="35"/>
      <c r="Y737" s="35"/>
    </row>
    <row r="738" ht="15.75" customHeight="1">
      <c r="A738" s="35"/>
      <c r="B738" s="35"/>
      <c r="C738" s="35"/>
      <c r="D738" s="35"/>
      <c r="E738" s="35"/>
      <c r="F738" s="50"/>
      <c r="G738" s="35"/>
      <c r="H738" s="35"/>
      <c r="I738" s="35"/>
      <c r="J738" s="35"/>
      <c r="K738" s="35"/>
      <c r="L738" s="35"/>
      <c r="M738" s="35"/>
      <c r="N738" s="35"/>
      <c r="O738" s="35"/>
      <c r="P738" s="35"/>
      <c r="Q738" s="35"/>
      <c r="R738" s="35"/>
      <c r="S738" s="35"/>
      <c r="T738" s="35"/>
      <c r="U738" s="35"/>
      <c r="V738" s="35"/>
      <c r="W738" s="35"/>
      <c r="X738" s="35"/>
      <c r="Y738" s="35"/>
    </row>
    <row r="739" ht="15.75" customHeight="1">
      <c r="A739" s="35"/>
      <c r="B739" s="35"/>
      <c r="C739" s="35"/>
      <c r="D739" s="35"/>
      <c r="E739" s="35"/>
      <c r="F739" s="50"/>
      <c r="G739" s="35"/>
      <c r="H739" s="35"/>
      <c r="I739" s="35"/>
      <c r="J739" s="35"/>
      <c r="K739" s="35"/>
      <c r="L739" s="35"/>
      <c r="M739" s="35"/>
      <c r="N739" s="35"/>
      <c r="O739" s="35"/>
      <c r="P739" s="35"/>
      <c r="Q739" s="35"/>
      <c r="R739" s="35"/>
      <c r="S739" s="35"/>
      <c r="T739" s="35"/>
      <c r="U739" s="35"/>
      <c r="V739" s="35"/>
      <c r="W739" s="35"/>
      <c r="X739" s="35"/>
      <c r="Y739" s="35"/>
    </row>
    <row r="740" ht="15.75" customHeight="1">
      <c r="A740" s="35"/>
      <c r="B740" s="35"/>
      <c r="C740" s="35"/>
      <c r="D740" s="35"/>
      <c r="E740" s="35"/>
      <c r="F740" s="50"/>
      <c r="G740" s="35"/>
      <c r="H740" s="35"/>
      <c r="I740" s="35"/>
      <c r="J740" s="35"/>
      <c r="K740" s="35"/>
      <c r="L740" s="35"/>
      <c r="M740" s="35"/>
      <c r="N740" s="35"/>
      <c r="O740" s="35"/>
      <c r="P740" s="35"/>
      <c r="Q740" s="35"/>
      <c r="R740" s="35"/>
      <c r="S740" s="35"/>
      <c r="T740" s="35"/>
      <c r="U740" s="35"/>
      <c r="V740" s="35"/>
      <c r="W740" s="35"/>
      <c r="X740" s="35"/>
      <c r="Y740" s="35"/>
    </row>
    <row r="741" ht="15.75" customHeight="1">
      <c r="A741" s="35"/>
      <c r="B741" s="35"/>
      <c r="C741" s="35"/>
      <c r="D741" s="35"/>
      <c r="E741" s="35"/>
      <c r="F741" s="50"/>
      <c r="G741" s="35"/>
      <c r="H741" s="35"/>
      <c r="I741" s="35"/>
      <c r="J741" s="35"/>
      <c r="K741" s="35"/>
      <c r="L741" s="35"/>
      <c r="M741" s="35"/>
      <c r="N741" s="35"/>
      <c r="O741" s="35"/>
      <c r="P741" s="35"/>
      <c r="Q741" s="35"/>
      <c r="R741" s="35"/>
      <c r="S741" s="35"/>
      <c r="T741" s="35"/>
      <c r="U741" s="35"/>
      <c r="V741" s="35"/>
      <c r="W741" s="35"/>
      <c r="X741" s="35"/>
      <c r="Y741" s="35"/>
    </row>
    <row r="742" ht="15.75" customHeight="1">
      <c r="A742" s="35"/>
      <c r="B742" s="35"/>
      <c r="C742" s="35"/>
      <c r="D742" s="35"/>
      <c r="E742" s="35"/>
      <c r="F742" s="50"/>
      <c r="G742" s="35"/>
      <c r="H742" s="35"/>
      <c r="I742" s="35"/>
      <c r="J742" s="35"/>
      <c r="K742" s="35"/>
      <c r="L742" s="35"/>
      <c r="M742" s="35"/>
      <c r="N742" s="35"/>
      <c r="O742" s="35"/>
      <c r="P742" s="35"/>
      <c r="Q742" s="35"/>
      <c r="R742" s="35"/>
      <c r="S742" s="35"/>
      <c r="T742" s="35"/>
      <c r="U742" s="35"/>
      <c r="V742" s="35"/>
      <c r="W742" s="35"/>
      <c r="X742" s="35"/>
      <c r="Y742" s="35"/>
    </row>
    <row r="743" ht="15.75" customHeight="1">
      <c r="A743" s="35"/>
      <c r="B743" s="35"/>
      <c r="C743" s="35"/>
      <c r="D743" s="35"/>
      <c r="E743" s="35"/>
      <c r="F743" s="50"/>
      <c r="G743" s="35"/>
      <c r="H743" s="35"/>
      <c r="I743" s="35"/>
      <c r="J743" s="35"/>
      <c r="K743" s="35"/>
      <c r="L743" s="35"/>
      <c r="M743" s="35"/>
      <c r="N743" s="35"/>
      <c r="O743" s="35"/>
      <c r="P743" s="35"/>
      <c r="Q743" s="35"/>
      <c r="R743" s="35"/>
      <c r="S743" s="35"/>
      <c r="T743" s="35"/>
      <c r="U743" s="35"/>
      <c r="V743" s="35"/>
      <c r="W743" s="35"/>
      <c r="X743" s="35"/>
      <c r="Y743" s="35"/>
    </row>
    <row r="744" ht="15.75" customHeight="1">
      <c r="A744" s="35"/>
      <c r="B744" s="35"/>
      <c r="C744" s="35"/>
      <c r="D744" s="35"/>
      <c r="E744" s="35"/>
      <c r="F744" s="50"/>
      <c r="G744" s="35"/>
      <c r="H744" s="35"/>
      <c r="I744" s="35"/>
      <c r="J744" s="35"/>
      <c r="K744" s="35"/>
      <c r="L744" s="35"/>
      <c r="M744" s="35"/>
      <c r="N744" s="35"/>
      <c r="O744" s="35"/>
      <c r="P744" s="35"/>
      <c r="Q744" s="35"/>
      <c r="R744" s="35"/>
      <c r="S744" s="35"/>
      <c r="T744" s="35"/>
      <c r="U744" s="35"/>
      <c r="V744" s="35"/>
      <c r="W744" s="35"/>
      <c r="X744" s="35"/>
      <c r="Y744" s="35"/>
    </row>
    <row r="745" ht="15.75" customHeight="1">
      <c r="A745" s="35"/>
      <c r="B745" s="35"/>
      <c r="C745" s="35"/>
      <c r="D745" s="35"/>
      <c r="E745" s="35"/>
      <c r="F745" s="50"/>
      <c r="G745" s="35"/>
      <c r="H745" s="35"/>
      <c r="I745" s="35"/>
      <c r="J745" s="35"/>
      <c r="K745" s="35"/>
      <c r="L745" s="35"/>
      <c r="M745" s="35"/>
      <c r="N745" s="35"/>
      <c r="O745" s="35"/>
      <c r="P745" s="35"/>
      <c r="Q745" s="35"/>
      <c r="R745" s="35"/>
      <c r="S745" s="35"/>
      <c r="T745" s="35"/>
      <c r="U745" s="35"/>
      <c r="V745" s="35"/>
      <c r="W745" s="35"/>
      <c r="X745" s="35"/>
      <c r="Y745" s="35"/>
    </row>
    <row r="746" ht="15.75" customHeight="1">
      <c r="A746" s="35"/>
      <c r="B746" s="35"/>
      <c r="C746" s="35"/>
      <c r="D746" s="35"/>
      <c r="E746" s="35"/>
      <c r="F746" s="50"/>
      <c r="G746" s="35"/>
      <c r="H746" s="35"/>
      <c r="I746" s="35"/>
      <c r="J746" s="35"/>
      <c r="K746" s="35"/>
      <c r="L746" s="35"/>
      <c r="M746" s="35"/>
      <c r="N746" s="35"/>
      <c r="O746" s="35"/>
      <c r="P746" s="35"/>
      <c r="Q746" s="35"/>
      <c r="R746" s="35"/>
      <c r="S746" s="35"/>
      <c r="T746" s="35"/>
      <c r="U746" s="35"/>
      <c r="V746" s="35"/>
      <c r="W746" s="35"/>
      <c r="X746" s="35"/>
      <c r="Y746" s="35"/>
    </row>
    <row r="747" ht="15.75" customHeight="1">
      <c r="A747" s="35"/>
      <c r="B747" s="35"/>
      <c r="C747" s="35"/>
      <c r="D747" s="35"/>
      <c r="E747" s="35"/>
      <c r="F747" s="50"/>
      <c r="G747" s="35"/>
      <c r="H747" s="35"/>
      <c r="I747" s="35"/>
      <c r="J747" s="35"/>
      <c r="K747" s="35"/>
      <c r="L747" s="35"/>
      <c r="M747" s="35"/>
      <c r="N747" s="35"/>
      <c r="O747" s="35"/>
      <c r="P747" s="35"/>
      <c r="Q747" s="35"/>
      <c r="R747" s="35"/>
      <c r="S747" s="35"/>
      <c r="T747" s="35"/>
      <c r="U747" s="35"/>
      <c r="V747" s="35"/>
      <c r="W747" s="35"/>
      <c r="X747" s="35"/>
      <c r="Y747" s="35"/>
    </row>
    <row r="748" ht="15.75" customHeight="1">
      <c r="A748" s="35"/>
      <c r="B748" s="35"/>
      <c r="C748" s="35"/>
      <c r="D748" s="35"/>
      <c r="E748" s="35"/>
      <c r="F748" s="50"/>
      <c r="G748" s="35"/>
      <c r="H748" s="35"/>
      <c r="I748" s="35"/>
      <c r="J748" s="35"/>
      <c r="K748" s="35"/>
      <c r="L748" s="35"/>
      <c r="M748" s="35"/>
      <c r="N748" s="35"/>
      <c r="O748" s="35"/>
      <c r="P748" s="35"/>
      <c r="Q748" s="35"/>
      <c r="R748" s="35"/>
      <c r="S748" s="35"/>
      <c r="T748" s="35"/>
      <c r="U748" s="35"/>
      <c r="V748" s="35"/>
      <c r="W748" s="35"/>
      <c r="X748" s="35"/>
      <c r="Y748" s="35"/>
    </row>
    <row r="749" ht="15.75" customHeight="1">
      <c r="A749" s="35"/>
      <c r="B749" s="35"/>
      <c r="C749" s="35"/>
      <c r="D749" s="35"/>
      <c r="E749" s="35"/>
      <c r="F749" s="50"/>
      <c r="G749" s="35"/>
      <c r="H749" s="35"/>
      <c r="I749" s="35"/>
      <c r="J749" s="35"/>
      <c r="K749" s="35"/>
      <c r="L749" s="35"/>
      <c r="M749" s="35"/>
      <c r="N749" s="35"/>
      <c r="O749" s="35"/>
      <c r="P749" s="35"/>
      <c r="Q749" s="35"/>
      <c r="R749" s="35"/>
      <c r="S749" s="35"/>
      <c r="T749" s="35"/>
      <c r="U749" s="35"/>
      <c r="V749" s="35"/>
      <c r="W749" s="35"/>
      <c r="X749" s="35"/>
      <c r="Y749" s="35"/>
    </row>
    <row r="750" ht="15.75" customHeight="1">
      <c r="A750" s="35"/>
      <c r="B750" s="35"/>
      <c r="C750" s="35"/>
      <c r="D750" s="35"/>
      <c r="E750" s="35"/>
      <c r="F750" s="50"/>
      <c r="G750" s="35"/>
      <c r="H750" s="35"/>
      <c r="I750" s="35"/>
      <c r="J750" s="35"/>
      <c r="K750" s="35"/>
      <c r="L750" s="35"/>
      <c r="M750" s="35"/>
      <c r="N750" s="35"/>
      <c r="O750" s="35"/>
      <c r="P750" s="35"/>
      <c r="Q750" s="35"/>
      <c r="R750" s="35"/>
      <c r="S750" s="35"/>
      <c r="T750" s="35"/>
      <c r="U750" s="35"/>
      <c r="V750" s="35"/>
      <c r="W750" s="35"/>
      <c r="X750" s="35"/>
      <c r="Y750" s="35"/>
    </row>
    <row r="751" ht="15.75" customHeight="1">
      <c r="A751" s="35"/>
      <c r="B751" s="35"/>
      <c r="C751" s="35"/>
      <c r="D751" s="35"/>
      <c r="E751" s="35"/>
      <c r="F751" s="50"/>
      <c r="G751" s="35"/>
      <c r="H751" s="35"/>
      <c r="I751" s="35"/>
      <c r="J751" s="35"/>
      <c r="K751" s="35"/>
      <c r="L751" s="35"/>
      <c r="M751" s="35"/>
      <c r="N751" s="35"/>
      <c r="O751" s="35"/>
      <c r="P751" s="35"/>
      <c r="Q751" s="35"/>
      <c r="R751" s="35"/>
      <c r="S751" s="35"/>
      <c r="T751" s="35"/>
      <c r="U751" s="35"/>
      <c r="V751" s="35"/>
      <c r="W751" s="35"/>
      <c r="X751" s="35"/>
      <c r="Y751" s="35"/>
    </row>
    <row r="752" ht="15.75" customHeight="1">
      <c r="A752" s="35"/>
      <c r="B752" s="35"/>
      <c r="C752" s="35"/>
      <c r="D752" s="35"/>
      <c r="E752" s="35"/>
      <c r="F752" s="50"/>
      <c r="G752" s="35"/>
      <c r="H752" s="35"/>
      <c r="I752" s="35"/>
      <c r="J752" s="35"/>
      <c r="K752" s="35"/>
      <c r="L752" s="35"/>
      <c r="M752" s="35"/>
      <c r="N752" s="35"/>
      <c r="O752" s="35"/>
      <c r="P752" s="35"/>
      <c r="Q752" s="35"/>
      <c r="R752" s="35"/>
      <c r="S752" s="35"/>
      <c r="T752" s="35"/>
      <c r="U752" s="35"/>
      <c r="V752" s="35"/>
      <c r="W752" s="35"/>
      <c r="X752" s="35"/>
      <c r="Y752" s="35"/>
    </row>
    <row r="753" ht="15.75" customHeight="1">
      <c r="A753" s="35"/>
      <c r="B753" s="35"/>
      <c r="C753" s="35"/>
      <c r="D753" s="35"/>
      <c r="E753" s="35"/>
      <c r="F753" s="50"/>
      <c r="G753" s="35"/>
      <c r="H753" s="35"/>
      <c r="I753" s="35"/>
      <c r="J753" s="35"/>
      <c r="K753" s="35"/>
      <c r="L753" s="35"/>
      <c r="M753" s="35"/>
      <c r="N753" s="35"/>
      <c r="O753" s="35"/>
      <c r="P753" s="35"/>
      <c r="Q753" s="35"/>
      <c r="R753" s="35"/>
      <c r="S753" s="35"/>
      <c r="T753" s="35"/>
      <c r="U753" s="35"/>
      <c r="V753" s="35"/>
      <c r="W753" s="35"/>
      <c r="X753" s="35"/>
      <c r="Y753" s="35"/>
    </row>
    <row r="754" ht="15.75" customHeight="1">
      <c r="A754" s="35"/>
      <c r="B754" s="35"/>
      <c r="C754" s="35"/>
      <c r="D754" s="35"/>
      <c r="E754" s="35"/>
      <c r="F754" s="50"/>
      <c r="G754" s="35"/>
      <c r="H754" s="35"/>
      <c r="I754" s="35"/>
      <c r="J754" s="35"/>
      <c r="K754" s="35"/>
      <c r="L754" s="35"/>
      <c r="M754" s="35"/>
      <c r="N754" s="35"/>
      <c r="O754" s="35"/>
      <c r="P754" s="35"/>
      <c r="Q754" s="35"/>
      <c r="R754" s="35"/>
      <c r="S754" s="35"/>
      <c r="T754" s="35"/>
      <c r="U754" s="35"/>
      <c r="V754" s="35"/>
      <c r="W754" s="35"/>
      <c r="X754" s="35"/>
      <c r="Y754" s="35"/>
    </row>
    <row r="755" ht="15.75" customHeight="1">
      <c r="A755" s="35"/>
      <c r="B755" s="35"/>
      <c r="C755" s="35"/>
      <c r="D755" s="35"/>
      <c r="E755" s="35"/>
      <c r="F755" s="50"/>
      <c r="G755" s="35"/>
      <c r="H755" s="35"/>
      <c r="I755" s="35"/>
      <c r="J755" s="35"/>
      <c r="K755" s="35"/>
      <c r="L755" s="35"/>
      <c r="M755" s="35"/>
      <c r="N755" s="35"/>
      <c r="O755" s="35"/>
      <c r="P755" s="35"/>
      <c r="Q755" s="35"/>
      <c r="R755" s="35"/>
      <c r="S755" s="35"/>
      <c r="T755" s="35"/>
      <c r="U755" s="35"/>
      <c r="V755" s="35"/>
      <c r="W755" s="35"/>
      <c r="X755" s="35"/>
      <c r="Y755" s="35"/>
    </row>
    <row r="756" ht="15.75" customHeight="1">
      <c r="A756" s="35"/>
      <c r="B756" s="35"/>
      <c r="C756" s="35"/>
      <c r="D756" s="35"/>
      <c r="E756" s="35"/>
      <c r="F756" s="50"/>
      <c r="G756" s="35"/>
      <c r="H756" s="35"/>
      <c r="I756" s="35"/>
      <c r="J756" s="35"/>
      <c r="K756" s="35"/>
      <c r="L756" s="35"/>
      <c r="M756" s="35"/>
      <c r="N756" s="35"/>
      <c r="O756" s="35"/>
      <c r="P756" s="35"/>
      <c r="Q756" s="35"/>
      <c r="R756" s="35"/>
      <c r="S756" s="35"/>
      <c r="T756" s="35"/>
      <c r="U756" s="35"/>
      <c r="V756" s="35"/>
      <c r="W756" s="35"/>
      <c r="X756" s="35"/>
      <c r="Y756" s="35"/>
    </row>
    <row r="757" ht="15.75" customHeight="1">
      <c r="A757" s="35"/>
      <c r="B757" s="35"/>
      <c r="C757" s="35"/>
      <c r="D757" s="35"/>
      <c r="E757" s="35"/>
      <c r="F757" s="50"/>
      <c r="G757" s="35"/>
      <c r="H757" s="35"/>
      <c r="I757" s="35"/>
      <c r="J757" s="35"/>
      <c r="K757" s="35"/>
      <c r="L757" s="35"/>
      <c r="M757" s="35"/>
      <c r="N757" s="35"/>
      <c r="O757" s="35"/>
      <c r="P757" s="35"/>
      <c r="Q757" s="35"/>
      <c r="R757" s="35"/>
      <c r="S757" s="35"/>
      <c r="T757" s="35"/>
      <c r="U757" s="35"/>
      <c r="V757" s="35"/>
      <c r="W757" s="35"/>
      <c r="X757" s="35"/>
      <c r="Y757" s="35"/>
    </row>
    <row r="758" ht="15.75" customHeight="1">
      <c r="A758" s="35"/>
      <c r="B758" s="35"/>
      <c r="C758" s="35"/>
      <c r="D758" s="35"/>
      <c r="E758" s="35"/>
      <c r="F758" s="50"/>
      <c r="G758" s="35"/>
      <c r="H758" s="35"/>
      <c r="I758" s="35"/>
      <c r="J758" s="35"/>
      <c r="K758" s="35"/>
      <c r="L758" s="35"/>
      <c r="M758" s="35"/>
      <c r="N758" s="35"/>
      <c r="O758" s="35"/>
      <c r="P758" s="35"/>
      <c r="Q758" s="35"/>
      <c r="R758" s="35"/>
      <c r="S758" s="35"/>
      <c r="T758" s="35"/>
      <c r="U758" s="35"/>
      <c r="V758" s="35"/>
      <c r="W758" s="35"/>
      <c r="X758" s="35"/>
      <c r="Y758" s="35"/>
    </row>
    <row r="759" ht="15.75" customHeight="1">
      <c r="A759" s="35"/>
      <c r="B759" s="35"/>
      <c r="C759" s="35"/>
      <c r="D759" s="35"/>
      <c r="E759" s="35"/>
      <c r="F759" s="50"/>
      <c r="G759" s="35"/>
      <c r="H759" s="35"/>
      <c r="I759" s="35"/>
      <c r="J759" s="35"/>
      <c r="K759" s="35"/>
      <c r="L759" s="35"/>
      <c r="M759" s="35"/>
      <c r="N759" s="35"/>
      <c r="O759" s="35"/>
      <c r="P759" s="35"/>
      <c r="Q759" s="35"/>
      <c r="R759" s="35"/>
      <c r="S759" s="35"/>
      <c r="T759" s="35"/>
      <c r="U759" s="35"/>
      <c r="V759" s="35"/>
      <c r="W759" s="35"/>
      <c r="X759" s="35"/>
      <c r="Y759" s="35"/>
    </row>
    <row r="760" ht="15.75" customHeight="1">
      <c r="A760" s="35"/>
      <c r="B760" s="35"/>
      <c r="C760" s="35"/>
      <c r="D760" s="35"/>
      <c r="E760" s="35"/>
      <c r="F760" s="50"/>
      <c r="G760" s="35"/>
      <c r="H760" s="35"/>
      <c r="I760" s="35"/>
      <c r="J760" s="35"/>
      <c r="K760" s="35"/>
      <c r="L760" s="35"/>
      <c r="M760" s="35"/>
      <c r="N760" s="35"/>
      <c r="O760" s="35"/>
      <c r="P760" s="35"/>
      <c r="Q760" s="35"/>
      <c r="R760" s="35"/>
      <c r="S760" s="35"/>
      <c r="T760" s="35"/>
      <c r="U760" s="35"/>
      <c r="V760" s="35"/>
      <c r="W760" s="35"/>
      <c r="X760" s="35"/>
      <c r="Y760" s="35"/>
    </row>
    <row r="761" ht="15.75" customHeight="1">
      <c r="A761" s="35"/>
      <c r="B761" s="35"/>
      <c r="C761" s="35"/>
      <c r="D761" s="35"/>
      <c r="E761" s="35"/>
      <c r="F761" s="50"/>
      <c r="G761" s="35"/>
      <c r="H761" s="35"/>
      <c r="I761" s="35"/>
      <c r="J761" s="35"/>
      <c r="K761" s="35"/>
      <c r="L761" s="35"/>
      <c r="M761" s="35"/>
      <c r="N761" s="35"/>
      <c r="O761" s="35"/>
      <c r="P761" s="35"/>
      <c r="Q761" s="35"/>
      <c r="R761" s="35"/>
      <c r="S761" s="35"/>
      <c r="T761" s="35"/>
      <c r="U761" s="35"/>
      <c r="V761" s="35"/>
      <c r="W761" s="35"/>
      <c r="X761" s="35"/>
      <c r="Y761" s="35"/>
    </row>
    <row r="762" ht="15.75" customHeight="1">
      <c r="A762" s="35"/>
      <c r="B762" s="35"/>
      <c r="C762" s="35"/>
      <c r="D762" s="35"/>
      <c r="E762" s="35"/>
      <c r="F762" s="50"/>
      <c r="G762" s="35"/>
      <c r="H762" s="35"/>
      <c r="I762" s="35"/>
      <c r="J762" s="35"/>
      <c r="K762" s="35"/>
      <c r="L762" s="35"/>
      <c r="M762" s="35"/>
      <c r="N762" s="35"/>
      <c r="O762" s="35"/>
      <c r="P762" s="35"/>
      <c r="Q762" s="35"/>
      <c r="R762" s="35"/>
      <c r="S762" s="35"/>
      <c r="T762" s="35"/>
      <c r="U762" s="35"/>
      <c r="V762" s="35"/>
      <c r="W762" s="35"/>
      <c r="X762" s="35"/>
      <c r="Y762" s="35"/>
    </row>
    <row r="763" ht="15.75" customHeight="1">
      <c r="A763" s="35"/>
      <c r="B763" s="35"/>
      <c r="C763" s="35"/>
      <c r="D763" s="35"/>
      <c r="E763" s="35"/>
      <c r="F763" s="50"/>
      <c r="G763" s="35"/>
      <c r="H763" s="35"/>
      <c r="I763" s="35"/>
      <c r="J763" s="35"/>
      <c r="K763" s="35"/>
      <c r="L763" s="35"/>
      <c r="M763" s="35"/>
      <c r="N763" s="35"/>
      <c r="O763" s="35"/>
      <c r="P763" s="35"/>
      <c r="Q763" s="35"/>
      <c r="R763" s="35"/>
      <c r="S763" s="35"/>
      <c r="T763" s="35"/>
      <c r="U763" s="35"/>
      <c r="V763" s="35"/>
      <c r="W763" s="35"/>
      <c r="X763" s="35"/>
      <c r="Y763" s="35"/>
    </row>
    <row r="764" ht="15.75" customHeight="1">
      <c r="A764" s="35"/>
      <c r="B764" s="35"/>
      <c r="C764" s="35"/>
      <c r="D764" s="35"/>
      <c r="E764" s="35"/>
      <c r="F764" s="50"/>
      <c r="G764" s="35"/>
      <c r="H764" s="35"/>
      <c r="I764" s="35"/>
      <c r="J764" s="35"/>
      <c r="K764" s="35"/>
      <c r="L764" s="35"/>
      <c r="M764" s="35"/>
      <c r="N764" s="35"/>
      <c r="O764" s="35"/>
      <c r="P764" s="35"/>
      <c r="Q764" s="35"/>
      <c r="R764" s="35"/>
      <c r="S764" s="35"/>
      <c r="T764" s="35"/>
      <c r="U764" s="35"/>
      <c r="V764" s="35"/>
      <c r="W764" s="35"/>
      <c r="X764" s="35"/>
      <c r="Y764" s="35"/>
    </row>
    <row r="765" ht="15.75" customHeight="1">
      <c r="A765" s="35"/>
      <c r="B765" s="35"/>
      <c r="C765" s="35"/>
      <c r="D765" s="35"/>
      <c r="E765" s="35"/>
      <c r="F765" s="50"/>
      <c r="G765" s="35"/>
      <c r="H765" s="35"/>
      <c r="I765" s="35"/>
      <c r="J765" s="35"/>
      <c r="K765" s="35"/>
      <c r="L765" s="35"/>
      <c r="M765" s="35"/>
      <c r="N765" s="35"/>
      <c r="O765" s="35"/>
      <c r="P765" s="35"/>
      <c r="Q765" s="35"/>
      <c r="R765" s="35"/>
      <c r="S765" s="35"/>
      <c r="T765" s="35"/>
      <c r="U765" s="35"/>
      <c r="V765" s="35"/>
      <c r="W765" s="35"/>
      <c r="X765" s="35"/>
      <c r="Y765" s="35"/>
    </row>
    <row r="766" ht="15.75" customHeight="1">
      <c r="A766" s="35"/>
      <c r="B766" s="35"/>
      <c r="C766" s="35"/>
      <c r="D766" s="35"/>
      <c r="E766" s="35"/>
      <c r="F766" s="50"/>
      <c r="G766" s="35"/>
      <c r="H766" s="35"/>
      <c r="I766" s="35"/>
      <c r="J766" s="35"/>
      <c r="K766" s="35"/>
      <c r="L766" s="35"/>
      <c r="M766" s="35"/>
      <c r="N766" s="35"/>
      <c r="O766" s="35"/>
      <c r="P766" s="35"/>
      <c r="Q766" s="35"/>
      <c r="R766" s="35"/>
      <c r="S766" s="35"/>
      <c r="T766" s="35"/>
      <c r="U766" s="35"/>
      <c r="V766" s="35"/>
      <c r="W766" s="35"/>
      <c r="X766" s="35"/>
      <c r="Y766" s="35"/>
    </row>
    <row r="767" ht="15.75" customHeight="1">
      <c r="A767" s="35"/>
      <c r="B767" s="35"/>
      <c r="C767" s="35"/>
      <c r="D767" s="35"/>
      <c r="E767" s="35"/>
      <c r="F767" s="50"/>
      <c r="G767" s="35"/>
      <c r="H767" s="35"/>
      <c r="I767" s="35"/>
      <c r="J767" s="35"/>
      <c r="K767" s="35"/>
      <c r="L767" s="35"/>
      <c r="M767" s="35"/>
      <c r="N767" s="35"/>
      <c r="O767" s="35"/>
      <c r="P767" s="35"/>
      <c r="Q767" s="35"/>
      <c r="R767" s="35"/>
      <c r="S767" s="35"/>
      <c r="T767" s="35"/>
      <c r="U767" s="35"/>
      <c r="V767" s="35"/>
      <c r="W767" s="35"/>
      <c r="X767" s="35"/>
      <c r="Y767" s="35"/>
    </row>
    <row r="768" ht="15.75" customHeight="1">
      <c r="A768" s="35"/>
      <c r="B768" s="35"/>
      <c r="C768" s="35"/>
      <c r="D768" s="35"/>
      <c r="E768" s="35"/>
      <c r="F768" s="50"/>
      <c r="G768" s="35"/>
      <c r="H768" s="35"/>
      <c r="I768" s="35"/>
      <c r="J768" s="35"/>
      <c r="K768" s="35"/>
      <c r="L768" s="35"/>
      <c r="M768" s="35"/>
      <c r="N768" s="35"/>
      <c r="O768" s="35"/>
      <c r="P768" s="35"/>
      <c r="Q768" s="35"/>
      <c r="R768" s="35"/>
      <c r="S768" s="35"/>
      <c r="T768" s="35"/>
      <c r="U768" s="35"/>
      <c r="V768" s="35"/>
      <c r="W768" s="35"/>
      <c r="X768" s="35"/>
      <c r="Y768" s="35"/>
    </row>
    <row r="769" ht="15.75" customHeight="1">
      <c r="A769" s="35"/>
      <c r="B769" s="35"/>
      <c r="C769" s="35"/>
      <c r="D769" s="35"/>
      <c r="E769" s="35"/>
      <c r="F769" s="50"/>
      <c r="G769" s="35"/>
      <c r="H769" s="35"/>
      <c r="I769" s="35"/>
      <c r="J769" s="35"/>
      <c r="K769" s="35"/>
      <c r="L769" s="35"/>
      <c r="M769" s="35"/>
      <c r="N769" s="35"/>
      <c r="O769" s="35"/>
      <c r="P769" s="35"/>
      <c r="Q769" s="35"/>
      <c r="R769" s="35"/>
      <c r="S769" s="35"/>
      <c r="T769" s="35"/>
      <c r="U769" s="35"/>
      <c r="V769" s="35"/>
      <c r="W769" s="35"/>
      <c r="X769" s="35"/>
      <c r="Y769" s="35"/>
    </row>
    <row r="770" ht="15.75" customHeight="1">
      <c r="A770" s="35"/>
      <c r="B770" s="35"/>
      <c r="C770" s="35"/>
      <c r="D770" s="35"/>
      <c r="E770" s="35"/>
      <c r="F770" s="50"/>
      <c r="G770" s="35"/>
      <c r="H770" s="35"/>
      <c r="I770" s="35"/>
      <c r="J770" s="35"/>
      <c r="K770" s="35"/>
      <c r="L770" s="35"/>
      <c r="M770" s="35"/>
      <c r="N770" s="35"/>
      <c r="O770" s="35"/>
      <c r="P770" s="35"/>
      <c r="Q770" s="35"/>
      <c r="R770" s="35"/>
      <c r="S770" s="35"/>
      <c r="T770" s="35"/>
      <c r="U770" s="35"/>
      <c r="V770" s="35"/>
      <c r="W770" s="35"/>
      <c r="X770" s="35"/>
      <c r="Y770" s="35"/>
    </row>
    <row r="771" ht="15.75" customHeight="1">
      <c r="A771" s="35"/>
      <c r="B771" s="35"/>
      <c r="C771" s="35"/>
      <c r="D771" s="35"/>
      <c r="E771" s="35"/>
      <c r="F771" s="50"/>
      <c r="G771" s="35"/>
      <c r="H771" s="35"/>
      <c r="I771" s="35"/>
      <c r="J771" s="35"/>
      <c r="K771" s="35"/>
      <c r="L771" s="35"/>
      <c r="M771" s="35"/>
      <c r="N771" s="35"/>
      <c r="O771" s="35"/>
      <c r="P771" s="35"/>
      <c r="Q771" s="35"/>
      <c r="R771" s="35"/>
      <c r="S771" s="35"/>
      <c r="T771" s="35"/>
      <c r="U771" s="35"/>
      <c r="V771" s="35"/>
      <c r="W771" s="35"/>
      <c r="X771" s="35"/>
      <c r="Y771" s="35"/>
    </row>
    <row r="772" ht="15.75" customHeight="1">
      <c r="A772" s="35"/>
      <c r="B772" s="35"/>
      <c r="C772" s="35"/>
      <c r="D772" s="35"/>
      <c r="E772" s="35"/>
      <c r="F772" s="50"/>
      <c r="G772" s="35"/>
      <c r="H772" s="35"/>
      <c r="I772" s="35"/>
      <c r="J772" s="35"/>
      <c r="K772" s="35"/>
      <c r="L772" s="35"/>
      <c r="M772" s="35"/>
      <c r="N772" s="35"/>
      <c r="O772" s="35"/>
      <c r="P772" s="35"/>
      <c r="Q772" s="35"/>
      <c r="R772" s="35"/>
      <c r="S772" s="35"/>
      <c r="T772" s="35"/>
      <c r="U772" s="35"/>
      <c r="V772" s="35"/>
      <c r="W772" s="35"/>
      <c r="X772" s="35"/>
      <c r="Y772" s="35"/>
    </row>
    <row r="773" ht="15.75" customHeight="1">
      <c r="A773" s="35"/>
      <c r="B773" s="35"/>
      <c r="C773" s="35"/>
      <c r="D773" s="35"/>
      <c r="E773" s="35"/>
      <c r="F773" s="50"/>
      <c r="G773" s="35"/>
      <c r="H773" s="35"/>
      <c r="I773" s="35"/>
      <c r="J773" s="35"/>
      <c r="K773" s="35"/>
      <c r="L773" s="35"/>
      <c r="M773" s="35"/>
      <c r="N773" s="35"/>
      <c r="O773" s="35"/>
      <c r="P773" s="35"/>
      <c r="Q773" s="35"/>
      <c r="R773" s="35"/>
      <c r="S773" s="35"/>
      <c r="T773" s="35"/>
      <c r="U773" s="35"/>
      <c r="V773" s="35"/>
      <c r="W773" s="35"/>
      <c r="X773" s="35"/>
      <c r="Y773" s="35"/>
    </row>
    <row r="774" ht="15.75" customHeight="1">
      <c r="A774" s="35"/>
      <c r="B774" s="35"/>
      <c r="C774" s="35"/>
      <c r="D774" s="35"/>
      <c r="E774" s="35"/>
      <c r="F774" s="50"/>
      <c r="G774" s="35"/>
      <c r="H774" s="35"/>
      <c r="I774" s="35"/>
      <c r="J774" s="35"/>
      <c r="K774" s="35"/>
      <c r="L774" s="35"/>
      <c r="M774" s="35"/>
      <c r="N774" s="35"/>
      <c r="O774" s="35"/>
      <c r="P774" s="35"/>
      <c r="Q774" s="35"/>
      <c r="R774" s="35"/>
      <c r="S774" s="35"/>
      <c r="T774" s="35"/>
      <c r="U774" s="35"/>
      <c r="V774" s="35"/>
      <c r="W774" s="35"/>
      <c r="X774" s="35"/>
      <c r="Y774" s="35"/>
    </row>
    <row r="775" ht="15.75" customHeight="1">
      <c r="A775" s="35"/>
      <c r="B775" s="35"/>
      <c r="C775" s="35"/>
      <c r="D775" s="35"/>
      <c r="E775" s="35"/>
      <c r="F775" s="50"/>
      <c r="G775" s="35"/>
      <c r="H775" s="35"/>
      <c r="I775" s="35"/>
      <c r="J775" s="35"/>
      <c r="K775" s="35"/>
      <c r="L775" s="35"/>
      <c r="M775" s="35"/>
      <c r="N775" s="35"/>
      <c r="O775" s="35"/>
      <c r="P775" s="35"/>
      <c r="Q775" s="35"/>
      <c r="R775" s="35"/>
      <c r="S775" s="35"/>
      <c r="T775" s="35"/>
      <c r="U775" s="35"/>
      <c r="V775" s="35"/>
      <c r="W775" s="35"/>
      <c r="X775" s="35"/>
      <c r="Y775" s="35"/>
    </row>
    <row r="776" ht="15.75" customHeight="1">
      <c r="A776" s="35"/>
      <c r="B776" s="35"/>
      <c r="C776" s="35"/>
      <c r="D776" s="35"/>
      <c r="E776" s="35"/>
      <c r="F776" s="50"/>
      <c r="G776" s="35"/>
      <c r="H776" s="35"/>
      <c r="I776" s="35"/>
      <c r="J776" s="35"/>
      <c r="K776" s="35"/>
      <c r="L776" s="35"/>
      <c r="M776" s="35"/>
      <c r="N776" s="35"/>
      <c r="O776" s="35"/>
      <c r="P776" s="35"/>
      <c r="Q776" s="35"/>
      <c r="R776" s="35"/>
      <c r="S776" s="35"/>
      <c r="T776" s="35"/>
      <c r="U776" s="35"/>
      <c r="V776" s="35"/>
      <c r="W776" s="35"/>
      <c r="X776" s="35"/>
      <c r="Y776" s="35"/>
    </row>
    <row r="777" ht="15.75" customHeight="1">
      <c r="A777" s="35"/>
      <c r="B777" s="35"/>
      <c r="C777" s="35"/>
      <c r="D777" s="35"/>
      <c r="E777" s="35"/>
      <c r="F777" s="50"/>
      <c r="G777" s="35"/>
      <c r="H777" s="35"/>
      <c r="I777" s="35"/>
      <c r="J777" s="35"/>
      <c r="K777" s="35"/>
      <c r="L777" s="35"/>
      <c r="M777" s="35"/>
      <c r="N777" s="35"/>
      <c r="O777" s="35"/>
      <c r="P777" s="35"/>
      <c r="Q777" s="35"/>
      <c r="R777" s="35"/>
      <c r="S777" s="35"/>
      <c r="T777" s="35"/>
      <c r="U777" s="35"/>
      <c r="V777" s="35"/>
      <c r="W777" s="35"/>
      <c r="X777" s="35"/>
      <c r="Y777" s="35"/>
    </row>
    <row r="778" ht="15.75" customHeight="1">
      <c r="A778" s="35"/>
      <c r="B778" s="35"/>
      <c r="C778" s="35"/>
      <c r="D778" s="35"/>
      <c r="E778" s="35"/>
      <c r="F778" s="50"/>
      <c r="G778" s="35"/>
      <c r="H778" s="35"/>
      <c r="I778" s="35"/>
      <c r="J778" s="35"/>
      <c r="K778" s="35"/>
      <c r="L778" s="35"/>
      <c r="M778" s="35"/>
      <c r="N778" s="35"/>
      <c r="O778" s="35"/>
      <c r="P778" s="35"/>
      <c r="Q778" s="35"/>
      <c r="R778" s="35"/>
      <c r="S778" s="35"/>
      <c r="T778" s="35"/>
      <c r="U778" s="35"/>
      <c r="V778" s="35"/>
      <c r="W778" s="35"/>
      <c r="X778" s="35"/>
      <c r="Y778" s="35"/>
    </row>
    <row r="779" ht="15.75" customHeight="1">
      <c r="A779" s="35"/>
      <c r="B779" s="35"/>
      <c r="C779" s="35"/>
      <c r="D779" s="35"/>
      <c r="E779" s="35"/>
      <c r="F779" s="50"/>
      <c r="G779" s="35"/>
      <c r="H779" s="35"/>
      <c r="I779" s="35"/>
      <c r="J779" s="35"/>
      <c r="K779" s="35"/>
      <c r="L779" s="35"/>
      <c r="M779" s="35"/>
      <c r="N779" s="35"/>
      <c r="O779" s="35"/>
      <c r="P779" s="35"/>
      <c r="Q779" s="35"/>
      <c r="R779" s="35"/>
      <c r="S779" s="35"/>
      <c r="T779" s="35"/>
      <c r="U779" s="35"/>
      <c r="V779" s="35"/>
      <c r="W779" s="35"/>
      <c r="X779" s="35"/>
      <c r="Y779" s="35"/>
    </row>
    <row r="780" ht="15.75" customHeight="1">
      <c r="A780" s="35"/>
      <c r="B780" s="35"/>
      <c r="C780" s="35"/>
      <c r="D780" s="35"/>
      <c r="E780" s="35"/>
      <c r="F780" s="50"/>
      <c r="G780" s="35"/>
      <c r="H780" s="35"/>
      <c r="I780" s="35"/>
      <c r="J780" s="35"/>
      <c r="K780" s="35"/>
      <c r="L780" s="35"/>
      <c r="M780" s="35"/>
      <c r="N780" s="35"/>
      <c r="O780" s="35"/>
      <c r="P780" s="35"/>
      <c r="Q780" s="35"/>
      <c r="R780" s="35"/>
      <c r="S780" s="35"/>
      <c r="T780" s="35"/>
      <c r="U780" s="35"/>
      <c r="V780" s="35"/>
      <c r="W780" s="35"/>
      <c r="X780" s="35"/>
      <c r="Y780" s="35"/>
    </row>
    <row r="781" ht="15.75" customHeight="1">
      <c r="A781" s="35"/>
      <c r="B781" s="35"/>
      <c r="C781" s="35"/>
      <c r="D781" s="35"/>
      <c r="E781" s="35"/>
      <c r="F781" s="50"/>
      <c r="G781" s="35"/>
      <c r="H781" s="35"/>
      <c r="I781" s="35"/>
      <c r="J781" s="35"/>
      <c r="K781" s="35"/>
      <c r="L781" s="35"/>
      <c r="M781" s="35"/>
      <c r="N781" s="35"/>
      <c r="O781" s="35"/>
      <c r="P781" s="35"/>
      <c r="Q781" s="35"/>
      <c r="R781" s="35"/>
      <c r="S781" s="35"/>
      <c r="T781" s="35"/>
      <c r="U781" s="35"/>
      <c r="V781" s="35"/>
      <c r="W781" s="35"/>
      <c r="X781" s="35"/>
      <c r="Y781" s="35"/>
    </row>
    <row r="782" ht="15.75" customHeight="1">
      <c r="A782" s="35"/>
      <c r="B782" s="35"/>
      <c r="C782" s="35"/>
      <c r="D782" s="35"/>
      <c r="E782" s="35"/>
      <c r="F782" s="50"/>
      <c r="G782" s="35"/>
      <c r="H782" s="35"/>
      <c r="I782" s="35"/>
      <c r="J782" s="35"/>
      <c r="K782" s="35"/>
      <c r="L782" s="35"/>
      <c r="M782" s="35"/>
      <c r="N782" s="35"/>
      <c r="O782" s="35"/>
      <c r="P782" s="35"/>
      <c r="Q782" s="35"/>
      <c r="R782" s="35"/>
      <c r="S782" s="35"/>
      <c r="T782" s="35"/>
      <c r="U782" s="35"/>
      <c r="V782" s="35"/>
      <c r="W782" s="35"/>
      <c r="X782" s="35"/>
      <c r="Y782" s="35"/>
    </row>
    <row r="783" ht="15.75" customHeight="1">
      <c r="A783" s="35"/>
      <c r="B783" s="35"/>
      <c r="C783" s="35"/>
      <c r="D783" s="35"/>
      <c r="E783" s="35"/>
      <c r="F783" s="50"/>
      <c r="G783" s="35"/>
      <c r="H783" s="35"/>
      <c r="I783" s="35"/>
      <c r="J783" s="35"/>
      <c r="K783" s="35"/>
      <c r="L783" s="35"/>
      <c r="M783" s="35"/>
      <c r="N783" s="35"/>
      <c r="O783" s="35"/>
      <c r="P783" s="35"/>
      <c r="Q783" s="35"/>
      <c r="R783" s="35"/>
      <c r="S783" s="35"/>
      <c r="T783" s="35"/>
      <c r="U783" s="35"/>
      <c r="V783" s="35"/>
      <c r="W783" s="35"/>
      <c r="X783" s="35"/>
      <c r="Y783" s="35"/>
    </row>
    <row r="784" ht="15.75" customHeight="1">
      <c r="A784" s="35"/>
      <c r="B784" s="35"/>
      <c r="C784" s="35"/>
      <c r="D784" s="35"/>
      <c r="E784" s="35"/>
      <c r="F784" s="50"/>
      <c r="G784" s="35"/>
      <c r="H784" s="35"/>
      <c r="I784" s="35"/>
      <c r="J784" s="35"/>
      <c r="K784" s="35"/>
      <c r="L784" s="35"/>
      <c r="M784" s="35"/>
      <c r="N784" s="35"/>
      <c r="O784" s="35"/>
      <c r="P784" s="35"/>
      <c r="Q784" s="35"/>
      <c r="R784" s="35"/>
      <c r="S784" s="35"/>
      <c r="T784" s="35"/>
      <c r="U784" s="35"/>
      <c r="V784" s="35"/>
      <c r="W784" s="35"/>
      <c r="X784" s="35"/>
      <c r="Y784" s="35"/>
    </row>
    <row r="785" ht="15.75" customHeight="1">
      <c r="A785" s="35"/>
      <c r="B785" s="35"/>
      <c r="C785" s="35"/>
      <c r="D785" s="35"/>
      <c r="E785" s="35"/>
      <c r="F785" s="50"/>
      <c r="G785" s="35"/>
      <c r="H785" s="35"/>
      <c r="I785" s="35"/>
      <c r="J785" s="35"/>
      <c r="K785" s="35"/>
      <c r="L785" s="35"/>
      <c r="M785" s="35"/>
      <c r="N785" s="35"/>
      <c r="O785" s="35"/>
      <c r="P785" s="35"/>
      <c r="Q785" s="35"/>
      <c r="R785" s="35"/>
      <c r="S785" s="35"/>
      <c r="T785" s="35"/>
      <c r="U785" s="35"/>
      <c r="V785" s="35"/>
      <c r="W785" s="35"/>
      <c r="X785" s="35"/>
      <c r="Y785" s="35"/>
    </row>
    <row r="786" ht="15.75" customHeight="1">
      <c r="A786" s="35"/>
      <c r="B786" s="35"/>
      <c r="C786" s="35"/>
      <c r="D786" s="35"/>
      <c r="E786" s="35"/>
      <c r="F786" s="50"/>
      <c r="G786" s="35"/>
      <c r="H786" s="35"/>
      <c r="I786" s="35"/>
      <c r="J786" s="35"/>
      <c r="K786" s="35"/>
      <c r="L786" s="35"/>
      <c r="M786" s="35"/>
      <c r="N786" s="35"/>
      <c r="O786" s="35"/>
      <c r="P786" s="35"/>
      <c r="Q786" s="35"/>
      <c r="R786" s="35"/>
      <c r="S786" s="35"/>
      <c r="T786" s="35"/>
      <c r="U786" s="35"/>
      <c r="V786" s="35"/>
      <c r="W786" s="35"/>
      <c r="X786" s="35"/>
      <c r="Y786" s="35"/>
    </row>
    <row r="787" ht="15.75" customHeight="1">
      <c r="A787" s="35"/>
      <c r="B787" s="35"/>
      <c r="C787" s="35"/>
      <c r="D787" s="35"/>
      <c r="E787" s="35"/>
      <c r="F787" s="50"/>
      <c r="G787" s="35"/>
      <c r="H787" s="35"/>
      <c r="I787" s="35"/>
      <c r="J787" s="35"/>
      <c r="K787" s="35"/>
      <c r="L787" s="35"/>
      <c r="M787" s="35"/>
      <c r="N787" s="35"/>
      <c r="O787" s="35"/>
      <c r="P787" s="35"/>
      <c r="Q787" s="35"/>
      <c r="R787" s="35"/>
      <c r="S787" s="35"/>
      <c r="T787" s="35"/>
      <c r="U787" s="35"/>
      <c r="V787" s="35"/>
      <c r="W787" s="35"/>
      <c r="X787" s="35"/>
      <c r="Y787" s="35"/>
    </row>
    <row r="788" ht="15.75" customHeight="1">
      <c r="A788" s="35"/>
      <c r="B788" s="35"/>
      <c r="C788" s="35"/>
      <c r="D788" s="35"/>
      <c r="E788" s="35"/>
      <c r="F788" s="50"/>
      <c r="G788" s="35"/>
      <c r="H788" s="35"/>
      <c r="I788" s="35"/>
      <c r="J788" s="35"/>
      <c r="K788" s="35"/>
      <c r="L788" s="35"/>
      <c r="M788" s="35"/>
      <c r="N788" s="35"/>
      <c r="O788" s="35"/>
      <c r="P788" s="35"/>
      <c r="Q788" s="35"/>
      <c r="R788" s="35"/>
      <c r="S788" s="35"/>
      <c r="T788" s="35"/>
      <c r="U788" s="35"/>
      <c r="V788" s="35"/>
      <c r="W788" s="35"/>
      <c r="X788" s="35"/>
      <c r="Y788" s="35"/>
    </row>
    <row r="789" ht="15.75" customHeight="1">
      <c r="A789" s="35"/>
      <c r="B789" s="35"/>
      <c r="C789" s="35"/>
      <c r="D789" s="35"/>
      <c r="E789" s="35"/>
      <c r="F789" s="50"/>
      <c r="G789" s="35"/>
      <c r="H789" s="35"/>
      <c r="I789" s="35"/>
      <c r="J789" s="35"/>
      <c r="K789" s="35"/>
      <c r="L789" s="35"/>
      <c r="M789" s="35"/>
      <c r="N789" s="35"/>
      <c r="O789" s="35"/>
      <c r="P789" s="35"/>
      <c r="Q789" s="35"/>
      <c r="R789" s="35"/>
      <c r="S789" s="35"/>
      <c r="T789" s="35"/>
      <c r="U789" s="35"/>
      <c r="V789" s="35"/>
      <c r="W789" s="35"/>
      <c r="X789" s="35"/>
      <c r="Y789" s="35"/>
    </row>
    <row r="790" ht="15.75" customHeight="1">
      <c r="A790" s="35"/>
      <c r="B790" s="35"/>
      <c r="C790" s="35"/>
      <c r="D790" s="35"/>
      <c r="E790" s="35"/>
      <c r="F790" s="50"/>
      <c r="G790" s="35"/>
      <c r="H790" s="35"/>
      <c r="I790" s="35"/>
      <c r="J790" s="35"/>
      <c r="K790" s="35"/>
      <c r="L790" s="35"/>
      <c r="M790" s="35"/>
      <c r="N790" s="35"/>
      <c r="O790" s="35"/>
      <c r="P790" s="35"/>
      <c r="Q790" s="35"/>
      <c r="R790" s="35"/>
      <c r="S790" s="35"/>
      <c r="T790" s="35"/>
      <c r="U790" s="35"/>
      <c r="V790" s="35"/>
      <c r="W790" s="35"/>
      <c r="X790" s="35"/>
      <c r="Y790" s="35"/>
    </row>
    <row r="791" ht="15.75" customHeight="1">
      <c r="A791" s="35"/>
      <c r="B791" s="35"/>
      <c r="C791" s="35"/>
      <c r="D791" s="35"/>
      <c r="E791" s="35"/>
      <c r="F791" s="50"/>
      <c r="G791" s="35"/>
      <c r="H791" s="35"/>
      <c r="I791" s="35"/>
      <c r="J791" s="35"/>
      <c r="K791" s="35"/>
      <c r="L791" s="35"/>
      <c r="M791" s="35"/>
      <c r="N791" s="35"/>
      <c r="O791" s="35"/>
      <c r="P791" s="35"/>
      <c r="Q791" s="35"/>
      <c r="R791" s="35"/>
      <c r="S791" s="35"/>
      <c r="T791" s="35"/>
      <c r="U791" s="35"/>
      <c r="V791" s="35"/>
      <c r="W791" s="35"/>
      <c r="X791" s="35"/>
      <c r="Y791" s="35"/>
    </row>
    <row r="792" ht="15.75" customHeight="1">
      <c r="A792" s="35"/>
      <c r="B792" s="35"/>
      <c r="C792" s="35"/>
      <c r="D792" s="35"/>
      <c r="E792" s="35"/>
      <c r="F792" s="50"/>
      <c r="G792" s="35"/>
      <c r="H792" s="35"/>
      <c r="I792" s="35"/>
      <c r="J792" s="35"/>
      <c r="K792" s="35"/>
      <c r="L792" s="35"/>
      <c r="M792" s="35"/>
      <c r="N792" s="35"/>
      <c r="O792" s="35"/>
      <c r="P792" s="35"/>
      <c r="Q792" s="35"/>
      <c r="R792" s="35"/>
      <c r="S792" s="35"/>
      <c r="T792" s="35"/>
      <c r="U792" s="35"/>
      <c r="V792" s="35"/>
      <c r="W792" s="35"/>
      <c r="X792" s="35"/>
      <c r="Y792" s="35"/>
    </row>
    <row r="793" ht="15.75" customHeight="1">
      <c r="A793" s="35"/>
      <c r="B793" s="35"/>
      <c r="C793" s="35"/>
      <c r="D793" s="35"/>
      <c r="E793" s="35"/>
      <c r="F793" s="50"/>
      <c r="G793" s="35"/>
      <c r="H793" s="35"/>
      <c r="I793" s="35"/>
      <c r="J793" s="35"/>
      <c r="K793" s="35"/>
      <c r="L793" s="35"/>
      <c r="M793" s="35"/>
      <c r="N793" s="35"/>
      <c r="O793" s="35"/>
      <c r="P793" s="35"/>
      <c r="Q793" s="35"/>
      <c r="R793" s="35"/>
      <c r="S793" s="35"/>
      <c r="T793" s="35"/>
      <c r="U793" s="35"/>
      <c r="V793" s="35"/>
      <c r="W793" s="35"/>
      <c r="X793" s="35"/>
      <c r="Y793" s="35"/>
    </row>
    <row r="794" ht="15.75" customHeight="1">
      <c r="A794" s="35"/>
      <c r="B794" s="35"/>
      <c r="C794" s="35"/>
      <c r="D794" s="35"/>
      <c r="E794" s="35"/>
      <c r="F794" s="50"/>
      <c r="G794" s="35"/>
      <c r="H794" s="35"/>
      <c r="I794" s="35"/>
      <c r="J794" s="35"/>
      <c r="K794" s="35"/>
      <c r="L794" s="35"/>
      <c r="M794" s="35"/>
      <c r="N794" s="35"/>
      <c r="O794" s="35"/>
      <c r="P794" s="35"/>
      <c r="Q794" s="35"/>
      <c r="R794" s="35"/>
      <c r="S794" s="35"/>
      <c r="T794" s="35"/>
      <c r="U794" s="35"/>
      <c r="V794" s="35"/>
      <c r="W794" s="35"/>
      <c r="X794" s="35"/>
      <c r="Y794" s="35"/>
    </row>
    <row r="795" ht="15.75" customHeight="1">
      <c r="A795" s="35"/>
      <c r="B795" s="35"/>
      <c r="C795" s="35"/>
      <c r="D795" s="35"/>
      <c r="E795" s="35"/>
      <c r="F795" s="50"/>
      <c r="G795" s="35"/>
      <c r="H795" s="35"/>
      <c r="I795" s="35"/>
      <c r="J795" s="35"/>
      <c r="K795" s="35"/>
      <c r="L795" s="35"/>
      <c r="M795" s="35"/>
      <c r="N795" s="35"/>
      <c r="O795" s="35"/>
      <c r="P795" s="35"/>
      <c r="Q795" s="35"/>
      <c r="R795" s="35"/>
      <c r="S795" s="35"/>
      <c r="T795" s="35"/>
      <c r="U795" s="35"/>
      <c r="V795" s="35"/>
      <c r="W795" s="35"/>
      <c r="X795" s="35"/>
      <c r="Y795" s="35"/>
    </row>
    <row r="796" ht="15.75" customHeight="1">
      <c r="A796" s="35"/>
      <c r="B796" s="35"/>
      <c r="C796" s="35"/>
      <c r="D796" s="35"/>
      <c r="E796" s="35"/>
      <c r="F796" s="50"/>
      <c r="G796" s="35"/>
      <c r="H796" s="35"/>
      <c r="I796" s="35"/>
      <c r="J796" s="35"/>
      <c r="K796" s="35"/>
      <c r="L796" s="35"/>
      <c r="M796" s="35"/>
      <c r="N796" s="35"/>
      <c r="O796" s="35"/>
      <c r="P796" s="35"/>
      <c r="Q796" s="35"/>
      <c r="R796" s="35"/>
      <c r="S796" s="35"/>
      <c r="T796" s="35"/>
      <c r="U796" s="35"/>
      <c r="V796" s="35"/>
      <c r="W796" s="35"/>
      <c r="X796" s="35"/>
      <c r="Y796" s="35"/>
    </row>
    <row r="797" ht="15.75" customHeight="1">
      <c r="A797" s="35"/>
      <c r="B797" s="35"/>
      <c r="C797" s="35"/>
      <c r="D797" s="35"/>
      <c r="E797" s="35"/>
      <c r="F797" s="50"/>
      <c r="G797" s="35"/>
      <c r="H797" s="35"/>
      <c r="I797" s="35"/>
      <c r="J797" s="35"/>
      <c r="K797" s="35"/>
      <c r="L797" s="35"/>
      <c r="M797" s="35"/>
      <c r="N797" s="35"/>
      <c r="O797" s="35"/>
      <c r="P797" s="35"/>
      <c r="Q797" s="35"/>
      <c r="R797" s="35"/>
      <c r="S797" s="35"/>
      <c r="T797" s="35"/>
      <c r="U797" s="35"/>
      <c r="V797" s="35"/>
      <c r="W797" s="35"/>
      <c r="X797" s="35"/>
      <c r="Y797" s="35"/>
    </row>
    <row r="798" ht="15.75" customHeight="1">
      <c r="A798" s="35"/>
      <c r="B798" s="35"/>
      <c r="C798" s="35"/>
      <c r="D798" s="35"/>
      <c r="E798" s="35"/>
      <c r="F798" s="50"/>
      <c r="G798" s="35"/>
      <c r="H798" s="35"/>
      <c r="I798" s="35"/>
      <c r="J798" s="35"/>
      <c r="K798" s="35"/>
      <c r="L798" s="35"/>
      <c r="M798" s="35"/>
      <c r="N798" s="35"/>
      <c r="O798" s="35"/>
      <c r="P798" s="35"/>
      <c r="Q798" s="35"/>
      <c r="R798" s="35"/>
      <c r="S798" s="35"/>
      <c r="T798" s="35"/>
      <c r="U798" s="35"/>
      <c r="V798" s="35"/>
      <c r="W798" s="35"/>
      <c r="X798" s="35"/>
      <c r="Y798" s="35"/>
    </row>
    <row r="799" ht="15.75" customHeight="1">
      <c r="A799" s="35"/>
      <c r="B799" s="35"/>
      <c r="C799" s="35"/>
      <c r="D799" s="35"/>
      <c r="E799" s="35"/>
      <c r="F799" s="50"/>
      <c r="G799" s="35"/>
      <c r="H799" s="35"/>
      <c r="I799" s="35"/>
      <c r="J799" s="35"/>
      <c r="K799" s="35"/>
      <c r="L799" s="35"/>
      <c r="M799" s="35"/>
      <c r="N799" s="35"/>
      <c r="O799" s="35"/>
      <c r="P799" s="35"/>
      <c r="Q799" s="35"/>
      <c r="R799" s="35"/>
      <c r="S799" s="35"/>
      <c r="T799" s="35"/>
      <c r="U799" s="35"/>
      <c r="V799" s="35"/>
      <c r="W799" s="35"/>
      <c r="X799" s="35"/>
      <c r="Y799" s="35"/>
    </row>
    <row r="800" ht="15.75" customHeight="1">
      <c r="A800" s="35"/>
      <c r="B800" s="35"/>
      <c r="C800" s="35"/>
      <c r="D800" s="35"/>
      <c r="E800" s="35"/>
      <c r="F800" s="50"/>
      <c r="G800" s="35"/>
      <c r="H800" s="35"/>
      <c r="I800" s="35"/>
      <c r="J800" s="35"/>
      <c r="K800" s="35"/>
      <c r="L800" s="35"/>
      <c r="M800" s="35"/>
      <c r="N800" s="35"/>
      <c r="O800" s="35"/>
      <c r="P800" s="35"/>
      <c r="Q800" s="35"/>
      <c r="R800" s="35"/>
      <c r="S800" s="35"/>
      <c r="T800" s="35"/>
      <c r="U800" s="35"/>
      <c r="V800" s="35"/>
      <c r="W800" s="35"/>
      <c r="X800" s="35"/>
      <c r="Y800" s="35"/>
    </row>
    <row r="801" ht="15.75" customHeight="1">
      <c r="A801" s="35"/>
      <c r="B801" s="35"/>
      <c r="C801" s="35"/>
      <c r="D801" s="35"/>
      <c r="E801" s="35"/>
      <c r="F801" s="50"/>
      <c r="G801" s="35"/>
      <c r="H801" s="35"/>
      <c r="I801" s="35"/>
      <c r="J801" s="35"/>
      <c r="K801" s="35"/>
      <c r="L801" s="35"/>
      <c r="M801" s="35"/>
      <c r="N801" s="35"/>
      <c r="O801" s="35"/>
      <c r="P801" s="35"/>
      <c r="Q801" s="35"/>
      <c r="R801" s="35"/>
      <c r="S801" s="35"/>
      <c r="T801" s="35"/>
      <c r="U801" s="35"/>
      <c r="V801" s="35"/>
      <c r="W801" s="35"/>
      <c r="X801" s="35"/>
      <c r="Y801" s="35"/>
    </row>
    <row r="802" ht="15.75" customHeight="1">
      <c r="A802" s="35"/>
      <c r="B802" s="35"/>
      <c r="C802" s="35"/>
      <c r="D802" s="35"/>
      <c r="E802" s="35"/>
      <c r="F802" s="50"/>
      <c r="G802" s="35"/>
      <c r="H802" s="35"/>
      <c r="I802" s="35"/>
      <c r="J802" s="35"/>
      <c r="K802" s="35"/>
      <c r="L802" s="35"/>
      <c r="M802" s="35"/>
      <c r="N802" s="35"/>
      <c r="O802" s="35"/>
      <c r="P802" s="35"/>
      <c r="Q802" s="35"/>
      <c r="R802" s="35"/>
      <c r="S802" s="35"/>
      <c r="T802" s="35"/>
      <c r="U802" s="35"/>
      <c r="V802" s="35"/>
      <c r="W802" s="35"/>
      <c r="X802" s="35"/>
      <c r="Y802" s="35"/>
    </row>
    <row r="803" ht="15.75" customHeight="1">
      <c r="A803" s="35"/>
      <c r="B803" s="35"/>
      <c r="C803" s="35"/>
      <c r="D803" s="35"/>
      <c r="E803" s="35"/>
      <c r="F803" s="50"/>
      <c r="G803" s="35"/>
      <c r="H803" s="35"/>
      <c r="I803" s="35"/>
      <c r="J803" s="35"/>
      <c r="K803" s="35"/>
      <c r="L803" s="35"/>
      <c r="M803" s="35"/>
      <c r="N803" s="35"/>
      <c r="O803" s="35"/>
      <c r="P803" s="35"/>
      <c r="Q803" s="35"/>
      <c r="R803" s="35"/>
      <c r="S803" s="35"/>
      <c r="T803" s="35"/>
      <c r="U803" s="35"/>
      <c r="V803" s="35"/>
      <c r="W803" s="35"/>
      <c r="X803" s="35"/>
      <c r="Y803" s="35"/>
    </row>
    <row r="804" ht="15.75" customHeight="1">
      <c r="A804" s="35"/>
      <c r="B804" s="35"/>
      <c r="C804" s="35"/>
      <c r="D804" s="35"/>
      <c r="E804" s="35"/>
      <c r="F804" s="50"/>
      <c r="G804" s="35"/>
      <c r="H804" s="35"/>
      <c r="I804" s="35"/>
      <c r="J804" s="35"/>
      <c r="K804" s="35"/>
      <c r="L804" s="35"/>
      <c r="M804" s="35"/>
      <c r="N804" s="35"/>
      <c r="O804" s="35"/>
      <c r="P804" s="35"/>
      <c r="Q804" s="35"/>
      <c r="R804" s="35"/>
      <c r="S804" s="35"/>
      <c r="T804" s="35"/>
      <c r="U804" s="35"/>
      <c r="V804" s="35"/>
      <c r="W804" s="35"/>
      <c r="X804" s="35"/>
      <c r="Y804" s="35"/>
    </row>
    <row r="805" ht="15.75" customHeight="1">
      <c r="A805" s="35"/>
      <c r="B805" s="35"/>
      <c r="C805" s="35"/>
      <c r="D805" s="35"/>
      <c r="E805" s="35"/>
      <c r="F805" s="50"/>
      <c r="G805" s="35"/>
      <c r="H805" s="35"/>
      <c r="I805" s="35"/>
      <c r="J805" s="35"/>
      <c r="K805" s="35"/>
      <c r="L805" s="35"/>
      <c r="M805" s="35"/>
      <c r="N805" s="35"/>
      <c r="O805" s="35"/>
      <c r="P805" s="35"/>
      <c r="Q805" s="35"/>
      <c r="R805" s="35"/>
      <c r="S805" s="35"/>
      <c r="T805" s="35"/>
      <c r="U805" s="35"/>
      <c r="V805" s="35"/>
      <c r="W805" s="35"/>
      <c r="X805" s="35"/>
      <c r="Y805" s="35"/>
    </row>
    <row r="806" ht="15.75" customHeight="1">
      <c r="A806" s="35"/>
      <c r="B806" s="35"/>
      <c r="C806" s="35"/>
      <c r="D806" s="35"/>
      <c r="E806" s="35"/>
      <c r="F806" s="50"/>
      <c r="G806" s="35"/>
      <c r="H806" s="35"/>
      <c r="I806" s="35"/>
      <c r="J806" s="35"/>
      <c r="K806" s="35"/>
      <c r="L806" s="35"/>
      <c r="M806" s="35"/>
      <c r="N806" s="35"/>
      <c r="O806" s="35"/>
      <c r="P806" s="35"/>
      <c r="Q806" s="35"/>
      <c r="R806" s="35"/>
      <c r="S806" s="35"/>
      <c r="T806" s="35"/>
      <c r="U806" s="35"/>
      <c r="V806" s="35"/>
      <c r="W806" s="35"/>
      <c r="X806" s="35"/>
      <c r="Y806" s="35"/>
    </row>
    <row r="807" ht="15.75" customHeight="1">
      <c r="A807" s="35"/>
      <c r="B807" s="35"/>
      <c r="C807" s="35"/>
      <c r="D807" s="35"/>
      <c r="E807" s="35"/>
      <c r="F807" s="50"/>
      <c r="G807" s="35"/>
      <c r="H807" s="35"/>
      <c r="I807" s="35"/>
      <c r="J807" s="35"/>
      <c r="K807" s="35"/>
      <c r="L807" s="35"/>
      <c r="M807" s="35"/>
      <c r="N807" s="35"/>
      <c r="O807" s="35"/>
      <c r="P807" s="35"/>
      <c r="Q807" s="35"/>
      <c r="R807" s="35"/>
      <c r="S807" s="35"/>
      <c r="T807" s="35"/>
      <c r="U807" s="35"/>
      <c r="V807" s="35"/>
      <c r="W807" s="35"/>
      <c r="X807" s="35"/>
      <c r="Y807" s="35"/>
    </row>
    <row r="808" ht="15.75" customHeight="1">
      <c r="A808" s="35"/>
      <c r="B808" s="35"/>
      <c r="C808" s="35"/>
      <c r="D808" s="35"/>
      <c r="E808" s="35"/>
      <c r="F808" s="50"/>
      <c r="G808" s="35"/>
      <c r="H808" s="35"/>
      <c r="I808" s="35"/>
      <c r="J808" s="35"/>
      <c r="K808" s="35"/>
      <c r="L808" s="35"/>
      <c r="M808" s="35"/>
      <c r="N808" s="35"/>
      <c r="O808" s="35"/>
      <c r="P808" s="35"/>
      <c r="Q808" s="35"/>
      <c r="R808" s="35"/>
      <c r="S808" s="35"/>
      <c r="T808" s="35"/>
      <c r="U808" s="35"/>
      <c r="V808" s="35"/>
      <c r="W808" s="35"/>
      <c r="X808" s="35"/>
      <c r="Y808" s="35"/>
    </row>
    <row r="809" ht="15.75" customHeight="1">
      <c r="A809" s="35"/>
      <c r="B809" s="35"/>
      <c r="C809" s="35"/>
      <c r="D809" s="35"/>
      <c r="E809" s="35"/>
      <c r="F809" s="50"/>
      <c r="G809" s="35"/>
      <c r="H809" s="35"/>
      <c r="I809" s="35"/>
      <c r="J809" s="35"/>
      <c r="K809" s="35"/>
      <c r="L809" s="35"/>
      <c r="M809" s="35"/>
      <c r="N809" s="35"/>
      <c r="O809" s="35"/>
      <c r="P809" s="35"/>
      <c r="Q809" s="35"/>
      <c r="R809" s="35"/>
      <c r="S809" s="35"/>
      <c r="T809" s="35"/>
      <c r="U809" s="35"/>
      <c r="V809" s="35"/>
      <c r="W809" s="35"/>
      <c r="X809" s="35"/>
      <c r="Y809" s="35"/>
    </row>
    <row r="810" ht="15.75" customHeight="1">
      <c r="A810" s="35"/>
      <c r="B810" s="35"/>
      <c r="C810" s="35"/>
      <c r="D810" s="35"/>
      <c r="E810" s="35"/>
      <c r="F810" s="50"/>
      <c r="G810" s="35"/>
      <c r="H810" s="35"/>
      <c r="I810" s="35"/>
      <c r="J810" s="35"/>
      <c r="K810" s="35"/>
      <c r="L810" s="35"/>
      <c r="M810" s="35"/>
      <c r="N810" s="35"/>
      <c r="O810" s="35"/>
      <c r="P810" s="35"/>
      <c r="Q810" s="35"/>
      <c r="R810" s="35"/>
      <c r="S810" s="35"/>
      <c r="T810" s="35"/>
      <c r="U810" s="35"/>
      <c r="V810" s="35"/>
      <c r="W810" s="35"/>
      <c r="X810" s="35"/>
      <c r="Y810" s="35"/>
    </row>
    <row r="811" ht="15.75" customHeight="1">
      <c r="A811" s="35"/>
      <c r="B811" s="35"/>
      <c r="C811" s="35"/>
      <c r="D811" s="35"/>
      <c r="E811" s="35"/>
      <c r="F811" s="50"/>
      <c r="G811" s="35"/>
      <c r="H811" s="35"/>
      <c r="I811" s="35"/>
      <c r="J811" s="35"/>
      <c r="K811" s="35"/>
      <c r="L811" s="35"/>
      <c r="M811" s="35"/>
      <c r="N811" s="35"/>
      <c r="O811" s="35"/>
      <c r="P811" s="35"/>
      <c r="Q811" s="35"/>
      <c r="R811" s="35"/>
      <c r="S811" s="35"/>
      <c r="T811" s="35"/>
      <c r="U811" s="35"/>
      <c r="V811" s="35"/>
      <c r="W811" s="35"/>
      <c r="X811" s="35"/>
      <c r="Y811" s="35"/>
    </row>
    <row r="812" ht="15.75" customHeight="1">
      <c r="A812" s="35"/>
      <c r="B812" s="35"/>
      <c r="C812" s="35"/>
      <c r="D812" s="35"/>
      <c r="E812" s="35"/>
      <c r="F812" s="50"/>
      <c r="G812" s="35"/>
      <c r="H812" s="35"/>
      <c r="I812" s="35"/>
      <c r="J812" s="35"/>
      <c r="K812" s="35"/>
      <c r="L812" s="35"/>
      <c r="M812" s="35"/>
      <c r="N812" s="35"/>
      <c r="O812" s="35"/>
      <c r="P812" s="35"/>
      <c r="Q812" s="35"/>
      <c r="R812" s="35"/>
      <c r="S812" s="35"/>
      <c r="T812" s="35"/>
      <c r="U812" s="35"/>
      <c r="V812" s="35"/>
      <c r="W812" s="35"/>
      <c r="X812" s="35"/>
      <c r="Y812" s="35"/>
    </row>
    <row r="813" ht="15.75" customHeight="1">
      <c r="A813" s="35"/>
      <c r="B813" s="35"/>
      <c r="C813" s="35"/>
      <c r="D813" s="35"/>
      <c r="E813" s="35"/>
      <c r="F813" s="50"/>
      <c r="G813" s="35"/>
      <c r="H813" s="35"/>
      <c r="I813" s="35"/>
      <c r="J813" s="35"/>
      <c r="K813" s="35"/>
      <c r="L813" s="35"/>
      <c r="M813" s="35"/>
      <c r="N813" s="35"/>
      <c r="O813" s="35"/>
      <c r="P813" s="35"/>
      <c r="Q813" s="35"/>
      <c r="R813" s="35"/>
      <c r="S813" s="35"/>
      <c r="T813" s="35"/>
      <c r="U813" s="35"/>
      <c r="V813" s="35"/>
      <c r="W813" s="35"/>
      <c r="X813" s="35"/>
      <c r="Y813" s="35"/>
    </row>
    <row r="814" ht="15.75" customHeight="1">
      <c r="A814" s="35"/>
      <c r="B814" s="35"/>
      <c r="C814" s="35"/>
      <c r="D814" s="35"/>
      <c r="E814" s="35"/>
      <c r="F814" s="50"/>
      <c r="G814" s="35"/>
      <c r="H814" s="35"/>
      <c r="I814" s="35"/>
      <c r="J814" s="35"/>
      <c r="K814" s="35"/>
      <c r="L814" s="35"/>
      <c r="M814" s="35"/>
      <c r="N814" s="35"/>
      <c r="O814" s="35"/>
      <c r="P814" s="35"/>
      <c r="Q814" s="35"/>
      <c r="R814" s="35"/>
      <c r="S814" s="35"/>
      <c r="T814" s="35"/>
      <c r="U814" s="35"/>
      <c r="V814" s="35"/>
      <c r="W814" s="35"/>
      <c r="X814" s="35"/>
      <c r="Y814" s="35"/>
    </row>
    <row r="815" ht="15.75" customHeight="1">
      <c r="A815" s="35"/>
      <c r="B815" s="35"/>
      <c r="C815" s="35"/>
      <c r="D815" s="35"/>
      <c r="E815" s="35"/>
      <c r="F815" s="50"/>
      <c r="G815" s="35"/>
      <c r="H815" s="35"/>
      <c r="I815" s="35"/>
      <c r="J815" s="35"/>
      <c r="K815" s="35"/>
      <c r="L815" s="35"/>
      <c r="M815" s="35"/>
      <c r="N815" s="35"/>
      <c r="O815" s="35"/>
      <c r="P815" s="35"/>
      <c r="Q815" s="35"/>
      <c r="R815" s="35"/>
      <c r="S815" s="35"/>
      <c r="T815" s="35"/>
      <c r="U815" s="35"/>
      <c r="V815" s="35"/>
      <c r="W815" s="35"/>
      <c r="X815" s="35"/>
      <c r="Y815" s="35"/>
    </row>
    <row r="816" ht="15.75" customHeight="1">
      <c r="A816" s="35"/>
      <c r="B816" s="35"/>
      <c r="C816" s="35"/>
      <c r="D816" s="35"/>
      <c r="E816" s="35"/>
      <c r="F816" s="50"/>
      <c r="G816" s="35"/>
      <c r="H816" s="35"/>
      <c r="I816" s="35"/>
      <c r="J816" s="35"/>
      <c r="K816" s="35"/>
      <c r="L816" s="35"/>
      <c r="M816" s="35"/>
      <c r="N816" s="35"/>
      <c r="O816" s="35"/>
      <c r="P816" s="35"/>
      <c r="Q816" s="35"/>
      <c r="R816" s="35"/>
      <c r="S816" s="35"/>
      <c r="T816" s="35"/>
      <c r="U816" s="35"/>
      <c r="V816" s="35"/>
      <c r="W816" s="35"/>
      <c r="X816" s="35"/>
      <c r="Y816" s="35"/>
    </row>
    <row r="817" ht="15.75" customHeight="1">
      <c r="A817" s="35"/>
      <c r="B817" s="35"/>
      <c r="C817" s="35"/>
      <c r="D817" s="35"/>
      <c r="E817" s="35"/>
      <c r="F817" s="50"/>
      <c r="G817" s="35"/>
      <c r="H817" s="35"/>
      <c r="I817" s="35"/>
      <c r="J817" s="35"/>
      <c r="K817" s="35"/>
      <c r="L817" s="35"/>
      <c r="M817" s="35"/>
      <c r="N817" s="35"/>
      <c r="O817" s="35"/>
      <c r="P817" s="35"/>
      <c r="Q817" s="35"/>
      <c r="R817" s="35"/>
      <c r="S817" s="35"/>
      <c r="T817" s="35"/>
      <c r="U817" s="35"/>
      <c r="V817" s="35"/>
      <c r="W817" s="35"/>
      <c r="X817" s="35"/>
      <c r="Y817" s="35"/>
    </row>
    <row r="818" ht="15.75" customHeight="1">
      <c r="A818" s="35"/>
      <c r="B818" s="35"/>
      <c r="C818" s="35"/>
      <c r="D818" s="35"/>
      <c r="E818" s="35"/>
      <c r="F818" s="50"/>
      <c r="G818" s="35"/>
      <c r="H818" s="35"/>
      <c r="I818" s="35"/>
      <c r="J818" s="35"/>
      <c r="K818" s="35"/>
      <c r="L818" s="35"/>
      <c r="M818" s="35"/>
      <c r="N818" s="35"/>
      <c r="O818" s="35"/>
      <c r="P818" s="35"/>
      <c r="Q818" s="35"/>
      <c r="R818" s="35"/>
      <c r="S818" s="35"/>
      <c r="T818" s="35"/>
      <c r="U818" s="35"/>
      <c r="V818" s="35"/>
      <c r="W818" s="35"/>
      <c r="X818" s="35"/>
      <c r="Y818" s="35"/>
    </row>
    <row r="819" ht="15.75" customHeight="1">
      <c r="A819" s="35"/>
      <c r="B819" s="35"/>
      <c r="C819" s="35"/>
      <c r="D819" s="35"/>
      <c r="E819" s="35"/>
      <c r="F819" s="50"/>
      <c r="G819" s="35"/>
      <c r="H819" s="35"/>
      <c r="I819" s="35"/>
      <c r="J819" s="35"/>
      <c r="K819" s="35"/>
      <c r="L819" s="35"/>
      <c r="M819" s="35"/>
      <c r="N819" s="35"/>
      <c r="O819" s="35"/>
      <c r="P819" s="35"/>
      <c r="Q819" s="35"/>
      <c r="R819" s="35"/>
      <c r="S819" s="35"/>
      <c r="T819" s="35"/>
      <c r="U819" s="35"/>
      <c r="V819" s="35"/>
      <c r="W819" s="35"/>
      <c r="X819" s="35"/>
      <c r="Y819" s="35"/>
    </row>
    <row r="820" ht="15.75" customHeight="1">
      <c r="A820" s="35"/>
      <c r="B820" s="35"/>
      <c r="C820" s="35"/>
      <c r="D820" s="35"/>
      <c r="E820" s="35"/>
      <c r="F820" s="50"/>
      <c r="G820" s="35"/>
      <c r="H820" s="35"/>
      <c r="I820" s="35"/>
      <c r="J820" s="35"/>
      <c r="K820" s="35"/>
      <c r="L820" s="35"/>
      <c r="M820" s="35"/>
      <c r="N820" s="35"/>
      <c r="O820" s="35"/>
      <c r="P820" s="35"/>
      <c r="Q820" s="35"/>
      <c r="R820" s="35"/>
      <c r="S820" s="35"/>
      <c r="T820" s="35"/>
      <c r="U820" s="35"/>
      <c r="V820" s="35"/>
      <c r="W820" s="35"/>
      <c r="X820" s="35"/>
      <c r="Y820" s="35"/>
    </row>
    <row r="821" ht="15.75" customHeight="1">
      <c r="A821" s="35"/>
      <c r="B821" s="35"/>
      <c r="C821" s="35"/>
      <c r="D821" s="35"/>
      <c r="E821" s="35"/>
      <c r="F821" s="50"/>
      <c r="G821" s="35"/>
      <c r="H821" s="35"/>
      <c r="I821" s="35"/>
      <c r="J821" s="35"/>
      <c r="K821" s="35"/>
      <c r="L821" s="35"/>
      <c r="M821" s="35"/>
      <c r="N821" s="35"/>
      <c r="O821" s="35"/>
      <c r="P821" s="35"/>
      <c r="Q821" s="35"/>
      <c r="R821" s="35"/>
      <c r="S821" s="35"/>
      <c r="T821" s="35"/>
      <c r="U821" s="35"/>
      <c r="V821" s="35"/>
      <c r="W821" s="35"/>
      <c r="X821" s="35"/>
      <c r="Y821" s="35"/>
    </row>
    <row r="822" ht="15.75" customHeight="1">
      <c r="A822" s="35"/>
      <c r="B822" s="35"/>
      <c r="C822" s="35"/>
      <c r="D822" s="35"/>
      <c r="E822" s="35"/>
      <c r="F822" s="50"/>
      <c r="G822" s="35"/>
      <c r="H822" s="35"/>
      <c r="I822" s="35"/>
      <c r="J822" s="35"/>
      <c r="K822" s="35"/>
      <c r="L822" s="35"/>
      <c r="M822" s="35"/>
      <c r="N822" s="35"/>
      <c r="O822" s="35"/>
      <c r="P822" s="35"/>
      <c r="Q822" s="35"/>
      <c r="R822" s="35"/>
      <c r="S822" s="35"/>
      <c r="T822" s="35"/>
      <c r="U822" s="35"/>
      <c r="V822" s="35"/>
      <c r="W822" s="35"/>
      <c r="X822" s="35"/>
      <c r="Y822" s="35"/>
    </row>
    <row r="823" ht="15.75" customHeight="1">
      <c r="A823" s="35"/>
      <c r="B823" s="35"/>
      <c r="C823" s="35"/>
      <c r="D823" s="35"/>
      <c r="E823" s="35"/>
      <c r="F823" s="50"/>
      <c r="G823" s="35"/>
      <c r="H823" s="35"/>
      <c r="I823" s="35"/>
      <c r="J823" s="35"/>
      <c r="K823" s="35"/>
      <c r="L823" s="35"/>
      <c r="M823" s="35"/>
      <c r="N823" s="35"/>
      <c r="O823" s="35"/>
      <c r="P823" s="35"/>
      <c r="Q823" s="35"/>
      <c r="R823" s="35"/>
      <c r="S823" s="35"/>
      <c r="T823" s="35"/>
      <c r="U823" s="35"/>
      <c r="V823" s="35"/>
      <c r="W823" s="35"/>
      <c r="X823" s="35"/>
      <c r="Y823" s="35"/>
    </row>
    <row r="824" ht="15.75" customHeight="1">
      <c r="A824" s="35"/>
      <c r="B824" s="35"/>
      <c r="C824" s="35"/>
      <c r="D824" s="35"/>
      <c r="E824" s="35"/>
      <c r="F824" s="50"/>
      <c r="G824" s="35"/>
      <c r="H824" s="35"/>
      <c r="I824" s="35"/>
      <c r="J824" s="35"/>
      <c r="K824" s="35"/>
      <c r="L824" s="35"/>
      <c r="M824" s="35"/>
      <c r="N824" s="35"/>
      <c r="O824" s="35"/>
      <c r="P824" s="35"/>
      <c r="Q824" s="35"/>
      <c r="R824" s="35"/>
      <c r="S824" s="35"/>
      <c r="T824" s="35"/>
      <c r="U824" s="35"/>
      <c r="V824" s="35"/>
      <c r="W824" s="35"/>
      <c r="X824" s="35"/>
      <c r="Y824" s="35"/>
    </row>
    <row r="825" ht="15.75" customHeight="1">
      <c r="A825" s="35"/>
      <c r="B825" s="35"/>
      <c r="C825" s="35"/>
      <c r="D825" s="35"/>
      <c r="E825" s="35"/>
      <c r="F825" s="50"/>
      <c r="G825" s="35"/>
      <c r="H825" s="35"/>
      <c r="I825" s="35"/>
      <c r="J825" s="35"/>
      <c r="K825" s="35"/>
      <c r="L825" s="35"/>
      <c r="M825" s="35"/>
      <c r="N825" s="35"/>
      <c r="O825" s="35"/>
      <c r="P825" s="35"/>
      <c r="Q825" s="35"/>
      <c r="R825" s="35"/>
      <c r="S825" s="35"/>
      <c r="T825" s="35"/>
      <c r="U825" s="35"/>
      <c r="V825" s="35"/>
      <c r="W825" s="35"/>
      <c r="X825" s="35"/>
      <c r="Y825" s="35"/>
    </row>
    <row r="826" ht="15.75" customHeight="1">
      <c r="A826" s="35"/>
      <c r="B826" s="35"/>
      <c r="C826" s="35"/>
      <c r="D826" s="35"/>
      <c r="E826" s="35"/>
      <c r="F826" s="50"/>
      <c r="G826" s="35"/>
      <c r="H826" s="35"/>
      <c r="I826" s="35"/>
      <c r="J826" s="35"/>
      <c r="K826" s="35"/>
      <c r="L826" s="35"/>
      <c r="M826" s="35"/>
      <c r="N826" s="35"/>
      <c r="O826" s="35"/>
      <c r="P826" s="35"/>
      <c r="Q826" s="35"/>
      <c r="R826" s="35"/>
      <c r="S826" s="35"/>
      <c r="T826" s="35"/>
      <c r="U826" s="35"/>
      <c r="V826" s="35"/>
      <c r="W826" s="35"/>
      <c r="X826" s="35"/>
      <c r="Y826" s="35"/>
    </row>
    <row r="827" ht="15.75" customHeight="1">
      <c r="A827" s="35"/>
      <c r="B827" s="35"/>
      <c r="C827" s="35"/>
      <c r="D827" s="35"/>
      <c r="E827" s="35"/>
      <c r="F827" s="50"/>
      <c r="G827" s="35"/>
      <c r="H827" s="35"/>
      <c r="I827" s="35"/>
      <c r="J827" s="35"/>
      <c r="K827" s="35"/>
      <c r="L827" s="35"/>
      <c r="M827" s="35"/>
      <c r="N827" s="35"/>
      <c r="O827" s="35"/>
      <c r="P827" s="35"/>
      <c r="Q827" s="35"/>
      <c r="R827" s="35"/>
      <c r="S827" s="35"/>
      <c r="T827" s="35"/>
      <c r="U827" s="35"/>
      <c r="V827" s="35"/>
      <c r="W827" s="35"/>
      <c r="X827" s="35"/>
      <c r="Y827" s="35"/>
    </row>
    <row r="828" ht="15.75" customHeight="1">
      <c r="A828" s="35"/>
      <c r="B828" s="35"/>
      <c r="C828" s="35"/>
      <c r="D828" s="35"/>
      <c r="E828" s="35"/>
      <c r="F828" s="50"/>
      <c r="G828" s="35"/>
      <c r="H828" s="35"/>
      <c r="I828" s="35"/>
      <c r="J828" s="35"/>
      <c r="K828" s="35"/>
      <c r="L828" s="35"/>
      <c r="M828" s="35"/>
      <c r="N828" s="35"/>
      <c r="O828" s="35"/>
      <c r="P828" s="35"/>
      <c r="Q828" s="35"/>
      <c r="R828" s="35"/>
      <c r="S828" s="35"/>
      <c r="T828" s="35"/>
      <c r="U828" s="35"/>
      <c r="V828" s="35"/>
      <c r="W828" s="35"/>
      <c r="X828" s="35"/>
      <c r="Y828" s="35"/>
    </row>
    <row r="829" ht="15.75" customHeight="1">
      <c r="A829" s="35"/>
      <c r="B829" s="35"/>
      <c r="C829" s="35"/>
      <c r="D829" s="35"/>
      <c r="E829" s="35"/>
      <c r="F829" s="50"/>
      <c r="G829" s="35"/>
      <c r="H829" s="35"/>
      <c r="I829" s="35"/>
      <c r="J829" s="35"/>
      <c r="K829" s="35"/>
      <c r="L829" s="35"/>
      <c r="M829" s="35"/>
      <c r="N829" s="35"/>
      <c r="O829" s="35"/>
      <c r="P829" s="35"/>
      <c r="Q829" s="35"/>
      <c r="R829" s="35"/>
      <c r="S829" s="35"/>
      <c r="T829" s="35"/>
      <c r="U829" s="35"/>
      <c r="V829" s="35"/>
      <c r="W829" s="35"/>
      <c r="X829" s="35"/>
      <c r="Y829" s="35"/>
    </row>
    <row r="830" ht="15.75" customHeight="1">
      <c r="A830" s="35"/>
      <c r="B830" s="35"/>
      <c r="C830" s="35"/>
      <c r="D830" s="35"/>
      <c r="E830" s="35"/>
      <c r="F830" s="50"/>
      <c r="G830" s="35"/>
      <c r="H830" s="35"/>
      <c r="I830" s="35"/>
      <c r="J830" s="35"/>
      <c r="K830" s="35"/>
      <c r="L830" s="35"/>
      <c r="M830" s="35"/>
      <c r="N830" s="35"/>
      <c r="O830" s="35"/>
      <c r="P830" s="35"/>
      <c r="Q830" s="35"/>
      <c r="R830" s="35"/>
      <c r="S830" s="35"/>
      <c r="T830" s="35"/>
      <c r="U830" s="35"/>
      <c r="V830" s="35"/>
      <c r="W830" s="35"/>
      <c r="X830" s="35"/>
      <c r="Y830" s="35"/>
    </row>
    <row r="831" ht="15.75" customHeight="1">
      <c r="A831" s="35"/>
      <c r="B831" s="35"/>
      <c r="C831" s="35"/>
      <c r="D831" s="35"/>
      <c r="E831" s="35"/>
      <c r="F831" s="50"/>
      <c r="G831" s="35"/>
      <c r="H831" s="35"/>
      <c r="I831" s="35"/>
      <c r="J831" s="35"/>
      <c r="K831" s="35"/>
      <c r="L831" s="35"/>
      <c r="M831" s="35"/>
      <c r="N831" s="35"/>
      <c r="O831" s="35"/>
      <c r="P831" s="35"/>
      <c r="Q831" s="35"/>
      <c r="R831" s="35"/>
      <c r="S831" s="35"/>
      <c r="T831" s="35"/>
      <c r="U831" s="35"/>
      <c r="V831" s="35"/>
      <c r="W831" s="35"/>
      <c r="X831" s="35"/>
      <c r="Y831" s="35"/>
    </row>
    <row r="832" ht="15.75" customHeight="1">
      <c r="A832" s="35"/>
      <c r="B832" s="35"/>
      <c r="C832" s="35"/>
      <c r="D832" s="35"/>
      <c r="E832" s="35"/>
      <c r="F832" s="50"/>
      <c r="G832" s="35"/>
      <c r="H832" s="35"/>
      <c r="I832" s="35"/>
      <c r="J832" s="35"/>
      <c r="K832" s="35"/>
      <c r="L832" s="35"/>
      <c r="M832" s="35"/>
      <c r="N832" s="35"/>
      <c r="O832" s="35"/>
      <c r="P832" s="35"/>
      <c r="Q832" s="35"/>
      <c r="R832" s="35"/>
      <c r="S832" s="35"/>
      <c r="T832" s="35"/>
      <c r="U832" s="35"/>
      <c r="V832" s="35"/>
      <c r="W832" s="35"/>
      <c r="X832" s="35"/>
      <c r="Y832" s="35"/>
    </row>
    <row r="833" ht="15.75" customHeight="1">
      <c r="A833" s="35"/>
      <c r="B833" s="35"/>
      <c r="C833" s="35"/>
      <c r="D833" s="35"/>
      <c r="E833" s="35"/>
      <c r="F833" s="50"/>
      <c r="G833" s="35"/>
      <c r="H833" s="35"/>
      <c r="I833" s="35"/>
      <c r="J833" s="35"/>
      <c r="K833" s="35"/>
      <c r="L833" s="35"/>
      <c r="M833" s="35"/>
      <c r="N833" s="35"/>
      <c r="O833" s="35"/>
      <c r="P833" s="35"/>
      <c r="Q833" s="35"/>
      <c r="R833" s="35"/>
      <c r="S833" s="35"/>
      <c r="T833" s="35"/>
      <c r="U833" s="35"/>
      <c r="V833" s="35"/>
      <c r="W833" s="35"/>
      <c r="X833" s="35"/>
      <c r="Y833" s="35"/>
    </row>
    <row r="834" ht="15.75" customHeight="1">
      <c r="A834" s="35"/>
      <c r="B834" s="35"/>
      <c r="C834" s="35"/>
      <c r="D834" s="35"/>
      <c r="E834" s="35"/>
      <c r="F834" s="50"/>
      <c r="G834" s="35"/>
      <c r="H834" s="35"/>
      <c r="I834" s="35"/>
      <c r="J834" s="35"/>
      <c r="K834" s="35"/>
      <c r="L834" s="35"/>
      <c r="M834" s="35"/>
      <c r="N834" s="35"/>
      <c r="O834" s="35"/>
      <c r="P834" s="35"/>
      <c r="Q834" s="35"/>
      <c r="R834" s="35"/>
      <c r="S834" s="35"/>
      <c r="T834" s="35"/>
      <c r="U834" s="35"/>
      <c r="V834" s="35"/>
      <c r="W834" s="35"/>
      <c r="X834" s="35"/>
      <c r="Y834" s="35"/>
    </row>
    <row r="835" ht="15.75" customHeight="1">
      <c r="A835" s="35"/>
      <c r="B835" s="35"/>
      <c r="C835" s="35"/>
      <c r="D835" s="35"/>
      <c r="E835" s="35"/>
      <c r="F835" s="50"/>
      <c r="G835" s="35"/>
      <c r="H835" s="35"/>
      <c r="I835" s="35"/>
      <c r="J835" s="35"/>
      <c r="K835" s="35"/>
      <c r="L835" s="35"/>
      <c r="M835" s="35"/>
      <c r="N835" s="35"/>
      <c r="O835" s="35"/>
      <c r="P835" s="35"/>
      <c r="Q835" s="35"/>
      <c r="R835" s="35"/>
      <c r="S835" s="35"/>
      <c r="T835" s="35"/>
      <c r="U835" s="35"/>
      <c r="V835" s="35"/>
      <c r="W835" s="35"/>
      <c r="X835" s="35"/>
      <c r="Y835" s="35"/>
    </row>
    <row r="836" ht="15.75" customHeight="1">
      <c r="A836" s="35"/>
      <c r="B836" s="35"/>
      <c r="C836" s="35"/>
      <c r="D836" s="35"/>
      <c r="E836" s="35"/>
      <c r="F836" s="50"/>
      <c r="G836" s="35"/>
      <c r="H836" s="35"/>
      <c r="I836" s="35"/>
      <c r="J836" s="35"/>
      <c r="K836" s="35"/>
      <c r="L836" s="35"/>
      <c r="M836" s="35"/>
      <c r="N836" s="35"/>
      <c r="O836" s="35"/>
      <c r="P836" s="35"/>
      <c r="Q836" s="35"/>
      <c r="R836" s="35"/>
      <c r="S836" s="35"/>
      <c r="T836" s="35"/>
      <c r="U836" s="35"/>
      <c r="V836" s="35"/>
      <c r="W836" s="35"/>
      <c r="X836" s="35"/>
      <c r="Y836" s="35"/>
    </row>
    <row r="837" ht="15.75" customHeight="1">
      <c r="A837" s="35"/>
      <c r="B837" s="35"/>
      <c r="C837" s="35"/>
      <c r="D837" s="35"/>
      <c r="E837" s="35"/>
      <c r="F837" s="50"/>
      <c r="G837" s="35"/>
      <c r="H837" s="35"/>
      <c r="I837" s="35"/>
      <c r="J837" s="35"/>
      <c r="K837" s="35"/>
      <c r="L837" s="35"/>
      <c r="M837" s="35"/>
      <c r="N837" s="35"/>
      <c r="O837" s="35"/>
      <c r="P837" s="35"/>
      <c r="Q837" s="35"/>
      <c r="R837" s="35"/>
      <c r="S837" s="35"/>
      <c r="T837" s="35"/>
      <c r="U837" s="35"/>
      <c r="V837" s="35"/>
      <c r="W837" s="35"/>
      <c r="X837" s="35"/>
      <c r="Y837" s="35"/>
    </row>
    <row r="838" ht="15.75" customHeight="1">
      <c r="A838" s="35"/>
      <c r="B838" s="35"/>
      <c r="C838" s="35"/>
      <c r="D838" s="35"/>
      <c r="E838" s="35"/>
      <c r="F838" s="50"/>
      <c r="G838" s="35"/>
      <c r="H838" s="35"/>
      <c r="I838" s="35"/>
      <c r="J838" s="35"/>
      <c r="K838" s="35"/>
      <c r="L838" s="35"/>
      <c r="M838" s="35"/>
      <c r="N838" s="35"/>
      <c r="O838" s="35"/>
      <c r="P838" s="35"/>
      <c r="Q838" s="35"/>
      <c r="R838" s="35"/>
      <c r="S838" s="35"/>
      <c r="T838" s="35"/>
      <c r="U838" s="35"/>
      <c r="V838" s="35"/>
      <c r="W838" s="35"/>
      <c r="X838" s="35"/>
      <c r="Y838" s="35"/>
    </row>
    <row r="839" ht="15.75" customHeight="1">
      <c r="A839" s="35"/>
      <c r="B839" s="35"/>
      <c r="C839" s="35"/>
      <c r="D839" s="35"/>
      <c r="E839" s="35"/>
      <c r="F839" s="50"/>
      <c r="G839" s="35"/>
      <c r="H839" s="35"/>
      <c r="I839" s="35"/>
      <c r="J839" s="35"/>
      <c r="K839" s="35"/>
      <c r="L839" s="35"/>
      <c r="M839" s="35"/>
      <c r="N839" s="35"/>
      <c r="O839" s="35"/>
      <c r="P839" s="35"/>
      <c r="Q839" s="35"/>
      <c r="R839" s="35"/>
      <c r="S839" s="35"/>
      <c r="T839" s="35"/>
      <c r="U839" s="35"/>
      <c r="V839" s="35"/>
      <c r="W839" s="35"/>
      <c r="X839" s="35"/>
      <c r="Y839" s="35"/>
    </row>
    <row r="840" ht="15.75" customHeight="1">
      <c r="A840" s="35"/>
      <c r="B840" s="35"/>
      <c r="C840" s="35"/>
      <c r="D840" s="35"/>
      <c r="E840" s="35"/>
      <c r="F840" s="50"/>
      <c r="G840" s="35"/>
      <c r="H840" s="35"/>
      <c r="I840" s="35"/>
      <c r="J840" s="35"/>
      <c r="K840" s="35"/>
      <c r="L840" s="35"/>
      <c r="M840" s="35"/>
      <c r="N840" s="35"/>
      <c r="O840" s="35"/>
      <c r="P840" s="35"/>
      <c r="Q840" s="35"/>
      <c r="R840" s="35"/>
      <c r="S840" s="35"/>
      <c r="T840" s="35"/>
      <c r="U840" s="35"/>
      <c r="V840" s="35"/>
      <c r="W840" s="35"/>
      <c r="X840" s="35"/>
      <c r="Y840" s="35"/>
    </row>
    <row r="841" ht="15.75" customHeight="1">
      <c r="A841" s="35"/>
      <c r="B841" s="35"/>
      <c r="C841" s="35"/>
      <c r="D841" s="35"/>
      <c r="E841" s="35"/>
      <c r="F841" s="50"/>
      <c r="G841" s="35"/>
      <c r="H841" s="35"/>
      <c r="I841" s="35"/>
      <c r="J841" s="35"/>
      <c r="K841" s="35"/>
      <c r="L841" s="35"/>
      <c r="M841" s="35"/>
      <c r="N841" s="35"/>
      <c r="O841" s="35"/>
      <c r="P841" s="35"/>
      <c r="Q841" s="35"/>
      <c r="R841" s="35"/>
      <c r="S841" s="35"/>
      <c r="T841" s="35"/>
      <c r="U841" s="35"/>
      <c r="V841" s="35"/>
      <c r="W841" s="35"/>
      <c r="X841" s="35"/>
      <c r="Y841" s="35"/>
    </row>
    <row r="842" ht="15.75" customHeight="1">
      <c r="A842" s="35"/>
      <c r="B842" s="35"/>
      <c r="C842" s="35"/>
      <c r="D842" s="35"/>
      <c r="E842" s="35"/>
      <c r="F842" s="50"/>
      <c r="G842" s="35"/>
      <c r="H842" s="35"/>
      <c r="I842" s="35"/>
      <c r="J842" s="35"/>
      <c r="K842" s="35"/>
      <c r="L842" s="35"/>
      <c r="M842" s="35"/>
      <c r="N842" s="35"/>
      <c r="O842" s="35"/>
      <c r="P842" s="35"/>
      <c r="Q842" s="35"/>
      <c r="R842" s="35"/>
      <c r="S842" s="35"/>
      <c r="T842" s="35"/>
      <c r="U842" s="35"/>
      <c r="V842" s="35"/>
      <c r="W842" s="35"/>
      <c r="X842" s="35"/>
      <c r="Y842" s="35"/>
    </row>
    <row r="843" ht="15.75" customHeight="1">
      <c r="A843" s="35"/>
      <c r="B843" s="35"/>
      <c r="C843" s="35"/>
      <c r="D843" s="35"/>
      <c r="E843" s="35"/>
      <c r="F843" s="50"/>
      <c r="G843" s="35"/>
      <c r="H843" s="35"/>
      <c r="I843" s="35"/>
      <c r="J843" s="35"/>
      <c r="K843" s="35"/>
      <c r="L843" s="35"/>
      <c r="M843" s="35"/>
      <c r="N843" s="35"/>
      <c r="O843" s="35"/>
      <c r="P843" s="35"/>
      <c r="Q843" s="35"/>
      <c r="R843" s="35"/>
      <c r="S843" s="35"/>
      <c r="T843" s="35"/>
      <c r="U843" s="35"/>
      <c r="V843" s="35"/>
      <c r="W843" s="35"/>
      <c r="X843" s="35"/>
      <c r="Y843" s="35"/>
    </row>
    <row r="844" ht="15.75" customHeight="1">
      <c r="A844" s="35"/>
      <c r="B844" s="35"/>
      <c r="C844" s="35"/>
      <c r="D844" s="35"/>
      <c r="E844" s="35"/>
      <c r="F844" s="50"/>
      <c r="G844" s="35"/>
      <c r="H844" s="35"/>
      <c r="I844" s="35"/>
      <c r="J844" s="35"/>
      <c r="K844" s="35"/>
      <c r="L844" s="35"/>
      <c r="M844" s="35"/>
      <c r="N844" s="35"/>
      <c r="O844" s="35"/>
      <c r="P844" s="35"/>
      <c r="Q844" s="35"/>
      <c r="R844" s="35"/>
      <c r="S844" s="35"/>
      <c r="T844" s="35"/>
      <c r="U844" s="35"/>
      <c r="V844" s="35"/>
      <c r="W844" s="35"/>
      <c r="X844" s="35"/>
      <c r="Y844" s="35"/>
    </row>
    <row r="845" ht="15.75" customHeight="1">
      <c r="A845" s="35"/>
      <c r="B845" s="35"/>
      <c r="C845" s="35"/>
      <c r="D845" s="35"/>
      <c r="E845" s="35"/>
      <c r="F845" s="50"/>
      <c r="G845" s="35"/>
      <c r="H845" s="35"/>
      <c r="I845" s="35"/>
      <c r="J845" s="35"/>
      <c r="K845" s="35"/>
      <c r="L845" s="35"/>
      <c r="M845" s="35"/>
      <c r="N845" s="35"/>
      <c r="O845" s="35"/>
      <c r="P845" s="35"/>
      <c r="Q845" s="35"/>
      <c r="R845" s="35"/>
      <c r="S845" s="35"/>
      <c r="T845" s="35"/>
      <c r="U845" s="35"/>
      <c r="V845" s="35"/>
      <c r="W845" s="35"/>
      <c r="X845" s="35"/>
      <c r="Y845" s="35"/>
    </row>
    <row r="846" ht="15.75" customHeight="1">
      <c r="A846" s="35"/>
      <c r="B846" s="35"/>
      <c r="C846" s="35"/>
      <c r="D846" s="35"/>
      <c r="E846" s="35"/>
      <c r="F846" s="50"/>
      <c r="G846" s="35"/>
      <c r="H846" s="35"/>
      <c r="I846" s="35"/>
      <c r="J846" s="35"/>
      <c r="K846" s="35"/>
      <c r="L846" s="35"/>
      <c r="M846" s="35"/>
      <c r="N846" s="35"/>
      <c r="O846" s="35"/>
      <c r="P846" s="35"/>
      <c r="Q846" s="35"/>
      <c r="R846" s="35"/>
      <c r="S846" s="35"/>
      <c r="T846" s="35"/>
      <c r="U846" s="35"/>
      <c r="V846" s="35"/>
      <c r="W846" s="35"/>
      <c r="X846" s="35"/>
      <c r="Y846" s="35"/>
    </row>
    <row r="847" ht="15.75" customHeight="1">
      <c r="A847" s="35"/>
      <c r="B847" s="35"/>
      <c r="C847" s="35"/>
      <c r="D847" s="35"/>
      <c r="E847" s="35"/>
      <c r="F847" s="50"/>
      <c r="G847" s="35"/>
      <c r="H847" s="35"/>
      <c r="I847" s="35"/>
      <c r="J847" s="35"/>
      <c r="K847" s="35"/>
      <c r="L847" s="35"/>
      <c r="M847" s="35"/>
      <c r="N847" s="35"/>
      <c r="O847" s="35"/>
      <c r="P847" s="35"/>
      <c r="Q847" s="35"/>
      <c r="R847" s="35"/>
      <c r="S847" s="35"/>
      <c r="T847" s="35"/>
      <c r="U847" s="35"/>
      <c r="V847" s="35"/>
      <c r="W847" s="35"/>
      <c r="X847" s="35"/>
      <c r="Y847" s="35"/>
    </row>
    <row r="848" ht="15.75" customHeight="1">
      <c r="A848" s="35"/>
      <c r="B848" s="35"/>
      <c r="C848" s="35"/>
      <c r="D848" s="35"/>
      <c r="E848" s="35"/>
      <c r="F848" s="50"/>
      <c r="G848" s="35"/>
      <c r="H848" s="35"/>
      <c r="I848" s="35"/>
      <c r="J848" s="35"/>
      <c r="K848" s="35"/>
      <c r="L848" s="35"/>
      <c r="M848" s="35"/>
      <c r="N848" s="35"/>
      <c r="O848" s="35"/>
      <c r="P848" s="35"/>
      <c r="Q848" s="35"/>
      <c r="R848" s="35"/>
      <c r="S848" s="35"/>
      <c r="T848" s="35"/>
      <c r="U848" s="35"/>
      <c r="V848" s="35"/>
      <c r="W848" s="35"/>
      <c r="X848" s="35"/>
      <c r="Y848" s="35"/>
    </row>
    <row r="849" ht="15.75" customHeight="1">
      <c r="A849" s="35"/>
      <c r="B849" s="35"/>
      <c r="C849" s="35"/>
      <c r="D849" s="35"/>
      <c r="E849" s="35"/>
      <c r="F849" s="50"/>
      <c r="G849" s="35"/>
      <c r="H849" s="35"/>
      <c r="I849" s="35"/>
      <c r="J849" s="35"/>
      <c r="K849" s="35"/>
      <c r="L849" s="35"/>
      <c r="M849" s="35"/>
      <c r="N849" s="35"/>
      <c r="O849" s="35"/>
      <c r="P849" s="35"/>
      <c r="Q849" s="35"/>
      <c r="R849" s="35"/>
      <c r="S849" s="35"/>
      <c r="T849" s="35"/>
      <c r="U849" s="35"/>
      <c r="V849" s="35"/>
      <c r="W849" s="35"/>
      <c r="X849" s="35"/>
      <c r="Y849" s="35"/>
    </row>
    <row r="850" ht="15.75" customHeight="1">
      <c r="A850" s="35"/>
      <c r="B850" s="35"/>
      <c r="C850" s="35"/>
      <c r="D850" s="35"/>
      <c r="E850" s="35"/>
      <c r="F850" s="50"/>
      <c r="G850" s="35"/>
      <c r="H850" s="35"/>
      <c r="I850" s="35"/>
      <c r="J850" s="35"/>
      <c r="K850" s="35"/>
      <c r="L850" s="35"/>
      <c r="M850" s="35"/>
      <c r="N850" s="35"/>
      <c r="O850" s="35"/>
      <c r="P850" s="35"/>
      <c r="Q850" s="35"/>
      <c r="R850" s="35"/>
      <c r="S850" s="35"/>
      <c r="T850" s="35"/>
      <c r="U850" s="35"/>
      <c r="V850" s="35"/>
      <c r="W850" s="35"/>
      <c r="X850" s="35"/>
      <c r="Y850" s="35"/>
    </row>
    <row r="851" ht="15.75" customHeight="1">
      <c r="A851" s="35"/>
      <c r="B851" s="35"/>
      <c r="C851" s="35"/>
      <c r="D851" s="35"/>
      <c r="E851" s="35"/>
      <c r="F851" s="50"/>
      <c r="G851" s="35"/>
      <c r="H851" s="35"/>
      <c r="I851" s="35"/>
      <c r="J851" s="35"/>
      <c r="K851" s="35"/>
      <c r="L851" s="35"/>
      <c r="M851" s="35"/>
      <c r="N851" s="35"/>
      <c r="O851" s="35"/>
      <c r="P851" s="35"/>
      <c r="Q851" s="35"/>
      <c r="R851" s="35"/>
      <c r="S851" s="35"/>
      <c r="T851" s="35"/>
      <c r="U851" s="35"/>
      <c r="V851" s="35"/>
      <c r="W851" s="35"/>
      <c r="X851" s="35"/>
      <c r="Y851" s="35"/>
    </row>
    <row r="852" ht="15.75" customHeight="1">
      <c r="A852" s="35"/>
      <c r="B852" s="35"/>
      <c r="C852" s="35"/>
      <c r="D852" s="35"/>
      <c r="E852" s="35"/>
      <c r="F852" s="50"/>
      <c r="G852" s="35"/>
      <c r="H852" s="35"/>
      <c r="I852" s="35"/>
      <c r="J852" s="35"/>
      <c r="K852" s="35"/>
      <c r="L852" s="35"/>
      <c r="M852" s="35"/>
      <c r="N852" s="35"/>
      <c r="O852" s="35"/>
      <c r="P852" s="35"/>
      <c r="Q852" s="35"/>
      <c r="R852" s="35"/>
      <c r="S852" s="35"/>
      <c r="T852" s="35"/>
      <c r="U852" s="35"/>
      <c r="V852" s="35"/>
      <c r="W852" s="35"/>
      <c r="X852" s="35"/>
      <c r="Y852" s="35"/>
    </row>
    <row r="853" ht="15.75" customHeight="1">
      <c r="A853" s="35"/>
      <c r="B853" s="35"/>
      <c r="C853" s="35"/>
      <c r="D853" s="35"/>
      <c r="E853" s="35"/>
      <c r="F853" s="50"/>
      <c r="G853" s="35"/>
      <c r="H853" s="35"/>
      <c r="I853" s="35"/>
      <c r="J853" s="35"/>
      <c r="K853" s="35"/>
      <c r="L853" s="35"/>
      <c r="M853" s="35"/>
      <c r="N853" s="35"/>
      <c r="O853" s="35"/>
      <c r="P853" s="35"/>
      <c r="Q853" s="35"/>
      <c r="R853" s="35"/>
      <c r="S853" s="35"/>
      <c r="T853" s="35"/>
      <c r="U853" s="35"/>
      <c r="V853" s="35"/>
      <c r="W853" s="35"/>
      <c r="X853" s="35"/>
      <c r="Y853" s="35"/>
    </row>
    <row r="854" ht="15.75" customHeight="1">
      <c r="A854" s="35"/>
      <c r="B854" s="35"/>
      <c r="C854" s="35"/>
      <c r="D854" s="35"/>
      <c r="E854" s="35"/>
      <c r="F854" s="50"/>
      <c r="G854" s="35"/>
      <c r="H854" s="35"/>
      <c r="I854" s="35"/>
      <c r="J854" s="35"/>
      <c r="K854" s="35"/>
      <c r="L854" s="35"/>
      <c r="M854" s="35"/>
      <c r="N854" s="35"/>
      <c r="O854" s="35"/>
      <c r="P854" s="35"/>
      <c r="Q854" s="35"/>
      <c r="R854" s="35"/>
      <c r="S854" s="35"/>
      <c r="T854" s="35"/>
      <c r="U854" s="35"/>
      <c r="V854" s="35"/>
      <c r="W854" s="35"/>
      <c r="X854" s="35"/>
      <c r="Y854" s="35"/>
    </row>
    <row r="855" ht="15.75" customHeight="1">
      <c r="A855" s="35"/>
      <c r="B855" s="35"/>
      <c r="C855" s="35"/>
      <c r="D855" s="35"/>
      <c r="E855" s="35"/>
      <c r="F855" s="50"/>
      <c r="G855" s="35"/>
      <c r="H855" s="35"/>
      <c r="I855" s="35"/>
      <c r="J855" s="35"/>
      <c r="K855" s="35"/>
      <c r="L855" s="35"/>
      <c r="M855" s="35"/>
      <c r="N855" s="35"/>
      <c r="O855" s="35"/>
      <c r="P855" s="35"/>
      <c r="Q855" s="35"/>
      <c r="R855" s="35"/>
      <c r="S855" s="35"/>
      <c r="T855" s="35"/>
      <c r="U855" s="35"/>
      <c r="V855" s="35"/>
      <c r="W855" s="35"/>
      <c r="X855" s="35"/>
      <c r="Y855" s="35"/>
    </row>
    <row r="856" ht="15.75" customHeight="1">
      <c r="A856" s="35"/>
      <c r="B856" s="35"/>
      <c r="C856" s="35"/>
      <c r="D856" s="35"/>
      <c r="E856" s="35"/>
      <c r="F856" s="50"/>
      <c r="G856" s="35"/>
      <c r="H856" s="35"/>
      <c r="I856" s="35"/>
      <c r="J856" s="35"/>
      <c r="K856" s="35"/>
      <c r="L856" s="35"/>
      <c r="M856" s="35"/>
      <c r="N856" s="35"/>
      <c r="O856" s="35"/>
      <c r="P856" s="35"/>
      <c r="Q856" s="35"/>
      <c r="R856" s="35"/>
      <c r="S856" s="35"/>
      <c r="T856" s="35"/>
      <c r="U856" s="35"/>
      <c r="V856" s="35"/>
      <c r="W856" s="35"/>
      <c r="X856" s="35"/>
      <c r="Y856" s="35"/>
    </row>
    <row r="857" ht="15.75" customHeight="1">
      <c r="A857" s="35"/>
      <c r="B857" s="35"/>
      <c r="C857" s="35"/>
      <c r="D857" s="35"/>
      <c r="E857" s="35"/>
      <c r="F857" s="50"/>
      <c r="G857" s="35"/>
      <c r="H857" s="35"/>
      <c r="I857" s="35"/>
      <c r="J857" s="35"/>
      <c r="K857" s="35"/>
      <c r="L857" s="35"/>
      <c r="M857" s="35"/>
      <c r="N857" s="35"/>
      <c r="O857" s="35"/>
      <c r="P857" s="35"/>
      <c r="Q857" s="35"/>
      <c r="R857" s="35"/>
      <c r="S857" s="35"/>
      <c r="T857" s="35"/>
      <c r="U857" s="35"/>
      <c r="V857" s="35"/>
      <c r="W857" s="35"/>
      <c r="X857" s="35"/>
      <c r="Y857" s="35"/>
    </row>
    <row r="858" ht="15.75" customHeight="1">
      <c r="A858" s="35"/>
      <c r="B858" s="35"/>
      <c r="C858" s="35"/>
      <c r="D858" s="35"/>
      <c r="E858" s="35"/>
      <c r="F858" s="50"/>
      <c r="G858" s="35"/>
      <c r="H858" s="35"/>
      <c r="I858" s="35"/>
      <c r="J858" s="35"/>
      <c r="K858" s="35"/>
      <c r="L858" s="35"/>
      <c r="M858" s="35"/>
      <c r="N858" s="35"/>
      <c r="O858" s="35"/>
      <c r="P858" s="35"/>
      <c r="Q858" s="35"/>
      <c r="R858" s="35"/>
      <c r="S858" s="35"/>
      <c r="T858" s="35"/>
      <c r="U858" s="35"/>
      <c r="V858" s="35"/>
      <c r="W858" s="35"/>
      <c r="X858" s="35"/>
      <c r="Y858" s="35"/>
    </row>
    <row r="859" ht="15.75" customHeight="1">
      <c r="A859" s="35"/>
      <c r="B859" s="35"/>
      <c r="C859" s="35"/>
      <c r="D859" s="35"/>
      <c r="E859" s="35"/>
      <c r="F859" s="50"/>
      <c r="G859" s="35"/>
      <c r="H859" s="35"/>
      <c r="I859" s="35"/>
      <c r="J859" s="35"/>
      <c r="K859" s="35"/>
      <c r="L859" s="35"/>
      <c r="M859" s="35"/>
      <c r="N859" s="35"/>
      <c r="O859" s="35"/>
      <c r="P859" s="35"/>
      <c r="Q859" s="35"/>
      <c r="R859" s="35"/>
      <c r="S859" s="35"/>
      <c r="T859" s="35"/>
      <c r="U859" s="35"/>
      <c r="V859" s="35"/>
      <c r="W859" s="35"/>
      <c r="X859" s="35"/>
      <c r="Y859" s="35"/>
    </row>
    <row r="860" ht="15.75" customHeight="1">
      <c r="A860" s="35"/>
      <c r="B860" s="35"/>
      <c r="C860" s="35"/>
      <c r="D860" s="35"/>
      <c r="E860" s="35"/>
      <c r="F860" s="50"/>
      <c r="G860" s="35"/>
      <c r="H860" s="35"/>
      <c r="I860" s="35"/>
      <c r="J860" s="35"/>
      <c r="K860" s="35"/>
      <c r="L860" s="35"/>
      <c r="M860" s="35"/>
      <c r="N860" s="35"/>
      <c r="O860" s="35"/>
      <c r="P860" s="35"/>
      <c r="Q860" s="35"/>
      <c r="R860" s="35"/>
      <c r="S860" s="35"/>
      <c r="T860" s="35"/>
      <c r="U860" s="35"/>
      <c r="V860" s="35"/>
      <c r="W860" s="35"/>
      <c r="X860" s="35"/>
      <c r="Y860" s="35"/>
    </row>
    <row r="861" ht="15.75" customHeight="1">
      <c r="A861" s="35"/>
      <c r="B861" s="35"/>
      <c r="C861" s="35"/>
      <c r="D861" s="35"/>
      <c r="E861" s="35"/>
      <c r="F861" s="50"/>
      <c r="G861" s="35"/>
      <c r="H861" s="35"/>
      <c r="I861" s="35"/>
      <c r="J861" s="35"/>
      <c r="K861" s="35"/>
      <c r="L861" s="35"/>
      <c r="M861" s="35"/>
      <c r="N861" s="35"/>
      <c r="O861" s="35"/>
      <c r="P861" s="35"/>
      <c r="Q861" s="35"/>
      <c r="R861" s="35"/>
      <c r="S861" s="35"/>
      <c r="T861" s="35"/>
      <c r="U861" s="35"/>
      <c r="V861" s="35"/>
      <c r="W861" s="35"/>
      <c r="X861" s="35"/>
      <c r="Y861" s="35"/>
    </row>
    <row r="862" ht="15.75" customHeight="1">
      <c r="A862" s="35"/>
      <c r="B862" s="35"/>
      <c r="C862" s="35"/>
      <c r="D862" s="35"/>
      <c r="E862" s="35"/>
      <c r="F862" s="50"/>
      <c r="G862" s="35"/>
      <c r="H862" s="35"/>
      <c r="I862" s="35"/>
      <c r="J862" s="35"/>
      <c r="K862" s="35"/>
      <c r="L862" s="35"/>
      <c r="M862" s="35"/>
      <c r="N862" s="35"/>
      <c r="O862" s="35"/>
      <c r="P862" s="35"/>
      <c r="Q862" s="35"/>
      <c r="R862" s="35"/>
      <c r="S862" s="35"/>
      <c r="T862" s="35"/>
      <c r="U862" s="35"/>
      <c r="V862" s="35"/>
      <c r="W862" s="35"/>
      <c r="X862" s="35"/>
      <c r="Y862" s="35"/>
    </row>
    <row r="863" ht="15.75" customHeight="1">
      <c r="A863" s="35"/>
      <c r="B863" s="35"/>
      <c r="C863" s="35"/>
      <c r="D863" s="35"/>
      <c r="E863" s="35"/>
      <c r="F863" s="50"/>
      <c r="G863" s="35"/>
      <c r="H863" s="35"/>
      <c r="I863" s="35"/>
      <c r="J863" s="35"/>
      <c r="K863" s="35"/>
      <c r="L863" s="35"/>
      <c r="M863" s="35"/>
      <c r="N863" s="35"/>
      <c r="O863" s="35"/>
      <c r="P863" s="35"/>
      <c r="Q863" s="35"/>
      <c r="R863" s="35"/>
      <c r="S863" s="35"/>
      <c r="T863" s="35"/>
      <c r="U863" s="35"/>
      <c r="V863" s="35"/>
      <c r="W863" s="35"/>
      <c r="X863" s="35"/>
      <c r="Y863" s="35"/>
    </row>
    <row r="864" ht="15.75" customHeight="1">
      <c r="A864" s="35"/>
      <c r="B864" s="35"/>
      <c r="C864" s="35"/>
      <c r="D864" s="35"/>
      <c r="E864" s="35"/>
      <c r="F864" s="50"/>
      <c r="G864" s="35"/>
      <c r="H864" s="35"/>
      <c r="I864" s="35"/>
      <c r="J864" s="35"/>
      <c r="K864" s="35"/>
      <c r="L864" s="35"/>
      <c r="M864" s="35"/>
      <c r="N864" s="35"/>
      <c r="O864" s="35"/>
      <c r="P864" s="35"/>
      <c r="Q864" s="35"/>
      <c r="R864" s="35"/>
      <c r="S864" s="35"/>
      <c r="T864" s="35"/>
      <c r="U864" s="35"/>
      <c r="V864" s="35"/>
      <c r="W864" s="35"/>
      <c r="X864" s="35"/>
      <c r="Y864" s="35"/>
    </row>
    <row r="865" ht="15.75" customHeight="1">
      <c r="A865" s="35"/>
      <c r="B865" s="35"/>
      <c r="C865" s="35"/>
      <c r="D865" s="35"/>
      <c r="E865" s="35"/>
      <c r="F865" s="50"/>
      <c r="G865" s="35"/>
      <c r="H865" s="35"/>
      <c r="I865" s="35"/>
      <c r="J865" s="35"/>
      <c r="K865" s="35"/>
      <c r="L865" s="35"/>
      <c r="M865" s="35"/>
      <c r="N865" s="35"/>
      <c r="O865" s="35"/>
      <c r="P865" s="35"/>
      <c r="Q865" s="35"/>
      <c r="R865" s="35"/>
      <c r="S865" s="35"/>
      <c r="T865" s="35"/>
      <c r="U865" s="35"/>
      <c r="V865" s="35"/>
      <c r="W865" s="35"/>
      <c r="X865" s="35"/>
      <c r="Y865" s="35"/>
    </row>
    <row r="866" ht="15.75" customHeight="1">
      <c r="A866" s="35"/>
      <c r="B866" s="35"/>
      <c r="C866" s="35"/>
      <c r="D866" s="35"/>
      <c r="E866" s="35"/>
      <c r="F866" s="50"/>
      <c r="G866" s="35"/>
      <c r="H866" s="35"/>
      <c r="I866" s="35"/>
      <c r="J866" s="35"/>
      <c r="K866" s="35"/>
      <c r="L866" s="35"/>
      <c r="M866" s="35"/>
      <c r="N866" s="35"/>
      <c r="O866" s="35"/>
      <c r="P866" s="35"/>
      <c r="Q866" s="35"/>
      <c r="R866" s="35"/>
      <c r="S866" s="35"/>
      <c r="T866" s="35"/>
      <c r="U866" s="35"/>
      <c r="V866" s="35"/>
      <c r="W866" s="35"/>
      <c r="X866" s="35"/>
      <c r="Y866" s="35"/>
    </row>
    <row r="867" ht="15.75" customHeight="1">
      <c r="A867" s="35"/>
      <c r="B867" s="35"/>
      <c r="C867" s="35"/>
      <c r="D867" s="35"/>
      <c r="E867" s="35"/>
      <c r="F867" s="50"/>
      <c r="G867" s="35"/>
      <c r="H867" s="35"/>
      <c r="I867" s="35"/>
      <c r="J867" s="35"/>
      <c r="K867" s="35"/>
      <c r="L867" s="35"/>
      <c r="M867" s="35"/>
      <c r="N867" s="35"/>
      <c r="O867" s="35"/>
      <c r="P867" s="35"/>
      <c r="Q867" s="35"/>
      <c r="R867" s="35"/>
      <c r="S867" s="35"/>
      <c r="T867" s="35"/>
      <c r="U867" s="35"/>
      <c r="V867" s="35"/>
      <c r="W867" s="35"/>
      <c r="X867" s="35"/>
      <c r="Y867" s="35"/>
    </row>
    <row r="868" ht="15.75" customHeight="1">
      <c r="A868" s="35"/>
      <c r="B868" s="35"/>
      <c r="C868" s="35"/>
      <c r="D868" s="35"/>
      <c r="E868" s="35"/>
      <c r="F868" s="50"/>
      <c r="G868" s="35"/>
      <c r="H868" s="35"/>
      <c r="I868" s="35"/>
      <c r="J868" s="35"/>
      <c r="K868" s="35"/>
      <c r="L868" s="35"/>
      <c r="M868" s="35"/>
      <c r="N868" s="35"/>
      <c r="O868" s="35"/>
      <c r="P868" s="35"/>
      <c r="Q868" s="35"/>
      <c r="R868" s="35"/>
      <c r="S868" s="35"/>
      <c r="T868" s="35"/>
      <c r="U868" s="35"/>
      <c r="V868" s="35"/>
      <c r="W868" s="35"/>
      <c r="X868" s="35"/>
      <c r="Y868" s="35"/>
    </row>
    <row r="869" ht="15.75" customHeight="1">
      <c r="A869" s="35"/>
      <c r="B869" s="35"/>
      <c r="C869" s="35"/>
      <c r="D869" s="35"/>
      <c r="E869" s="35"/>
      <c r="F869" s="50"/>
      <c r="G869" s="35"/>
      <c r="H869" s="35"/>
      <c r="I869" s="35"/>
      <c r="J869" s="35"/>
      <c r="K869" s="35"/>
      <c r="L869" s="35"/>
      <c r="M869" s="35"/>
      <c r="N869" s="35"/>
      <c r="O869" s="35"/>
      <c r="P869" s="35"/>
      <c r="Q869" s="35"/>
      <c r="R869" s="35"/>
      <c r="S869" s="35"/>
      <c r="T869" s="35"/>
      <c r="U869" s="35"/>
      <c r="V869" s="35"/>
      <c r="W869" s="35"/>
      <c r="X869" s="35"/>
      <c r="Y869" s="35"/>
    </row>
    <row r="870" ht="15.75" customHeight="1">
      <c r="A870" s="35"/>
      <c r="B870" s="35"/>
      <c r="C870" s="35"/>
      <c r="D870" s="35"/>
      <c r="E870" s="35"/>
      <c r="F870" s="50"/>
      <c r="G870" s="35"/>
      <c r="H870" s="35"/>
      <c r="I870" s="35"/>
      <c r="J870" s="35"/>
      <c r="K870" s="35"/>
      <c r="L870" s="35"/>
      <c r="M870" s="35"/>
      <c r="N870" s="35"/>
      <c r="O870" s="35"/>
      <c r="P870" s="35"/>
      <c r="Q870" s="35"/>
      <c r="R870" s="35"/>
      <c r="S870" s="35"/>
      <c r="T870" s="35"/>
      <c r="U870" s="35"/>
      <c r="V870" s="35"/>
      <c r="W870" s="35"/>
      <c r="X870" s="35"/>
      <c r="Y870" s="35"/>
    </row>
    <row r="871" ht="15.75" customHeight="1">
      <c r="A871" s="35"/>
      <c r="B871" s="35"/>
      <c r="C871" s="35"/>
      <c r="D871" s="35"/>
      <c r="E871" s="35"/>
      <c r="F871" s="50"/>
      <c r="G871" s="35"/>
      <c r="H871" s="35"/>
      <c r="I871" s="35"/>
      <c r="J871" s="35"/>
      <c r="K871" s="35"/>
      <c r="L871" s="35"/>
      <c r="M871" s="35"/>
      <c r="N871" s="35"/>
      <c r="O871" s="35"/>
      <c r="P871" s="35"/>
      <c r="Q871" s="35"/>
      <c r="R871" s="35"/>
      <c r="S871" s="35"/>
      <c r="T871" s="35"/>
      <c r="U871" s="35"/>
      <c r="V871" s="35"/>
      <c r="W871" s="35"/>
      <c r="X871" s="35"/>
      <c r="Y871" s="35"/>
    </row>
    <row r="872" ht="15.75" customHeight="1">
      <c r="A872" s="35"/>
      <c r="B872" s="35"/>
      <c r="C872" s="35"/>
      <c r="D872" s="35"/>
      <c r="E872" s="35"/>
      <c r="F872" s="50"/>
      <c r="G872" s="35"/>
      <c r="H872" s="35"/>
      <c r="I872" s="35"/>
      <c r="J872" s="35"/>
      <c r="K872" s="35"/>
      <c r="L872" s="35"/>
      <c r="M872" s="35"/>
      <c r="N872" s="35"/>
      <c r="O872" s="35"/>
      <c r="P872" s="35"/>
      <c r="Q872" s="35"/>
      <c r="R872" s="35"/>
      <c r="S872" s="35"/>
      <c r="T872" s="35"/>
      <c r="U872" s="35"/>
      <c r="V872" s="35"/>
      <c r="W872" s="35"/>
      <c r="X872" s="35"/>
      <c r="Y872" s="35"/>
    </row>
    <row r="873" ht="15.75" customHeight="1">
      <c r="A873" s="35"/>
      <c r="B873" s="35"/>
      <c r="C873" s="35"/>
      <c r="D873" s="35"/>
      <c r="E873" s="35"/>
      <c r="F873" s="50"/>
      <c r="G873" s="35"/>
      <c r="H873" s="35"/>
      <c r="I873" s="35"/>
      <c r="J873" s="35"/>
      <c r="K873" s="35"/>
      <c r="L873" s="35"/>
      <c r="M873" s="35"/>
      <c r="N873" s="35"/>
      <c r="O873" s="35"/>
      <c r="P873" s="35"/>
      <c r="Q873" s="35"/>
      <c r="R873" s="35"/>
      <c r="S873" s="35"/>
      <c r="T873" s="35"/>
      <c r="U873" s="35"/>
      <c r="V873" s="35"/>
      <c r="W873" s="35"/>
      <c r="X873" s="35"/>
      <c r="Y873" s="35"/>
    </row>
    <row r="874" ht="15.75" customHeight="1">
      <c r="A874" s="35"/>
      <c r="B874" s="35"/>
      <c r="C874" s="35"/>
      <c r="D874" s="35"/>
      <c r="E874" s="35"/>
      <c r="F874" s="50"/>
      <c r="G874" s="35"/>
      <c r="H874" s="35"/>
      <c r="I874" s="35"/>
      <c r="J874" s="35"/>
      <c r="K874" s="35"/>
      <c r="L874" s="35"/>
      <c r="M874" s="35"/>
      <c r="N874" s="35"/>
      <c r="O874" s="35"/>
      <c r="P874" s="35"/>
      <c r="Q874" s="35"/>
      <c r="R874" s="35"/>
      <c r="S874" s="35"/>
      <c r="T874" s="35"/>
      <c r="U874" s="35"/>
      <c r="V874" s="35"/>
      <c r="W874" s="35"/>
      <c r="X874" s="35"/>
      <c r="Y874" s="35"/>
    </row>
    <row r="875" ht="15.75" customHeight="1">
      <c r="A875" s="35"/>
      <c r="B875" s="35"/>
      <c r="C875" s="35"/>
      <c r="D875" s="35"/>
      <c r="E875" s="35"/>
      <c r="F875" s="50"/>
      <c r="G875" s="35"/>
      <c r="H875" s="35"/>
      <c r="I875" s="35"/>
      <c r="J875" s="35"/>
      <c r="K875" s="35"/>
      <c r="L875" s="35"/>
      <c r="M875" s="35"/>
      <c r="N875" s="35"/>
      <c r="O875" s="35"/>
      <c r="P875" s="35"/>
      <c r="Q875" s="35"/>
      <c r="R875" s="35"/>
      <c r="S875" s="35"/>
      <c r="T875" s="35"/>
      <c r="U875" s="35"/>
      <c r="V875" s="35"/>
      <c r="W875" s="35"/>
      <c r="X875" s="35"/>
      <c r="Y875" s="35"/>
    </row>
    <row r="876" ht="15.75" customHeight="1">
      <c r="A876" s="35"/>
      <c r="B876" s="35"/>
      <c r="C876" s="35"/>
      <c r="D876" s="35"/>
      <c r="E876" s="35"/>
      <c r="F876" s="50"/>
      <c r="G876" s="35"/>
      <c r="H876" s="35"/>
      <c r="I876" s="35"/>
      <c r="J876" s="35"/>
      <c r="K876" s="35"/>
      <c r="L876" s="35"/>
      <c r="M876" s="35"/>
      <c r="N876" s="35"/>
      <c r="O876" s="35"/>
      <c r="P876" s="35"/>
      <c r="Q876" s="35"/>
      <c r="R876" s="35"/>
      <c r="S876" s="35"/>
      <c r="T876" s="35"/>
      <c r="U876" s="35"/>
      <c r="V876" s="35"/>
      <c r="W876" s="35"/>
      <c r="X876" s="35"/>
      <c r="Y876" s="35"/>
    </row>
    <row r="877" ht="15.75" customHeight="1">
      <c r="A877" s="35"/>
      <c r="B877" s="35"/>
      <c r="C877" s="35"/>
      <c r="D877" s="35"/>
      <c r="E877" s="35"/>
      <c r="F877" s="50"/>
      <c r="G877" s="35"/>
      <c r="H877" s="35"/>
      <c r="I877" s="35"/>
      <c r="J877" s="35"/>
      <c r="K877" s="35"/>
      <c r="L877" s="35"/>
      <c r="M877" s="35"/>
      <c r="N877" s="35"/>
      <c r="O877" s="35"/>
      <c r="P877" s="35"/>
      <c r="Q877" s="35"/>
      <c r="R877" s="35"/>
      <c r="S877" s="35"/>
      <c r="T877" s="35"/>
      <c r="U877" s="35"/>
      <c r="V877" s="35"/>
      <c r="W877" s="35"/>
      <c r="X877" s="35"/>
      <c r="Y877" s="35"/>
    </row>
    <row r="878" ht="15.75" customHeight="1">
      <c r="A878" s="35"/>
      <c r="B878" s="35"/>
      <c r="C878" s="35"/>
      <c r="D878" s="35"/>
      <c r="E878" s="35"/>
      <c r="F878" s="50"/>
      <c r="G878" s="35"/>
      <c r="H878" s="35"/>
      <c r="I878" s="35"/>
      <c r="J878" s="35"/>
      <c r="K878" s="35"/>
      <c r="L878" s="35"/>
      <c r="M878" s="35"/>
      <c r="N878" s="35"/>
      <c r="O878" s="35"/>
      <c r="P878" s="35"/>
      <c r="Q878" s="35"/>
      <c r="R878" s="35"/>
      <c r="S878" s="35"/>
      <c r="T878" s="35"/>
      <c r="U878" s="35"/>
      <c r="V878" s="35"/>
      <c r="W878" s="35"/>
      <c r="X878" s="35"/>
      <c r="Y878" s="35"/>
    </row>
    <row r="879" ht="15.75" customHeight="1">
      <c r="A879" s="35"/>
      <c r="B879" s="35"/>
      <c r="C879" s="35"/>
      <c r="D879" s="35"/>
      <c r="E879" s="35"/>
      <c r="F879" s="50"/>
      <c r="G879" s="35"/>
      <c r="H879" s="35"/>
      <c r="I879" s="35"/>
      <c r="J879" s="35"/>
      <c r="K879" s="35"/>
      <c r="L879" s="35"/>
      <c r="M879" s="35"/>
      <c r="N879" s="35"/>
      <c r="O879" s="35"/>
      <c r="P879" s="35"/>
      <c r="Q879" s="35"/>
      <c r="R879" s="35"/>
      <c r="S879" s="35"/>
      <c r="T879" s="35"/>
      <c r="U879" s="35"/>
      <c r="V879" s="35"/>
      <c r="W879" s="35"/>
      <c r="X879" s="35"/>
      <c r="Y879" s="35"/>
    </row>
    <row r="880" ht="15.75" customHeight="1">
      <c r="A880" s="35"/>
      <c r="B880" s="35"/>
      <c r="C880" s="35"/>
      <c r="D880" s="35"/>
      <c r="E880" s="35"/>
      <c r="F880" s="50"/>
      <c r="G880" s="35"/>
      <c r="H880" s="35"/>
      <c r="I880" s="35"/>
      <c r="J880" s="35"/>
      <c r="K880" s="35"/>
      <c r="L880" s="35"/>
      <c r="M880" s="35"/>
      <c r="N880" s="35"/>
      <c r="O880" s="35"/>
      <c r="P880" s="35"/>
      <c r="Q880" s="35"/>
      <c r="R880" s="35"/>
      <c r="S880" s="35"/>
      <c r="T880" s="35"/>
      <c r="U880" s="35"/>
      <c r="V880" s="35"/>
      <c r="W880" s="35"/>
      <c r="X880" s="35"/>
      <c r="Y880" s="35"/>
    </row>
    <row r="881" ht="15.75" customHeight="1">
      <c r="A881" s="35"/>
      <c r="B881" s="35"/>
      <c r="C881" s="35"/>
      <c r="D881" s="35"/>
      <c r="E881" s="35"/>
      <c r="F881" s="50"/>
      <c r="G881" s="35"/>
      <c r="H881" s="35"/>
      <c r="I881" s="35"/>
      <c r="J881" s="35"/>
      <c r="K881" s="35"/>
      <c r="L881" s="35"/>
      <c r="M881" s="35"/>
      <c r="N881" s="35"/>
      <c r="O881" s="35"/>
      <c r="P881" s="35"/>
      <c r="Q881" s="35"/>
      <c r="R881" s="35"/>
      <c r="S881" s="35"/>
      <c r="T881" s="35"/>
      <c r="U881" s="35"/>
      <c r="V881" s="35"/>
      <c r="W881" s="35"/>
      <c r="X881" s="35"/>
      <c r="Y881" s="35"/>
    </row>
    <row r="882" ht="15.75" customHeight="1">
      <c r="A882" s="35"/>
      <c r="B882" s="35"/>
      <c r="C882" s="35"/>
      <c r="D882" s="35"/>
      <c r="E882" s="35"/>
      <c r="F882" s="50"/>
      <c r="G882" s="35"/>
      <c r="H882" s="35"/>
      <c r="I882" s="35"/>
      <c r="J882" s="35"/>
      <c r="K882" s="35"/>
      <c r="L882" s="35"/>
      <c r="M882" s="35"/>
      <c r="N882" s="35"/>
      <c r="O882" s="35"/>
      <c r="P882" s="35"/>
      <c r="Q882" s="35"/>
      <c r="R882" s="35"/>
      <c r="S882" s="35"/>
      <c r="T882" s="35"/>
      <c r="U882" s="35"/>
      <c r="V882" s="35"/>
      <c r="W882" s="35"/>
      <c r="X882" s="35"/>
      <c r="Y882" s="35"/>
    </row>
    <row r="883" ht="15.75" customHeight="1">
      <c r="A883" s="35"/>
      <c r="B883" s="35"/>
      <c r="C883" s="35"/>
      <c r="D883" s="35"/>
      <c r="E883" s="35"/>
      <c r="F883" s="50"/>
      <c r="G883" s="35"/>
      <c r="H883" s="35"/>
      <c r="I883" s="35"/>
      <c r="J883" s="35"/>
      <c r="K883" s="35"/>
      <c r="L883" s="35"/>
      <c r="M883" s="35"/>
      <c r="N883" s="35"/>
      <c r="O883" s="35"/>
      <c r="P883" s="35"/>
      <c r="Q883" s="35"/>
      <c r="R883" s="35"/>
      <c r="S883" s="35"/>
      <c r="T883" s="35"/>
      <c r="U883" s="35"/>
      <c r="V883" s="35"/>
      <c r="W883" s="35"/>
      <c r="X883" s="35"/>
      <c r="Y883" s="35"/>
    </row>
    <row r="884" ht="15.75" customHeight="1">
      <c r="A884" s="35"/>
      <c r="B884" s="35"/>
      <c r="C884" s="35"/>
      <c r="D884" s="35"/>
      <c r="E884" s="35"/>
      <c r="F884" s="50"/>
      <c r="G884" s="35"/>
      <c r="H884" s="35"/>
      <c r="I884" s="35"/>
      <c r="J884" s="35"/>
      <c r="K884" s="35"/>
      <c r="L884" s="35"/>
      <c r="M884" s="35"/>
      <c r="N884" s="35"/>
      <c r="O884" s="35"/>
      <c r="P884" s="35"/>
      <c r="Q884" s="35"/>
      <c r="R884" s="35"/>
      <c r="S884" s="35"/>
      <c r="T884" s="35"/>
      <c r="U884" s="35"/>
      <c r="V884" s="35"/>
      <c r="W884" s="35"/>
      <c r="X884" s="35"/>
      <c r="Y884" s="35"/>
    </row>
    <row r="885" ht="15.75" customHeight="1">
      <c r="A885" s="35"/>
      <c r="B885" s="35"/>
      <c r="C885" s="35"/>
      <c r="D885" s="35"/>
      <c r="E885" s="35"/>
      <c r="F885" s="50"/>
      <c r="G885" s="35"/>
      <c r="H885" s="35"/>
      <c r="I885" s="35"/>
      <c r="J885" s="35"/>
      <c r="K885" s="35"/>
      <c r="L885" s="35"/>
      <c r="M885" s="35"/>
      <c r="N885" s="35"/>
      <c r="O885" s="35"/>
      <c r="P885" s="35"/>
      <c r="Q885" s="35"/>
      <c r="R885" s="35"/>
      <c r="S885" s="35"/>
      <c r="T885" s="35"/>
      <c r="U885" s="35"/>
      <c r="V885" s="35"/>
      <c r="W885" s="35"/>
      <c r="X885" s="35"/>
      <c r="Y885" s="35"/>
    </row>
    <row r="886" ht="15.75" customHeight="1">
      <c r="A886" s="35"/>
      <c r="B886" s="35"/>
      <c r="C886" s="35"/>
      <c r="D886" s="35"/>
      <c r="E886" s="35"/>
      <c r="F886" s="50"/>
      <c r="G886" s="35"/>
      <c r="H886" s="35"/>
      <c r="I886" s="35"/>
      <c r="J886" s="35"/>
      <c r="K886" s="35"/>
      <c r="L886" s="35"/>
      <c r="M886" s="35"/>
      <c r="N886" s="35"/>
      <c r="O886" s="35"/>
      <c r="P886" s="35"/>
      <c r="Q886" s="35"/>
      <c r="R886" s="35"/>
      <c r="S886" s="35"/>
      <c r="T886" s="35"/>
      <c r="U886" s="35"/>
      <c r="V886" s="35"/>
      <c r="W886" s="35"/>
      <c r="X886" s="35"/>
      <c r="Y886" s="35"/>
    </row>
    <row r="887" ht="15.75" customHeight="1">
      <c r="A887" s="35"/>
      <c r="B887" s="35"/>
      <c r="C887" s="35"/>
      <c r="D887" s="35"/>
      <c r="E887" s="35"/>
      <c r="F887" s="50"/>
      <c r="G887" s="35"/>
      <c r="H887" s="35"/>
      <c r="I887" s="35"/>
      <c r="J887" s="35"/>
      <c r="K887" s="35"/>
      <c r="L887" s="35"/>
      <c r="M887" s="35"/>
      <c r="N887" s="35"/>
      <c r="O887" s="35"/>
      <c r="P887" s="35"/>
      <c r="Q887" s="35"/>
      <c r="R887" s="35"/>
      <c r="S887" s="35"/>
      <c r="T887" s="35"/>
      <c r="U887" s="35"/>
      <c r="V887" s="35"/>
      <c r="W887" s="35"/>
      <c r="X887" s="35"/>
      <c r="Y887" s="35"/>
    </row>
    <row r="888" ht="15.75" customHeight="1">
      <c r="A888" s="35"/>
      <c r="B888" s="35"/>
      <c r="C888" s="35"/>
      <c r="D888" s="35"/>
      <c r="E888" s="35"/>
      <c r="F888" s="50"/>
      <c r="G888" s="35"/>
      <c r="H888" s="35"/>
      <c r="I888" s="35"/>
      <c r="J888" s="35"/>
      <c r="K888" s="35"/>
      <c r="L888" s="35"/>
      <c r="M888" s="35"/>
      <c r="N888" s="35"/>
      <c r="O888" s="35"/>
      <c r="P888" s="35"/>
      <c r="Q888" s="35"/>
      <c r="R888" s="35"/>
      <c r="S888" s="35"/>
      <c r="T888" s="35"/>
      <c r="U888" s="35"/>
      <c r="V888" s="35"/>
      <c r="W888" s="35"/>
      <c r="X888" s="35"/>
      <c r="Y888" s="35"/>
    </row>
    <row r="889" ht="15.75" customHeight="1">
      <c r="A889" s="35"/>
      <c r="B889" s="35"/>
      <c r="C889" s="35"/>
      <c r="D889" s="35"/>
      <c r="E889" s="35"/>
      <c r="F889" s="50"/>
      <c r="G889" s="35"/>
      <c r="H889" s="35"/>
      <c r="I889" s="35"/>
      <c r="J889" s="35"/>
      <c r="K889" s="35"/>
      <c r="L889" s="35"/>
      <c r="M889" s="35"/>
      <c r="N889" s="35"/>
      <c r="O889" s="35"/>
      <c r="P889" s="35"/>
      <c r="Q889" s="35"/>
      <c r="R889" s="35"/>
      <c r="S889" s="35"/>
      <c r="T889" s="35"/>
      <c r="U889" s="35"/>
      <c r="V889" s="35"/>
      <c r="W889" s="35"/>
      <c r="X889" s="35"/>
      <c r="Y889" s="35"/>
    </row>
    <row r="890" ht="15.75" customHeight="1">
      <c r="A890" s="35"/>
      <c r="B890" s="35"/>
      <c r="C890" s="35"/>
      <c r="D890" s="35"/>
      <c r="E890" s="35"/>
      <c r="F890" s="50"/>
      <c r="G890" s="35"/>
      <c r="H890" s="35"/>
      <c r="I890" s="35"/>
      <c r="J890" s="35"/>
      <c r="K890" s="35"/>
      <c r="L890" s="35"/>
      <c r="M890" s="35"/>
      <c r="N890" s="35"/>
      <c r="O890" s="35"/>
      <c r="P890" s="35"/>
      <c r="Q890" s="35"/>
      <c r="R890" s="35"/>
      <c r="S890" s="35"/>
      <c r="T890" s="35"/>
      <c r="U890" s="35"/>
      <c r="V890" s="35"/>
      <c r="W890" s="35"/>
      <c r="X890" s="35"/>
      <c r="Y890" s="35"/>
    </row>
    <row r="891" ht="15.75" customHeight="1">
      <c r="A891" s="35"/>
      <c r="B891" s="35"/>
      <c r="C891" s="35"/>
      <c r="D891" s="35"/>
      <c r="E891" s="35"/>
      <c r="F891" s="50"/>
      <c r="G891" s="35"/>
      <c r="H891" s="35"/>
      <c r="I891" s="35"/>
      <c r="J891" s="35"/>
      <c r="K891" s="35"/>
      <c r="L891" s="35"/>
      <c r="M891" s="35"/>
      <c r="N891" s="35"/>
      <c r="O891" s="35"/>
      <c r="P891" s="35"/>
      <c r="Q891" s="35"/>
      <c r="R891" s="35"/>
      <c r="S891" s="35"/>
      <c r="T891" s="35"/>
      <c r="U891" s="35"/>
      <c r="V891" s="35"/>
      <c r="W891" s="35"/>
      <c r="X891" s="35"/>
      <c r="Y891" s="35"/>
    </row>
    <row r="892" ht="15.75" customHeight="1">
      <c r="A892" s="35"/>
      <c r="B892" s="35"/>
      <c r="C892" s="35"/>
      <c r="D892" s="35"/>
      <c r="E892" s="35"/>
      <c r="F892" s="50"/>
      <c r="G892" s="35"/>
      <c r="H892" s="35"/>
      <c r="I892" s="35"/>
      <c r="J892" s="35"/>
      <c r="K892" s="35"/>
      <c r="L892" s="35"/>
      <c r="M892" s="35"/>
      <c r="N892" s="35"/>
      <c r="O892" s="35"/>
      <c r="P892" s="35"/>
      <c r="Q892" s="35"/>
      <c r="R892" s="35"/>
      <c r="S892" s="35"/>
      <c r="T892" s="35"/>
      <c r="U892" s="35"/>
      <c r="V892" s="35"/>
      <c r="W892" s="35"/>
      <c r="X892" s="35"/>
      <c r="Y892" s="35"/>
    </row>
    <row r="893" ht="15.75" customHeight="1">
      <c r="A893" s="35"/>
      <c r="B893" s="35"/>
      <c r="C893" s="35"/>
      <c r="D893" s="35"/>
      <c r="E893" s="35"/>
      <c r="F893" s="50"/>
      <c r="G893" s="35"/>
      <c r="H893" s="35"/>
      <c r="I893" s="35"/>
      <c r="J893" s="35"/>
      <c r="K893" s="35"/>
      <c r="L893" s="35"/>
      <c r="M893" s="35"/>
      <c r="N893" s="35"/>
      <c r="O893" s="35"/>
      <c r="P893" s="35"/>
      <c r="Q893" s="35"/>
      <c r="R893" s="35"/>
      <c r="S893" s="35"/>
      <c r="T893" s="35"/>
      <c r="U893" s="35"/>
      <c r="V893" s="35"/>
      <c r="W893" s="35"/>
      <c r="X893" s="35"/>
      <c r="Y893" s="35"/>
    </row>
    <row r="894" ht="15.75" customHeight="1">
      <c r="A894" s="35"/>
      <c r="B894" s="35"/>
      <c r="C894" s="35"/>
      <c r="D894" s="35"/>
      <c r="E894" s="35"/>
      <c r="F894" s="50"/>
      <c r="G894" s="35"/>
      <c r="H894" s="35"/>
      <c r="I894" s="35"/>
      <c r="J894" s="35"/>
      <c r="K894" s="35"/>
      <c r="L894" s="35"/>
      <c r="M894" s="35"/>
      <c r="N894" s="35"/>
      <c r="O894" s="35"/>
      <c r="P894" s="35"/>
      <c r="Q894" s="35"/>
      <c r="R894" s="35"/>
      <c r="S894" s="35"/>
      <c r="T894" s="35"/>
      <c r="U894" s="35"/>
      <c r="V894" s="35"/>
      <c r="W894" s="35"/>
      <c r="X894" s="35"/>
      <c r="Y894" s="35"/>
    </row>
    <row r="895" ht="15.75" customHeight="1">
      <c r="A895" s="35"/>
      <c r="B895" s="35"/>
      <c r="C895" s="35"/>
      <c r="D895" s="35"/>
      <c r="E895" s="35"/>
      <c r="F895" s="50"/>
      <c r="G895" s="35"/>
      <c r="H895" s="35"/>
      <c r="I895" s="35"/>
      <c r="J895" s="35"/>
      <c r="K895" s="35"/>
      <c r="L895" s="35"/>
      <c r="M895" s="35"/>
      <c r="N895" s="35"/>
      <c r="O895" s="35"/>
      <c r="P895" s="35"/>
      <c r="Q895" s="35"/>
      <c r="R895" s="35"/>
      <c r="S895" s="35"/>
      <c r="T895" s="35"/>
      <c r="U895" s="35"/>
      <c r="V895" s="35"/>
      <c r="W895" s="35"/>
      <c r="X895" s="35"/>
      <c r="Y895" s="35"/>
    </row>
    <row r="896" ht="15.75" customHeight="1">
      <c r="A896" s="35"/>
      <c r="B896" s="35"/>
      <c r="C896" s="35"/>
      <c r="D896" s="35"/>
      <c r="E896" s="35"/>
      <c r="F896" s="50"/>
      <c r="G896" s="35"/>
      <c r="H896" s="35"/>
      <c r="I896" s="35"/>
      <c r="J896" s="35"/>
      <c r="K896" s="35"/>
      <c r="L896" s="35"/>
      <c r="M896" s="35"/>
      <c r="N896" s="35"/>
      <c r="O896" s="35"/>
      <c r="P896" s="35"/>
      <c r="Q896" s="35"/>
      <c r="R896" s="35"/>
      <c r="S896" s="35"/>
      <c r="T896" s="35"/>
      <c r="U896" s="35"/>
      <c r="V896" s="35"/>
      <c r="W896" s="35"/>
      <c r="X896" s="35"/>
      <c r="Y896" s="35"/>
    </row>
    <row r="897" ht="15.75" customHeight="1">
      <c r="A897" s="35"/>
      <c r="B897" s="35"/>
      <c r="C897" s="35"/>
      <c r="D897" s="35"/>
      <c r="E897" s="35"/>
      <c r="F897" s="50"/>
      <c r="G897" s="35"/>
      <c r="H897" s="35"/>
      <c r="I897" s="35"/>
      <c r="J897" s="35"/>
      <c r="K897" s="35"/>
      <c r="L897" s="35"/>
      <c r="M897" s="35"/>
      <c r="N897" s="35"/>
      <c r="O897" s="35"/>
      <c r="P897" s="35"/>
      <c r="Q897" s="35"/>
      <c r="R897" s="35"/>
      <c r="S897" s="35"/>
      <c r="T897" s="35"/>
      <c r="U897" s="35"/>
      <c r="V897" s="35"/>
      <c r="W897" s="35"/>
      <c r="X897" s="35"/>
      <c r="Y897" s="35"/>
    </row>
    <row r="898" ht="15.75" customHeight="1">
      <c r="A898" s="35"/>
      <c r="B898" s="35"/>
      <c r="C898" s="35"/>
      <c r="D898" s="35"/>
      <c r="E898" s="35"/>
      <c r="F898" s="50"/>
      <c r="G898" s="35"/>
      <c r="H898" s="35"/>
      <c r="I898" s="35"/>
      <c r="J898" s="35"/>
      <c r="K898" s="35"/>
      <c r="L898" s="35"/>
      <c r="M898" s="35"/>
      <c r="N898" s="35"/>
      <c r="O898" s="35"/>
      <c r="P898" s="35"/>
      <c r="Q898" s="35"/>
      <c r="R898" s="35"/>
      <c r="S898" s="35"/>
      <c r="T898" s="35"/>
      <c r="U898" s="35"/>
      <c r="V898" s="35"/>
      <c r="W898" s="35"/>
      <c r="X898" s="35"/>
      <c r="Y898" s="35"/>
    </row>
    <row r="899" ht="15.75" customHeight="1">
      <c r="A899" s="35"/>
      <c r="B899" s="35"/>
      <c r="C899" s="35"/>
      <c r="D899" s="35"/>
      <c r="E899" s="35"/>
      <c r="F899" s="50"/>
      <c r="G899" s="35"/>
      <c r="H899" s="35"/>
      <c r="I899" s="35"/>
      <c r="J899" s="35"/>
      <c r="K899" s="35"/>
      <c r="L899" s="35"/>
      <c r="M899" s="35"/>
      <c r="N899" s="35"/>
      <c r="O899" s="35"/>
      <c r="P899" s="35"/>
      <c r="Q899" s="35"/>
      <c r="R899" s="35"/>
      <c r="S899" s="35"/>
      <c r="T899" s="35"/>
      <c r="U899" s="35"/>
      <c r="V899" s="35"/>
      <c r="W899" s="35"/>
      <c r="X899" s="35"/>
      <c r="Y899" s="35"/>
    </row>
    <row r="900" ht="15.75" customHeight="1">
      <c r="A900" s="35"/>
      <c r="B900" s="35"/>
      <c r="C900" s="35"/>
      <c r="D900" s="35"/>
      <c r="E900" s="35"/>
      <c r="F900" s="50"/>
      <c r="G900" s="35"/>
      <c r="H900" s="35"/>
      <c r="I900" s="35"/>
      <c r="J900" s="35"/>
      <c r="K900" s="35"/>
      <c r="L900" s="35"/>
      <c r="M900" s="35"/>
      <c r="N900" s="35"/>
      <c r="O900" s="35"/>
      <c r="P900" s="35"/>
      <c r="Q900" s="35"/>
      <c r="R900" s="35"/>
      <c r="S900" s="35"/>
      <c r="T900" s="35"/>
      <c r="U900" s="35"/>
      <c r="V900" s="35"/>
      <c r="W900" s="35"/>
      <c r="X900" s="35"/>
      <c r="Y900" s="35"/>
    </row>
    <row r="901" ht="15.75" customHeight="1">
      <c r="A901" s="35"/>
      <c r="B901" s="35"/>
      <c r="C901" s="35"/>
      <c r="D901" s="35"/>
      <c r="E901" s="35"/>
      <c r="F901" s="50"/>
      <c r="G901" s="35"/>
      <c r="H901" s="35"/>
      <c r="I901" s="35"/>
      <c r="J901" s="35"/>
      <c r="K901" s="35"/>
      <c r="L901" s="35"/>
      <c r="M901" s="35"/>
      <c r="N901" s="35"/>
      <c r="O901" s="35"/>
      <c r="P901" s="35"/>
      <c r="Q901" s="35"/>
      <c r="R901" s="35"/>
      <c r="S901" s="35"/>
      <c r="T901" s="35"/>
      <c r="U901" s="35"/>
      <c r="V901" s="35"/>
      <c r="W901" s="35"/>
      <c r="X901" s="35"/>
      <c r="Y901" s="35"/>
    </row>
    <row r="902" ht="15.75" customHeight="1">
      <c r="A902" s="35"/>
      <c r="B902" s="35"/>
      <c r="C902" s="35"/>
      <c r="D902" s="35"/>
      <c r="E902" s="35"/>
      <c r="F902" s="50"/>
      <c r="G902" s="35"/>
      <c r="H902" s="35"/>
      <c r="I902" s="35"/>
      <c r="J902" s="35"/>
      <c r="K902" s="35"/>
      <c r="L902" s="35"/>
      <c r="M902" s="35"/>
      <c r="N902" s="35"/>
      <c r="O902" s="35"/>
      <c r="P902" s="35"/>
      <c r="Q902" s="35"/>
      <c r="R902" s="35"/>
      <c r="S902" s="35"/>
      <c r="T902" s="35"/>
      <c r="U902" s="35"/>
      <c r="V902" s="35"/>
      <c r="W902" s="35"/>
      <c r="X902" s="35"/>
      <c r="Y902" s="35"/>
    </row>
    <row r="903" ht="15.75" customHeight="1">
      <c r="A903" s="35"/>
      <c r="B903" s="35"/>
      <c r="C903" s="35"/>
      <c r="D903" s="35"/>
      <c r="E903" s="35"/>
      <c r="F903" s="50"/>
      <c r="G903" s="35"/>
      <c r="H903" s="35"/>
      <c r="I903" s="35"/>
      <c r="J903" s="35"/>
      <c r="K903" s="35"/>
      <c r="L903" s="35"/>
      <c r="M903" s="35"/>
      <c r="N903" s="35"/>
      <c r="O903" s="35"/>
      <c r="P903" s="35"/>
      <c r="Q903" s="35"/>
      <c r="R903" s="35"/>
      <c r="S903" s="35"/>
      <c r="T903" s="35"/>
      <c r="U903" s="35"/>
      <c r="V903" s="35"/>
      <c r="W903" s="35"/>
      <c r="X903" s="35"/>
      <c r="Y903" s="35"/>
    </row>
    <row r="904" ht="15.75" customHeight="1">
      <c r="A904" s="35"/>
      <c r="B904" s="35"/>
      <c r="C904" s="35"/>
      <c r="D904" s="35"/>
      <c r="E904" s="35"/>
      <c r="F904" s="50"/>
      <c r="G904" s="35"/>
      <c r="H904" s="35"/>
      <c r="I904" s="35"/>
      <c r="J904" s="35"/>
      <c r="K904" s="35"/>
      <c r="L904" s="35"/>
      <c r="M904" s="35"/>
      <c r="N904" s="35"/>
      <c r="O904" s="35"/>
      <c r="P904" s="35"/>
      <c r="Q904" s="35"/>
      <c r="R904" s="35"/>
      <c r="S904" s="35"/>
      <c r="T904" s="35"/>
      <c r="U904" s="35"/>
      <c r="V904" s="35"/>
      <c r="W904" s="35"/>
      <c r="X904" s="35"/>
      <c r="Y904" s="35"/>
    </row>
    <row r="905" ht="15.75" customHeight="1">
      <c r="A905" s="35"/>
      <c r="B905" s="35"/>
      <c r="C905" s="35"/>
      <c r="D905" s="35"/>
      <c r="E905" s="35"/>
      <c r="F905" s="50"/>
      <c r="G905" s="35"/>
      <c r="H905" s="35"/>
      <c r="I905" s="35"/>
      <c r="J905" s="35"/>
      <c r="K905" s="35"/>
      <c r="L905" s="35"/>
      <c r="M905" s="35"/>
      <c r="N905" s="35"/>
      <c r="O905" s="35"/>
      <c r="P905" s="35"/>
      <c r="Q905" s="35"/>
      <c r="R905" s="35"/>
      <c r="S905" s="35"/>
      <c r="T905" s="35"/>
      <c r="U905" s="35"/>
      <c r="V905" s="35"/>
      <c r="W905" s="35"/>
      <c r="X905" s="35"/>
      <c r="Y905" s="35"/>
    </row>
    <row r="906" ht="15.75" customHeight="1">
      <c r="A906" s="35"/>
      <c r="B906" s="35"/>
      <c r="C906" s="35"/>
      <c r="D906" s="35"/>
      <c r="E906" s="35"/>
      <c r="F906" s="50"/>
      <c r="G906" s="35"/>
      <c r="H906" s="35"/>
      <c r="I906" s="35"/>
      <c r="J906" s="35"/>
      <c r="K906" s="35"/>
      <c r="L906" s="35"/>
      <c r="M906" s="35"/>
      <c r="N906" s="35"/>
      <c r="O906" s="35"/>
      <c r="P906" s="35"/>
      <c r="Q906" s="35"/>
      <c r="R906" s="35"/>
      <c r="S906" s="35"/>
      <c r="T906" s="35"/>
      <c r="U906" s="35"/>
      <c r="V906" s="35"/>
      <c r="W906" s="35"/>
      <c r="X906" s="35"/>
      <c r="Y906" s="35"/>
    </row>
    <row r="907" ht="15.75" customHeight="1">
      <c r="A907" s="35"/>
      <c r="B907" s="35"/>
      <c r="C907" s="35"/>
      <c r="D907" s="35"/>
      <c r="E907" s="35"/>
      <c r="F907" s="50"/>
      <c r="G907" s="35"/>
      <c r="H907" s="35"/>
      <c r="I907" s="35"/>
      <c r="J907" s="35"/>
      <c r="K907" s="35"/>
      <c r="L907" s="35"/>
      <c r="M907" s="35"/>
      <c r="N907" s="35"/>
      <c r="O907" s="35"/>
      <c r="P907" s="35"/>
      <c r="Q907" s="35"/>
      <c r="R907" s="35"/>
      <c r="S907" s="35"/>
      <c r="T907" s="35"/>
      <c r="U907" s="35"/>
      <c r="V907" s="35"/>
      <c r="W907" s="35"/>
      <c r="X907" s="35"/>
      <c r="Y907" s="35"/>
    </row>
    <row r="908" ht="15.75" customHeight="1">
      <c r="A908" s="35"/>
      <c r="B908" s="35"/>
      <c r="C908" s="35"/>
      <c r="D908" s="35"/>
      <c r="E908" s="35"/>
      <c r="F908" s="50"/>
      <c r="G908" s="35"/>
      <c r="H908" s="35"/>
      <c r="I908" s="35"/>
      <c r="J908" s="35"/>
      <c r="K908" s="35"/>
      <c r="L908" s="35"/>
      <c r="M908" s="35"/>
      <c r="N908" s="35"/>
      <c r="O908" s="35"/>
      <c r="P908" s="35"/>
      <c r="Q908" s="35"/>
      <c r="R908" s="35"/>
      <c r="S908" s="35"/>
      <c r="T908" s="35"/>
      <c r="U908" s="35"/>
      <c r="V908" s="35"/>
      <c r="W908" s="35"/>
      <c r="X908" s="35"/>
      <c r="Y908" s="35"/>
    </row>
    <row r="909" ht="15.75" customHeight="1">
      <c r="A909" s="35"/>
      <c r="B909" s="35"/>
      <c r="C909" s="35"/>
      <c r="D909" s="35"/>
      <c r="E909" s="35"/>
      <c r="F909" s="50"/>
      <c r="G909" s="35"/>
      <c r="H909" s="35"/>
      <c r="I909" s="35"/>
      <c r="J909" s="35"/>
      <c r="K909" s="35"/>
      <c r="L909" s="35"/>
      <c r="M909" s="35"/>
      <c r="N909" s="35"/>
      <c r="O909" s="35"/>
      <c r="P909" s="35"/>
      <c r="Q909" s="35"/>
      <c r="R909" s="35"/>
      <c r="S909" s="35"/>
      <c r="T909" s="35"/>
      <c r="U909" s="35"/>
      <c r="V909" s="35"/>
      <c r="W909" s="35"/>
      <c r="X909" s="35"/>
      <c r="Y909" s="35"/>
    </row>
    <row r="910" ht="15.75" customHeight="1">
      <c r="A910" s="35"/>
      <c r="B910" s="35"/>
      <c r="C910" s="35"/>
      <c r="D910" s="35"/>
      <c r="E910" s="35"/>
      <c r="F910" s="50"/>
      <c r="G910" s="35"/>
      <c r="H910" s="35"/>
      <c r="I910" s="35"/>
      <c r="J910" s="35"/>
      <c r="K910" s="35"/>
      <c r="L910" s="35"/>
      <c r="M910" s="35"/>
      <c r="N910" s="35"/>
      <c r="O910" s="35"/>
      <c r="P910" s="35"/>
      <c r="Q910" s="35"/>
      <c r="R910" s="35"/>
      <c r="S910" s="35"/>
      <c r="T910" s="35"/>
      <c r="U910" s="35"/>
      <c r="V910" s="35"/>
      <c r="W910" s="35"/>
      <c r="X910" s="35"/>
      <c r="Y910" s="35"/>
    </row>
    <row r="911" ht="15.75" customHeight="1">
      <c r="A911" s="35"/>
      <c r="B911" s="35"/>
      <c r="C911" s="35"/>
      <c r="D911" s="35"/>
      <c r="E911" s="35"/>
      <c r="F911" s="50"/>
      <c r="G911" s="35"/>
      <c r="H911" s="35"/>
      <c r="I911" s="35"/>
      <c r="J911" s="35"/>
      <c r="K911" s="35"/>
      <c r="L911" s="35"/>
      <c r="M911" s="35"/>
      <c r="N911" s="35"/>
      <c r="O911" s="35"/>
      <c r="P911" s="35"/>
      <c r="Q911" s="35"/>
      <c r="R911" s="35"/>
      <c r="S911" s="35"/>
      <c r="T911" s="35"/>
      <c r="U911" s="35"/>
      <c r="V911" s="35"/>
      <c r="W911" s="35"/>
      <c r="X911" s="35"/>
      <c r="Y911" s="35"/>
    </row>
    <row r="912" ht="15.75" customHeight="1">
      <c r="A912" s="35"/>
      <c r="B912" s="35"/>
      <c r="C912" s="35"/>
      <c r="D912" s="35"/>
      <c r="E912" s="35"/>
      <c r="F912" s="50"/>
      <c r="G912" s="35"/>
      <c r="H912" s="35"/>
      <c r="I912" s="35"/>
      <c r="J912" s="35"/>
      <c r="K912" s="35"/>
      <c r="L912" s="35"/>
      <c r="M912" s="35"/>
      <c r="N912" s="35"/>
      <c r="O912" s="35"/>
      <c r="P912" s="35"/>
      <c r="Q912" s="35"/>
      <c r="R912" s="35"/>
      <c r="S912" s="35"/>
      <c r="T912" s="35"/>
      <c r="U912" s="35"/>
      <c r="V912" s="35"/>
      <c r="W912" s="35"/>
      <c r="X912" s="35"/>
      <c r="Y912" s="35"/>
    </row>
    <row r="913" ht="15.75" customHeight="1">
      <c r="A913" s="35"/>
      <c r="B913" s="35"/>
      <c r="C913" s="35"/>
      <c r="D913" s="35"/>
      <c r="E913" s="35"/>
      <c r="F913" s="50"/>
      <c r="G913" s="35"/>
      <c r="H913" s="35"/>
      <c r="I913" s="35"/>
      <c r="J913" s="35"/>
      <c r="K913" s="35"/>
      <c r="L913" s="35"/>
      <c r="M913" s="35"/>
      <c r="N913" s="35"/>
      <c r="O913" s="35"/>
      <c r="P913" s="35"/>
      <c r="Q913" s="35"/>
      <c r="R913" s="35"/>
      <c r="S913" s="35"/>
      <c r="T913" s="35"/>
      <c r="U913" s="35"/>
      <c r="V913" s="35"/>
      <c r="W913" s="35"/>
      <c r="X913" s="35"/>
      <c r="Y913" s="35"/>
    </row>
    <row r="914" ht="15.75" customHeight="1">
      <c r="A914" s="35"/>
      <c r="B914" s="35"/>
      <c r="C914" s="35"/>
      <c r="D914" s="35"/>
      <c r="E914" s="35"/>
      <c r="F914" s="50"/>
      <c r="G914" s="35"/>
      <c r="H914" s="35"/>
      <c r="I914" s="35"/>
      <c r="J914" s="35"/>
      <c r="K914" s="35"/>
      <c r="L914" s="35"/>
      <c r="M914" s="35"/>
      <c r="N914" s="35"/>
      <c r="O914" s="35"/>
      <c r="P914" s="35"/>
      <c r="Q914" s="35"/>
      <c r="R914" s="35"/>
      <c r="S914" s="35"/>
      <c r="T914" s="35"/>
      <c r="U914" s="35"/>
      <c r="V914" s="35"/>
      <c r="W914" s="35"/>
      <c r="X914" s="35"/>
      <c r="Y914" s="35"/>
    </row>
    <row r="915" ht="15.75" customHeight="1">
      <c r="A915" s="35"/>
      <c r="B915" s="35"/>
      <c r="C915" s="35"/>
      <c r="D915" s="35"/>
      <c r="E915" s="35"/>
      <c r="F915" s="50"/>
      <c r="G915" s="35"/>
      <c r="H915" s="35"/>
      <c r="I915" s="35"/>
      <c r="J915" s="35"/>
      <c r="K915" s="35"/>
      <c r="L915" s="35"/>
      <c r="M915" s="35"/>
      <c r="N915" s="35"/>
      <c r="O915" s="35"/>
      <c r="P915" s="35"/>
      <c r="Q915" s="35"/>
      <c r="R915" s="35"/>
      <c r="S915" s="35"/>
      <c r="T915" s="35"/>
      <c r="U915" s="35"/>
      <c r="V915" s="35"/>
      <c r="W915" s="35"/>
      <c r="X915" s="35"/>
      <c r="Y915" s="35"/>
    </row>
    <row r="916" ht="15.75" customHeight="1">
      <c r="A916" s="35"/>
      <c r="B916" s="35"/>
      <c r="C916" s="35"/>
      <c r="D916" s="35"/>
      <c r="E916" s="35"/>
      <c r="F916" s="50"/>
      <c r="G916" s="35"/>
      <c r="H916" s="35"/>
      <c r="I916" s="35"/>
      <c r="J916" s="35"/>
      <c r="K916" s="35"/>
      <c r="L916" s="35"/>
      <c r="M916" s="35"/>
      <c r="N916" s="35"/>
      <c r="O916" s="35"/>
      <c r="P916" s="35"/>
      <c r="Q916" s="35"/>
      <c r="R916" s="35"/>
      <c r="S916" s="35"/>
      <c r="T916" s="35"/>
      <c r="U916" s="35"/>
      <c r="V916" s="35"/>
      <c r="W916" s="35"/>
      <c r="X916" s="35"/>
      <c r="Y916" s="35"/>
    </row>
    <row r="917" ht="15.75" customHeight="1">
      <c r="A917" s="35"/>
      <c r="B917" s="35"/>
      <c r="C917" s="35"/>
      <c r="D917" s="35"/>
      <c r="E917" s="35"/>
      <c r="F917" s="50"/>
      <c r="G917" s="35"/>
      <c r="H917" s="35"/>
      <c r="I917" s="35"/>
      <c r="J917" s="35"/>
      <c r="K917" s="35"/>
      <c r="L917" s="35"/>
      <c r="M917" s="35"/>
      <c r="N917" s="35"/>
      <c r="O917" s="35"/>
      <c r="P917" s="35"/>
      <c r="Q917" s="35"/>
      <c r="R917" s="35"/>
      <c r="S917" s="35"/>
      <c r="T917" s="35"/>
      <c r="U917" s="35"/>
      <c r="V917" s="35"/>
      <c r="W917" s="35"/>
      <c r="X917" s="35"/>
      <c r="Y917" s="35"/>
    </row>
    <row r="918" ht="15.75" customHeight="1">
      <c r="A918" s="35"/>
      <c r="B918" s="35"/>
      <c r="C918" s="35"/>
      <c r="D918" s="35"/>
      <c r="E918" s="35"/>
      <c r="F918" s="50"/>
      <c r="G918" s="35"/>
      <c r="H918" s="35"/>
      <c r="I918" s="35"/>
      <c r="J918" s="35"/>
      <c r="K918" s="35"/>
      <c r="L918" s="35"/>
      <c r="M918" s="35"/>
      <c r="N918" s="35"/>
      <c r="O918" s="35"/>
      <c r="P918" s="35"/>
      <c r="Q918" s="35"/>
      <c r="R918" s="35"/>
      <c r="S918" s="35"/>
      <c r="T918" s="35"/>
      <c r="U918" s="35"/>
      <c r="V918" s="35"/>
      <c r="W918" s="35"/>
      <c r="X918" s="35"/>
      <c r="Y918" s="35"/>
    </row>
    <row r="919" ht="15.75" customHeight="1">
      <c r="A919" s="35"/>
      <c r="B919" s="35"/>
      <c r="C919" s="35"/>
      <c r="D919" s="35"/>
      <c r="E919" s="35"/>
      <c r="F919" s="50"/>
      <c r="G919" s="35"/>
      <c r="H919" s="35"/>
      <c r="I919" s="35"/>
      <c r="J919" s="35"/>
      <c r="K919" s="35"/>
      <c r="L919" s="35"/>
      <c r="M919" s="35"/>
      <c r="N919" s="35"/>
      <c r="O919" s="35"/>
      <c r="P919" s="35"/>
      <c r="Q919" s="35"/>
      <c r="R919" s="35"/>
      <c r="S919" s="35"/>
      <c r="T919" s="35"/>
      <c r="U919" s="35"/>
      <c r="V919" s="35"/>
      <c r="W919" s="35"/>
      <c r="X919" s="35"/>
      <c r="Y919" s="35"/>
    </row>
    <row r="920" ht="15.75" customHeight="1">
      <c r="A920" s="35"/>
      <c r="B920" s="35"/>
      <c r="C920" s="35"/>
      <c r="D920" s="35"/>
      <c r="E920" s="35"/>
      <c r="F920" s="50"/>
      <c r="G920" s="35"/>
      <c r="H920" s="35"/>
      <c r="I920" s="35"/>
      <c r="J920" s="35"/>
      <c r="K920" s="35"/>
      <c r="L920" s="35"/>
      <c r="M920" s="35"/>
      <c r="N920" s="35"/>
      <c r="O920" s="35"/>
      <c r="P920" s="35"/>
      <c r="Q920" s="35"/>
      <c r="R920" s="35"/>
      <c r="S920" s="35"/>
      <c r="T920" s="35"/>
      <c r="U920" s="35"/>
      <c r="V920" s="35"/>
      <c r="W920" s="35"/>
      <c r="X920" s="35"/>
      <c r="Y920" s="35"/>
    </row>
    <row r="921" ht="15.75" customHeight="1">
      <c r="A921" s="35"/>
      <c r="B921" s="35"/>
      <c r="C921" s="35"/>
      <c r="D921" s="35"/>
      <c r="E921" s="35"/>
      <c r="F921" s="50"/>
      <c r="G921" s="35"/>
      <c r="H921" s="35"/>
      <c r="I921" s="35"/>
      <c r="J921" s="35"/>
      <c r="K921" s="35"/>
      <c r="L921" s="35"/>
      <c r="M921" s="35"/>
      <c r="N921" s="35"/>
      <c r="O921" s="35"/>
      <c r="P921" s="35"/>
      <c r="Q921" s="35"/>
      <c r="R921" s="35"/>
      <c r="S921" s="35"/>
      <c r="T921" s="35"/>
      <c r="U921" s="35"/>
      <c r="V921" s="35"/>
      <c r="W921" s="35"/>
      <c r="X921" s="35"/>
      <c r="Y921" s="35"/>
    </row>
    <row r="922" ht="15.75" customHeight="1">
      <c r="A922" s="35"/>
      <c r="B922" s="35"/>
      <c r="C922" s="35"/>
      <c r="D922" s="35"/>
      <c r="E922" s="35"/>
      <c r="F922" s="50"/>
      <c r="G922" s="35"/>
      <c r="H922" s="35"/>
      <c r="I922" s="35"/>
      <c r="J922" s="35"/>
      <c r="K922" s="35"/>
      <c r="L922" s="35"/>
      <c r="M922" s="35"/>
      <c r="N922" s="35"/>
      <c r="O922" s="35"/>
      <c r="P922" s="35"/>
      <c r="Q922" s="35"/>
      <c r="R922" s="35"/>
      <c r="S922" s="35"/>
      <c r="T922" s="35"/>
      <c r="U922" s="35"/>
      <c r="V922" s="35"/>
      <c r="W922" s="35"/>
      <c r="X922" s="35"/>
      <c r="Y922" s="35"/>
    </row>
    <row r="923" ht="15.75" customHeight="1">
      <c r="A923" s="35"/>
      <c r="B923" s="35"/>
      <c r="C923" s="35"/>
      <c r="D923" s="35"/>
      <c r="E923" s="35"/>
      <c r="F923" s="50"/>
      <c r="G923" s="35"/>
      <c r="H923" s="35"/>
      <c r="I923" s="35"/>
      <c r="J923" s="35"/>
      <c r="K923" s="35"/>
      <c r="L923" s="35"/>
      <c r="M923" s="35"/>
      <c r="N923" s="35"/>
      <c r="O923" s="35"/>
      <c r="P923" s="35"/>
      <c r="Q923" s="35"/>
      <c r="R923" s="35"/>
      <c r="S923" s="35"/>
      <c r="T923" s="35"/>
      <c r="U923" s="35"/>
      <c r="V923" s="35"/>
      <c r="W923" s="35"/>
      <c r="X923" s="35"/>
      <c r="Y923" s="35"/>
    </row>
    <row r="924" ht="15.75" customHeight="1">
      <c r="A924" s="35"/>
      <c r="B924" s="35"/>
      <c r="C924" s="35"/>
      <c r="D924" s="35"/>
      <c r="E924" s="35"/>
      <c r="F924" s="50"/>
      <c r="G924" s="35"/>
      <c r="H924" s="35"/>
      <c r="I924" s="35"/>
      <c r="J924" s="35"/>
      <c r="K924" s="35"/>
      <c r="L924" s="35"/>
      <c r="M924" s="35"/>
      <c r="N924" s="35"/>
      <c r="O924" s="35"/>
      <c r="P924" s="35"/>
      <c r="Q924" s="35"/>
      <c r="R924" s="35"/>
      <c r="S924" s="35"/>
      <c r="T924" s="35"/>
      <c r="U924" s="35"/>
      <c r="V924" s="35"/>
      <c r="W924" s="35"/>
      <c r="X924" s="35"/>
      <c r="Y924" s="35"/>
    </row>
    <row r="925" ht="15.75" customHeight="1">
      <c r="A925" s="35"/>
      <c r="B925" s="35"/>
      <c r="C925" s="35"/>
      <c r="D925" s="35"/>
      <c r="E925" s="35"/>
      <c r="F925" s="50"/>
      <c r="G925" s="35"/>
      <c r="H925" s="35"/>
      <c r="I925" s="35"/>
      <c r="J925" s="35"/>
      <c r="K925" s="35"/>
      <c r="L925" s="35"/>
      <c r="M925" s="35"/>
      <c r="N925" s="35"/>
      <c r="O925" s="35"/>
      <c r="P925" s="35"/>
      <c r="Q925" s="35"/>
      <c r="R925" s="35"/>
      <c r="S925" s="35"/>
      <c r="T925" s="35"/>
      <c r="U925" s="35"/>
      <c r="V925" s="35"/>
      <c r="W925" s="35"/>
      <c r="X925" s="35"/>
      <c r="Y925" s="35"/>
    </row>
    <row r="926" ht="15.75" customHeight="1">
      <c r="A926" s="35"/>
      <c r="B926" s="35"/>
      <c r="C926" s="35"/>
      <c r="D926" s="35"/>
      <c r="E926" s="35"/>
      <c r="F926" s="50"/>
      <c r="G926" s="35"/>
      <c r="H926" s="35"/>
      <c r="I926" s="35"/>
      <c r="J926" s="35"/>
      <c r="K926" s="35"/>
      <c r="L926" s="35"/>
      <c r="M926" s="35"/>
      <c r="N926" s="35"/>
      <c r="O926" s="35"/>
      <c r="P926" s="35"/>
      <c r="Q926" s="35"/>
      <c r="R926" s="35"/>
      <c r="S926" s="35"/>
      <c r="T926" s="35"/>
      <c r="U926" s="35"/>
      <c r="V926" s="35"/>
      <c r="W926" s="35"/>
      <c r="X926" s="35"/>
      <c r="Y926" s="35"/>
    </row>
    <row r="927" ht="15.75" customHeight="1">
      <c r="A927" s="35"/>
      <c r="B927" s="35"/>
      <c r="C927" s="35"/>
      <c r="D927" s="35"/>
      <c r="E927" s="35"/>
      <c r="F927" s="50"/>
      <c r="G927" s="35"/>
      <c r="H927" s="35"/>
      <c r="I927" s="35"/>
      <c r="J927" s="35"/>
      <c r="K927" s="35"/>
      <c r="L927" s="35"/>
      <c r="M927" s="35"/>
      <c r="N927" s="35"/>
      <c r="O927" s="35"/>
      <c r="P927" s="35"/>
      <c r="Q927" s="35"/>
      <c r="R927" s="35"/>
      <c r="S927" s="35"/>
      <c r="T927" s="35"/>
      <c r="U927" s="35"/>
      <c r="V927" s="35"/>
      <c r="W927" s="35"/>
      <c r="X927" s="35"/>
      <c r="Y927" s="35"/>
    </row>
    <row r="928" ht="15.75" customHeight="1">
      <c r="A928" s="35"/>
      <c r="B928" s="35"/>
      <c r="C928" s="35"/>
      <c r="D928" s="35"/>
      <c r="E928" s="35"/>
      <c r="F928" s="50"/>
      <c r="G928" s="35"/>
      <c r="H928" s="35"/>
      <c r="I928" s="35"/>
      <c r="J928" s="35"/>
      <c r="K928" s="35"/>
      <c r="L928" s="35"/>
      <c r="M928" s="35"/>
      <c r="N928" s="35"/>
      <c r="O928" s="35"/>
      <c r="P928" s="35"/>
      <c r="Q928" s="35"/>
      <c r="R928" s="35"/>
      <c r="S928" s="35"/>
      <c r="T928" s="35"/>
      <c r="U928" s="35"/>
      <c r="V928" s="35"/>
      <c r="W928" s="35"/>
      <c r="X928" s="35"/>
      <c r="Y928" s="35"/>
    </row>
    <row r="929" ht="15.75" customHeight="1">
      <c r="A929" s="35"/>
      <c r="B929" s="35"/>
      <c r="C929" s="35"/>
      <c r="D929" s="35"/>
      <c r="E929" s="35"/>
      <c r="F929" s="50"/>
      <c r="G929" s="35"/>
      <c r="H929" s="35"/>
      <c r="I929" s="35"/>
      <c r="J929" s="35"/>
      <c r="K929" s="35"/>
      <c r="L929" s="35"/>
      <c r="M929" s="35"/>
      <c r="N929" s="35"/>
      <c r="O929" s="35"/>
      <c r="P929" s="35"/>
      <c r="Q929" s="35"/>
      <c r="R929" s="35"/>
      <c r="S929" s="35"/>
      <c r="T929" s="35"/>
      <c r="U929" s="35"/>
      <c r="V929" s="35"/>
      <c r="W929" s="35"/>
      <c r="X929" s="35"/>
      <c r="Y929" s="35"/>
    </row>
    <row r="930" ht="15.75" customHeight="1">
      <c r="A930" s="35"/>
      <c r="B930" s="35"/>
      <c r="C930" s="35"/>
      <c r="D930" s="35"/>
      <c r="E930" s="35"/>
      <c r="F930" s="50"/>
      <c r="G930" s="35"/>
      <c r="H930" s="35"/>
      <c r="I930" s="35"/>
      <c r="J930" s="35"/>
      <c r="K930" s="35"/>
      <c r="L930" s="35"/>
      <c r="M930" s="35"/>
      <c r="N930" s="35"/>
      <c r="O930" s="35"/>
      <c r="P930" s="35"/>
      <c r="Q930" s="35"/>
      <c r="R930" s="35"/>
      <c r="S930" s="35"/>
      <c r="T930" s="35"/>
      <c r="U930" s="35"/>
      <c r="V930" s="35"/>
      <c r="W930" s="35"/>
      <c r="X930" s="35"/>
      <c r="Y930" s="35"/>
    </row>
    <row r="931" ht="15.75" customHeight="1">
      <c r="A931" s="35"/>
      <c r="B931" s="35"/>
      <c r="C931" s="35"/>
      <c r="D931" s="35"/>
      <c r="E931" s="35"/>
      <c r="F931" s="50"/>
      <c r="G931" s="35"/>
      <c r="H931" s="35"/>
      <c r="I931" s="35"/>
      <c r="J931" s="35"/>
      <c r="K931" s="35"/>
      <c r="L931" s="35"/>
      <c r="M931" s="35"/>
      <c r="N931" s="35"/>
      <c r="O931" s="35"/>
      <c r="P931" s="35"/>
      <c r="Q931" s="35"/>
      <c r="R931" s="35"/>
      <c r="S931" s="35"/>
      <c r="T931" s="35"/>
      <c r="U931" s="35"/>
      <c r="V931" s="35"/>
      <c r="W931" s="35"/>
      <c r="X931" s="35"/>
      <c r="Y931" s="35"/>
    </row>
    <row r="932" ht="15.75" customHeight="1">
      <c r="A932" s="35"/>
      <c r="B932" s="35"/>
      <c r="C932" s="35"/>
      <c r="D932" s="35"/>
      <c r="E932" s="35"/>
      <c r="F932" s="50"/>
      <c r="G932" s="35"/>
      <c r="H932" s="35"/>
      <c r="I932" s="35"/>
      <c r="J932" s="35"/>
      <c r="K932" s="35"/>
      <c r="L932" s="35"/>
      <c r="M932" s="35"/>
      <c r="N932" s="35"/>
      <c r="O932" s="35"/>
      <c r="P932" s="35"/>
      <c r="Q932" s="35"/>
      <c r="R932" s="35"/>
      <c r="S932" s="35"/>
      <c r="T932" s="35"/>
      <c r="U932" s="35"/>
      <c r="V932" s="35"/>
      <c r="W932" s="35"/>
      <c r="X932" s="35"/>
      <c r="Y932" s="35"/>
    </row>
    <row r="933" ht="15.75" customHeight="1">
      <c r="A933" s="35"/>
      <c r="B933" s="35"/>
      <c r="C933" s="35"/>
      <c r="D933" s="35"/>
      <c r="E933" s="35"/>
      <c r="F933" s="50"/>
      <c r="G933" s="35"/>
      <c r="H933" s="35"/>
      <c r="I933" s="35"/>
      <c r="J933" s="35"/>
      <c r="K933" s="35"/>
      <c r="L933" s="35"/>
      <c r="M933" s="35"/>
      <c r="N933" s="35"/>
      <c r="O933" s="35"/>
      <c r="P933" s="35"/>
      <c r="Q933" s="35"/>
      <c r="R933" s="35"/>
      <c r="S933" s="35"/>
      <c r="T933" s="35"/>
      <c r="U933" s="35"/>
      <c r="V933" s="35"/>
      <c r="W933" s="35"/>
      <c r="X933" s="35"/>
      <c r="Y933" s="35"/>
    </row>
    <row r="934" ht="15.75" customHeight="1">
      <c r="A934" s="35"/>
      <c r="B934" s="35"/>
      <c r="C934" s="35"/>
      <c r="D934" s="35"/>
      <c r="E934" s="35"/>
      <c r="F934" s="50"/>
      <c r="G934" s="35"/>
      <c r="H934" s="35"/>
      <c r="I934" s="35"/>
      <c r="J934" s="35"/>
      <c r="K934" s="35"/>
      <c r="L934" s="35"/>
      <c r="M934" s="35"/>
      <c r="N934" s="35"/>
      <c r="O934" s="35"/>
      <c r="P934" s="35"/>
      <c r="Q934" s="35"/>
      <c r="R934" s="35"/>
      <c r="S934" s="35"/>
      <c r="T934" s="35"/>
      <c r="U934" s="35"/>
      <c r="V934" s="35"/>
      <c r="W934" s="35"/>
      <c r="X934" s="35"/>
      <c r="Y934" s="35"/>
    </row>
    <row r="935" ht="15.75" customHeight="1">
      <c r="A935" s="35"/>
      <c r="B935" s="35"/>
      <c r="C935" s="35"/>
      <c r="D935" s="35"/>
      <c r="E935" s="35"/>
      <c r="F935" s="50"/>
      <c r="G935" s="35"/>
      <c r="H935" s="35"/>
      <c r="I935" s="35"/>
      <c r="J935" s="35"/>
      <c r="K935" s="35"/>
      <c r="L935" s="35"/>
      <c r="M935" s="35"/>
      <c r="N935" s="35"/>
      <c r="O935" s="35"/>
      <c r="P935" s="35"/>
      <c r="Q935" s="35"/>
      <c r="R935" s="35"/>
      <c r="S935" s="35"/>
      <c r="T935" s="35"/>
      <c r="U935" s="35"/>
      <c r="V935" s="35"/>
      <c r="W935" s="35"/>
      <c r="X935" s="35"/>
      <c r="Y935" s="35"/>
    </row>
    <row r="936" ht="15.75" customHeight="1">
      <c r="A936" s="35"/>
      <c r="B936" s="35"/>
      <c r="C936" s="35"/>
      <c r="D936" s="35"/>
      <c r="E936" s="35"/>
      <c r="F936" s="50"/>
      <c r="G936" s="35"/>
      <c r="H936" s="35"/>
      <c r="I936" s="35"/>
      <c r="J936" s="35"/>
      <c r="K936" s="35"/>
      <c r="L936" s="35"/>
      <c r="M936" s="35"/>
      <c r="N936" s="35"/>
      <c r="O936" s="35"/>
      <c r="P936" s="35"/>
      <c r="Q936" s="35"/>
      <c r="R936" s="35"/>
      <c r="S936" s="35"/>
      <c r="T936" s="35"/>
      <c r="U936" s="35"/>
      <c r="V936" s="35"/>
      <c r="W936" s="35"/>
      <c r="X936" s="35"/>
      <c r="Y936" s="35"/>
    </row>
    <row r="937" ht="15.75" customHeight="1">
      <c r="A937" s="35"/>
      <c r="B937" s="35"/>
      <c r="C937" s="35"/>
      <c r="D937" s="35"/>
      <c r="E937" s="35"/>
      <c r="F937" s="50"/>
      <c r="G937" s="35"/>
      <c r="H937" s="35"/>
      <c r="I937" s="35"/>
      <c r="J937" s="35"/>
      <c r="K937" s="35"/>
      <c r="L937" s="35"/>
      <c r="M937" s="35"/>
      <c r="N937" s="35"/>
      <c r="O937" s="35"/>
      <c r="P937" s="35"/>
      <c r="Q937" s="35"/>
      <c r="R937" s="35"/>
      <c r="S937" s="35"/>
      <c r="T937" s="35"/>
      <c r="U937" s="35"/>
      <c r="V937" s="35"/>
      <c r="W937" s="35"/>
      <c r="X937" s="35"/>
      <c r="Y937" s="35"/>
    </row>
    <row r="938" ht="15.75" customHeight="1">
      <c r="A938" s="35"/>
      <c r="B938" s="35"/>
      <c r="C938" s="35"/>
      <c r="D938" s="35"/>
      <c r="E938" s="35"/>
      <c r="F938" s="50"/>
      <c r="G938" s="35"/>
      <c r="H938" s="35"/>
      <c r="I938" s="35"/>
      <c r="J938" s="35"/>
      <c r="K938" s="35"/>
      <c r="L938" s="35"/>
      <c r="M938" s="35"/>
      <c r="N938" s="35"/>
      <c r="O938" s="35"/>
      <c r="P938" s="35"/>
      <c r="Q938" s="35"/>
      <c r="R938" s="35"/>
      <c r="S938" s="35"/>
      <c r="T938" s="35"/>
      <c r="U938" s="35"/>
      <c r="V938" s="35"/>
      <c r="W938" s="35"/>
      <c r="X938" s="35"/>
      <c r="Y938" s="35"/>
    </row>
    <row r="939" ht="15.75" customHeight="1">
      <c r="A939" s="35"/>
      <c r="B939" s="35"/>
      <c r="C939" s="35"/>
      <c r="D939" s="35"/>
      <c r="E939" s="35"/>
      <c r="F939" s="50"/>
      <c r="G939" s="35"/>
      <c r="H939" s="35"/>
      <c r="I939" s="35"/>
      <c r="J939" s="35"/>
      <c r="K939" s="35"/>
      <c r="L939" s="35"/>
      <c r="M939" s="35"/>
      <c r="N939" s="35"/>
      <c r="O939" s="35"/>
      <c r="P939" s="35"/>
      <c r="Q939" s="35"/>
      <c r="R939" s="35"/>
      <c r="S939" s="35"/>
      <c r="T939" s="35"/>
      <c r="U939" s="35"/>
      <c r="V939" s="35"/>
      <c r="W939" s="35"/>
      <c r="X939" s="35"/>
      <c r="Y939" s="35"/>
    </row>
    <row r="940" ht="15.75" customHeight="1">
      <c r="A940" s="35"/>
      <c r="B940" s="35"/>
      <c r="C940" s="35"/>
      <c r="D940" s="35"/>
      <c r="E940" s="35"/>
      <c r="F940" s="50"/>
      <c r="G940" s="35"/>
      <c r="H940" s="35"/>
      <c r="I940" s="35"/>
      <c r="J940" s="35"/>
      <c r="K940" s="35"/>
      <c r="L940" s="35"/>
      <c r="M940" s="35"/>
      <c r="N940" s="35"/>
      <c r="O940" s="35"/>
      <c r="P940" s="35"/>
      <c r="Q940" s="35"/>
      <c r="R940" s="35"/>
      <c r="S940" s="35"/>
      <c r="T940" s="35"/>
      <c r="U940" s="35"/>
      <c r="V940" s="35"/>
      <c r="W940" s="35"/>
      <c r="X940" s="35"/>
      <c r="Y940" s="35"/>
    </row>
    <row r="941" ht="15.75" customHeight="1">
      <c r="A941" s="35"/>
      <c r="B941" s="35"/>
      <c r="C941" s="35"/>
      <c r="D941" s="35"/>
      <c r="E941" s="35"/>
      <c r="F941" s="50"/>
      <c r="G941" s="35"/>
      <c r="H941" s="35"/>
      <c r="I941" s="35"/>
      <c r="J941" s="35"/>
      <c r="K941" s="35"/>
      <c r="L941" s="35"/>
      <c r="M941" s="35"/>
      <c r="N941" s="35"/>
      <c r="O941" s="35"/>
      <c r="P941" s="35"/>
      <c r="Q941" s="35"/>
      <c r="R941" s="35"/>
      <c r="S941" s="35"/>
      <c r="T941" s="35"/>
      <c r="U941" s="35"/>
      <c r="V941" s="35"/>
      <c r="W941" s="35"/>
      <c r="X941" s="35"/>
      <c r="Y941" s="35"/>
    </row>
    <row r="942" ht="15.75" customHeight="1">
      <c r="A942" s="35"/>
      <c r="B942" s="35"/>
      <c r="C942" s="35"/>
      <c r="D942" s="35"/>
      <c r="E942" s="35"/>
      <c r="F942" s="50"/>
      <c r="G942" s="35"/>
      <c r="H942" s="35"/>
      <c r="I942" s="35"/>
      <c r="J942" s="35"/>
      <c r="K942" s="35"/>
      <c r="L942" s="35"/>
      <c r="M942" s="35"/>
      <c r="N942" s="35"/>
      <c r="O942" s="35"/>
      <c r="P942" s="35"/>
      <c r="Q942" s="35"/>
      <c r="R942" s="35"/>
      <c r="S942" s="35"/>
      <c r="T942" s="35"/>
      <c r="U942" s="35"/>
      <c r="V942" s="35"/>
      <c r="W942" s="35"/>
      <c r="X942" s="35"/>
      <c r="Y942" s="35"/>
    </row>
    <row r="943" ht="15.75" customHeight="1">
      <c r="A943" s="35"/>
      <c r="B943" s="35"/>
      <c r="C943" s="35"/>
      <c r="D943" s="35"/>
      <c r="E943" s="35"/>
      <c r="F943" s="50"/>
      <c r="G943" s="35"/>
      <c r="H943" s="35"/>
      <c r="I943" s="35"/>
      <c r="J943" s="35"/>
      <c r="K943" s="35"/>
      <c r="L943" s="35"/>
      <c r="M943" s="35"/>
      <c r="N943" s="35"/>
      <c r="O943" s="35"/>
      <c r="P943" s="35"/>
      <c r="Q943" s="35"/>
      <c r="R943" s="35"/>
      <c r="S943" s="35"/>
      <c r="T943" s="35"/>
      <c r="U943" s="35"/>
      <c r="V943" s="35"/>
      <c r="W943" s="35"/>
      <c r="X943" s="35"/>
      <c r="Y943" s="35"/>
    </row>
    <row r="944" ht="15.75" customHeight="1">
      <c r="A944" s="35"/>
      <c r="B944" s="35"/>
      <c r="C944" s="35"/>
      <c r="D944" s="35"/>
      <c r="E944" s="35"/>
      <c r="F944" s="50"/>
      <c r="G944" s="35"/>
      <c r="H944" s="35"/>
      <c r="I944" s="35"/>
      <c r="J944" s="35"/>
      <c r="K944" s="35"/>
      <c r="L944" s="35"/>
      <c r="M944" s="35"/>
      <c r="N944" s="35"/>
      <c r="O944" s="35"/>
      <c r="P944" s="35"/>
      <c r="Q944" s="35"/>
      <c r="R944" s="35"/>
      <c r="S944" s="35"/>
      <c r="T944" s="35"/>
      <c r="U944" s="35"/>
      <c r="V944" s="35"/>
      <c r="W944" s="35"/>
      <c r="X944" s="35"/>
      <c r="Y944" s="35"/>
    </row>
    <row r="945" ht="15.75" customHeight="1">
      <c r="A945" s="35"/>
      <c r="B945" s="35"/>
      <c r="C945" s="35"/>
      <c r="D945" s="35"/>
      <c r="E945" s="35"/>
      <c r="F945" s="50"/>
      <c r="G945" s="35"/>
      <c r="H945" s="35"/>
      <c r="I945" s="35"/>
      <c r="J945" s="35"/>
      <c r="K945" s="35"/>
      <c r="L945" s="35"/>
      <c r="M945" s="35"/>
      <c r="N945" s="35"/>
      <c r="O945" s="35"/>
      <c r="P945" s="35"/>
      <c r="Q945" s="35"/>
      <c r="R945" s="35"/>
      <c r="S945" s="35"/>
      <c r="T945" s="35"/>
      <c r="U945" s="35"/>
      <c r="V945" s="35"/>
      <c r="W945" s="35"/>
      <c r="X945" s="35"/>
      <c r="Y945" s="35"/>
    </row>
    <row r="946" ht="15.75" customHeight="1">
      <c r="A946" s="35"/>
      <c r="B946" s="35"/>
      <c r="C946" s="35"/>
      <c r="D946" s="35"/>
      <c r="E946" s="35"/>
      <c r="F946" s="50"/>
      <c r="G946" s="35"/>
      <c r="H946" s="35"/>
      <c r="I946" s="35"/>
      <c r="J946" s="35"/>
      <c r="K946" s="35"/>
      <c r="L946" s="35"/>
      <c r="M946" s="35"/>
      <c r="N946" s="35"/>
      <c r="O946" s="35"/>
      <c r="P946" s="35"/>
      <c r="Q946" s="35"/>
      <c r="R946" s="35"/>
      <c r="S946" s="35"/>
      <c r="T946" s="35"/>
      <c r="U946" s="35"/>
      <c r="V946" s="35"/>
      <c r="W946" s="35"/>
      <c r="X946" s="35"/>
      <c r="Y946" s="35"/>
    </row>
    <row r="947" ht="15.75" customHeight="1">
      <c r="A947" s="35"/>
      <c r="B947" s="35"/>
      <c r="C947" s="35"/>
      <c r="D947" s="35"/>
      <c r="E947" s="35"/>
      <c r="F947" s="50"/>
      <c r="G947" s="35"/>
      <c r="H947" s="35"/>
      <c r="I947" s="35"/>
      <c r="J947" s="35"/>
      <c r="K947" s="35"/>
      <c r="L947" s="35"/>
      <c r="M947" s="35"/>
      <c r="N947" s="35"/>
      <c r="O947" s="35"/>
      <c r="P947" s="35"/>
      <c r="Q947" s="35"/>
      <c r="R947" s="35"/>
      <c r="S947" s="35"/>
      <c r="T947" s="35"/>
      <c r="U947" s="35"/>
      <c r="V947" s="35"/>
      <c r="W947" s="35"/>
      <c r="X947" s="35"/>
      <c r="Y947" s="35"/>
    </row>
    <row r="948" ht="15.75" customHeight="1">
      <c r="A948" s="35"/>
      <c r="B948" s="35"/>
      <c r="C948" s="35"/>
      <c r="D948" s="35"/>
      <c r="E948" s="35"/>
      <c r="F948" s="50"/>
      <c r="G948" s="35"/>
      <c r="H948" s="35"/>
      <c r="I948" s="35"/>
      <c r="J948" s="35"/>
      <c r="K948" s="35"/>
      <c r="L948" s="35"/>
      <c r="M948" s="35"/>
      <c r="N948" s="35"/>
      <c r="O948" s="35"/>
      <c r="P948" s="35"/>
      <c r="Q948" s="35"/>
      <c r="R948" s="35"/>
      <c r="S948" s="35"/>
      <c r="T948" s="35"/>
      <c r="U948" s="35"/>
      <c r="V948" s="35"/>
      <c r="W948" s="35"/>
      <c r="X948" s="35"/>
      <c r="Y948" s="35"/>
    </row>
    <row r="949" ht="15.75" customHeight="1">
      <c r="A949" s="35"/>
      <c r="B949" s="35"/>
      <c r="C949" s="35"/>
      <c r="D949" s="35"/>
      <c r="E949" s="35"/>
      <c r="F949" s="50"/>
      <c r="G949" s="35"/>
      <c r="H949" s="35"/>
      <c r="I949" s="35"/>
      <c r="J949" s="35"/>
      <c r="K949" s="35"/>
      <c r="L949" s="35"/>
      <c r="M949" s="35"/>
      <c r="N949" s="35"/>
      <c r="O949" s="35"/>
      <c r="P949" s="35"/>
      <c r="Q949" s="35"/>
      <c r="R949" s="35"/>
      <c r="S949" s="35"/>
      <c r="T949" s="35"/>
      <c r="U949" s="35"/>
      <c r="V949" s="35"/>
      <c r="W949" s="35"/>
      <c r="X949" s="35"/>
      <c r="Y949" s="35"/>
    </row>
    <row r="950" ht="15.75" customHeight="1">
      <c r="A950" s="35"/>
      <c r="B950" s="35"/>
      <c r="C950" s="35"/>
      <c r="D950" s="35"/>
      <c r="E950" s="35"/>
      <c r="F950" s="50"/>
      <c r="G950" s="35"/>
      <c r="H950" s="35"/>
      <c r="I950" s="35"/>
      <c r="J950" s="35"/>
      <c r="K950" s="35"/>
      <c r="L950" s="35"/>
      <c r="M950" s="35"/>
      <c r="N950" s="35"/>
      <c r="O950" s="35"/>
      <c r="P950" s="35"/>
      <c r="Q950" s="35"/>
      <c r="R950" s="35"/>
      <c r="S950" s="35"/>
      <c r="T950" s="35"/>
      <c r="U950" s="35"/>
      <c r="V950" s="35"/>
      <c r="W950" s="35"/>
      <c r="X950" s="35"/>
      <c r="Y950" s="35"/>
    </row>
    <row r="951" ht="15.75" customHeight="1">
      <c r="A951" s="35"/>
      <c r="B951" s="35"/>
      <c r="C951" s="35"/>
      <c r="D951" s="35"/>
      <c r="E951" s="35"/>
      <c r="F951" s="50"/>
      <c r="G951" s="35"/>
      <c r="H951" s="35"/>
      <c r="I951" s="35"/>
      <c r="J951" s="35"/>
      <c r="K951" s="35"/>
      <c r="L951" s="35"/>
      <c r="M951" s="35"/>
      <c r="N951" s="35"/>
      <c r="O951" s="35"/>
      <c r="P951" s="35"/>
      <c r="Q951" s="35"/>
      <c r="R951" s="35"/>
      <c r="S951" s="35"/>
      <c r="T951" s="35"/>
      <c r="U951" s="35"/>
      <c r="V951" s="35"/>
      <c r="W951" s="35"/>
      <c r="X951" s="35"/>
      <c r="Y951" s="35"/>
    </row>
    <row r="952" ht="15.75" customHeight="1">
      <c r="A952" s="35"/>
      <c r="B952" s="35"/>
      <c r="C952" s="35"/>
      <c r="D952" s="35"/>
      <c r="E952" s="35"/>
      <c r="F952" s="50"/>
      <c r="G952" s="35"/>
      <c r="H952" s="35"/>
      <c r="I952" s="35"/>
      <c r="J952" s="35"/>
      <c r="K952" s="35"/>
      <c r="L952" s="35"/>
      <c r="M952" s="35"/>
      <c r="N952" s="35"/>
      <c r="O952" s="35"/>
      <c r="P952" s="35"/>
      <c r="Q952" s="35"/>
      <c r="R952" s="35"/>
      <c r="S952" s="35"/>
      <c r="T952" s="35"/>
      <c r="U952" s="35"/>
      <c r="V952" s="35"/>
      <c r="W952" s="35"/>
      <c r="X952" s="35"/>
      <c r="Y952" s="35"/>
    </row>
    <row r="953" ht="15.75" customHeight="1">
      <c r="A953" s="35"/>
      <c r="B953" s="35"/>
      <c r="C953" s="35"/>
      <c r="D953" s="35"/>
      <c r="E953" s="35"/>
      <c r="F953" s="50"/>
      <c r="G953" s="35"/>
      <c r="H953" s="35"/>
      <c r="I953" s="35"/>
      <c r="J953" s="35"/>
      <c r="K953" s="35"/>
      <c r="L953" s="35"/>
      <c r="M953" s="35"/>
      <c r="N953" s="35"/>
      <c r="O953" s="35"/>
      <c r="P953" s="35"/>
      <c r="Q953" s="35"/>
      <c r="R953" s="35"/>
      <c r="S953" s="35"/>
      <c r="T953" s="35"/>
      <c r="U953" s="35"/>
      <c r="V953" s="35"/>
      <c r="W953" s="35"/>
      <c r="X953" s="35"/>
      <c r="Y953" s="35"/>
    </row>
    <row r="954" ht="15.75" customHeight="1">
      <c r="A954" s="35"/>
      <c r="B954" s="35"/>
      <c r="C954" s="35"/>
      <c r="D954" s="35"/>
      <c r="E954" s="35"/>
      <c r="F954" s="50"/>
      <c r="G954" s="35"/>
      <c r="H954" s="35"/>
      <c r="I954" s="35"/>
      <c r="J954" s="35"/>
      <c r="K954" s="35"/>
      <c r="L954" s="35"/>
      <c r="M954" s="35"/>
      <c r="N954" s="35"/>
      <c r="O954" s="35"/>
      <c r="P954" s="35"/>
      <c r="Q954" s="35"/>
      <c r="R954" s="35"/>
      <c r="S954" s="35"/>
      <c r="T954" s="35"/>
      <c r="U954" s="35"/>
      <c r="V954" s="35"/>
      <c r="W954" s="35"/>
      <c r="X954" s="35"/>
      <c r="Y954" s="35"/>
    </row>
    <row r="955" ht="15.75" customHeight="1">
      <c r="A955" s="35"/>
      <c r="B955" s="35"/>
      <c r="C955" s="35"/>
      <c r="D955" s="35"/>
      <c r="E955" s="35"/>
      <c r="F955" s="50"/>
      <c r="G955" s="35"/>
      <c r="H955" s="35"/>
      <c r="I955" s="35"/>
      <c r="J955" s="35"/>
      <c r="K955" s="35"/>
      <c r="L955" s="35"/>
      <c r="M955" s="35"/>
      <c r="N955" s="35"/>
      <c r="O955" s="35"/>
      <c r="P955" s="35"/>
      <c r="Q955" s="35"/>
      <c r="R955" s="35"/>
      <c r="S955" s="35"/>
      <c r="T955" s="35"/>
      <c r="U955" s="35"/>
      <c r="V955" s="35"/>
      <c r="W955" s="35"/>
      <c r="X955" s="35"/>
      <c r="Y955" s="35"/>
    </row>
    <row r="956" ht="15.75" customHeight="1">
      <c r="A956" s="35"/>
      <c r="B956" s="35"/>
      <c r="C956" s="35"/>
      <c r="D956" s="35"/>
      <c r="E956" s="35"/>
      <c r="F956" s="50"/>
      <c r="G956" s="35"/>
      <c r="H956" s="35"/>
      <c r="I956" s="35"/>
      <c r="J956" s="35"/>
      <c r="K956" s="35"/>
      <c r="L956" s="35"/>
      <c r="M956" s="35"/>
      <c r="N956" s="35"/>
      <c r="O956" s="35"/>
      <c r="P956" s="35"/>
      <c r="Q956" s="35"/>
      <c r="R956" s="35"/>
      <c r="S956" s="35"/>
      <c r="T956" s="35"/>
      <c r="U956" s="35"/>
      <c r="V956" s="35"/>
      <c r="W956" s="35"/>
      <c r="X956" s="35"/>
      <c r="Y956" s="35"/>
    </row>
    <row r="957" ht="15.75" customHeight="1">
      <c r="A957" s="35"/>
      <c r="B957" s="35"/>
      <c r="C957" s="35"/>
      <c r="D957" s="35"/>
      <c r="E957" s="35"/>
      <c r="F957" s="50"/>
      <c r="G957" s="35"/>
      <c r="H957" s="35"/>
      <c r="I957" s="35"/>
      <c r="J957" s="35"/>
      <c r="K957" s="35"/>
      <c r="L957" s="35"/>
      <c r="M957" s="35"/>
      <c r="N957" s="35"/>
      <c r="O957" s="35"/>
      <c r="P957" s="35"/>
      <c r="Q957" s="35"/>
      <c r="R957" s="35"/>
      <c r="S957" s="35"/>
      <c r="T957" s="35"/>
      <c r="U957" s="35"/>
      <c r="V957" s="35"/>
      <c r="W957" s="35"/>
      <c r="X957" s="35"/>
      <c r="Y957" s="35"/>
    </row>
    <row r="958" ht="15.75" customHeight="1">
      <c r="A958" s="35"/>
      <c r="B958" s="35"/>
      <c r="C958" s="35"/>
      <c r="D958" s="35"/>
      <c r="E958" s="35"/>
      <c r="F958" s="50"/>
      <c r="G958" s="35"/>
      <c r="H958" s="35"/>
      <c r="I958" s="35"/>
      <c r="J958" s="35"/>
      <c r="K958" s="35"/>
      <c r="L958" s="35"/>
      <c r="M958" s="35"/>
      <c r="N958" s="35"/>
      <c r="O958" s="35"/>
      <c r="P958" s="35"/>
      <c r="Q958" s="35"/>
      <c r="R958" s="35"/>
      <c r="S958" s="35"/>
      <c r="T958" s="35"/>
      <c r="U958" s="35"/>
      <c r="V958" s="35"/>
      <c r="W958" s="35"/>
      <c r="X958" s="35"/>
      <c r="Y958" s="35"/>
    </row>
    <row r="959" ht="15.75" customHeight="1">
      <c r="A959" s="35"/>
      <c r="B959" s="35"/>
      <c r="C959" s="35"/>
      <c r="D959" s="35"/>
      <c r="E959" s="35"/>
      <c r="F959" s="50"/>
      <c r="G959" s="35"/>
      <c r="H959" s="35"/>
      <c r="I959" s="35"/>
      <c r="J959" s="35"/>
      <c r="K959" s="35"/>
      <c r="L959" s="35"/>
      <c r="M959" s="35"/>
      <c r="N959" s="35"/>
      <c r="O959" s="35"/>
      <c r="P959" s="35"/>
      <c r="Q959" s="35"/>
      <c r="R959" s="35"/>
      <c r="S959" s="35"/>
      <c r="T959" s="35"/>
      <c r="U959" s="35"/>
      <c r="V959" s="35"/>
      <c r="W959" s="35"/>
      <c r="X959" s="35"/>
      <c r="Y959" s="35"/>
    </row>
    <row r="960" ht="15.75" customHeight="1">
      <c r="A960" s="35"/>
      <c r="B960" s="35"/>
      <c r="C960" s="35"/>
      <c r="D960" s="35"/>
      <c r="E960" s="35"/>
      <c r="F960" s="50"/>
      <c r="G960" s="35"/>
      <c r="H960" s="35"/>
      <c r="I960" s="35"/>
      <c r="J960" s="35"/>
      <c r="K960" s="35"/>
      <c r="L960" s="35"/>
      <c r="M960" s="35"/>
      <c r="N960" s="35"/>
      <c r="O960" s="35"/>
      <c r="P960" s="35"/>
      <c r="Q960" s="35"/>
      <c r="R960" s="35"/>
      <c r="S960" s="35"/>
      <c r="T960" s="35"/>
      <c r="U960" s="35"/>
      <c r="V960" s="35"/>
      <c r="W960" s="35"/>
      <c r="X960" s="35"/>
      <c r="Y960" s="35"/>
    </row>
    <row r="961" ht="15.75" customHeight="1">
      <c r="A961" s="35"/>
      <c r="B961" s="35"/>
      <c r="C961" s="35"/>
      <c r="D961" s="35"/>
      <c r="E961" s="35"/>
      <c r="F961" s="50"/>
      <c r="G961" s="35"/>
      <c r="H961" s="35"/>
      <c r="I961" s="35"/>
      <c r="J961" s="35"/>
      <c r="K961" s="35"/>
      <c r="L961" s="35"/>
      <c r="M961" s="35"/>
      <c r="N961" s="35"/>
      <c r="O961" s="35"/>
      <c r="P961" s="35"/>
      <c r="Q961" s="35"/>
      <c r="R961" s="35"/>
      <c r="S961" s="35"/>
      <c r="T961" s="35"/>
      <c r="U961" s="35"/>
      <c r="V961" s="35"/>
      <c r="W961" s="35"/>
      <c r="X961" s="35"/>
      <c r="Y961" s="35"/>
    </row>
    <row r="962" ht="15.75" customHeight="1">
      <c r="A962" s="35"/>
      <c r="B962" s="35"/>
      <c r="C962" s="35"/>
      <c r="D962" s="35"/>
      <c r="E962" s="35"/>
      <c r="F962" s="50"/>
      <c r="G962" s="35"/>
      <c r="H962" s="35"/>
      <c r="I962" s="35"/>
      <c r="J962" s="35"/>
      <c r="K962" s="35"/>
      <c r="L962" s="35"/>
      <c r="M962" s="35"/>
      <c r="N962" s="35"/>
      <c r="O962" s="35"/>
      <c r="P962" s="35"/>
      <c r="Q962" s="35"/>
      <c r="R962" s="35"/>
      <c r="S962" s="35"/>
      <c r="T962" s="35"/>
      <c r="U962" s="35"/>
      <c r="V962" s="35"/>
      <c r="W962" s="35"/>
      <c r="X962" s="35"/>
      <c r="Y962" s="35"/>
    </row>
    <row r="963" ht="15.75" customHeight="1">
      <c r="A963" s="35"/>
      <c r="B963" s="35"/>
      <c r="C963" s="35"/>
      <c r="D963" s="35"/>
      <c r="E963" s="35"/>
      <c r="F963" s="50"/>
      <c r="G963" s="35"/>
      <c r="H963" s="35"/>
      <c r="I963" s="35"/>
      <c r="J963" s="35"/>
      <c r="K963" s="35"/>
      <c r="L963" s="35"/>
      <c r="M963" s="35"/>
      <c r="N963" s="35"/>
      <c r="O963" s="35"/>
      <c r="P963" s="35"/>
      <c r="Q963" s="35"/>
      <c r="R963" s="35"/>
      <c r="S963" s="35"/>
      <c r="T963" s="35"/>
      <c r="U963" s="35"/>
      <c r="V963" s="35"/>
      <c r="W963" s="35"/>
      <c r="X963" s="35"/>
      <c r="Y963" s="35"/>
    </row>
    <row r="964" ht="15.75" customHeight="1">
      <c r="A964" s="35"/>
      <c r="B964" s="35"/>
      <c r="C964" s="35"/>
      <c r="D964" s="35"/>
      <c r="E964" s="35"/>
      <c r="F964" s="50"/>
      <c r="G964" s="35"/>
      <c r="H964" s="35"/>
      <c r="I964" s="35"/>
      <c r="J964" s="35"/>
      <c r="K964" s="35"/>
      <c r="L964" s="35"/>
      <c r="M964" s="35"/>
      <c r="N964" s="35"/>
      <c r="O964" s="35"/>
      <c r="P964" s="35"/>
      <c r="Q964" s="35"/>
      <c r="R964" s="35"/>
      <c r="S964" s="35"/>
      <c r="T964" s="35"/>
      <c r="U964" s="35"/>
      <c r="V964" s="35"/>
      <c r="W964" s="35"/>
      <c r="X964" s="35"/>
      <c r="Y964" s="35"/>
    </row>
    <row r="965" ht="15.75" customHeight="1">
      <c r="A965" s="35"/>
      <c r="B965" s="35"/>
      <c r="C965" s="35"/>
      <c r="D965" s="35"/>
      <c r="E965" s="35"/>
      <c r="F965" s="50"/>
      <c r="G965" s="35"/>
      <c r="H965" s="35"/>
      <c r="I965" s="35"/>
      <c r="J965" s="35"/>
      <c r="K965" s="35"/>
      <c r="L965" s="35"/>
      <c r="M965" s="35"/>
      <c r="N965" s="35"/>
      <c r="O965" s="35"/>
      <c r="P965" s="35"/>
      <c r="Q965" s="35"/>
      <c r="R965" s="35"/>
      <c r="S965" s="35"/>
      <c r="T965" s="35"/>
      <c r="U965" s="35"/>
      <c r="V965" s="35"/>
      <c r="W965" s="35"/>
      <c r="X965" s="35"/>
      <c r="Y965" s="35"/>
    </row>
    <row r="966" ht="15.75" customHeight="1">
      <c r="A966" s="35"/>
      <c r="B966" s="35"/>
      <c r="C966" s="35"/>
      <c r="D966" s="35"/>
      <c r="E966" s="35"/>
      <c r="F966" s="50"/>
      <c r="G966" s="35"/>
      <c r="H966" s="35"/>
      <c r="I966" s="35"/>
      <c r="J966" s="35"/>
      <c r="K966" s="35"/>
      <c r="L966" s="35"/>
      <c r="M966" s="35"/>
      <c r="N966" s="35"/>
      <c r="O966" s="35"/>
      <c r="P966" s="35"/>
      <c r="Q966" s="35"/>
      <c r="R966" s="35"/>
      <c r="S966" s="35"/>
      <c r="T966" s="35"/>
      <c r="U966" s="35"/>
      <c r="V966" s="35"/>
      <c r="W966" s="35"/>
      <c r="X966" s="35"/>
      <c r="Y966" s="35"/>
    </row>
    <row r="967" ht="15.75" customHeight="1">
      <c r="A967" s="35"/>
      <c r="B967" s="35"/>
      <c r="C967" s="35"/>
      <c r="D967" s="35"/>
      <c r="E967" s="35"/>
      <c r="F967" s="50"/>
      <c r="G967" s="35"/>
      <c r="H967" s="35"/>
      <c r="I967" s="35"/>
      <c r="J967" s="35"/>
      <c r="K967" s="35"/>
      <c r="L967" s="35"/>
      <c r="M967" s="35"/>
      <c r="N967" s="35"/>
      <c r="O967" s="35"/>
      <c r="P967" s="35"/>
      <c r="Q967" s="35"/>
      <c r="R967" s="35"/>
      <c r="S967" s="35"/>
      <c r="T967" s="35"/>
      <c r="U967" s="35"/>
      <c r="V967" s="35"/>
      <c r="W967" s="35"/>
      <c r="X967" s="35"/>
      <c r="Y967" s="35"/>
    </row>
    <row r="968" ht="15.75" customHeight="1">
      <c r="A968" s="35"/>
      <c r="B968" s="35"/>
      <c r="C968" s="35"/>
      <c r="D968" s="35"/>
      <c r="E968" s="35"/>
      <c r="F968" s="50"/>
      <c r="G968" s="35"/>
      <c r="H968" s="35"/>
      <c r="I968" s="35"/>
      <c r="J968" s="35"/>
      <c r="K968" s="35"/>
      <c r="L968" s="35"/>
      <c r="M968" s="35"/>
      <c r="N968" s="35"/>
      <c r="O968" s="35"/>
      <c r="P968" s="35"/>
      <c r="Q968" s="35"/>
      <c r="R968" s="35"/>
      <c r="S968" s="35"/>
      <c r="T968" s="35"/>
      <c r="U968" s="35"/>
      <c r="V968" s="35"/>
      <c r="W968" s="35"/>
      <c r="X968" s="35"/>
      <c r="Y968" s="35"/>
    </row>
    <row r="969" ht="15.75" customHeight="1">
      <c r="A969" s="35"/>
      <c r="B969" s="35"/>
      <c r="C969" s="35"/>
      <c r="D969" s="35"/>
      <c r="E969" s="35"/>
      <c r="F969" s="50"/>
      <c r="G969" s="35"/>
      <c r="H969" s="35"/>
      <c r="I969" s="35"/>
      <c r="J969" s="35"/>
      <c r="K969" s="35"/>
      <c r="L969" s="35"/>
      <c r="M969" s="35"/>
      <c r="N969" s="35"/>
      <c r="O969" s="35"/>
      <c r="P969" s="35"/>
      <c r="Q969" s="35"/>
      <c r="R969" s="35"/>
      <c r="S969" s="35"/>
      <c r="T969" s="35"/>
      <c r="U969" s="35"/>
      <c r="V969" s="35"/>
      <c r="W969" s="35"/>
      <c r="X969" s="35"/>
      <c r="Y969" s="35"/>
    </row>
    <row r="970" ht="15.75" customHeight="1">
      <c r="A970" s="35"/>
      <c r="B970" s="35"/>
      <c r="C970" s="35"/>
      <c r="D970" s="35"/>
      <c r="E970" s="35"/>
      <c r="F970" s="50"/>
      <c r="G970" s="35"/>
      <c r="H970" s="35"/>
      <c r="I970" s="35"/>
      <c r="J970" s="35"/>
      <c r="K970" s="35"/>
      <c r="L970" s="35"/>
      <c r="M970" s="35"/>
      <c r="N970" s="35"/>
      <c r="O970" s="35"/>
      <c r="P970" s="35"/>
      <c r="Q970" s="35"/>
      <c r="R970" s="35"/>
      <c r="S970" s="35"/>
      <c r="T970" s="35"/>
      <c r="U970" s="35"/>
      <c r="V970" s="35"/>
      <c r="W970" s="35"/>
      <c r="X970" s="35"/>
      <c r="Y970" s="35"/>
    </row>
    <row r="971" ht="15.75" customHeight="1">
      <c r="A971" s="35"/>
      <c r="B971" s="35"/>
      <c r="C971" s="35"/>
      <c r="D971" s="35"/>
      <c r="E971" s="35"/>
      <c r="F971" s="50"/>
      <c r="G971" s="35"/>
      <c r="H971" s="35"/>
      <c r="I971" s="35"/>
      <c r="J971" s="35"/>
      <c r="K971" s="35"/>
      <c r="L971" s="35"/>
      <c r="M971" s="35"/>
      <c r="N971" s="35"/>
      <c r="O971" s="35"/>
      <c r="P971" s="35"/>
      <c r="Q971" s="35"/>
      <c r="R971" s="35"/>
      <c r="S971" s="35"/>
      <c r="T971" s="35"/>
      <c r="U971" s="35"/>
      <c r="V971" s="35"/>
      <c r="W971" s="35"/>
      <c r="X971" s="35"/>
      <c r="Y971" s="35"/>
    </row>
    <row r="972" ht="15.75" customHeight="1">
      <c r="A972" s="35"/>
      <c r="B972" s="35"/>
      <c r="C972" s="35"/>
      <c r="D972" s="35"/>
      <c r="E972" s="35"/>
      <c r="F972" s="50"/>
      <c r="G972" s="35"/>
      <c r="H972" s="35"/>
      <c r="I972" s="35"/>
      <c r="J972" s="35"/>
      <c r="K972" s="35"/>
      <c r="L972" s="35"/>
      <c r="M972" s="35"/>
      <c r="N972" s="35"/>
      <c r="O972" s="35"/>
      <c r="P972" s="35"/>
      <c r="Q972" s="35"/>
      <c r="R972" s="35"/>
      <c r="S972" s="35"/>
      <c r="T972" s="35"/>
      <c r="U972" s="35"/>
      <c r="V972" s="35"/>
      <c r="W972" s="35"/>
      <c r="X972" s="35"/>
      <c r="Y972" s="35"/>
    </row>
    <row r="973" ht="15.75" customHeight="1">
      <c r="A973" s="35"/>
      <c r="B973" s="35"/>
      <c r="C973" s="35"/>
      <c r="D973" s="35"/>
      <c r="E973" s="35"/>
      <c r="F973" s="50"/>
      <c r="G973" s="35"/>
      <c r="H973" s="35"/>
      <c r="I973" s="35"/>
      <c r="J973" s="35"/>
      <c r="K973" s="35"/>
      <c r="L973" s="35"/>
      <c r="M973" s="35"/>
      <c r="N973" s="35"/>
      <c r="O973" s="35"/>
      <c r="P973" s="35"/>
      <c r="Q973" s="35"/>
      <c r="R973" s="35"/>
      <c r="S973" s="35"/>
      <c r="T973" s="35"/>
      <c r="U973" s="35"/>
      <c r="V973" s="35"/>
      <c r="W973" s="35"/>
      <c r="X973" s="35"/>
      <c r="Y973" s="35"/>
    </row>
    <row r="974" ht="15.75" customHeight="1">
      <c r="A974" s="35"/>
      <c r="B974" s="35"/>
      <c r="C974" s="35"/>
      <c r="D974" s="35"/>
      <c r="E974" s="35"/>
      <c r="F974" s="50"/>
      <c r="G974" s="35"/>
      <c r="H974" s="35"/>
      <c r="I974" s="35"/>
      <c r="J974" s="35"/>
      <c r="K974" s="35"/>
      <c r="L974" s="35"/>
      <c r="M974" s="35"/>
      <c r="N974" s="35"/>
      <c r="O974" s="35"/>
      <c r="P974" s="35"/>
      <c r="Q974" s="35"/>
      <c r="R974" s="35"/>
      <c r="S974" s="35"/>
      <c r="T974" s="35"/>
      <c r="U974" s="35"/>
      <c r="V974" s="35"/>
      <c r="W974" s="35"/>
      <c r="X974" s="35"/>
      <c r="Y974" s="35"/>
    </row>
    <row r="975" ht="15.75" customHeight="1">
      <c r="A975" s="35"/>
      <c r="B975" s="35"/>
      <c r="C975" s="35"/>
      <c r="D975" s="35"/>
      <c r="E975" s="35"/>
      <c r="F975" s="50"/>
      <c r="G975" s="35"/>
      <c r="H975" s="35"/>
      <c r="I975" s="35"/>
      <c r="J975" s="35"/>
      <c r="K975" s="35"/>
      <c r="L975" s="35"/>
      <c r="M975" s="35"/>
      <c r="N975" s="35"/>
      <c r="O975" s="35"/>
      <c r="P975" s="35"/>
      <c r="Q975" s="35"/>
      <c r="R975" s="35"/>
      <c r="S975" s="35"/>
      <c r="T975" s="35"/>
      <c r="U975" s="35"/>
      <c r="V975" s="35"/>
      <c r="W975" s="35"/>
      <c r="X975" s="35"/>
      <c r="Y975" s="35"/>
    </row>
    <row r="976" ht="15.75" customHeight="1">
      <c r="A976" s="35"/>
      <c r="B976" s="35"/>
      <c r="C976" s="35"/>
      <c r="D976" s="35"/>
      <c r="E976" s="35"/>
      <c r="F976" s="50"/>
      <c r="G976" s="35"/>
      <c r="H976" s="35"/>
      <c r="I976" s="35"/>
      <c r="J976" s="35"/>
      <c r="K976" s="35"/>
      <c r="L976" s="35"/>
      <c r="M976" s="35"/>
      <c r="N976" s="35"/>
      <c r="O976" s="35"/>
      <c r="P976" s="35"/>
      <c r="Q976" s="35"/>
      <c r="R976" s="35"/>
      <c r="S976" s="35"/>
      <c r="T976" s="35"/>
      <c r="U976" s="35"/>
      <c r="V976" s="35"/>
      <c r="W976" s="35"/>
      <c r="X976" s="35"/>
      <c r="Y976" s="35"/>
    </row>
    <row r="977" ht="15.75" customHeight="1">
      <c r="A977" s="35"/>
      <c r="B977" s="35"/>
      <c r="C977" s="35"/>
      <c r="D977" s="35"/>
      <c r="E977" s="35"/>
      <c r="F977" s="50"/>
      <c r="G977" s="35"/>
      <c r="H977" s="35"/>
      <c r="I977" s="35"/>
      <c r="J977" s="35"/>
      <c r="K977" s="35"/>
      <c r="L977" s="35"/>
      <c r="M977" s="35"/>
      <c r="N977" s="35"/>
      <c r="O977" s="35"/>
      <c r="P977" s="35"/>
      <c r="Q977" s="35"/>
      <c r="R977" s="35"/>
      <c r="S977" s="35"/>
      <c r="T977" s="35"/>
      <c r="U977" s="35"/>
      <c r="V977" s="35"/>
      <c r="W977" s="35"/>
      <c r="X977" s="35"/>
      <c r="Y977" s="35"/>
    </row>
    <row r="978" ht="15.75" customHeight="1">
      <c r="A978" s="35"/>
      <c r="B978" s="35"/>
      <c r="C978" s="35"/>
      <c r="D978" s="35"/>
      <c r="E978" s="35"/>
      <c r="F978" s="50"/>
      <c r="G978" s="35"/>
      <c r="H978" s="35"/>
      <c r="I978" s="35"/>
      <c r="J978" s="35"/>
      <c r="K978" s="35"/>
      <c r="L978" s="35"/>
      <c r="M978" s="35"/>
      <c r="N978" s="35"/>
      <c r="O978" s="35"/>
      <c r="P978" s="35"/>
      <c r="Q978" s="35"/>
      <c r="R978" s="35"/>
      <c r="S978" s="35"/>
      <c r="T978" s="35"/>
      <c r="U978" s="35"/>
      <c r="V978" s="35"/>
      <c r="W978" s="35"/>
      <c r="X978" s="35"/>
      <c r="Y978" s="35"/>
    </row>
    <row r="979" ht="15.75" customHeight="1">
      <c r="A979" s="35"/>
      <c r="B979" s="35"/>
      <c r="C979" s="35"/>
      <c r="D979" s="35"/>
      <c r="E979" s="35"/>
      <c r="F979" s="50"/>
      <c r="G979" s="35"/>
      <c r="H979" s="35"/>
      <c r="I979" s="35"/>
      <c r="J979" s="35"/>
      <c r="K979" s="35"/>
      <c r="L979" s="35"/>
      <c r="M979" s="35"/>
      <c r="N979" s="35"/>
      <c r="O979" s="35"/>
      <c r="P979" s="35"/>
      <c r="Q979" s="35"/>
      <c r="R979" s="35"/>
      <c r="S979" s="35"/>
      <c r="T979" s="35"/>
      <c r="U979" s="35"/>
      <c r="V979" s="35"/>
      <c r="W979" s="35"/>
      <c r="X979" s="35"/>
      <c r="Y979" s="35"/>
    </row>
    <row r="980" ht="15.75" customHeight="1">
      <c r="A980" s="35"/>
      <c r="B980" s="35"/>
      <c r="C980" s="35"/>
      <c r="D980" s="35"/>
      <c r="E980" s="35"/>
      <c r="F980" s="50"/>
      <c r="G980" s="35"/>
      <c r="H980" s="35"/>
      <c r="I980" s="35"/>
      <c r="J980" s="35"/>
      <c r="K980" s="35"/>
      <c r="L980" s="35"/>
      <c r="M980" s="35"/>
      <c r="N980" s="35"/>
      <c r="O980" s="35"/>
      <c r="P980" s="35"/>
      <c r="Q980" s="35"/>
      <c r="R980" s="35"/>
      <c r="S980" s="35"/>
      <c r="T980" s="35"/>
      <c r="U980" s="35"/>
      <c r="V980" s="35"/>
      <c r="W980" s="35"/>
      <c r="X980" s="35"/>
      <c r="Y980" s="35"/>
    </row>
    <row r="981" ht="15.75" customHeight="1">
      <c r="A981" s="35"/>
      <c r="B981" s="35"/>
      <c r="C981" s="35"/>
      <c r="D981" s="35"/>
      <c r="E981" s="35"/>
      <c r="F981" s="50"/>
      <c r="G981" s="35"/>
      <c r="H981" s="35"/>
      <c r="I981" s="35"/>
      <c r="J981" s="35"/>
      <c r="K981" s="35"/>
      <c r="L981" s="35"/>
      <c r="M981" s="35"/>
      <c r="N981" s="35"/>
      <c r="O981" s="35"/>
      <c r="P981" s="35"/>
      <c r="Q981" s="35"/>
      <c r="R981" s="35"/>
      <c r="S981" s="35"/>
      <c r="T981" s="35"/>
      <c r="U981" s="35"/>
      <c r="V981" s="35"/>
      <c r="W981" s="35"/>
      <c r="X981" s="35"/>
      <c r="Y981" s="35"/>
    </row>
    <row r="982" ht="15.75" customHeight="1">
      <c r="A982" s="35"/>
      <c r="B982" s="35"/>
      <c r="C982" s="35"/>
      <c r="D982" s="35"/>
      <c r="E982" s="35"/>
      <c r="F982" s="50"/>
      <c r="G982" s="35"/>
      <c r="H982" s="35"/>
      <c r="I982" s="35"/>
      <c r="J982" s="35"/>
      <c r="K982" s="35"/>
      <c r="L982" s="35"/>
      <c r="M982" s="35"/>
      <c r="N982" s="35"/>
      <c r="O982" s="35"/>
      <c r="P982" s="35"/>
      <c r="Q982" s="35"/>
      <c r="R982" s="35"/>
      <c r="S982" s="35"/>
      <c r="T982" s="35"/>
      <c r="U982" s="35"/>
      <c r="V982" s="35"/>
      <c r="W982" s="35"/>
      <c r="X982" s="35"/>
      <c r="Y982" s="35"/>
    </row>
    <row r="983" ht="15.75" customHeight="1">
      <c r="A983" s="35"/>
      <c r="B983" s="35"/>
      <c r="C983" s="35"/>
      <c r="D983" s="35"/>
      <c r="E983" s="35"/>
      <c r="F983" s="50"/>
      <c r="G983" s="35"/>
      <c r="H983" s="35"/>
      <c r="I983" s="35"/>
      <c r="J983" s="35"/>
      <c r="K983" s="35"/>
      <c r="L983" s="35"/>
      <c r="M983" s="35"/>
      <c r="N983" s="35"/>
      <c r="O983" s="35"/>
      <c r="P983" s="35"/>
      <c r="Q983" s="35"/>
      <c r="R983" s="35"/>
      <c r="S983" s="35"/>
      <c r="T983" s="35"/>
      <c r="U983" s="35"/>
      <c r="V983" s="35"/>
      <c r="W983" s="35"/>
      <c r="X983" s="35"/>
      <c r="Y983" s="35"/>
    </row>
    <row r="984" ht="15.75" customHeight="1">
      <c r="A984" s="35"/>
      <c r="B984" s="35"/>
      <c r="C984" s="35"/>
      <c r="D984" s="35"/>
      <c r="E984" s="35"/>
      <c r="F984" s="50"/>
      <c r="G984" s="35"/>
      <c r="H984" s="35"/>
      <c r="I984" s="35"/>
      <c r="J984" s="35"/>
      <c r="K984" s="35"/>
      <c r="L984" s="35"/>
      <c r="M984" s="35"/>
      <c r="N984" s="35"/>
      <c r="O984" s="35"/>
      <c r="P984" s="35"/>
      <c r="Q984" s="35"/>
      <c r="R984" s="35"/>
      <c r="S984" s="35"/>
      <c r="T984" s="35"/>
      <c r="U984" s="35"/>
      <c r="V984" s="35"/>
      <c r="W984" s="35"/>
      <c r="X984" s="35"/>
      <c r="Y984" s="35"/>
    </row>
    <row r="985" ht="15.75" customHeight="1">
      <c r="A985" s="35"/>
      <c r="B985" s="35"/>
      <c r="C985" s="35"/>
      <c r="D985" s="35"/>
      <c r="E985" s="35"/>
      <c r="F985" s="50"/>
      <c r="G985" s="35"/>
      <c r="H985" s="35"/>
      <c r="I985" s="35"/>
      <c r="J985" s="35"/>
      <c r="K985" s="35"/>
      <c r="L985" s="35"/>
      <c r="M985" s="35"/>
      <c r="N985" s="35"/>
      <c r="O985" s="35"/>
      <c r="P985" s="35"/>
      <c r="Q985" s="35"/>
      <c r="R985" s="35"/>
      <c r="S985" s="35"/>
      <c r="T985" s="35"/>
      <c r="U985" s="35"/>
      <c r="V985" s="35"/>
      <c r="W985" s="35"/>
      <c r="X985" s="35"/>
      <c r="Y985" s="35"/>
    </row>
    <row r="986" ht="15.75" customHeight="1">
      <c r="A986" s="35"/>
      <c r="B986" s="35"/>
      <c r="C986" s="35"/>
      <c r="D986" s="35"/>
      <c r="E986" s="35"/>
      <c r="F986" s="50"/>
      <c r="G986" s="35"/>
      <c r="H986" s="35"/>
      <c r="I986" s="35"/>
      <c r="J986" s="35"/>
      <c r="K986" s="35"/>
      <c r="L986" s="35"/>
      <c r="M986" s="35"/>
      <c r="N986" s="35"/>
      <c r="O986" s="35"/>
      <c r="P986" s="35"/>
      <c r="Q986" s="35"/>
      <c r="R986" s="35"/>
      <c r="S986" s="35"/>
      <c r="T986" s="35"/>
      <c r="U986" s="35"/>
      <c r="V986" s="35"/>
      <c r="W986" s="35"/>
      <c r="X986" s="35"/>
      <c r="Y986" s="35"/>
    </row>
    <row r="987" ht="15.75" customHeight="1">
      <c r="A987" s="35"/>
      <c r="B987" s="35"/>
      <c r="C987" s="35"/>
      <c r="D987" s="35"/>
      <c r="E987" s="35"/>
      <c r="F987" s="50"/>
      <c r="G987" s="35"/>
      <c r="H987" s="35"/>
      <c r="I987" s="35"/>
      <c r="J987" s="35"/>
      <c r="K987" s="35"/>
      <c r="L987" s="35"/>
      <c r="M987" s="35"/>
      <c r="N987" s="35"/>
      <c r="O987" s="35"/>
      <c r="P987" s="35"/>
      <c r="Q987" s="35"/>
      <c r="R987" s="35"/>
      <c r="S987" s="35"/>
      <c r="T987" s="35"/>
      <c r="U987" s="35"/>
      <c r="V987" s="35"/>
      <c r="W987" s="35"/>
      <c r="X987" s="35"/>
      <c r="Y987" s="35"/>
    </row>
    <row r="988" ht="15.75" customHeight="1">
      <c r="A988" s="35"/>
      <c r="B988" s="35"/>
      <c r="C988" s="35"/>
      <c r="D988" s="35"/>
      <c r="E988" s="35"/>
      <c r="F988" s="50"/>
      <c r="G988" s="35"/>
      <c r="H988" s="35"/>
      <c r="I988" s="35"/>
      <c r="J988" s="35"/>
      <c r="K988" s="35"/>
      <c r="L988" s="35"/>
      <c r="M988" s="35"/>
      <c r="N988" s="35"/>
      <c r="O988" s="35"/>
      <c r="P988" s="35"/>
      <c r="Q988" s="35"/>
      <c r="R988" s="35"/>
      <c r="S988" s="35"/>
      <c r="T988" s="35"/>
      <c r="U988" s="35"/>
      <c r="V988" s="35"/>
      <c r="W988" s="35"/>
      <c r="X988" s="35"/>
      <c r="Y988" s="35"/>
    </row>
    <row r="989" ht="15.75" customHeight="1">
      <c r="A989" s="35"/>
      <c r="B989" s="35"/>
      <c r="C989" s="35"/>
      <c r="D989" s="35"/>
      <c r="E989" s="35"/>
      <c r="F989" s="50"/>
      <c r="G989" s="35"/>
      <c r="H989" s="35"/>
      <c r="I989" s="35"/>
      <c r="J989" s="35"/>
      <c r="K989" s="35"/>
      <c r="L989" s="35"/>
      <c r="M989" s="35"/>
      <c r="N989" s="35"/>
      <c r="O989" s="35"/>
      <c r="P989" s="35"/>
      <c r="Q989" s="35"/>
      <c r="R989" s="35"/>
      <c r="S989" s="35"/>
      <c r="T989" s="35"/>
      <c r="U989" s="35"/>
      <c r="V989" s="35"/>
      <c r="W989" s="35"/>
      <c r="X989" s="35"/>
      <c r="Y989" s="35"/>
    </row>
    <row r="990" ht="15.75" customHeight="1">
      <c r="A990" s="35"/>
      <c r="B990" s="35"/>
      <c r="C990" s="35"/>
      <c r="D990" s="35"/>
      <c r="E990" s="35"/>
      <c r="F990" s="50"/>
      <c r="G990" s="35"/>
      <c r="H990" s="35"/>
      <c r="I990" s="35"/>
      <c r="J990" s="35"/>
      <c r="K990" s="35"/>
      <c r="L990" s="35"/>
      <c r="M990" s="35"/>
      <c r="N990" s="35"/>
      <c r="O990" s="35"/>
      <c r="P990" s="35"/>
      <c r="Q990" s="35"/>
      <c r="R990" s="35"/>
      <c r="S990" s="35"/>
      <c r="T990" s="35"/>
      <c r="U990" s="35"/>
      <c r="V990" s="35"/>
      <c r="W990" s="35"/>
      <c r="X990" s="35"/>
      <c r="Y990" s="35"/>
    </row>
    <row r="991" ht="15.75" customHeight="1">
      <c r="A991" s="35"/>
      <c r="B991" s="35"/>
      <c r="C991" s="35"/>
      <c r="D991" s="35"/>
      <c r="E991" s="35"/>
      <c r="F991" s="50"/>
      <c r="G991" s="35"/>
      <c r="H991" s="35"/>
      <c r="I991" s="35"/>
      <c r="J991" s="35"/>
      <c r="K991" s="35"/>
      <c r="L991" s="35"/>
      <c r="M991" s="35"/>
      <c r="N991" s="35"/>
      <c r="O991" s="35"/>
      <c r="P991" s="35"/>
      <c r="Q991" s="35"/>
      <c r="R991" s="35"/>
      <c r="S991" s="35"/>
      <c r="T991" s="35"/>
      <c r="U991" s="35"/>
      <c r="V991" s="35"/>
      <c r="W991" s="35"/>
      <c r="X991" s="35"/>
      <c r="Y991" s="35"/>
    </row>
    <row r="992" ht="15.75" customHeight="1">
      <c r="A992" s="35"/>
      <c r="B992" s="35"/>
      <c r="C992" s="35"/>
      <c r="D992" s="35"/>
      <c r="E992" s="35"/>
      <c r="F992" s="50"/>
      <c r="G992" s="35"/>
      <c r="H992" s="35"/>
      <c r="I992" s="35"/>
      <c r="J992" s="35"/>
      <c r="K992" s="35"/>
      <c r="L992" s="35"/>
      <c r="M992" s="35"/>
      <c r="N992" s="35"/>
      <c r="O992" s="35"/>
      <c r="P992" s="35"/>
      <c r="Q992" s="35"/>
      <c r="R992" s="35"/>
      <c r="S992" s="35"/>
      <c r="T992" s="35"/>
      <c r="U992" s="35"/>
      <c r="V992" s="35"/>
      <c r="W992" s="35"/>
      <c r="X992" s="35"/>
      <c r="Y992" s="35"/>
    </row>
    <row r="993" ht="15.75" customHeight="1">
      <c r="A993" s="35"/>
      <c r="B993" s="35"/>
      <c r="C993" s="35"/>
      <c r="D993" s="35"/>
      <c r="E993" s="35"/>
      <c r="F993" s="50"/>
      <c r="G993" s="35"/>
      <c r="H993" s="35"/>
      <c r="I993" s="35"/>
      <c r="J993" s="35"/>
      <c r="K993" s="35"/>
      <c r="L993" s="35"/>
      <c r="M993" s="35"/>
      <c r="N993" s="35"/>
      <c r="O993" s="35"/>
      <c r="P993" s="35"/>
      <c r="Q993" s="35"/>
      <c r="R993" s="35"/>
      <c r="S993" s="35"/>
      <c r="T993" s="35"/>
      <c r="U993" s="35"/>
      <c r="V993" s="35"/>
      <c r="W993" s="35"/>
      <c r="X993" s="35"/>
      <c r="Y993" s="35"/>
    </row>
    <row r="994" ht="15.75" customHeight="1">
      <c r="A994" s="35"/>
      <c r="B994" s="35"/>
      <c r="C994" s="35"/>
      <c r="D994" s="35"/>
      <c r="E994" s="35"/>
      <c r="F994" s="50"/>
      <c r="G994" s="35"/>
      <c r="H994" s="35"/>
      <c r="I994" s="35"/>
      <c r="J994" s="35"/>
      <c r="K994" s="35"/>
      <c r="L994" s="35"/>
      <c r="M994" s="35"/>
      <c r="N994" s="35"/>
      <c r="O994" s="35"/>
      <c r="P994" s="35"/>
      <c r="Q994" s="35"/>
      <c r="R994" s="35"/>
      <c r="S994" s="35"/>
      <c r="T994" s="35"/>
      <c r="U994" s="35"/>
      <c r="V994" s="35"/>
      <c r="W994" s="35"/>
      <c r="X994" s="35"/>
      <c r="Y994" s="35"/>
    </row>
    <row r="995" ht="15.75" customHeight="1">
      <c r="A995" s="35"/>
      <c r="B995" s="35"/>
      <c r="C995" s="35"/>
      <c r="D995" s="35"/>
      <c r="E995" s="35"/>
      <c r="F995" s="50"/>
      <c r="G995" s="35"/>
      <c r="H995" s="35"/>
      <c r="I995" s="35"/>
      <c r="J995" s="35"/>
      <c r="K995" s="35"/>
      <c r="L995" s="35"/>
      <c r="M995" s="35"/>
      <c r="N995" s="35"/>
      <c r="O995" s="35"/>
      <c r="P995" s="35"/>
      <c r="Q995" s="35"/>
      <c r="R995" s="35"/>
      <c r="S995" s="35"/>
      <c r="T995" s="35"/>
      <c r="U995" s="35"/>
      <c r="V995" s="35"/>
      <c r="W995" s="35"/>
      <c r="X995" s="35"/>
      <c r="Y995" s="35"/>
    </row>
    <row r="996" ht="15.75" customHeight="1">
      <c r="A996" s="35"/>
      <c r="B996" s="35"/>
      <c r="C996" s="35"/>
      <c r="D996" s="35"/>
      <c r="E996" s="35"/>
      <c r="F996" s="50"/>
      <c r="G996" s="35"/>
      <c r="H996" s="35"/>
      <c r="I996" s="35"/>
      <c r="J996" s="35"/>
      <c r="K996" s="35"/>
      <c r="L996" s="35"/>
      <c r="M996" s="35"/>
      <c r="N996" s="35"/>
      <c r="O996" s="35"/>
      <c r="P996" s="35"/>
      <c r="Q996" s="35"/>
      <c r="R996" s="35"/>
      <c r="S996" s="35"/>
      <c r="T996" s="35"/>
      <c r="U996" s="35"/>
      <c r="V996" s="35"/>
      <c r="W996" s="35"/>
      <c r="X996" s="35"/>
      <c r="Y996" s="35"/>
    </row>
    <row r="997" ht="15.75" customHeight="1">
      <c r="A997" s="35"/>
      <c r="B997" s="35"/>
      <c r="C997" s="35"/>
      <c r="D997" s="35"/>
      <c r="E997" s="35"/>
      <c r="F997" s="50"/>
      <c r="G997" s="35"/>
      <c r="H997" s="35"/>
      <c r="I997" s="35"/>
      <c r="J997" s="35"/>
      <c r="K997" s="35"/>
      <c r="L997" s="35"/>
      <c r="M997" s="35"/>
      <c r="N997" s="35"/>
      <c r="O997" s="35"/>
      <c r="P997" s="35"/>
      <c r="Q997" s="35"/>
      <c r="R997" s="35"/>
      <c r="S997" s="35"/>
      <c r="T997" s="35"/>
      <c r="U997" s="35"/>
      <c r="V997" s="35"/>
      <c r="W997" s="35"/>
      <c r="X997" s="35"/>
      <c r="Y997" s="35"/>
    </row>
    <row r="998" ht="15.75" customHeight="1">
      <c r="A998" s="35"/>
      <c r="B998" s="35"/>
      <c r="C998" s="35"/>
      <c r="D998" s="35"/>
      <c r="E998" s="35"/>
      <c r="F998" s="50"/>
      <c r="G998" s="35"/>
      <c r="H998" s="35"/>
      <c r="I998" s="35"/>
      <c r="J998" s="35"/>
      <c r="K998" s="35"/>
      <c r="L998" s="35"/>
      <c r="M998" s="35"/>
      <c r="N998" s="35"/>
      <c r="O998" s="35"/>
      <c r="P998" s="35"/>
      <c r="Q998" s="35"/>
      <c r="R998" s="35"/>
      <c r="S998" s="35"/>
      <c r="T998" s="35"/>
      <c r="U998" s="35"/>
      <c r="V998" s="35"/>
      <c r="W998" s="35"/>
      <c r="X998" s="35"/>
      <c r="Y998" s="35"/>
    </row>
    <row r="999" ht="15.75" customHeight="1">
      <c r="A999" s="35"/>
      <c r="B999" s="35"/>
      <c r="C999" s="35"/>
      <c r="D999" s="35"/>
      <c r="E999" s="35"/>
      <c r="F999" s="50"/>
      <c r="G999" s="35"/>
      <c r="H999" s="35"/>
      <c r="I999" s="35"/>
      <c r="J999" s="35"/>
      <c r="K999" s="35"/>
      <c r="L999" s="35"/>
      <c r="M999" s="35"/>
      <c r="N999" s="35"/>
      <c r="O999" s="35"/>
      <c r="P999" s="35"/>
      <c r="Q999" s="35"/>
      <c r="R999" s="35"/>
      <c r="S999" s="35"/>
      <c r="T999" s="35"/>
      <c r="U999" s="35"/>
      <c r="V999" s="35"/>
      <c r="W999" s="35"/>
      <c r="X999" s="35"/>
      <c r="Y999" s="35"/>
    </row>
    <row r="1000" ht="15.75" customHeight="1">
      <c r="A1000" s="35"/>
      <c r="B1000" s="35"/>
      <c r="C1000" s="35"/>
      <c r="D1000" s="35"/>
      <c r="E1000" s="35"/>
      <c r="F1000" s="50"/>
      <c r="G1000" s="35"/>
      <c r="H1000" s="35"/>
      <c r="I1000" s="35"/>
      <c r="J1000" s="35"/>
      <c r="K1000" s="35"/>
      <c r="L1000" s="35"/>
      <c r="M1000" s="35"/>
      <c r="N1000" s="35"/>
      <c r="O1000" s="35"/>
      <c r="P1000" s="35"/>
      <c r="Q1000" s="35"/>
      <c r="R1000" s="35"/>
      <c r="S1000" s="35"/>
      <c r="T1000" s="35"/>
      <c r="U1000" s="35"/>
      <c r="V1000" s="35"/>
      <c r="W1000" s="35"/>
      <c r="X1000" s="35"/>
      <c r="Y1000" s="35"/>
    </row>
    <row r="1001" ht="15.75" customHeight="1">
      <c r="A1001" s="35"/>
      <c r="B1001" s="35"/>
      <c r="C1001" s="35"/>
      <c r="D1001" s="35"/>
      <c r="E1001" s="35"/>
      <c r="F1001" s="50"/>
      <c r="G1001" s="35"/>
      <c r="H1001" s="35"/>
      <c r="I1001" s="35"/>
      <c r="J1001" s="35"/>
      <c r="K1001" s="35"/>
      <c r="L1001" s="35"/>
      <c r="M1001" s="35"/>
      <c r="N1001" s="35"/>
      <c r="O1001" s="35"/>
      <c r="P1001" s="35"/>
      <c r="Q1001" s="35"/>
      <c r="R1001" s="35"/>
      <c r="S1001" s="35"/>
      <c r="T1001" s="35"/>
      <c r="U1001" s="35"/>
      <c r="V1001" s="35"/>
      <c r="W1001" s="35"/>
      <c r="X1001" s="35"/>
      <c r="Y1001" s="35"/>
    </row>
    <row r="1002" ht="15.75" customHeight="1">
      <c r="A1002" s="35"/>
      <c r="B1002" s="35"/>
      <c r="C1002" s="35"/>
      <c r="D1002" s="35"/>
      <c r="E1002" s="35"/>
      <c r="F1002" s="50"/>
      <c r="G1002" s="35"/>
      <c r="H1002" s="35"/>
      <c r="I1002" s="35"/>
      <c r="J1002" s="35"/>
      <c r="K1002" s="35"/>
      <c r="L1002" s="35"/>
      <c r="M1002" s="35"/>
      <c r="N1002" s="35"/>
      <c r="O1002" s="35"/>
      <c r="P1002" s="35"/>
      <c r="Q1002" s="35"/>
      <c r="R1002" s="35"/>
      <c r="S1002" s="35"/>
      <c r="T1002" s="35"/>
      <c r="U1002" s="35"/>
      <c r="V1002" s="35"/>
      <c r="W1002" s="35"/>
      <c r="X1002" s="35"/>
      <c r="Y1002" s="35"/>
    </row>
    <row r="1003" ht="15.75" customHeight="1">
      <c r="A1003" s="35"/>
      <c r="B1003" s="35"/>
      <c r="C1003" s="35"/>
      <c r="D1003" s="35"/>
      <c r="E1003" s="35"/>
      <c r="F1003" s="50"/>
      <c r="G1003" s="35"/>
      <c r="H1003" s="35"/>
      <c r="I1003" s="35"/>
      <c r="J1003" s="35"/>
      <c r="K1003" s="35"/>
      <c r="L1003" s="35"/>
      <c r="M1003" s="35"/>
      <c r="N1003" s="35"/>
      <c r="O1003" s="35"/>
      <c r="P1003" s="35"/>
      <c r="Q1003" s="35"/>
      <c r="R1003" s="35"/>
      <c r="S1003" s="35"/>
      <c r="T1003" s="35"/>
      <c r="U1003" s="35"/>
      <c r="V1003" s="35"/>
      <c r="W1003" s="35"/>
      <c r="X1003" s="35"/>
      <c r="Y1003" s="35"/>
    </row>
    <row r="1004" ht="15.75" customHeight="1">
      <c r="A1004" s="35"/>
      <c r="B1004" s="35"/>
      <c r="C1004" s="35"/>
      <c r="D1004" s="35"/>
      <c r="E1004" s="35"/>
      <c r="F1004" s="50"/>
      <c r="G1004" s="35"/>
      <c r="H1004" s="35"/>
      <c r="I1004" s="35"/>
      <c r="J1004" s="35"/>
      <c r="K1004" s="35"/>
      <c r="L1004" s="35"/>
      <c r="M1004" s="35"/>
      <c r="N1004" s="35"/>
      <c r="O1004" s="35"/>
      <c r="P1004" s="35"/>
      <c r="Q1004" s="35"/>
      <c r="R1004" s="35"/>
      <c r="S1004" s="35"/>
      <c r="T1004" s="35"/>
      <c r="U1004" s="35"/>
      <c r="V1004" s="35"/>
      <c r="W1004" s="35"/>
      <c r="X1004" s="35"/>
      <c r="Y1004" s="35"/>
    </row>
    <row r="1005" ht="15.75" customHeight="1">
      <c r="A1005" s="35"/>
      <c r="B1005" s="35"/>
      <c r="C1005" s="35"/>
      <c r="D1005" s="35"/>
      <c r="E1005" s="35"/>
      <c r="F1005" s="50"/>
      <c r="G1005" s="35"/>
      <c r="H1005" s="35"/>
      <c r="I1005" s="35"/>
      <c r="J1005" s="35"/>
      <c r="K1005" s="35"/>
      <c r="L1005" s="35"/>
      <c r="M1005" s="35"/>
      <c r="N1005" s="35"/>
      <c r="O1005" s="35"/>
      <c r="P1005" s="35"/>
      <c r="Q1005" s="35"/>
      <c r="R1005" s="35"/>
      <c r="S1005" s="35"/>
      <c r="T1005" s="35"/>
      <c r="U1005" s="35"/>
      <c r="V1005" s="35"/>
      <c r="W1005" s="35"/>
      <c r="X1005" s="35"/>
      <c r="Y1005" s="35"/>
    </row>
    <row r="1006" ht="15.75" customHeight="1">
      <c r="A1006" s="35"/>
      <c r="B1006" s="35"/>
      <c r="C1006" s="35"/>
      <c r="D1006" s="35"/>
      <c r="E1006" s="35"/>
      <c r="F1006" s="50"/>
      <c r="G1006" s="35"/>
      <c r="H1006" s="35"/>
      <c r="I1006" s="35"/>
      <c r="J1006" s="35"/>
      <c r="K1006" s="35"/>
      <c r="L1006" s="35"/>
      <c r="M1006" s="35"/>
      <c r="N1006" s="35"/>
      <c r="O1006" s="35"/>
      <c r="P1006" s="35"/>
      <c r="Q1006" s="35"/>
      <c r="R1006" s="35"/>
      <c r="S1006" s="35"/>
      <c r="T1006" s="35"/>
      <c r="U1006" s="35"/>
      <c r="V1006" s="35"/>
      <c r="W1006" s="35"/>
      <c r="X1006" s="35"/>
      <c r="Y1006" s="35"/>
    </row>
    <row r="1007" ht="15.75" customHeight="1">
      <c r="A1007" s="35"/>
      <c r="B1007" s="35"/>
      <c r="C1007" s="35"/>
      <c r="D1007" s="35"/>
      <c r="E1007" s="35"/>
      <c r="F1007" s="50"/>
      <c r="G1007" s="35"/>
      <c r="H1007" s="35"/>
      <c r="I1007" s="35"/>
      <c r="J1007" s="35"/>
      <c r="K1007" s="35"/>
      <c r="L1007" s="35"/>
      <c r="M1007" s="35"/>
      <c r="N1007" s="35"/>
      <c r="O1007" s="35"/>
      <c r="P1007" s="35"/>
      <c r="Q1007" s="35"/>
      <c r="R1007" s="35"/>
      <c r="S1007" s="35"/>
      <c r="T1007" s="35"/>
      <c r="U1007" s="35"/>
      <c r="V1007" s="35"/>
      <c r="W1007" s="35"/>
      <c r="X1007" s="35"/>
      <c r="Y1007" s="35"/>
    </row>
    <row r="1008" ht="15.75" customHeight="1">
      <c r="A1008" s="35"/>
      <c r="B1008" s="35"/>
      <c r="C1008" s="35"/>
      <c r="D1008" s="35"/>
      <c r="E1008" s="35"/>
      <c r="F1008" s="50"/>
      <c r="G1008" s="35"/>
      <c r="H1008" s="35"/>
      <c r="I1008" s="35"/>
      <c r="J1008" s="35"/>
      <c r="K1008" s="35"/>
      <c r="L1008" s="35"/>
      <c r="M1008" s="35"/>
      <c r="N1008" s="35"/>
      <c r="O1008" s="35"/>
      <c r="P1008" s="35"/>
      <c r="Q1008" s="35"/>
      <c r="R1008" s="35"/>
      <c r="S1008" s="35"/>
      <c r="T1008" s="35"/>
      <c r="U1008" s="35"/>
      <c r="V1008" s="35"/>
      <c r="W1008" s="35"/>
      <c r="X1008" s="35"/>
      <c r="Y1008" s="35"/>
    </row>
    <row r="1009" ht="15.75" customHeight="1">
      <c r="A1009" s="35"/>
      <c r="B1009" s="35"/>
      <c r="C1009" s="35"/>
      <c r="D1009" s="35"/>
      <c r="E1009" s="35"/>
      <c r="F1009" s="50"/>
      <c r="G1009" s="35"/>
      <c r="H1009" s="35"/>
      <c r="I1009" s="35"/>
      <c r="J1009" s="35"/>
      <c r="K1009" s="35"/>
      <c r="L1009" s="35"/>
      <c r="M1009" s="35"/>
      <c r="N1009" s="35"/>
      <c r="O1009" s="35"/>
      <c r="P1009" s="35"/>
      <c r="Q1009" s="35"/>
      <c r="R1009" s="35"/>
      <c r="S1009" s="35"/>
      <c r="T1009" s="35"/>
      <c r="U1009" s="35"/>
      <c r="V1009" s="35"/>
      <c r="W1009" s="35"/>
      <c r="X1009" s="35"/>
      <c r="Y1009" s="35"/>
    </row>
    <row r="1010" ht="15.75" customHeight="1">
      <c r="A1010" s="35"/>
      <c r="B1010" s="35"/>
      <c r="C1010" s="35"/>
      <c r="D1010" s="35"/>
      <c r="E1010" s="35"/>
      <c r="F1010" s="50"/>
      <c r="G1010" s="35"/>
      <c r="H1010" s="35"/>
      <c r="I1010" s="35"/>
      <c r="J1010" s="35"/>
      <c r="K1010" s="35"/>
      <c r="L1010" s="35"/>
      <c r="M1010" s="35"/>
      <c r="N1010" s="35"/>
      <c r="O1010" s="35"/>
      <c r="P1010" s="35"/>
      <c r="Q1010" s="35"/>
      <c r="R1010" s="35"/>
      <c r="S1010" s="35"/>
      <c r="T1010" s="35"/>
      <c r="U1010" s="35"/>
      <c r="V1010" s="35"/>
      <c r="W1010" s="35"/>
      <c r="X1010" s="35"/>
      <c r="Y1010" s="35"/>
    </row>
    <row r="1011" ht="15.75" customHeight="1">
      <c r="A1011" s="35"/>
      <c r="B1011" s="35"/>
      <c r="C1011" s="35"/>
      <c r="D1011" s="35"/>
      <c r="E1011" s="35"/>
      <c r="F1011" s="50"/>
      <c r="G1011" s="35"/>
      <c r="H1011" s="35"/>
      <c r="I1011" s="35"/>
      <c r="J1011" s="35"/>
      <c r="K1011" s="35"/>
      <c r="L1011" s="35"/>
      <c r="M1011" s="35"/>
      <c r="N1011" s="35"/>
      <c r="O1011" s="35"/>
      <c r="P1011" s="35"/>
      <c r="Q1011" s="35"/>
      <c r="R1011" s="35"/>
      <c r="S1011" s="35"/>
      <c r="T1011" s="35"/>
      <c r="U1011" s="35"/>
      <c r="V1011" s="35"/>
      <c r="W1011" s="35"/>
      <c r="X1011" s="35"/>
      <c r="Y1011" s="35"/>
    </row>
    <row r="1012" ht="15.75" customHeight="1">
      <c r="A1012" s="35"/>
      <c r="B1012" s="35"/>
      <c r="C1012" s="35"/>
      <c r="D1012" s="35"/>
      <c r="E1012" s="35"/>
      <c r="F1012" s="50"/>
      <c r="G1012" s="35"/>
      <c r="H1012" s="35"/>
      <c r="I1012" s="35"/>
      <c r="J1012" s="35"/>
      <c r="K1012" s="35"/>
      <c r="L1012" s="35"/>
      <c r="M1012" s="35"/>
      <c r="N1012" s="35"/>
      <c r="O1012" s="35"/>
      <c r="P1012" s="35"/>
      <c r="Q1012" s="35"/>
      <c r="R1012" s="35"/>
      <c r="S1012" s="35"/>
      <c r="T1012" s="35"/>
      <c r="U1012" s="35"/>
      <c r="V1012" s="35"/>
      <c r="W1012" s="35"/>
      <c r="X1012" s="35"/>
      <c r="Y1012" s="35"/>
    </row>
    <row r="1013" ht="15.75" customHeight="1">
      <c r="A1013" s="35"/>
      <c r="B1013" s="35"/>
      <c r="C1013" s="35"/>
      <c r="D1013" s="35"/>
      <c r="E1013" s="35"/>
      <c r="F1013" s="50"/>
      <c r="G1013" s="35"/>
      <c r="H1013" s="35"/>
      <c r="I1013" s="35"/>
      <c r="J1013" s="35"/>
      <c r="K1013" s="35"/>
      <c r="L1013" s="35"/>
      <c r="M1013" s="35"/>
      <c r="N1013" s="35"/>
      <c r="O1013" s="35"/>
      <c r="P1013" s="35"/>
      <c r="Q1013" s="35"/>
      <c r="R1013" s="35"/>
      <c r="S1013" s="35"/>
      <c r="T1013" s="35"/>
      <c r="U1013" s="35"/>
      <c r="V1013" s="35"/>
      <c r="W1013" s="35"/>
      <c r="X1013" s="35"/>
      <c r="Y1013" s="35"/>
    </row>
    <row r="1014" ht="15.75" customHeight="1">
      <c r="A1014" s="35"/>
      <c r="B1014" s="35"/>
      <c r="C1014" s="35"/>
      <c r="D1014" s="35"/>
      <c r="E1014" s="35"/>
      <c r="F1014" s="50"/>
      <c r="G1014" s="35"/>
      <c r="H1014" s="35"/>
      <c r="I1014" s="35"/>
      <c r="J1014" s="35"/>
      <c r="K1014" s="35"/>
      <c r="L1014" s="35"/>
      <c r="M1014" s="35"/>
      <c r="N1014" s="35"/>
      <c r="O1014" s="35"/>
      <c r="P1014" s="35"/>
      <c r="Q1014" s="35"/>
      <c r="R1014" s="35"/>
      <c r="S1014" s="35"/>
      <c r="T1014" s="35"/>
      <c r="U1014" s="35"/>
      <c r="V1014" s="35"/>
      <c r="W1014" s="35"/>
      <c r="X1014" s="35"/>
      <c r="Y1014" s="35"/>
    </row>
    <row r="1015" ht="15.75" customHeight="1">
      <c r="A1015" s="35"/>
      <c r="B1015" s="35"/>
      <c r="C1015" s="35"/>
      <c r="D1015" s="35"/>
      <c r="E1015" s="35"/>
      <c r="F1015" s="50"/>
      <c r="G1015" s="35"/>
      <c r="H1015" s="35"/>
      <c r="I1015" s="35"/>
      <c r="J1015" s="35"/>
      <c r="K1015" s="35"/>
      <c r="L1015" s="35"/>
      <c r="M1015" s="35"/>
      <c r="N1015" s="35"/>
      <c r="O1015" s="35"/>
      <c r="P1015" s="35"/>
      <c r="Q1015" s="35"/>
      <c r="R1015" s="35"/>
      <c r="S1015" s="35"/>
      <c r="T1015" s="35"/>
      <c r="U1015" s="35"/>
      <c r="V1015" s="35"/>
      <c r="W1015" s="35"/>
      <c r="X1015" s="35"/>
      <c r="Y1015" s="35"/>
    </row>
    <row r="1016" ht="15.75" customHeight="1">
      <c r="A1016" s="35"/>
      <c r="B1016" s="35"/>
      <c r="C1016" s="35"/>
      <c r="D1016" s="35"/>
      <c r="E1016" s="35"/>
      <c r="F1016" s="50"/>
      <c r="G1016" s="35"/>
      <c r="H1016" s="35"/>
      <c r="I1016" s="35"/>
      <c r="J1016" s="35"/>
      <c r="K1016" s="35"/>
      <c r="L1016" s="35"/>
      <c r="M1016" s="35"/>
      <c r="N1016" s="35"/>
      <c r="O1016" s="35"/>
      <c r="P1016" s="35"/>
      <c r="Q1016" s="35"/>
      <c r="R1016" s="35"/>
      <c r="S1016" s="35"/>
      <c r="T1016" s="35"/>
      <c r="U1016" s="35"/>
      <c r="V1016" s="35"/>
      <c r="W1016" s="35"/>
      <c r="X1016" s="35"/>
      <c r="Y1016" s="35"/>
    </row>
    <row r="1017" ht="15.75" customHeight="1">
      <c r="A1017" s="35"/>
      <c r="B1017" s="35"/>
      <c r="C1017" s="35"/>
      <c r="D1017" s="35"/>
      <c r="E1017" s="35"/>
      <c r="F1017" s="50"/>
      <c r="G1017" s="35"/>
      <c r="H1017" s="35"/>
      <c r="I1017" s="35"/>
      <c r="J1017" s="35"/>
      <c r="K1017" s="35"/>
      <c r="L1017" s="35"/>
      <c r="M1017" s="35"/>
      <c r="N1017" s="35"/>
      <c r="O1017" s="35"/>
      <c r="P1017" s="35"/>
      <c r="Q1017" s="35"/>
      <c r="R1017" s="35"/>
      <c r="S1017" s="35"/>
      <c r="T1017" s="35"/>
      <c r="U1017" s="35"/>
      <c r="V1017" s="35"/>
      <c r="W1017" s="35"/>
      <c r="X1017" s="35"/>
      <c r="Y1017" s="35"/>
    </row>
    <row r="1018" ht="15.75" customHeight="1">
      <c r="A1018" s="35"/>
      <c r="B1018" s="35"/>
      <c r="C1018" s="35"/>
      <c r="D1018" s="35"/>
      <c r="E1018" s="35"/>
      <c r="F1018" s="50"/>
      <c r="G1018" s="35"/>
      <c r="H1018" s="35"/>
      <c r="I1018" s="35"/>
      <c r="J1018" s="35"/>
      <c r="K1018" s="35"/>
      <c r="L1018" s="35"/>
      <c r="M1018" s="35"/>
      <c r="N1018" s="35"/>
      <c r="O1018" s="35"/>
      <c r="P1018" s="35"/>
      <c r="Q1018" s="35"/>
      <c r="R1018" s="35"/>
      <c r="S1018" s="35"/>
      <c r="T1018" s="35"/>
      <c r="U1018" s="35"/>
      <c r="V1018" s="35"/>
      <c r="W1018" s="35"/>
      <c r="X1018" s="35"/>
      <c r="Y1018" s="35"/>
    </row>
    <row r="1019" ht="15.75" customHeight="1">
      <c r="A1019" s="35"/>
      <c r="B1019" s="35"/>
      <c r="C1019" s="35"/>
      <c r="D1019" s="35"/>
      <c r="E1019" s="35"/>
      <c r="F1019" s="50"/>
      <c r="G1019" s="35"/>
      <c r="H1019" s="35"/>
      <c r="I1019" s="35"/>
      <c r="J1019" s="35"/>
      <c r="K1019" s="35"/>
      <c r="L1019" s="35"/>
      <c r="M1019" s="35"/>
      <c r="N1019" s="35"/>
      <c r="O1019" s="35"/>
      <c r="P1019" s="35"/>
      <c r="Q1019" s="35"/>
      <c r="R1019" s="35"/>
      <c r="S1019" s="35"/>
      <c r="T1019" s="35"/>
      <c r="U1019" s="35"/>
      <c r="V1019" s="35"/>
      <c r="W1019" s="35"/>
      <c r="X1019" s="35"/>
      <c r="Y1019" s="35"/>
    </row>
    <row r="1020" ht="15.75" customHeight="1">
      <c r="A1020" s="35"/>
      <c r="B1020" s="35"/>
      <c r="C1020" s="35"/>
      <c r="D1020" s="35"/>
      <c r="E1020" s="35"/>
      <c r="F1020" s="50"/>
      <c r="G1020" s="35"/>
      <c r="H1020" s="35"/>
      <c r="I1020" s="35"/>
      <c r="J1020" s="35"/>
      <c r="K1020" s="35"/>
      <c r="L1020" s="35"/>
      <c r="M1020" s="35"/>
      <c r="N1020" s="35"/>
      <c r="O1020" s="35"/>
      <c r="P1020" s="35"/>
      <c r="Q1020" s="35"/>
      <c r="R1020" s="35"/>
      <c r="S1020" s="35"/>
      <c r="T1020" s="35"/>
      <c r="U1020" s="35"/>
      <c r="V1020" s="35"/>
      <c r="W1020" s="35"/>
      <c r="X1020" s="35"/>
      <c r="Y1020" s="35"/>
    </row>
    <row r="1021" ht="15.75" customHeight="1">
      <c r="A1021" s="35"/>
      <c r="B1021" s="35"/>
      <c r="C1021" s="35"/>
      <c r="D1021" s="35"/>
      <c r="E1021" s="35"/>
      <c r="F1021" s="50"/>
      <c r="G1021" s="35"/>
      <c r="H1021" s="35"/>
      <c r="I1021" s="35"/>
      <c r="J1021" s="35"/>
      <c r="K1021" s="35"/>
      <c r="L1021" s="35"/>
      <c r="M1021" s="35"/>
      <c r="N1021" s="35"/>
      <c r="O1021" s="35"/>
      <c r="P1021" s="35"/>
      <c r="Q1021" s="35"/>
      <c r="R1021" s="35"/>
      <c r="S1021" s="35"/>
      <c r="T1021" s="35"/>
      <c r="U1021" s="35"/>
      <c r="V1021" s="35"/>
      <c r="W1021" s="35"/>
      <c r="X1021" s="35"/>
      <c r="Y1021" s="35"/>
    </row>
    <row r="1022" ht="15.75" customHeight="1">
      <c r="A1022" s="35"/>
      <c r="B1022" s="35"/>
      <c r="C1022" s="35"/>
      <c r="D1022" s="35"/>
      <c r="E1022" s="35"/>
      <c r="F1022" s="50"/>
      <c r="G1022" s="35"/>
      <c r="H1022" s="35"/>
      <c r="I1022" s="35"/>
      <c r="J1022" s="35"/>
      <c r="K1022" s="35"/>
      <c r="L1022" s="35"/>
      <c r="M1022" s="35"/>
      <c r="N1022" s="35"/>
      <c r="O1022" s="35"/>
      <c r="P1022" s="35"/>
      <c r="Q1022" s="35"/>
      <c r="R1022" s="35"/>
      <c r="S1022" s="35"/>
      <c r="T1022" s="35"/>
      <c r="U1022" s="35"/>
      <c r="V1022" s="35"/>
      <c r="W1022" s="35"/>
      <c r="X1022" s="35"/>
      <c r="Y1022" s="35"/>
    </row>
    <row r="1023" ht="15.75" customHeight="1">
      <c r="A1023" s="35"/>
      <c r="B1023" s="35"/>
      <c r="C1023" s="35"/>
      <c r="D1023" s="35"/>
      <c r="E1023" s="35"/>
      <c r="F1023" s="50"/>
      <c r="G1023" s="35"/>
      <c r="H1023" s="35"/>
      <c r="I1023" s="35"/>
      <c r="J1023" s="35"/>
      <c r="K1023" s="35"/>
      <c r="L1023" s="35"/>
      <c r="M1023" s="35"/>
      <c r="N1023" s="35"/>
      <c r="O1023" s="35"/>
      <c r="P1023" s="35"/>
      <c r="Q1023" s="35"/>
      <c r="R1023" s="35"/>
      <c r="S1023" s="35"/>
      <c r="T1023" s="35"/>
      <c r="U1023" s="35"/>
      <c r="V1023" s="35"/>
      <c r="W1023" s="35"/>
      <c r="X1023" s="35"/>
      <c r="Y1023" s="35"/>
    </row>
    <row r="1024" ht="15.75" customHeight="1">
      <c r="A1024" s="35"/>
      <c r="B1024" s="35"/>
      <c r="C1024" s="35"/>
      <c r="D1024" s="35"/>
      <c r="E1024" s="35"/>
      <c r="F1024" s="50"/>
      <c r="G1024" s="35"/>
      <c r="H1024" s="35"/>
      <c r="I1024" s="35"/>
      <c r="J1024" s="35"/>
      <c r="K1024" s="35"/>
      <c r="L1024" s="35"/>
      <c r="M1024" s="35"/>
      <c r="N1024" s="35"/>
      <c r="O1024" s="35"/>
      <c r="P1024" s="35"/>
      <c r="Q1024" s="35"/>
      <c r="R1024" s="35"/>
      <c r="S1024" s="35"/>
      <c r="T1024" s="35"/>
      <c r="U1024" s="35"/>
      <c r="V1024" s="35"/>
      <c r="W1024" s="35"/>
      <c r="X1024" s="35"/>
      <c r="Y1024" s="35"/>
    </row>
    <row r="1025" ht="15.75" customHeight="1">
      <c r="A1025" s="35"/>
      <c r="B1025" s="35"/>
      <c r="C1025" s="35"/>
      <c r="D1025" s="35"/>
      <c r="E1025" s="35"/>
      <c r="F1025" s="50"/>
      <c r="G1025" s="35"/>
      <c r="H1025" s="35"/>
      <c r="I1025" s="35"/>
      <c r="J1025" s="35"/>
      <c r="K1025" s="35"/>
      <c r="L1025" s="35"/>
      <c r="M1025" s="35"/>
      <c r="N1025" s="35"/>
      <c r="O1025" s="35"/>
      <c r="P1025" s="35"/>
      <c r="Q1025" s="35"/>
      <c r="R1025" s="35"/>
      <c r="S1025" s="35"/>
      <c r="T1025" s="35"/>
      <c r="U1025" s="35"/>
      <c r="V1025" s="35"/>
      <c r="W1025" s="35"/>
      <c r="X1025" s="35"/>
      <c r="Y1025" s="35"/>
    </row>
    <row r="1026" ht="15.75" customHeight="1">
      <c r="A1026" s="35"/>
      <c r="B1026" s="35"/>
      <c r="C1026" s="35"/>
      <c r="D1026" s="35"/>
      <c r="E1026" s="35"/>
      <c r="F1026" s="50"/>
      <c r="G1026" s="35"/>
      <c r="H1026" s="35"/>
      <c r="I1026" s="35"/>
      <c r="J1026" s="35"/>
      <c r="K1026" s="35"/>
      <c r="L1026" s="35"/>
      <c r="M1026" s="35"/>
      <c r="N1026" s="35"/>
      <c r="O1026" s="35"/>
      <c r="P1026" s="35"/>
      <c r="Q1026" s="35"/>
      <c r="R1026" s="35"/>
      <c r="S1026" s="35"/>
      <c r="T1026" s="35"/>
      <c r="U1026" s="35"/>
      <c r="V1026" s="35"/>
      <c r="W1026" s="35"/>
      <c r="X1026" s="35"/>
      <c r="Y1026" s="35"/>
    </row>
    <row r="1027" ht="15.75" customHeight="1">
      <c r="A1027" s="35"/>
      <c r="B1027" s="35"/>
      <c r="C1027" s="35"/>
      <c r="D1027" s="35"/>
      <c r="E1027" s="35"/>
      <c r="F1027" s="50"/>
      <c r="G1027" s="35"/>
      <c r="H1027" s="35"/>
      <c r="I1027" s="35"/>
      <c r="J1027" s="35"/>
      <c r="K1027" s="35"/>
      <c r="L1027" s="35"/>
      <c r="M1027" s="35"/>
      <c r="N1027" s="35"/>
      <c r="O1027" s="35"/>
      <c r="P1027" s="35"/>
      <c r="Q1027" s="35"/>
      <c r="R1027" s="35"/>
      <c r="S1027" s="35"/>
      <c r="T1027" s="35"/>
      <c r="U1027" s="35"/>
      <c r="V1027" s="35"/>
      <c r="W1027" s="35"/>
      <c r="X1027" s="35"/>
      <c r="Y1027" s="35"/>
    </row>
    <row r="1028" ht="15.75" customHeight="1">
      <c r="A1028" s="35"/>
      <c r="B1028" s="35"/>
      <c r="C1028" s="35"/>
      <c r="D1028" s="35"/>
      <c r="E1028" s="35"/>
      <c r="F1028" s="50"/>
      <c r="G1028" s="35"/>
      <c r="H1028" s="35"/>
      <c r="I1028" s="35"/>
      <c r="J1028" s="35"/>
      <c r="K1028" s="35"/>
      <c r="L1028" s="35"/>
      <c r="M1028" s="35"/>
      <c r="N1028" s="35"/>
      <c r="O1028" s="35"/>
      <c r="P1028" s="35"/>
      <c r="Q1028" s="35"/>
      <c r="R1028" s="35"/>
      <c r="S1028" s="35"/>
      <c r="T1028" s="35"/>
      <c r="U1028" s="35"/>
      <c r="V1028" s="35"/>
      <c r="W1028" s="35"/>
      <c r="X1028" s="35"/>
      <c r="Y1028" s="35"/>
    </row>
    <row r="1029" ht="15.75" customHeight="1">
      <c r="A1029" s="35"/>
      <c r="B1029" s="35"/>
      <c r="C1029" s="35"/>
      <c r="D1029" s="35"/>
      <c r="E1029" s="35"/>
      <c r="F1029" s="50"/>
      <c r="G1029" s="35"/>
      <c r="H1029" s="35"/>
      <c r="I1029" s="35"/>
      <c r="J1029" s="35"/>
      <c r="K1029" s="35"/>
      <c r="L1029" s="35"/>
      <c r="M1029" s="35"/>
      <c r="N1029" s="35"/>
      <c r="O1029" s="35"/>
      <c r="P1029" s="35"/>
      <c r="Q1029" s="35"/>
      <c r="R1029" s="35"/>
      <c r="S1029" s="35"/>
      <c r="T1029" s="35"/>
      <c r="U1029" s="35"/>
      <c r="V1029" s="35"/>
      <c r="W1029" s="35"/>
      <c r="X1029" s="35"/>
      <c r="Y1029" s="35"/>
    </row>
    <row r="1030" ht="15.75" customHeight="1">
      <c r="A1030" s="35"/>
      <c r="B1030" s="35"/>
      <c r="C1030" s="35"/>
      <c r="D1030" s="35"/>
      <c r="E1030" s="35"/>
      <c r="F1030" s="50"/>
      <c r="G1030" s="35"/>
      <c r="H1030" s="35"/>
      <c r="I1030" s="35"/>
      <c r="J1030" s="35"/>
      <c r="K1030" s="35"/>
      <c r="L1030" s="35"/>
      <c r="M1030" s="35"/>
      <c r="N1030" s="35"/>
      <c r="O1030" s="35"/>
      <c r="P1030" s="35"/>
      <c r="Q1030" s="35"/>
      <c r="R1030" s="35"/>
      <c r="S1030" s="35"/>
      <c r="T1030" s="35"/>
      <c r="U1030" s="35"/>
      <c r="V1030" s="35"/>
      <c r="W1030" s="35"/>
      <c r="X1030" s="35"/>
      <c r="Y1030" s="35"/>
    </row>
    <row r="1031" ht="15.75" customHeight="1">
      <c r="A1031" s="35"/>
      <c r="B1031" s="35"/>
      <c r="C1031" s="35"/>
      <c r="D1031" s="35"/>
      <c r="E1031" s="35"/>
      <c r="F1031" s="50"/>
      <c r="G1031" s="35"/>
      <c r="H1031" s="35"/>
      <c r="I1031" s="35"/>
      <c r="J1031" s="35"/>
      <c r="K1031" s="35"/>
      <c r="L1031" s="35"/>
      <c r="M1031" s="35"/>
      <c r="N1031" s="35"/>
      <c r="O1031" s="35"/>
      <c r="P1031" s="35"/>
      <c r="Q1031" s="35"/>
      <c r="R1031" s="35"/>
      <c r="S1031" s="35"/>
      <c r="T1031" s="35"/>
      <c r="U1031" s="35"/>
      <c r="V1031" s="35"/>
      <c r="W1031" s="35"/>
      <c r="X1031" s="35"/>
      <c r="Y1031" s="35"/>
    </row>
    <row r="1032" ht="15.75" customHeight="1">
      <c r="A1032" s="35"/>
      <c r="B1032" s="35"/>
      <c r="C1032" s="35"/>
      <c r="D1032" s="35"/>
      <c r="E1032" s="35"/>
      <c r="F1032" s="50"/>
      <c r="G1032" s="35"/>
      <c r="H1032" s="35"/>
      <c r="I1032" s="35"/>
      <c r="J1032" s="35"/>
      <c r="K1032" s="35"/>
      <c r="L1032" s="35"/>
      <c r="M1032" s="35"/>
      <c r="N1032" s="35"/>
      <c r="O1032" s="35"/>
      <c r="P1032" s="35"/>
      <c r="Q1032" s="35"/>
      <c r="R1032" s="35"/>
      <c r="S1032" s="35"/>
      <c r="T1032" s="35"/>
      <c r="U1032" s="35"/>
      <c r="V1032" s="35"/>
      <c r="W1032" s="35"/>
      <c r="X1032" s="35"/>
      <c r="Y1032" s="35"/>
    </row>
    <row r="1033" ht="15.75" customHeight="1">
      <c r="A1033" s="35"/>
      <c r="B1033" s="35"/>
      <c r="C1033" s="35"/>
      <c r="D1033" s="35"/>
      <c r="E1033" s="35"/>
      <c r="F1033" s="50"/>
      <c r="G1033" s="35"/>
      <c r="H1033" s="35"/>
      <c r="I1033" s="35"/>
      <c r="J1033" s="35"/>
      <c r="K1033" s="35"/>
      <c r="L1033" s="35"/>
      <c r="M1033" s="35"/>
      <c r="N1033" s="35"/>
      <c r="O1033" s="35"/>
      <c r="P1033" s="35"/>
      <c r="Q1033" s="35"/>
      <c r="R1033" s="35"/>
      <c r="S1033" s="35"/>
      <c r="T1033" s="35"/>
      <c r="U1033" s="35"/>
      <c r="V1033" s="35"/>
      <c r="W1033" s="35"/>
      <c r="X1033" s="35"/>
      <c r="Y1033" s="35"/>
    </row>
    <row r="1034" ht="15.75" customHeight="1">
      <c r="A1034" s="35"/>
      <c r="B1034" s="35"/>
      <c r="C1034" s="35"/>
      <c r="D1034" s="35"/>
      <c r="E1034" s="35"/>
      <c r="F1034" s="50"/>
      <c r="G1034" s="35"/>
      <c r="H1034" s="35"/>
      <c r="I1034" s="35"/>
      <c r="J1034" s="35"/>
      <c r="K1034" s="35"/>
      <c r="L1034" s="35"/>
      <c r="M1034" s="35"/>
      <c r="N1034" s="35"/>
      <c r="O1034" s="35"/>
      <c r="P1034" s="35"/>
      <c r="Q1034" s="35"/>
      <c r="R1034" s="35"/>
      <c r="S1034" s="35"/>
      <c r="T1034" s="35"/>
      <c r="U1034" s="35"/>
      <c r="V1034" s="35"/>
      <c r="W1034" s="35"/>
      <c r="X1034" s="35"/>
      <c r="Y1034" s="35"/>
    </row>
    <row r="1035" ht="15.75" customHeight="1">
      <c r="A1035" s="35"/>
      <c r="B1035" s="35"/>
      <c r="C1035" s="35"/>
      <c r="D1035" s="35"/>
      <c r="E1035" s="35"/>
      <c r="F1035" s="50"/>
      <c r="G1035" s="35"/>
      <c r="H1035" s="35"/>
      <c r="I1035" s="35"/>
      <c r="J1035" s="35"/>
      <c r="K1035" s="35"/>
      <c r="L1035" s="35"/>
      <c r="M1035" s="35"/>
      <c r="N1035" s="35"/>
      <c r="O1035" s="35"/>
      <c r="P1035" s="35"/>
      <c r="Q1035" s="35"/>
      <c r="R1035" s="35"/>
      <c r="S1035" s="35"/>
      <c r="T1035" s="35"/>
      <c r="U1035" s="35"/>
      <c r="V1035" s="35"/>
      <c r="W1035" s="35"/>
      <c r="X1035" s="35"/>
      <c r="Y1035" s="35"/>
    </row>
    <row r="1036" ht="15.75" customHeight="1">
      <c r="A1036" s="35"/>
      <c r="B1036" s="35"/>
      <c r="C1036" s="35"/>
      <c r="D1036" s="35"/>
      <c r="E1036" s="35"/>
      <c r="F1036" s="50"/>
      <c r="G1036" s="35"/>
      <c r="H1036" s="35"/>
      <c r="I1036" s="35"/>
      <c r="J1036" s="35"/>
      <c r="K1036" s="35"/>
      <c r="L1036" s="35"/>
      <c r="M1036" s="35"/>
      <c r="N1036" s="35"/>
      <c r="O1036" s="35"/>
      <c r="P1036" s="35"/>
      <c r="Q1036" s="35"/>
      <c r="R1036" s="35"/>
      <c r="S1036" s="35"/>
      <c r="T1036" s="35"/>
      <c r="U1036" s="35"/>
      <c r="V1036" s="35"/>
      <c r="W1036" s="35"/>
      <c r="X1036" s="35"/>
      <c r="Y1036" s="35"/>
    </row>
    <row r="1037" ht="15.75" customHeight="1">
      <c r="A1037" s="35"/>
      <c r="B1037" s="35"/>
      <c r="C1037" s="35"/>
      <c r="D1037" s="35"/>
      <c r="E1037" s="35"/>
      <c r="F1037" s="50"/>
      <c r="G1037" s="35"/>
      <c r="H1037" s="35"/>
      <c r="I1037" s="35"/>
      <c r="J1037" s="35"/>
      <c r="K1037" s="35"/>
      <c r="L1037" s="35"/>
      <c r="M1037" s="35"/>
      <c r="N1037" s="35"/>
      <c r="O1037" s="35"/>
      <c r="P1037" s="35"/>
      <c r="Q1037" s="35"/>
      <c r="R1037" s="35"/>
      <c r="S1037" s="35"/>
      <c r="T1037" s="35"/>
      <c r="U1037" s="35"/>
      <c r="V1037" s="35"/>
      <c r="W1037" s="35"/>
      <c r="X1037" s="35"/>
      <c r="Y1037" s="35"/>
    </row>
    <row r="1038" ht="15.75" customHeight="1">
      <c r="A1038" s="35"/>
      <c r="B1038" s="35"/>
      <c r="C1038" s="35"/>
      <c r="D1038" s="35"/>
      <c r="E1038" s="35"/>
      <c r="F1038" s="50"/>
      <c r="G1038" s="35"/>
      <c r="H1038" s="35"/>
      <c r="I1038" s="35"/>
      <c r="J1038" s="35"/>
      <c r="K1038" s="35"/>
      <c r="L1038" s="35"/>
      <c r="M1038" s="35"/>
      <c r="N1038" s="35"/>
      <c r="O1038" s="35"/>
      <c r="P1038" s="35"/>
      <c r="Q1038" s="35"/>
      <c r="R1038" s="35"/>
      <c r="S1038" s="35"/>
      <c r="T1038" s="35"/>
      <c r="U1038" s="35"/>
      <c r="V1038" s="35"/>
      <c r="W1038" s="35"/>
      <c r="X1038" s="35"/>
      <c r="Y1038" s="35"/>
    </row>
    <row r="1039" ht="15.75" customHeight="1">
      <c r="A1039" s="35"/>
      <c r="B1039" s="35"/>
      <c r="C1039" s="35"/>
      <c r="D1039" s="35"/>
      <c r="E1039" s="35"/>
      <c r="F1039" s="50"/>
      <c r="G1039" s="35"/>
      <c r="H1039" s="35"/>
      <c r="I1039" s="35"/>
      <c r="J1039" s="35"/>
      <c r="K1039" s="35"/>
      <c r="L1039" s="35"/>
      <c r="M1039" s="35"/>
      <c r="N1039" s="35"/>
      <c r="O1039" s="35"/>
      <c r="P1039" s="35"/>
      <c r="Q1039" s="35"/>
      <c r="R1039" s="35"/>
      <c r="S1039" s="35"/>
      <c r="T1039" s="35"/>
      <c r="U1039" s="35"/>
      <c r="V1039" s="35"/>
      <c r="W1039" s="35"/>
      <c r="X1039" s="35"/>
      <c r="Y1039" s="35"/>
    </row>
    <row r="1040" ht="15.75" customHeight="1">
      <c r="A1040" s="35"/>
      <c r="B1040" s="35"/>
      <c r="C1040" s="35"/>
      <c r="D1040" s="35"/>
      <c r="E1040" s="35"/>
      <c r="F1040" s="50"/>
      <c r="G1040" s="35"/>
      <c r="H1040" s="35"/>
      <c r="I1040" s="35"/>
      <c r="J1040" s="35"/>
      <c r="K1040" s="35"/>
      <c r="L1040" s="35"/>
      <c r="M1040" s="35"/>
      <c r="N1040" s="35"/>
      <c r="O1040" s="35"/>
      <c r="P1040" s="35"/>
      <c r="Q1040" s="35"/>
      <c r="R1040" s="35"/>
      <c r="S1040" s="35"/>
      <c r="T1040" s="35"/>
      <c r="U1040" s="35"/>
      <c r="V1040" s="35"/>
      <c r="W1040" s="35"/>
      <c r="X1040" s="35"/>
      <c r="Y1040" s="35"/>
    </row>
    <row r="1041" ht="15.75" customHeight="1">
      <c r="A1041" s="35"/>
      <c r="B1041" s="35"/>
      <c r="C1041" s="35"/>
      <c r="D1041" s="35"/>
      <c r="E1041" s="35"/>
      <c r="F1041" s="50"/>
      <c r="G1041" s="35"/>
      <c r="H1041" s="35"/>
      <c r="I1041" s="35"/>
      <c r="J1041" s="35"/>
      <c r="K1041" s="35"/>
      <c r="L1041" s="35"/>
      <c r="M1041" s="35"/>
      <c r="N1041" s="35"/>
      <c r="O1041" s="35"/>
      <c r="P1041" s="35"/>
      <c r="Q1041" s="35"/>
      <c r="R1041" s="35"/>
      <c r="S1041" s="35"/>
      <c r="T1041" s="35"/>
      <c r="U1041" s="35"/>
      <c r="V1041" s="35"/>
      <c r="W1041" s="35"/>
      <c r="X1041" s="35"/>
      <c r="Y1041" s="35"/>
    </row>
    <row r="1042" ht="15.75" customHeight="1">
      <c r="A1042" s="35"/>
      <c r="B1042" s="35"/>
      <c r="C1042" s="35"/>
      <c r="D1042" s="35"/>
      <c r="E1042" s="35"/>
      <c r="F1042" s="50"/>
      <c r="G1042" s="35"/>
      <c r="H1042" s="35"/>
      <c r="I1042" s="35"/>
      <c r="J1042" s="35"/>
      <c r="K1042" s="35"/>
      <c r="L1042" s="35"/>
      <c r="M1042" s="35"/>
      <c r="N1042" s="35"/>
      <c r="O1042" s="35"/>
      <c r="P1042" s="35"/>
      <c r="Q1042" s="35"/>
      <c r="R1042" s="35"/>
      <c r="S1042" s="35"/>
      <c r="T1042" s="35"/>
      <c r="U1042" s="35"/>
      <c r="V1042" s="35"/>
      <c r="W1042" s="35"/>
      <c r="X1042" s="35"/>
      <c r="Y1042" s="35"/>
    </row>
    <row r="1043" ht="15.75" customHeight="1">
      <c r="A1043" s="35"/>
      <c r="B1043" s="35"/>
      <c r="C1043" s="35"/>
      <c r="D1043" s="35"/>
      <c r="E1043" s="35"/>
      <c r="F1043" s="50"/>
      <c r="G1043" s="35"/>
      <c r="H1043" s="35"/>
      <c r="I1043" s="35"/>
      <c r="J1043" s="35"/>
      <c r="K1043" s="35"/>
      <c r="L1043" s="35"/>
      <c r="M1043" s="35"/>
      <c r="N1043" s="35"/>
      <c r="O1043" s="35"/>
      <c r="P1043" s="35"/>
      <c r="Q1043" s="35"/>
      <c r="R1043" s="35"/>
      <c r="S1043" s="35"/>
      <c r="T1043" s="35"/>
      <c r="U1043" s="35"/>
      <c r="V1043" s="35"/>
      <c r="W1043" s="35"/>
      <c r="X1043" s="35"/>
      <c r="Y1043" s="35"/>
    </row>
    <row r="1044" ht="15.75" customHeight="1">
      <c r="A1044" s="35"/>
      <c r="B1044" s="35"/>
      <c r="C1044" s="35"/>
      <c r="D1044" s="35"/>
      <c r="E1044" s="35"/>
      <c r="F1044" s="50"/>
      <c r="G1044" s="35"/>
      <c r="H1044" s="35"/>
      <c r="I1044" s="35"/>
      <c r="J1044" s="35"/>
      <c r="K1044" s="35"/>
      <c r="L1044" s="35"/>
      <c r="M1044" s="35"/>
      <c r="N1044" s="35"/>
      <c r="O1044" s="35"/>
      <c r="P1044" s="35"/>
      <c r="Q1044" s="35"/>
      <c r="R1044" s="35"/>
      <c r="S1044" s="35"/>
      <c r="T1044" s="35"/>
      <c r="U1044" s="35"/>
      <c r="V1044" s="35"/>
      <c r="W1044" s="35"/>
      <c r="X1044" s="35"/>
      <c r="Y1044" s="35"/>
    </row>
    <row r="1045" ht="15.75" customHeight="1">
      <c r="A1045" s="35"/>
      <c r="B1045" s="35"/>
      <c r="C1045" s="35"/>
      <c r="D1045" s="35"/>
      <c r="E1045" s="35"/>
      <c r="F1045" s="50"/>
      <c r="G1045" s="35"/>
      <c r="H1045" s="35"/>
      <c r="I1045" s="35"/>
      <c r="J1045" s="35"/>
      <c r="K1045" s="35"/>
      <c r="L1045" s="35"/>
      <c r="M1045" s="35"/>
      <c r="N1045" s="35"/>
      <c r="O1045" s="35"/>
      <c r="P1045" s="35"/>
      <c r="Q1045" s="35"/>
      <c r="R1045" s="35"/>
      <c r="S1045" s="35"/>
      <c r="T1045" s="35"/>
      <c r="U1045" s="35"/>
      <c r="V1045" s="35"/>
      <c r="W1045" s="35"/>
      <c r="X1045" s="35"/>
      <c r="Y1045" s="35"/>
    </row>
    <row r="1046" ht="15.75" customHeight="1">
      <c r="A1046" s="35"/>
      <c r="B1046" s="35"/>
      <c r="C1046" s="35"/>
      <c r="D1046" s="35"/>
      <c r="E1046" s="35"/>
      <c r="F1046" s="50"/>
      <c r="G1046" s="35"/>
      <c r="H1046" s="35"/>
      <c r="I1046" s="35"/>
      <c r="J1046" s="35"/>
      <c r="K1046" s="35"/>
      <c r="L1046" s="35"/>
      <c r="M1046" s="35"/>
      <c r="N1046" s="35"/>
      <c r="O1046" s="35"/>
      <c r="P1046" s="35"/>
      <c r="Q1046" s="35"/>
      <c r="R1046" s="35"/>
      <c r="S1046" s="35"/>
      <c r="T1046" s="35"/>
      <c r="U1046" s="35"/>
      <c r="V1046" s="35"/>
      <c r="W1046" s="35"/>
      <c r="X1046" s="35"/>
      <c r="Y1046" s="35"/>
    </row>
    <row r="1047" ht="15.75" customHeight="1">
      <c r="A1047" s="35"/>
      <c r="B1047" s="35"/>
      <c r="C1047" s="35"/>
      <c r="D1047" s="35"/>
      <c r="E1047" s="35"/>
      <c r="F1047" s="50"/>
      <c r="G1047" s="35"/>
      <c r="H1047" s="35"/>
      <c r="I1047" s="35"/>
      <c r="J1047" s="35"/>
      <c r="K1047" s="35"/>
      <c r="L1047" s="35"/>
      <c r="M1047" s="35"/>
      <c r="N1047" s="35"/>
      <c r="O1047" s="35"/>
      <c r="P1047" s="35"/>
      <c r="Q1047" s="35"/>
      <c r="R1047" s="35"/>
      <c r="S1047" s="35"/>
      <c r="T1047" s="35"/>
      <c r="U1047" s="35"/>
      <c r="V1047" s="35"/>
      <c r="W1047" s="35"/>
      <c r="X1047" s="35"/>
      <c r="Y1047" s="35"/>
    </row>
    <row r="1048" ht="15.75" customHeight="1">
      <c r="A1048" s="35"/>
      <c r="B1048" s="35"/>
      <c r="C1048" s="35"/>
      <c r="D1048" s="35"/>
      <c r="E1048" s="35"/>
      <c r="F1048" s="50"/>
      <c r="G1048" s="35"/>
      <c r="H1048" s="35"/>
      <c r="I1048" s="35"/>
      <c r="J1048" s="35"/>
      <c r="K1048" s="35"/>
      <c r="L1048" s="35"/>
      <c r="M1048" s="35"/>
      <c r="N1048" s="35"/>
      <c r="O1048" s="35"/>
      <c r="P1048" s="35"/>
      <c r="Q1048" s="35"/>
      <c r="R1048" s="35"/>
      <c r="S1048" s="35"/>
      <c r="T1048" s="35"/>
      <c r="U1048" s="35"/>
      <c r="V1048" s="35"/>
      <c r="W1048" s="35"/>
      <c r="X1048" s="35"/>
      <c r="Y1048" s="35"/>
    </row>
    <row r="1049" ht="15.75" customHeight="1">
      <c r="A1049" s="35"/>
      <c r="B1049" s="35"/>
      <c r="C1049" s="35"/>
      <c r="D1049" s="35"/>
      <c r="E1049" s="35"/>
      <c r="F1049" s="50"/>
      <c r="G1049" s="35"/>
      <c r="H1049" s="35"/>
      <c r="I1049" s="35"/>
      <c r="J1049" s="35"/>
      <c r="K1049" s="35"/>
      <c r="L1049" s="35"/>
      <c r="M1049" s="35"/>
      <c r="N1049" s="35"/>
      <c r="O1049" s="35"/>
      <c r="P1049" s="35"/>
      <c r="Q1049" s="35"/>
      <c r="R1049" s="35"/>
      <c r="S1049" s="35"/>
      <c r="T1049" s="35"/>
      <c r="U1049" s="35"/>
      <c r="V1049" s="35"/>
      <c r="W1049" s="35"/>
      <c r="X1049" s="35"/>
      <c r="Y1049" s="35"/>
    </row>
    <row r="1050" ht="15.75" customHeight="1">
      <c r="A1050" s="35"/>
      <c r="B1050" s="35"/>
      <c r="C1050" s="35"/>
      <c r="D1050" s="35"/>
      <c r="E1050" s="35"/>
      <c r="F1050" s="50"/>
      <c r="G1050" s="35"/>
      <c r="H1050" s="35"/>
      <c r="I1050" s="35"/>
      <c r="J1050" s="35"/>
      <c r="K1050" s="35"/>
      <c r="L1050" s="35"/>
      <c r="M1050" s="35"/>
      <c r="N1050" s="35"/>
      <c r="O1050" s="35"/>
      <c r="P1050" s="35"/>
      <c r="Q1050" s="35"/>
      <c r="R1050" s="35"/>
      <c r="S1050" s="35"/>
      <c r="T1050" s="35"/>
      <c r="U1050" s="35"/>
      <c r="V1050" s="35"/>
      <c r="W1050" s="35"/>
      <c r="X1050" s="35"/>
      <c r="Y1050" s="35"/>
    </row>
    <row r="1051" ht="15.75" customHeight="1">
      <c r="A1051" s="35"/>
      <c r="B1051" s="35"/>
      <c r="C1051" s="35"/>
      <c r="D1051" s="35"/>
      <c r="E1051" s="35"/>
      <c r="F1051" s="50"/>
      <c r="G1051" s="35"/>
      <c r="H1051" s="35"/>
      <c r="I1051" s="35"/>
      <c r="J1051" s="35"/>
      <c r="K1051" s="35"/>
      <c r="L1051" s="35"/>
      <c r="M1051" s="35"/>
      <c r="N1051" s="35"/>
      <c r="O1051" s="35"/>
      <c r="P1051" s="35"/>
      <c r="Q1051" s="35"/>
      <c r="R1051" s="35"/>
      <c r="S1051" s="35"/>
      <c r="T1051" s="35"/>
      <c r="U1051" s="35"/>
      <c r="V1051" s="35"/>
      <c r="W1051" s="35"/>
      <c r="X1051" s="35"/>
      <c r="Y1051" s="35"/>
    </row>
    <row r="1052" ht="15.75" customHeight="1">
      <c r="A1052" s="35"/>
      <c r="B1052" s="35"/>
      <c r="C1052" s="35"/>
      <c r="D1052" s="35"/>
      <c r="E1052" s="35"/>
      <c r="F1052" s="50"/>
      <c r="G1052" s="35"/>
      <c r="H1052" s="35"/>
      <c r="I1052" s="35"/>
      <c r="J1052" s="35"/>
      <c r="K1052" s="35"/>
      <c r="L1052" s="35"/>
      <c r="M1052" s="35"/>
      <c r="N1052" s="35"/>
      <c r="O1052" s="35"/>
      <c r="P1052" s="35"/>
      <c r="Q1052" s="35"/>
      <c r="R1052" s="35"/>
      <c r="S1052" s="35"/>
      <c r="T1052" s="35"/>
      <c r="U1052" s="35"/>
      <c r="V1052" s="35"/>
      <c r="W1052" s="35"/>
      <c r="X1052" s="35"/>
      <c r="Y1052" s="35"/>
    </row>
    <row r="1053" ht="15.75" customHeight="1">
      <c r="A1053" s="35"/>
      <c r="B1053" s="35"/>
      <c r="C1053" s="35"/>
      <c r="D1053" s="35"/>
      <c r="E1053" s="35"/>
      <c r="F1053" s="50"/>
      <c r="G1053" s="35"/>
      <c r="H1053" s="35"/>
      <c r="I1053" s="35"/>
      <c r="J1053" s="35"/>
      <c r="K1053" s="35"/>
      <c r="L1053" s="35"/>
      <c r="M1053" s="35"/>
      <c r="N1053" s="35"/>
      <c r="O1053" s="35"/>
      <c r="P1053" s="35"/>
      <c r="Q1053" s="35"/>
      <c r="R1053" s="35"/>
      <c r="S1053" s="35"/>
      <c r="T1053" s="35"/>
      <c r="U1053" s="35"/>
      <c r="V1053" s="35"/>
      <c r="W1053" s="35"/>
      <c r="X1053" s="35"/>
      <c r="Y1053" s="35"/>
    </row>
    <row r="1054" ht="15.75" customHeight="1">
      <c r="A1054" s="35"/>
      <c r="B1054" s="35"/>
      <c r="C1054" s="35"/>
      <c r="D1054" s="35"/>
      <c r="E1054" s="35"/>
      <c r="F1054" s="50"/>
      <c r="G1054" s="35"/>
      <c r="H1054" s="35"/>
      <c r="I1054" s="35"/>
      <c r="J1054" s="35"/>
      <c r="K1054" s="35"/>
      <c r="L1054" s="35"/>
      <c r="M1054" s="35"/>
      <c r="N1054" s="35"/>
      <c r="O1054" s="35"/>
      <c r="P1054" s="35"/>
      <c r="Q1054" s="35"/>
      <c r="R1054" s="35"/>
      <c r="S1054" s="35"/>
      <c r="T1054" s="35"/>
      <c r="U1054" s="35"/>
      <c r="V1054" s="35"/>
      <c r="W1054" s="35"/>
      <c r="X1054" s="35"/>
      <c r="Y1054" s="35"/>
    </row>
    <row r="1055" ht="15.75" customHeight="1">
      <c r="A1055" s="35"/>
      <c r="B1055" s="35"/>
      <c r="C1055" s="35"/>
      <c r="D1055" s="35"/>
      <c r="E1055" s="35"/>
      <c r="F1055" s="50"/>
      <c r="G1055" s="35"/>
      <c r="H1055" s="35"/>
      <c r="I1055" s="35"/>
      <c r="J1055" s="35"/>
      <c r="K1055" s="35"/>
      <c r="L1055" s="35"/>
      <c r="M1055" s="35"/>
      <c r="N1055" s="35"/>
      <c r="O1055" s="35"/>
      <c r="P1055" s="35"/>
      <c r="Q1055" s="35"/>
      <c r="R1055" s="35"/>
      <c r="S1055" s="35"/>
      <c r="T1055" s="35"/>
      <c r="U1055" s="35"/>
      <c r="V1055" s="35"/>
      <c r="W1055" s="35"/>
      <c r="X1055" s="35"/>
      <c r="Y1055" s="35"/>
    </row>
    <row r="1056" ht="15.75" customHeight="1">
      <c r="A1056" s="35"/>
      <c r="B1056" s="35"/>
      <c r="C1056" s="35"/>
      <c r="D1056" s="35"/>
      <c r="E1056" s="35"/>
      <c r="F1056" s="50"/>
      <c r="G1056" s="35"/>
      <c r="H1056" s="35"/>
      <c r="I1056" s="35"/>
      <c r="J1056" s="35"/>
      <c r="K1056" s="35"/>
      <c r="L1056" s="35"/>
      <c r="M1056" s="35"/>
      <c r="N1056" s="35"/>
      <c r="O1056" s="35"/>
      <c r="P1056" s="35"/>
      <c r="Q1056" s="35"/>
      <c r="R1056" s="35"/>
      <c r="S1056" s="35"/>
      <c r="T1056" s="35"/>
      <c r="U1056" s="35"/>
      <c r="V1056" s="35"/>
      <c r="W1056" s="35"/>
      <c r="X1056" s="35"/>
      <c r="Y1056" s="35"/>
    </row>
    <row r="1057" ht="15.75" customHeight="1">
      <c r="A1057" s="35"/>
      <c r="B1057" s="35"/>
      <c r="C1057" s="35"/>
      <c r="D1057" s="35"/>
      <c r="E1057" s="35"/>
      <c r="F1057" s="50"/>
      <c r="G1057" s="35"/>
      <c r="H1057" s="35"/>
      <c r="I1057" s="35"/>
      <c r="J1057" s="35"/>
      <c r="K1057" s="35"/>
      <c r="L1057" s="35"/>
      <c r="M1057" s="35"/>
      <c r="N1057" s="35"/>
      <c r="O1057" s="35"/>
      <c r="P1057" s="35"/>
      <c r="Q1057" s="35"/>
      <c r="R1057" s="35"/>
      <c r="S1057" s="35"/>
      <c r="T1057" s="35"/>
      <c r="U1057" s="35"/>
      <c r="V1057" s="35"/>
      <c r="W1057" s="35"/>
      <c r="X1057" s="35"/>
      <c r="Y1057" s="35"/>
    </row>
    <row r="1058" ht="15.75" customHeight="1">
      <c r="A1058" s="35"/>
      <c r="B1058" s="35"/>
      <c r="C1058" s="35"/>
      <c r="D1058" s="35"/>
      <c r="E1058" s="35"/>
      <c r="F1058" s="50"/>
      <c r="G1058" s="35"/>
      <c r="H1058" s="35"/>
      <c r="I1058" s="35"/>
      <c r="J1058" s="35"/>
      <c r="K1058" s="35"/>
      <c r="L1058" s="35"/>
      <c r="M1058" s="35"/>
      <c r="N1058" s="35"/>
      <c r="O1058" s="35"/>
      <c r="P1058" s="35"/>
      <c r="Q1058" s="35"/>
      <c r="R1058" s="35"/>
      <c r="S1058" s="35"/>
      <c r="T1058" s="35"/>
      <c r="U1058" s="35"/>
      <c r="V1058" s="35"/>
      <c r="W1058" s="35"/>
      <c r="X1058" s="35"/>
      <c r="Y1058" s="35"/>
    </row>
    <row r="1059" ht="15.75" customHeight="1">
      <c r="A1059" s="35"/>
      <c r="B1059" s="35"/>
      <c r="C1059" s="35"/>
      <c r="D1059" s="35"/>
      <c r="E1059" s="35"/>
      <c r="F1059" s="50"/>
      <c r="G1059" s="35"/>
      <c r="H1059" s="35"/>
      <c r="I1059" s="35"/>
      <c r="J1059" s="35"/>
      <c r="K1059" s="35"/>
      <c r="L1059" s="35"/>
      <c r="M1059" s="35"/>
      <c r="N1059" s="35"/>
      <c r="O1059" s="35"/>
      <c r="P1059" s="35"/>
      <c r="Q1059" s="35"/>
      <c r="R1059" s="35"/>
      <c r="S1059" s="35"/>
      <c r="T1059" s="35"/>
      <c r="U1059" s="35"/>
      <c r="V1059" s="35"/>
      <c r="W1059" s="35"/>
      <c r="X1059" s="35"/>
      <c r="Y1059" s="35"/>
    </row>
  </sheetData>
  <autoFilter ref="$A$1:$J$1059"/>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18.0"/>
    <col customWidth="1" min="4" max="4" width="20.0"/>
    <col customWidth="1" min="5" max="5" width="50.0"/>
    <col customWidth="1" min="6" max="6" width="44.0"/>
    <col customWidth="1" min="7" max="7" width="18.0"/>
    <col customWidth="1" min="8" max="8" width="14.0"/>
  </cols>
  <sheetData>
    <row r="1" ht="30.0" customHeight="1">
      <c r="A1" s="4" t="s">
        <v>157</v>
      </c>
      <c r="B1" s="4" t="s">
        <v>2</v>
      </c>
      <c r="C1" s="4" t="s">
        <v>38</v>
      </c>
      <c r="D1" s="4" t="s">
        <v>158</v>
      </c>
      <c r="E1" s="4" t="s">
        <v>159</v>
      </c>
      <c r="F1" s="4" t="s">
        <v>160</v>
      </c>
      <c r="G1" s="4" t="s">
        <v>161</v>
      </c>
      <c r="H1" s="4" t="s">
        <v>162</v>
      </c>
    </row>
    <row r="2">
      <c r="A2" s="24"/>
      <c r="B2" s="16"/>
      <c r="C2" s="16"/>
      <c r="D2" s="16"/>
      <c r="E2" s="16"/>
      <c r="F2" s="16"/>
      <c r="G2" s="16"/>
      <c r="H2" s="16"/>
    </row>
    <row r="3">
      <c r="A3" s="24"/>
      <c r="B3" s="16"/>
      <c r="C3" s="16"/>
      <c r="D3" s="16"/>
      <c r="E3" s="16"/>
      <c r="F3" s="16"/>
      <c r="G3" s="16"/>
      <c r="H3" s="16"/>
    </row>
    <row r="4">
      <c r="A4" s="24"/>
      <c r="B4" s="16"/>
      <c r="C4" s="16"/>
      <c r="D4" s="16"/>
      <c r="E4" s="16"/>
      <c r="F4" s="16"/>
      <c r="G4" s="16"/>
      <c r="H4" s="16"/>
    </row>
    <row r="5">
      <c r="A5" s="24"/>
      <c r="B5" s="16"/>
      <c r="C5" s="16"/>
      <c r="D5" s="16"/>
      <c r="E5" s="16"/>
      <c r="F5" s="16"/>
      <c r="G5" s="16"/>
      <c r="H5" s="16"/>
    </row>
    <row r="6">
      <c r="A6" s="24"/>
      <c r="B6" s="16"/>
      <c r="C6" s="16"/>
      <c r="D6" s="16"/>
      <c r="E6" s="16"/>
      <c r="F6" s="16"/>
      <c r="G6" s="16"/>
      <c r="H6" s="16"/>
    </row>
    <row r="7">
      <c r="A7" s="24"/>
      <c r="B7" s="16"/>
      <c r="C7" s="16"/>
      <c r="D7" s="16"/>
      <c r="E7" s="16"/>
      <c r="F7" s="16"/>
      <c r="G7" s="16"/>
      <c r="H7" s="16"/>
    </row>
    <row r="8">
      <c r="A8" s="24"/>
      <c r="B8" s="16"/>
      <c r="C8" s="16"/>
      <c r="D8" s="16"/>
      <c r="E8" s="16"/>
      <c r="F8" s="16"/>
      <c r="G8" s="16"/>
      <c r="H8" s="16"/>
    </row>
    <row r="9">
      <c r="A9" s="24"/>
      <c r="B9" s="16"/>
      <c r="C9" s="16"/>
      <c r="D9" s="16"/>
      <c r="E9" s="16"/>
      <c r="F9" s="16"/>
      <c r="G9" s="16"/>
      <c r="H9" s="16"/>
    </row>
    <row r="10">
      <c r="A10" s="24"/>
      <c r="B10" s="16"/>
      <c r="C10" s="16"/>
      <c r="D10" s="16"/>
      <c r="E10" s="16"/>
      <c r="F10" s="16"/>
      <c r="G10" s="16"/>
      <c r="H10" s="16"/>
    </row>
    <row r="11">
      <c r="A11" s="24"/>
      <c r="B11" s="16"/>
      <c r="C11" s="16"/>
      <c r="D11" s="16"/>
      <c r="E11" s="16"/>
      <c r="F11" s="16"/>
      <c r="G11" s="16"/>
      <c r="H11" s="16"/>
    </row>
    <row r="12">
      <c r="A12" s="24"/>
      <c r="B12" s="16"/>
      <c r="C12" s="16"/>
      <c r="D12" s="16"/>
      <c r="E12" s="16"/>
      <c r="F12" s="16"/>
      <c r="G12" s="16"/>
      <c r="H12" s="16"/>
    </row>
    <row r="13">
      <c r="A13" s="24"/>
      <c r="B13" s="16"/>
      <c r="C13" s="16"/>
      <c r="D13" s="16"/>
      <c r="E13" s="16"/>
      <c r="F13" s="16"/>
      <c r="G13" s="16"/>
      <c r="H13" s="16"/>
    </row>
    <row r="14">
      <c r="A14" s="24"/>
      <c r="B14" s="16"/>
      <c r="C14" s="16"/>
      <c r="D14" s="16"/>
      <c r="E14" s="16"/>
      <c r="F14" s="16"/>
      <c r="G14" s="16"/>
      <c r="H14" s="16"/>
    </row>
    <row r="15">
      <c r="A15" s="24"/>
      <c r="B15" s="16"/>
      <c r="C15" s="16"/>
      <c r="D15" s="16"/>
      <c r="E15" s="16"/>
      <c r="F15" s="16"/>
      <c r="G15" s="16"/>
      <c r="H15" s="16"/>
    </row>
    <row r="16">
      <c r="A16" s="24"/>
      <c r="B16" s="16"/>
      <c r="C16" s="16"/>
      <c r="D16" s="16"/>
      <c r="E16" s="16"/>
      <c r="F16" s="16"/>
      <c r="G16" s="16"/>
      <c r="H16" s="16"/>
    </row>
    <row r="17">
      <c r="A17" s="24"/>
      <c r="B17" s="16"/>
      <c r="C17" s="16"/>
      <c r="D17" s="16"/>
      <c r="E17" s="16"/>
      <c r="F17" s="16"/>
      <c r="G17" s="16"/>
      <c r="H17" s="16"/>
    </row>
    <row r="18">
      <c r="A18" s="24"/>
      <c r="B18" s="16"/>
      <c r="C18" s="16"/>
      <c r="D18" s="16"/>
      <c r="E18" s="16"/>
      <c r="F18" s="16"/>
      <c r="G18" s="16"/>
      <c r="H18" s="16"/>
    </row>
    <row r="19">
      <c r="A19" s="24"/>
      <c r="B19" s="16"/>
      <c r="C19" s="16"/>
      <c r="D19" s="16"/>
      <c r="E19" s="16"/>
      <c r="F19" s="16"/>
      <c r="G19" s="16"/>
      <c r="H19" s="16"/>
    </row>
    <row r="20">
      <c r="A20" s="24"/>
      <c r="B20" s="16"/>
      <c r="C20" s="16"/>
      <c r="D20" s="16"/>
      <c r="E20" s="16"/>
      <c r="F20" s="16"/>
      <c r="G20" s="16"/>
      <c r="H20" s="16"/>
    </row>
    <row r="21" ht="15.75" customHeight="1">
      <c r="A21" s="24"/>
      <c r="B21" s="16"/>
      <c r="C21" s="16"/>
      <c r="D21" s="16"/>
      <c r="E21" s="16"/>
      <c r="F21" s="16"/>
      <c r="G21" s="16"/>
      <c r="H21" s="16"/>
    </row>
    <row r="22" ht="15.75" customHeight="1">
      <c r="A22" s="24"/>
      <c r="B22" s="16"/>
      <c r="C22" s="16"/>
      <c r="D22" s="16"/>
      <c r="E22" s="16"/>
      <c r="F22" s="16"/>
      <c r="G22" s="16"/>
      <c r="H22" s="16"/>
    </row>
    <row r="23" ht="15.75" customHeight="1">
      <c r="A23" s="24"/>
      <c r="B23" s="16"/>
      <c r="C23" s="16"/>
      <c r="D23" s="16"/>
      <c r="E23" s="16"/>
      <c r="F23" s="16"/>
      <c r="G23" s="16"/>
      <c r="H23" s="16"/>
    </row>
    <row r="24" ht="15.75" customHeight="1">
      <c r="A24" s="24"/>
      <c r="B24" s="16"/>
      <c r="C24" s="16"/>
      <c r="D24" s="16"/>
      <c r="E24" s="16"/>
      <c r="F24" s="16"/>
      <c r="G24" s="16"/>
      <c r="H24" s="16"/>
    </row>
    <row r="25" ht="15.75" customHeight="1">
      <c r="A25" s="24"/>
      <c r="B25" s="16"/>
      <c r="C25" s="16"/>
      <c r="D25" s="16"/>
      <c r="E25" s="16"/>
      <c r="F25" s="16"/>
      <c r="G25" s="16"/>
      <c r="H25" s="16"/>
    </row>
    <row r="26" ht="15.75" customHeight="1">
      <c r="A26" s="24"/>
      <c r="B26" s="16"/>
      <c r="C26" s="16"/>
      <c r="D26" s="16"/>
      <c r="E26" s="16"/>
      <c r="F26" s="16"/>
      <c r="G26" s="16"/>
      <c r="H26" s="16"/>
    </row>
    <row r="27" ht="15.75" customHeight="1">
      <c r="A27" s="24"/>
      <c r="B27" s="16"/>
      <c r="C27" s="16"/>
      <c r="D27" s="16"/>
      <c r="E27" s="16"/>
      <c r="F27" s="16"/>
      <c r="G27" s="16"/>
      <c r="H27" s="16"/>
    </row>
    <row r="28" ht="15.75" customHeight="1">
      <c r="A28" s="24"/>
      <c r="B28" s="16"/>
      <c r="C28" s="16"/>
      <c r="D28" s="16"/>
      <c r="E28" s="16"/>
      <c r="F28" s="16"/>
      <c r="G28" s="16"/>
      <c r="H28" s="16"/>
    </row>
    <row r="29" ht="15.75" customHeight="1">
      <c r="A29" s="24"/>
      <c r="B29" s="16"/>
      <c r="C29" s="16"/>
      <c r="D29" s="16"/>
      <c r="E29" s="16"/>
      <c r="F29" s="16"/>
      <c r="G29" s="16"/>
      <c r="H29" s="16"/>
    </row>
    <row r="30" ht="15.75" customHeight="1">
      <c r="A30" s="24"/>
      <c r="B30" s="16"/>
      <c r="C30" s="16"/>
      <c r="D30" s="16"/>
      <c r="E30" s="16"/>
      <c r="F30" s="16"/>
      <c r="G30" s="16"/>
      <c r="H30" s="16"/>
    </row>
    <row r="31" ht="15.75" customHeight="1">
      <c r="A31" s="24"/>
      <c r="B31" s="16"/>
      <c r="C31" s="16"/>
      <c r="D31" s="16"/>
      <c r="E31" s="16"/>
      <c r="F31" s="16"/>
      <c r="G31" s="16"/>
      <c r="H31" s="16"/>
    </row>
    <row r="32" ht="15.75" customHeight="1">
      <c r="A32" s="24"/>
      <c r="B32" s="16"/>
      <c r="C32" s="16"/>
      <c r="D32" s="16"/>
      <c r="E32" s="16"/>
      <c r="F32" s="16"/>
      <c r="G32" s="16"/>
      <c r="H32" s="16"/>
    </row>
    <row r="33" ht="15.75" customHeight="1">
      <c r="A33" s="24"/>
      <c r="B33" s="16"/>
      <c r="C33" s="16"/>
      <c r="D33" s="16"/>
      <c r="E33" s="16"/>
      <c r="F33" s="16"/>
      <c r="G33" s="16"/>
      <c r="H33" s="16"/>
    </row>
    <row r="34" ht="15.75" customHeight="1">
      <c r="A34" s="24"/>
      <c r="B34" s="16"/>
      <c r="C34" s="16"/>
      <c r="D34" s="16"/>
      <c r="E34" s="16"/>
      <c r="F34" s="16"/>
      <c r="G34" s="16"/>
      <c r="H34" s="16"/>
    </row>
    <row r="35" ht="15.75" customHeight="1">
      <c r="A35" s="24"/>
      <c r="B35" s="16"/>
      <c r="C35" s="16"/>
      <c r="D35" s="16"/>
      <c r="E35" s="16"/>
      <c r="F35" s="16"/>
      <c r="G35" s="16"/>
      <c r="H35" s="16"/>
    </row>
    <row r="36" ht="15.75" customHeight="1">
      <c r="A36" s="24"/>
      <c r="B36" s="16"/>
      <c r="C36" s="16"/>
      <c r="D36" s="16"/>
      <c r="E36" s="16"/>
      <c r="F36" s="16"/>
      <c r="G36" s="16"/>
      <c r="H36" s="16"/>
    </row>
    <row r="37" ht="15.75" customHeight="1">
      <c r="A37" s="24"/>
      <c r="B37" s="16"/>
      <c r="C37" s="16"/>
      <c r="D37" s="16"/>
      <c r="E37" s="16"/>
      <c r="F37" s="16"/>
      <c r="G37" s="16"/>
      <c r="H37" s="16"/>
    </row>
    <row r="38" ht="15.75" customHeight="1">
      <c r="A38" s="24"/>
      <c r="B38" s="16"/>
      <c r="C38" s="16"/>
      <c r="D38" s="16"/>
      <c r="E38" s="16"/>
      <c r="F38" s="16"/>
      <c r="G38" s="16"/>
      <c r="H38" s="16"/>
    </row>
    <row r="39" ht="15.75" customHeight="1">
      <c r="A39" s="24"/>
      <c r="B39" s="16"/>
      <c r="C39" s="16"/>
      <c r="D39" s="16"/>
      <c r="E39" s="16"/>
      <c r="F39" s="16"/>
      <c r="G39" s="16"/>
      <c r="H39" s="16"/>
    </row>
    <row r="40" ht="15.75" customHeight="1">
      <c r="A40" s="24"/>
      <c r="B40" s="16"/>
      <c r="C40" s="16"/>
      <c r="D40" s="16"/>
      <c r="E40" s="16"/>
      <c r="F40" s="16"/>
      <c r="G40" s="16"/>
      <c r="H40" s="16"/>
    </row>
    <row r="41" ht="15.75" customHeight="1">
      <c r="A41" s="24"/>
      <c r="B41" s="16"/>
      <c r="C41" s="16"/>
      <c r="D41" s="16"/>
      <c r="E41" s="16"/>
      <c r="F41" s="16"/>
      <c r="G41" s="16"/>
      <c r="H41" s="16"/>
    </row>
    <row r="42" ht="15.75" customHeight="1">
      <c r="A42" s="24"/>
      <c r="B42" s="16"/>
      <c r="C42" s="16"/>
      <c r="D42" s="16"/>
      <c r="E42" s="16"/>
      <c r="F42" s="16"/>
      <c r="G42" s="16"/>
      <c r="H42" s="16"/>
    </row>
    <row r="43" ht="15.75" customHeight="1">
      <c r="A43" s="24"/>
      <c r="B43" s="16"/>
      <c r="C43" s="16"/>
      <c r="D43" s="16"/>
      <c r="E43" s="16"/>
      <c r="F43" s="16"/>
      <c r="G43" s="16"/>
      <c r="H43" s="16"/>
    </row>
    <row r="44" ht="15.75" customHeight="1">
      <c r="A44" s="24"/>
      <c r="B44" s="16"/>
      <c r="C44" s="16"/>
      <c r="D44" s="16"/>
      <c r="E44" s="16"/>
      <c r="F44" s="16"/>
      <c r="G44" s="16"/>
      <c r="H44" s="16"/>
    </row>
    <row r="45" ht="15.75" customHeight="1">
      <c r="A45" s="24"/>
      <c r="B45" s="16"/>
      <c r="C45" s="16"/>
      <c r="D45" s="16"/>
      <c r="E45" s="16"/>
      <c r="F45" s="16"/>
      <c r="G45" s="16"/>
      <c r="H45" s="16"/>
    </row>
    <row r="46" ht="15.75" customHeight="1">
      <c r="A46" s="24"/>
      <c r="B46" s="16"/>
      <c r="C46" s="16"/>
      <c r="D46" s="16"/>
      <c r="E46" s="16"/>
      <c r="F46" s="16"/>
      <c r="G46" s="16"/>
      <c r="H46" s="16"/>
    </row>
    <row r="47" ht="15.75" customHeight="1">
      <c r="A47" s="24"/>
      <c r="B47" s="16"/>
      <c r="C47" s="16"/>
      <c r="D47" s="16"/>
      <c r="E47" s="16"/>
      <c r="F47" s="16"/>
      <c r="G47" s="16"/>
      <c r="H47" s="16"/>
    </row>
    <row r="48" ht="15.75" customHeight="1">
      <c r="A48" s="24"/>
      <c r="B48" s="16"/>
      <c r="C48" s="16"/>
      <c r="D48" s="16"/>
      <c r="E48" s="16"/>
      <c r="F48" s="16"/>
      <c r="G48" s="16"/>
      <c r="H48" s="16"/>
    </row>
    <row r="49" ht="15.75" customHeight="1">
      <c r="A49" s="24"/>
      <c r="B49" s="16"/>
      <c r="C49" s="16"/>
      <c r="D49" s="16"/>
      <c r="E49" s="16"/>
      <c r="F49" s="16"/>
      <c r="G49" s="16"/>
      <c r="H49" s="16"/>
    </row>
    <row r="50" ht="15.75" customHeight="1">
      <c r="A50" s="24"/>
      <c r="B50" s="16"/>
      <c r="C50" s="16"/>
      <c r="D50" s="16"/>
      <c r="E50" s="16"/>
      <c r="F50" s="16"/>
      <c r="G50" s="16"/>
      <c r="H50" s="16"/>
    </row>
    <row r="51" ht="15.75" customHeight="1">
      <c r="A51" s="24"/>
      <c r="B51" s="16"/>
      <c r="C51" s="16"/>
      <c r="D51" s="16"/>
      <c r="E51" s="16"/>
      <c r="F51" s="16"/>
      <c r="G51" s="16"/>
      <c r="H51" s="16"/>
    </row>
    <row r="52" ht="15.75" customHeight="1">
      <c r="A52" s="24"/>
      <c r="B52" s="16"/>
      <c r="C52" s="16"/>
      <c r="D52" s="16"/>
      <c r="E52" s="16"/>
      <c r="F52" s="16"/>
      <c r="G52" s="16"/>
      <c r="H52" s="16"/>
    </row>
    <row r="53" ht="15.75" customHeight="1">
      <c r="A53" s="24"/>
      <c r="B53" s="16"/>
      <c r="C53" s="16"/>
      <c r="D53" s="16"/>
      <c r="E53" s="16"/>
      <c r="F53" s="16"/>
      <c r="G53" s="16"/>
      <c r="H53" s="16"/>
    </row>
    <row r="54" ht="15.75" customHeight="1">
      <c r="A54" s="24"/>
      <c r="B54" s="16"/>
      <c r="C54" s="16"/>
      <c r="D54" s="16"/>
      <c r="E54" s="16"/>
      <c r="F54" s="16"/>
      <c r="G54" s="16"/>
      <c r="H54" s="16"/>
    </row>
    <row r="55" ht="15.75" customHeight="1">
      <c r="A55" s="24"/>
      <c r="B55" s="16"/>
      <c r="C55" s="16"/>
      <c r="D55" s="16"/>
      <c r="E55" s="16"/>
      <c r="F55" s="16"/>
      <c r="G55" s="16"/>
      <c r="H55" s="16"/>
    </row>
    <row r="56" ht="15.75" customHeight="1">
      <c r="A56" s="24"/>
      <c r="B56" s="16"/>
      <c r="C56" s="16"/>
      <c r="D56" s="16"/>
      <c r="E56" s="16"/>
      <c r="F56" s="16"/>
      <c r="G56" s="16"/>
      <c r="H56" s="16"/>
    </row>
    <row r="57" ht="15.75" customHeight="1">
      <c r="A57" s="24"/>
      <c r="B57" s="16"/>
      <c r="C57" s="16"/>
      <c r="D57" s="16"/>
      <c r="E57" s="16"/>
      <c r="F57" s="16"/>
      <c r="G57" s="16"/>
      <c r="H57" s="16"/>
    </row>
    <row r="58" ht="15.75" customHeight="1">
      <c r="A58" s="24"/>
      <c r="B58" s="16"/>
      <c r="C58" s="16"/>
      <c r="D58" s="16"/>
      <c r="E58" s="16"/>
      <c r="F58" s="16"/>
      <c r="G58" s="16"/>
      <c r="H58" s="16"/>
    </row>
    <row r="59" ht="15.75" customHeight="1">
      <c r="A59" s="24"/>
      <c r="B59" s="16"/>
      <c r="C59" s="16"/>
      <c r="D59" s="16"/>
      <c r="E59" s="16"/>
      <c r="F59" s="16"/>
      <c r="G59" s="16"/>
      <c r="H59" s="16"/>
    </row>
    <row r="60" ht="15.75" customHeight="1">
      <c r="A60" s="24"/>
      <c r="B60" s="16"/>
      <c r="C60" s="16"/>
      <c r="D60" s="16"/>
      <c r="E60" s="16"/>
      <c r="F60" s="16"/>
      <c r="G60" s="16"/>
      <c r="H60" s="16"/>
    </row>
    <row r="61" ht="15.75" customHeight="1">
      <c r="A61" s="24"/>
      <c r="B61" s="16"/>
      <c r="C61" s="16"/>
      <c r="D61" s="16"/>
      <c r="E61" s="16"/>
      <c r="F61" s="16"/>
      <c r="G61" s="16"/>
      <c r="H61" s="16"/>
    </row>
    <row r="62" ht="15.75" customHeight="1">
      <c r="A62" s="24"/>
      <c r="B62" s="16"/>
      <c r="C62" s="16"/>
      <c r="D62" s="16"/>
      <c r="E62" s="16"/>
      <c r="F62" s="16"/>
      <c r="G62" s="16"/>
      <c r="H62" s="16"/>
    </row>
    <row r="63" ht="15.75" customHeight="1">
      <c r="A63" s="24"/>
      <c r="B63" s="16"/>
      <c r="C63" s="16"/>
      <c r="D63" s="16"/>
      <c r="E63" s="16"/>
      <c r="F63" s="16"/>
      <c r="G63" s="16"/>
      <c r="H63" s="16"/>
    </row>
    <row r="64" ht="15.75" customHeight="1">
      <c r="A64" s="24"/>
      <c r="B64" s="16"/>
      <c r="C64" s="16"/>
      <c r="D64" s="16"/>
      <c r="E64" s="16"/>
      <c r="F64" s="16"/>
      <c r="G64" s="16"/>
      <c r="H64" s="16"/>
    </row>
    <row r="65" ht="15.75" customHeight="1">
      <c r="A65" s="24"/>
      <c r="B65" s="16"/>
      <c r="C65" s="16"/>
      <c r="D65" s="16"/>
      <c r="E65" s="16"/>
      <c r="F65" s="16"/>
      <c r="G65" s="16"/>
      <c r="H65" s="16"/>
    </row>
    <row r="66" ht="15.75" customHeight="1">
      <c r="A66" s="24"/>
      <c r="B66" s="16"/>
      <c r="C66" s="16"/>
      <c r="D66" s="16"/>
      <c r="E66" s="16"/>
      <c r="F66" s="16"/>
      <c r="G66" s="16"/>
      <c r="H66" s="16"/>
    </row>
    <row r="67" ht="15.75" customHeight="1">
      <c r="A67" s="24"/>
      <c r="B67" s="16"/>
      <c r="C67" s="16"/>
      <c r="D67" s="16"/>
      <c r="E67" s="16"/>
      <c r="F67" s="16"/>
      <c r="G67" s="16"/>
      <c r="H67" s="16"/>
    </row>
    <row r="68" ht="15.75" customHeight="1">
      <c r="A68" s="24"/>
      <c r="B68" s="16"/>
      <c r="C68" s="16"/>
      <c r="D68" s="16"/>
      <c r="E68" s="16"/>
      <c r="F68" s="16"/>
      <c r="G68" s="16"/>
      <c r="H68" s="16"/>
    </row>
    <row r="69" ht="15.75" customHeight="1">
      <c r="A69" s="24"/>
      <c r="B69" s="16"/>
      <c r="C69" s="16"/>
      <c r="D69" s="16"/>
      <c r="E69" s="16"/>
      <c r="F69" s="16"/>
      <c r="G69" s="16"/>
      <c r="H69" s="16"/>
    </row>
    <row r="70" ht="15.75" customHeight="1">
      <c r="A70" s="24"/>
      <c r="B70" s="16"/>
      <c r="C70" s="16"/>
      <c r="D70" s="16"/>
      <c r="E70" s="16"/>
      <c r="F70" s="16"/>
      <c r="G70" s="16"/>
      <c r="H70" s="16"/>
    </row>
    <row r="71" ht="15.75" customHeight="1">
      <c r="A71" s="24"/>
      <c r="B71" s="16"/>
      <c r="C71" s="16"/>
      <c r="D71" s="16"/>
      <c r="E71" s="16"/>
      <c r="F71" s="16"/>
      <c r="G71" s="16"/>
      <c r="H71" s="16"/>
    </row>
    <row r="72" ht="15.75" customHeight="1">
      <c r="A72" s="24"/>
      <c r="B72" s="16"/>
      <c r="C72" s="16"/>
      <c r="D72" s="16"/>
      <c r="E72" s="16"/>
      <c r="F72" s="16"/>
      <c r="G72" s="16"/>
      <c r="H72" s="16"/>
    </row>
    <row r="73" ht="15.75" customHeight="1">
      <c r="A73" s="24"/>
      <c r="B73" s="16"/>
      <c r="C73" s="16"/>
      <c r="D73" s="16"/>
      <c r="E73" s="16"/>
      <c r="F73" s="16"/>
      <c r="G73" s="16"/>
      <c r="H73" s="16"/>
    </row>
    <row r="74" ht="15.75" customHeight="1">
      <c r="A74" s="24"/>
      <c r="B74" s="16"/>
      <c r="C74" s="16"/>
      <c r="D74" s="16"/>
      <c r="E74" s="16"/>
      <c r="F74" s="16"/>
      <c r="G74" s="16"/>
      <c r="H74" s="16"/>
    </row>
    <row r="75" ht="15.75" customHeight="1">
      <c r="A75" s="24"/>
      <c r="B75" s="16"/>
      <c r="C75" s="16"/>
      <c r="D75" s="16"/>
      <c r="E75" s="16"/>
      <c r="F75" s="16"/>
      <c r="G75" s="16"/>
      <c r="H75" s="16"/>
    </row>
    <row r="76" ht="15.75" customHeight="1">
      <c r="A76" s="24"/>
      <c r="B76" s="16"/>
      <c r="C76" s="16"/>
      <c r="D76" s="16"/>
      <c r="E76" s="16"/>
      <c r="F76" s="16"/>
      <c r="G76" s="16"/>
      <c r="H76" s="16"/>
    </row>
    <row r="77" ht="15.75" customHeight="1">
      <c r="A77" s="24"/>
      <c r="B77" s="16"/>
      <c r="C77" s="16"/>
      <c r="D77" s="16"/>
      <c r="E77" s="16"/>
      <c r="F77" s="16"/>
      <c r="G77" s="16"/>
      <c r="H77" s="16"/>
    </row>
    <row r="78" ht="15.75" customHeight="1">
      <c r="A78" s="24"/>
      <c r="B78" s="16"/>
      <c r="C78" s="16"/>
      <c r="D78" s="16"/>
      <c r="E78" s="16"/>
      <c r="F78" s="16"/>
      <c r="G78" s="16"/>
      <c r="H78" s="16"/>
    </row>
    <row r="79" ht="15.75" customHeight="1">
      <c r="A79" s="24"/>
      <c r="B79" s="16"/>
      <c r="C79" s="16"/>
      <c r="D79" s="16"/>
      <c r="E79" s="16"/>
      <c r="F79" s="16"/>
      <c r="G79" s="16"/>
      <c r="H79" s="16"/>
    </row>
    <row r="80" ht="15.75" customHeight="1">
      <c r="A80" s="24"/>
      <c r="B80" s="16"/>
      <c r="C80" s="16"/>
      <c r="D80" s="16"/>
      <c r="E80" s="16"/>
      <c r="F80" s="16"/>
      <c r="G80" s="16"/>
      <c r="H80" s="16"/>
    </row>
    <row r="81" ht="15.75" customHeight="1">
      <c r="A81" s="24"/>
      <c r="B81" s="16"/>
      <c r="C81" s="16"/>
      <c r="D81" s="16"/>
      <c r="E81" s="16"/>
      <c r="F81" s="16"/>
      <c r="G81" s="16"/>
      <c r="H81" s="16"/>
    </row>
    <row r="82" ht="15.75" customHeight="1">
      <c r="A82" s="24"/>
      <c r="B82" s="16"/>
      <c r="C82" s="16"/>
      <c r="D82" s="16"/>
      <c r="E82" s="16"/>
      <c r="F82" s="16"/>
      <c r="G82" s="16"/>
      <c r="H82" s="16"/>
    </row>
    <row r="83" ht="15.75" customHeight="1">
      <c r="A83" s="24"/>
      <c r="B83" s="16"/>
      <c r="C83" s="16"/>
      <c r="D83" s="16"/>
      <c r="E83" s="16"/>
      <c r="F83" s="16"/>
      <c r="G83" s="16"/>
      <c r="H83" s="16"/>
    </row>
    <row r="84" ht="15.75" customHeight="1">
      <c r="A84" s="24"/>
      <c r="B84" s="16"/>
      <c r="C84" s="16"/>
      <c r="D84" s="16"/>
      <c r="E84" s="16"/>
      <c r="F84" s="16"/>
      <c r="G84" s="16"/>
      <c r="H84" s="16"/>
    </row>
    <row r="85" ht="15.75" customHeight="1">
      <c r="A85" s="24"/>
      <c r="B85" s="16"/>
      <c r="C85" s="16"/>
      <c r="D85" s="16"/>
      <c r="E85" s="16"/>
      <c r="F85" s="16"/>
      <c r="G85" s="16"/>
      <c r="H85" s="16"/>
    </row>
    <row r="86" ht="15.75" customHeight="1">
      <c r="A86" s="24"/>
      <c r="B86" s="16"/>
      <c r="C86" s="16"/>
      <c r="D86" s="16"/>
      <c r="E86" s="16"/>
      <c r="F86" s="16"/>
      <c r="G86" s="16"/>
      <c r="H86" s="16"/>
    </row>
    <row r="87" ht="15.75" customHeight="1">
      <c r="A87" s="24"/>
      <c r="B87" s="16"/>
      <c r="C87" s="16"/>
      <c r="D87" s="16"/>
      <c r="E87" s="16"/>
      <c r="F87" s="16"/>
      <c r="G87" s="16"/>
      <c r="H87" s="16"/>
    </row>
    <row r="88" ht="15.75" customHeight="1">
      <c r="A88" s="24"/>
      <c r="B88" s="16"/>
      <c r="C88" s="16"/>
      <c r="D88" s="16"/>
      <c r="E88" s="16"/>
      <c r="F88" s="16"/>
      <c r="G88" s="16"/>
      <c r="H88" s="16"/>
    </row>
    <row r="89" ht="15.75" customHeight="1">
      <c r="A89" s="24"/>
      <c r="B89" s="16"/>
      <c r="C89" s="16"/>
      <c r="D89" s="16"/>
      <c r="E89" s="16"/>
      <c r="F89" s="16"/>
      <c r="G89" s="16"/>
      <c r="H89" s="16"/>
    </row>
    <row r="90" ht="15.75" customHeight="1">
      <c r="A90" s="24"/>
      <c r="B90" s="16"/>
      <c r="C90" s="16"/>
      <c r="D90" s="16"/>
      <c r="E90" s="16"/>
      <c r="F90" s="16"/>
      <c r="G90" s="16"/>
      <c r="H90" s="16"/>
    </row>
    <row r="91" ht="15.75" customHeight="1">
      <c r="A91" s="24"/>
      <c r="B91" s="16"/>
      <c r="C91" s="16"/>
      <c r="D91" s="16"/>
      <c r="E91" s="16"/>
      <c r="F91" s="16"/>
      <c r="G91" s="16"/>
      <c r="H91" s="16"/>
    </row>
    <row r="92" ht="15.75" customHeight="1">
      <c r="A92" s="24"/>
      <c r="B92" s="16"/>
      <c r="C92" s="16"/>
      <c r="D92" s="16"/>
      <c r="E92" s="16"/>
      <c r="F92" s="16"/>
      <c r="G92" s="16"/>
      <c r="H92" s="16"/>
    </row>
    <row r="93" ht="15.75" customHeight="1">
      <c r="A93" s="24"/>
      <c r="B93" s="16"/>
      <c r="C93" s="16"/>
      <c r="D93" s="16"/>
      <c r="E93" s="16"/>
      <c r="F93" s="16"/>
      <c r="G93" s="16"/>
      <c r="H93" s="16"/>
    </row>
    <row r="94" ht="15.75" customHeight="1">
      <c r="A94" s="24"/>
      <c r="B94" s="16"/>
      <c r="C94" s="16"/>
      <c r="D94" s="16"/>
      <c r="E94" s="16"/>
      <c r="F94" s="16"/>
      <c r="G94" s="16"/>
      <c r="H94" s="16"/>
    </row>
    <row r="95" ht="15.75" customHeight="1">
      <c r="A95" s="24"/>
      <c r="B95" s="16"/>
      <c r="C95" s="16"/>
      <c r="D95" s="16"/>
      <c r="E95" s="16"/>
      <c r="F95" s="16"/>
      <c r="G95" s="16"/>
      <c r="H95" s="16"/>
    </row>
    <row r="96" ht="15.75" customHeight="1">
      <c r="A96" s="24"/>
      <c r="B96" s="16"/>
      <c r="C96" s="16"/>
      <c r="D96" s="16"/>
      <c r="E96" s="16"/>
      <c r="F96" s="16"/>
      <c r="G96" s="16"/>
      <c r="H96" s="16"/>
    </row>
    <row r="97" ht="15.75" customHeight="1">
      <c r="A97" s="24"/>
      <c r="B97" s="16"/>
      <c r="C97" s="16"/>
      <c r="D97" s="16"/>
      <c r="E97" s="16"/>
      <c r="F97" s="16"/>
      <c r="G97" s="16"/>
      <c r="H97" s="16"/>
    </row>
    <row r="98" ht="15.75" customHeight="1">
      <c r="A98" s="24"/>
      <c r="B98" s="16"/>
      <c r="C98" s="16"/>
      <c r="D98" s="16"/>
      <c r="E98" s="16"/>
      <c r="F98" s="16"/>
      <c r="G98" s="16"/>
      <c r="H98" s="16"/>
    </row>
    <row r="99" ht="15.75" customHeight="1">
      <c r="A99" s="24"/>
      <c r="B99" s="16"/>
      <c r="C99" s="16"/>
      <c r="D99" s="16"/>
      <c r="E99" s="16"/>
      <c r="F99" s="16"/>
      <c r="G99" s="16"/>
      <c r="H99" s="16"/>
    </row>
    <row r="100" ht="15.75" customHeight="1">
      <c r="A100" s="24"/>
      <c r="B100" s="16"/>
      <c r="C100" s="16"/>
      <c r="D100" s="16"/>
      <c r="E100" s="16"/>
      <c r="F100" s="16"/>
      <c r="G100" s="16"/>
      <c r="H100" s="16"/>
    </row>
    <row r="101" ht="15.75" customHeight="1">
      <c r="A101" s="24"/>
      <c r="B101" s="16"/>
      <c r="C101" s="16"/>
      <c r="D101" s="16"/>
      <c r="E101" s="16"/>
      <c r="F101" s="16"/>
      <c r="G101" s="16"/>
      <c r="H101" s="16"/>
    </row>
    <row r="102" ht="15.75" customHeight="1">
      <c r="A102" s="24"/>
      <c r="B102" s="16"/>
      <c r="C102" s="16"/>
      <c r="D102" s="16"/>
      <c r="E102" s="16"/>
      <c r="F102" s="16"/>
      <c r="G102" s="16"/>
      <c r="H102" s="16"/>
    </row>
    <row r="103" ht="15.75" customHeight="1">
      <c r="A103" s="24"/>
      <c r="B103" s="16"/>
      <c r="C103" s="16"/>
      <c r="D103" s="16"/>
      <c r="E103" s="16"/>
      <c r="F103" s="16"/>
      <c r="G103" s="16"/>
      <c r="H103" s="16"/>
    </row>
    <row r="104" ht="15.75" customHeight="1">
      <c r="A104" s="24"/>
      <c r="B104" s="16"/>
      <c r="C104" s="16"/>
      <c r="D104" s="16"/>
      <c r="E104" s="16"/>
      <c r="F104" s="16"/>
      <c r="G104" s="16"/>
      <c r="H104" s="16"/>
    </row>
    <row r="105" ht="15.75" customHeight="1">
      <c r="A105" s="24"/>
      <c r="B105" s="16"/>
      <c r="C105" s="16"/>
      <c r="D105" s="16"/>
      <c r="E105" s="16"/>
      <c r="F105" s="16"/>
      <c r="G105" s="16"/>
      <c r="H105" s="16"/>
    </row>
    <row r="106" ht="15.75" customHeight="1">
      <c r="A106" s="24"/>
      <c r="B106" s="16"/>
      <c r="C106" s="16"/>
      <c r="D106" s="16"/>
      <c r="E106" s="16"/>
      <c r="F106" s="16"/>
      <c r="G106" s="16"/>
      <c r="H106" s="16"/>
    </row>
    <row r="107" ht="15.75" customHeight="1">
      <c r="A107" s="24"/>
      <c r="B107" s="16"/>
      <c r="C107" s="16"/>
      <c r="D107" s="16"/>
      <c r="E107" s="16"/>
      <c r="F107" s="16"/>
      <c r="G107" s="16"/>
      <c r="H107" s="16"/>
    </row>
    <row r="108" ht="15.75" customHeight="1">
      <c r="A108" s="24"/>
      <c r="B108" s="16"/>
      <c r="C108" s="16"/>
      <c r="D108" s="16"/>
      <c r="E108" s="16"/>
      <c r="F108" s="16"/>
      <c r="G108" s="16"/>
      <c r="H108" s="16"/>
    </row>
    <row r="109" ht="15.75" customHeight="1">
      <c r="A109" s="24"/>
      <c r="B109" s="16"/>
      <c r="C109" s="16"/>
      <c r="D109" s="16"/>
      <c r="E109" s="16"/>
      <c r="F109" s="16"/>
      <c r="G109" s="16"/>
      <c r="H109" s="16"/>
    </row>
    <row r="110" ht="15.75" customHeight="1">
      <c r="A110" s="24"/>
      <c r="B110" s="16"/>
      <c r="C110" s="16"/>
      <c r="D110" s="16"/>
      <c r="E110" s="16"/>
      <c r="F110" s="16"/>
      <c r="G110" s="16"/>
      <c r="H110" s="16"/>
    </row>
    <row r="111" ht="15.75" customHeight="1">
      <c r="A111" s="24"/>
      <c r="B111" s="16"/>
      <c r="C111" s="16"/>
      <c r="D111" s="16"/>
      <c r="E111" s="16"/>
      <c r="F111" s="16"/>
      <c r="G111" s="16"/>
      <c r="H111" s="16"/>
    </row>
    <row r="112" ht="15.75" customHeight="1">
      <c r="A112" s="24"/>
      <c r="B112" s="16"/>
      <c r="C112" s="16"/>
      <c r="D112" s="16"/>
      <c r="E112" s="16"/>
      <c r="F112" s="16"/>
      <c r="G112" s="16"/>
      <c r="H112" s="16"/>
    </row>
    <row r="113" ht="15.75" customHeight="1">
      <c r="A113" s="24"/>
      <c r="B113" s="16"/>
      <c r="C113" s="16"/>
      <c r="D113" s="16"/>
      <c r="E113" s="16"/>
      <c r="F113" s="16"/>
      <c r="G113" s="16"/>
      <c r="H113" s="16"/>
    </row>
    <row r="114" ht="15.75" customHeight="1">
      <c r="A114" s="24"/>
      <c r="B114" s="16"/>
      <c r="C114" s="16"/>
      <c r="D114" s="16"/>
      <c r="E114" s="16"/>
      <c r="F114" s="16"/>
      <c r="G114" s="16"/>
      <c r="H114" s="16"/>
    </row>
    <row r="115" ht="15.75" customHeight="1">
      <c r="A115" s="24"/>
      <c r="B115" s="16"/>
      <c r="C115" s="16"/>
      <c r="D115" s="16"/>
      <c r="E115" s="16"/>
      <c r="F115" s="16"/>
      <c r="G115" s="16"/>
      <c r="H115" s="16"/>
    </row>
    <row r="116" ht="15.75" customHeight="1">
      <c r="A116" s="24"/>
      <c r="B116" s="16"/>
      <c r="C116" s="16"/>
      <c r="D116" s="16"/>
      <c r="E116" s="16"/>
      <c r="F116" s="16"/>
      <c r="G116" s="16"/>
      <c r="H116" s="16"/>
    </row>
    <row r="117" ht="15.75" customHeight="1">
      <c r="A117" s="24"/>
      <c r="B117" s="16"/>
      <c r="C117" s="16"/>
      <c r="D117" s="16"/>
      <c r="E117" s="16"/>
      <c r="F117" s="16"/>
      <c r="G117" s="16"/>
      <c r="H117" s="16"/>
    </row>
    <row r="118" ht="15.75" customHeight="1">
      <c r="A118" s="24"/>
      <c r="B118" s="16"/>
      <c r="C118" s="16"/>
      <c r="D118" s="16"/>
      <c r="E118" s="16"/>
      <c r="F118" s="16"/>
      <c r="G118" s="16"/>
      <c r="H118" s="16"/>
    </row>
    <row r="119" ht="15.75" customHeight="1">
      <c r="A119" s="24"/>
      <c r="B119" s="16"/>
      <c r="C119" s="16"/>
      <c r="D119" s="16"/>
      <c r="E119" s="16"/>
      <c r="F119" s="16"/>
      <c r="G119" s="16"/>
      <c r="H119" s="16"/>
    </row>
    <row r="120" ht="15.75" customHeight="1">
      <c r="A120" s="24"/>
      <c r="B120" s="16"/>
      <c r="C120" s="16"/>
      <c r="D120" s="16"/>
      <c r="E120" s="16"/>
      <c r="F120" s="16"/>
      <c r="G120" s="16"/>
      <c r="H120" s="16"/>
    </row>
    <row r="121" ht="15.75" customHeight="1">
      <c r="A121" s="24"/>
      <c r="B121" s="16"/>
      <c r="C121" s="16"/>
      <c r="D121" s="16"/>
      <c r="E121" s="16"/>
      <c r="F121" s="16"/>
      <c r="G121" s="16"/>
      <c r="H121" s="16"/>
    </row>
    <row r="122" ht="15.75" customHeight="1">
      <c r="A122" s="24"/>
      <c r="B122" s="16"/>
      <c r="C122" s="16"/>
      <c r="D122" s="16"/>
      <c r="E122" s="16"/>
      <c r="F122" s="16"/>
      <c r="G122" s="16"/>
      <c r="H122" s="16"/>
    </row>
    <row r="123" ht="15.75" customHeight="1">
      <c r="A123" s="24"/>
      <c r="B123" s="16"/>
      <c r="C123" s="16"/>
      <c r="D123" s="16"/>
      <c r="E123" s="16"/>
      <c r="F123" s="16"/>
      <c r="G123" s="16"/>
      <c r="H123" s="16"/>
    </row>
    <row r="124" ht="15.75" customHeight="1">
      <c r="A124" s="24"/>
      <c r="B124" s="16"/>
      <c r="C124" s="16"/>
      <c r="D124" s="16"/>
      <c r="E124" s="16"/>
      <c r="F124" s="16"/>
      <c r="G124" s="16"/>
      <c r="H124" s="16"/>
    </row>
    <row r="125" ht="15.75" customHeight="1">
      <c r="A125" s="24"/>
      <c r="B125" s="16"/>
      <c r="C125" s="16"/>
      <c r="D125" s="16"/>
      <c r="E125" s="16"/>
      <c r="F125" s="16"/>
      <c r="G125" s="16"/>
      <c r="H125" s="16"/>
    </row>
    <row r="126" ht="15.75" customHeight="1">
      <c r="A126" s="24"/>
      <c r="B126" s="16"/>
      <c r="C126" s="16"/>
      <c r="D126" s="16"/>
      <c r="E126" s="16"/>
      <c r="F126" s="16"/>
      <c r="G126" s="16"/>
      <c r="H126" s="16"/>
    </row>
    <row r="127" ht="15.75" customHeight="1">
      <c r="A127" s="24"/>
      <c r="B127" s="16"/>
      <c r="C127" s="16"/>
      <c r="D127" s="16"/>
      <c r="E127" s="16"/>
      <c r="F127" s="16"/>
      <c r="G127" s="16"/>
      <c r="H127" s="16"/>
    </row>
    <row r="128" ht="15.75" customHeight="1">
      <c r="A128" s="24"/>
      <c r="B128" s="16"/>
      <c r="C128" s="16"/>
      <c r="D128" s="16"/>
      <c r="E128" s="16"/>
      <c r="F128" s="16"/>
      <c r="G128" s="16"/>
      <c r="H128" s="16"/>
    </row>
    <row r="129" ht="15.75" customHeight="1">
      <c r="A129" s="24"/>
      <c r="B129" s="16"/>
      <c r="C129" s="16"/>
      <c r="D129" s="16"/>
      <c r="E129" s="16"/>
      <c r="F129" s="16"/>
      <c r="G129" s="16"/>
      <c r="H129" s="16"/>
    </row>
    <row r="130" ht="15.75" customHeight="1">
      <c r="A130" s="24"/>
      <c r="B130" s="16"/>
      <c r="C130" s="16"/>
      <c r="D130" s="16"/>
      <c r="E130" s="16"/>
      <c r="F130" s="16"/>
      <c r="G130" s="16"/>
      <c r="H130" s="16"/>
    </row>
    <row r="131" ht="15.75" customHeight="1">
      <c r="A131" s="24"/>
      <c r="B131" s="16"/>
      <c r="C131" s="16"/>
      <c r="D131" s="16"/>
      <c r="E131" s="16"/>
      <c r="F131" s="16"/>
      <c r="G131" s="16"/>
      <c r="H131" s="16"/>
    </row>
    <row r="132" ht="15.75" customHeight="1">
      <c r="A132" s="24"/>
      <c r="B132" s="16"/>
      <c r="C132" s="16"/>
      <c r="D132" s="16"/>
      <c r="E132" s="16"/>
      <c r="F132" s="16"/>
      <c r="G132" s="16"/>
      <c r="H132" s="16"/>
    </row>
    <row r="133" ht="15.75" customHeight="1">
      <c r="A133" s="24"/>
      <c r="B133" s="16"/>
      <c r="C133" s="16"/>
      <c r="D133" s="16"/>
      <c r="E133" s="16"/>
      <c r="F133" s="16"/>
      <c r="G133" s="16"/>
      <c r="H133" s="16"/>
    </row>
    <row r="134" ht="15.75" customHeight="1">
      <c r="A134" s="24"/>
      <c r="B134" s="16"/>
      <c r="C134" s="16"/>
      <c r="D134" s="16"/>
      <c r="E134" s="16"/>
      <c r="F134" s="16"/>
      <c r="G134" s="16"/>
      <c r="H134" s="16"/>
    </row>
    <row r="135" ht="15.75" customHeight="1">
      <c r="A135" s="24"/>
      <c r="B135" s="16"/>
      <c r="C135" s="16"/>
      <c r="D135" s="16"/>
      <c r="E135" s="16"/>
      <c r="F135" s="16"/>
      <c r="G135" s="16"/>
      <c r="H135" s="16"/>
    </row>
    <row r="136" ht="15.75" customHeight="1">
      <c r="A136" s="24"/>
      <c r="B136" s="16"/>
      <c r="C136" s="16"/>
      <c r="D136" s="16"/>
      <c r="E136" s="16"/>
      <c r="F136" s="16"/>
      <c r="G136" s="16"/>
      <c r="H136" s="16"/>
    </row>
    <row r="137" ht="15.75" customHeight="1">
      <c r="A137" s="24"/>
      <c r="B137" s="16"/>
      <c r="C137" s="16"/>
      <c r="D137" s="16"/>
      <c r="E137" s="16"/>
      <c r="F137" s="16"/>
      <c r="G137" s="16"/>
      <c r="H137" s="16"/>
    </row>
    <row r="138" ht="15.75" customHeight="1">
      <c r="A138" s="24"/>
      <c r="B138" s="16"/>
      <c r="C138" s="16"/>
      <c r="D138" s="16"/>
      <c r="E138" s="16"/>
      <c r="F138" s="16"/>
      <c r="G138" s="16"/>
      <c r="H138" s="16"/>
    </row>
    <row r="139" ht="15.75" customHeight="1">
      <c r="A139" s="24"/>
      <c r="B139" s="16"/>
      <c r="C139" s="16"/>
      <c r="D139" s="16"/>
      <c r="E139" s="16"/>
      <c r="F139" s="16"/>
      <c r="G139" s="16"/>
      <c r="H139" s="16"/>
    </row>
    <row r="140" ht="15.75" customHeight="1">
      <c r="A140" s="24"/>
      <c r="B140" s="16"/>
      <c r="C140" s="16"/>
      <c r="D140" s="16"/>
      <c r="E140" s="16"/>
      <c r="F140" s="16"/>
      <c r="G140" s="16"/>
      <c r="H140" s="16"/>
    </row>
    <row r="141" ht="15.75" customHeight="1">
      <c r="A141" s="24"/>
      <c r="B141" s="16"/>
      <c r="C141" s="16"/>
      <c r="D141" s="16"/>
      <c r="E141" s="16"/>
      <c r="F141" s="16"/>
      <c r="G141" s="16"/>
      <c r="H141" s="16"/>
    </row>
    <row r="142" ht="15.75" customHeight="1">
      <c r="A142" s="24"/>
      <c r="B142" s="16"/>
      <c r="C142" s="16"/>
      <c r="D142" s="16"/>
      <c r="E142" s="16"/>
      <c r="F142" s="16"/>
      <c r="G142" s="16"/>
      <c r="H142" s="16"/>
    </row>
    <row r="143" ht="15.75" customHeight="1">
      <c r="A143" s="24"/>
      <c r="B143" s="16"/>
      <c r="C143" s="16"/>
      <c r="D143" s="16"/>
      <c r="E143" s="16"/>
      <c r="F143" s="16"/>
      <c r="G143" s="16"/>
      <c r="H143" s="16"/>
    </row>
    <row r="144" ht="15.75" customHeight="1">
      <c r="A144" s="24"/>
      <c r="B144" s="16"/>
      <c r="C144" s="16"/>
      <c r="D144" s="16"/>
      <c r="E144" s="16"/>
      <c r="F144" s="16"/>
      <c r="G144" s="16"/>
      <c r="H144" s="16"/>
    </row>
    <row r="145" ht="15.75" customHeight="1">
      <c r="A145" s="24"/>
      <c r="B145" s="16"/>
      <c r="C145" s="16"/>
      <c r="D145" s="16"/>
      <c r="E145" s="16"/>
      <c r="F145" s="16"/>
      <c r="G145" s="16"/>
      <c r="H145" s="16"/>
    </row>
    <row r="146" ht="15.75" customHeight="1">
      <c r="A146" s="24"/>
      <c r="B146" s="16"/>
      <c r="C146" s="16"/>
      <c r="D146" s="16"/>
      <c r="E146" s="16"/>
      <c r="F146" s="16"/>
      <c r="G146" s="16"/>
      <c r="H146" s="16"/>
    </row>
    <row r="147" ht="15.75" customHeight="1">
      <c r="A147" s="24"/>
      <c r="B147" s="16"/>
      <c r="C147" s="16"/>
      <c r="D147" s="16"/>
      <c r="E147" s="16"/>
      <c r="F147" s="16"/>
      <c r="G147" s="16"/>
      <c r="H147" s="16"/>
    </row>
    <row r="148" ht="15.75" customHeight="1">
      <c r="A148" s="24"/>
      <c r="B148" s="16"/>
      <c r="C148" s="16"/>
      <c r="D148" s="16"/>
      <c r="E148" s="16"/>
      <c r="F148" s="16"/>
      <c r="G148" s="16"/>
      <c r="H148" s="16"/>
    </row>
    <row r="149" ht="15.75" customHeight="1">
      <c r="A149" s="24"/>
      <c r="B149" s="16"/>
      <c r="C149" s="16"/>
      <c r="D149" s="16"/>
      <c r="E149" s="16"/>
      <c r="F149" s="16"/>
      <c r="G149" s="16"/>
      <c r="H149" s="16"/>
    </row>
    <row r="150" ht="15.75" customHeight="1">
      <c r="A150" s="24"/>
      <c r="B150" s="16"/>
      <c r="C150" s="16"/>
      <c r="D150" s="16"/>
      <c r="E150" s="16"/>
      <c r="F150" s="16"/>
      <c r="G150" s="16"/>
      <c r="H150" s="16"/>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6.0"/>
    <col customWidth="1" min="3" max="3" width="8.71"/>
    <col customWidth="1" min="4" max="5" width="26.0"/>
    <col customWidth="1" min="6" max="6" width="8.71"/>
    <col customWidth="1" min="7" max="15" width="26.0"/>
  </cols>
  <sheetData>
    <row r="1">
      <c r="A1" s="22" t="s">
        <v>13</v>
      </c>
      <c r="B1" s="22" t="s">
        <v>27</v>
      </c>
      <c r="D1" s="22" t="s">
        <v>289</v>
      </c>
      <c r="E1" s="22" t="s">
        <v>51</v>
      </c>
      <c r="G1" s="22" t="s">
        <v>11</v>
      </c>
      <c r="H1" s="22" t="s">
        <v>19</v>
      </c>
      <c r="I1" s="22" t="s">
        <v>42</v>
      </c>
      <c r="J1" s="22" t="s">
        <v>53</v>
      </c>
      <c r="K1" s="22" t="s">
        <v>17</v>
      </c>
      <c r="L1" s="22" t="s">
        <v>18</v>
      </c>
      <c r="M1" s="22" t="s">
        <v>23</v>
      </c>
      <c r="N1" s="22" t="s">
        <v>158</v>
      </c>
      <c r="O1" s="22" t="s">
        <v>291</v>
      </c>
    </row>
    <row r="2">
      <c r="A2" s="7" t="s">
        <v>88</v>
      </c>
      <c r="B2" s="7">
        <v>1.0</v>
      </c>
      <c r="D2" s="7">
        <v>1.0</v>
      </c>
      <c r="E2" s="7" t="s">
        <v>71</v>
      </c>
      <c r="G2" s="7" t="s">
        <v>57</v>
      </c>
      <c r="H2" s="7" t="s">
        <v>292</v>
      </c>
      <c r="I2" s="7" t="s">
        <v>293</v>
      </c>
      <c r="J2" s="7" t="s">
        <v>294</v>
      </c>
      <c r="K2" s="7" t="s">
        <v>109</v>
      </c>
      <c r="L2" s="7" t="s">
        <v>111</v>
      </c>
      <c r="M2" s="7" t="s">
        <v>113</v>
      </c>
      <c r="N2" s="7" t="s">
        <v>295</v>
      </c>
      <c r="O2" s="7" t="s">
        <v>296</v>
      </c>
    </row>
    <row r="3">
      <c r="A3" s="7" t="s">
        <v>228</v>
      </c>
      <c r="B3" s="7">
        <v>2.0</v>
      </c>
      <c r="D3" s="7">
        <v>2.0</v>
      </c>
      <c r="E3" s="7" t="s">
        <v>72</v>
      </c>
      <c r="G3" s="7" t="s">
        <v>76</v>
      </c>
      <c r="H3" s="7" t="s">
        <v>293</v>
      </c>
      <c r="I3" s="7" t="s">
        <v>297</v>
      </c>
      <c r="J3" s="7" t="s">
        <v>298</v>
      </c>
      <c r="K3" s="7" t="s">
        <v>299</v>
      </c>
      <c r="L3" s="7" t="s">
        <v>148</v>
      </c>
      <c r="M3" s="7" t="s">
        <v>193</v>
      </c>
      <c r="N3" s="7" t="s">
        <v>300</v>
      </c>
      <c r="O3" s="7" t="s">
        <v>301</v>
      </c>
    </row>
    <row r="4">
      <c r="A4" s="7" t="s">
        <v>234</v>
      </c>
      <c r="B4" s="7">
        <v>2.0</v>
      </c>
      <c r="D4" s="7">
        <v>3.0</v>
      </c>
      <c r="E4" s="7" t="s">
        <v>75</v>
      </c>
      <c r="I4" s="7" t="s">
        <v>292</v>
      </c>
      <c r="J4" s="7" t="s">
        <v>302</v>
      </c>
      <c r="K4" s="7" t="s">
        <v>242</v>
      </c>
      <c r="L4" s="7" t="s">
        <v>191</v>
      </c>
      <c r="M4" s="7" t="s">
        <v>303</v>
      </c>
      <c r="N4" s="7" t="s">
        <v>304</v>
      </c>
      <c r="O4" s="7" t="s">
        <v>171</v>
      </c>
    </row>
    <row r="5">
      <c r="A5" s="7" t="s">
        <v>310</v>
      </c>
      <c r="B5" s="7">
        <v>3.0</v>
      </c>
      <c r="D5" s="7">
        <v>9.0</v>
      </c>
      <c r="E5" s="7" t="s">
        <v>79</v>
      </c>
      <c r="I5" s="7" t="s">
        <v>63</v>
      </c>
      <c r="L5" s="7" t="s">
        <v>274</v>
      </c>
      <c r="M5" s="7" t="s">
        <v>242</v>
      </c>
      <c r="N5" s="7" t="s">
        <v>311</v>
      </c>
      <c r="O5" s="7" t="s">
        <v>260</v>
      </c>
    </row>
    <row r="6">
      <c r="A6" s="7" t="s">
        <v>312</v>
      </c>
      <c r="B6" s="7">
        <v>3.0</v>
      </c>
    </row>
    <row r="7">
      <c r="A7" s="7" t="s">
        <v>313</v>
      </c>
      <c r="B7" s="7">
        <v>9.0</v>
      </c>
    </row>
    <row r="8">
      <c r="A8" s="7" t="s">
        <v>79</v>
      </c>
      <c r="B8" s="7">
        <v>9.0</v>
      </c>
    </row>
    <row r="9">
      <c r="A9" s="7" t="s">
        <v>314</v>
      </c>
      <c r="B9" s="7">
        <v>9.0</v>
      </c>
    </row>
    <row r="10">
      <c r="A10" s="7" t="s">
        <v>274</v>
      </c>
      <c r="B10" s="7">
        <v>9.0</v>
      </c>
    </row>
    <row r="12">
      <c r="A12" s="3" t="s">
        <v>315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9" t="str">
        <f t="array" ref="A1:A84">UNIQUE(Accounts!I:I)</f>
        <v>TSE</v>
      </c>
    </row>
    <row r="2">
      <c r="A2" s="39" t="s">
        <v>62</v>
      </c>
    </row>
    <row r="3">
      <c r="A3" s="39" t="s">
        <v>125</v>
      </c>
    </row>
    <row r="4">
      <c r="A4" s="39"/>
    </row>
    <row r="5">
      <c r="A5" s="39" t="s">
        <v>174</v>
      </c>
    </row>
    <row r="6">
      <c r="A6" s="39" t="s">
        <v>183</v>
      </c>
    </row>
    <row r="7">
      <c r="A7" s="39" t="s">
        <v>207</v>
      </c>
    </row>
    <row r="8">
      <c r="A8" s="39" t="s">
        <v>213</v>
      </c>
    </row>
    <row r="9">
      <c r="A9" s="39" t="s">
        <v>218</v>
      </c>
    </row>
    <row r="10">
      <c r="A10" s="39" t="s">
        <v>262</v>
      </c>
    </row>
    <row r="11">
      <c r="A11" s="39" t="s">
        <v>269</v>
      </c>
    </row>
    <row r="12">
      <c r="A12" s="39" t="s">
        <v>318</v>
      </c>
    </row>
    <row r="13">
      <c r="A13" s="39" t="s">
        <v>365</v>
      </c>
    </row>
    <row r="14">
      <c r="A14" s="39" t="s">
        <v>378</v>
      </c>
    </row>
    <row r="15">
      <c r="A15" s="39" t="s">
        <v>379</v>
      </c>
    </row>
    <row r="16">
      <c r="A16" s="39" t="s">
        <v>380</v>
      </c>
    </row>
    <row r="17">
      <c r="A17" s="39" t="s">
        <v>381</v>
      </c>
    </row>
    <row r="18">
      <c r="A18" s="39" t="s">
        <v>382</v>
      </c>
    </row>
    <row r="19">
      <c r="A19" s="39" t="s">
        <v>383</v>
      </c>
    </row>
    <row r="20">
      <c r="A20" s="39" t="s">
        <v>384</v>
      </c>
    </row>
    <row r="21">
      <c r="A21" s="39" t="s">
        <v>388</v>
      </c>
    </row>
    <row r="22">
      <c r="A22" s="39" t="s">
        <v>389</v>
      </c>
    </row>
    <row r="23">
      <c r="A23" s="39" t="s">
        <v>390</v>
      </c>
    </row>
    <row r="24">
      <c r="A24" s="39" t="s">
        <v>391</v>
      </c>
    </row>
    <row r="25">
      <c r="A25" s="39" t="s">
        <v>392</v>
      </c>
    </row>
    <row r="26">
      <c r="A26" s="39" t="s">
        <v>393</v>
      </c>
    </row>
    <row r="27">
      <c r="A27" s="39" t="s">
        <v>394</v>
      </c>
    </row>
    <row r="28">
      <c r="A28" s="39" t="s">
        <v>395</v>
      </c>
    </row>
    <row r="29">
      <c r="A29" s="39" t="s">
        <v>396</v>
      </c>
    </row>
    <row r="30">
      <c r="A30" s="39" t="s">
        <v>397</v>
      </c>
    </row>
    <row r="31">
      <c r="A31" s="39" t="s">
        <v>400</v>
      </c>
    </row>
    <row r="32">
      <c r="A32" s="39" t="s">
        <v>401</v>
      </c>
    </row>
    <row r="33">
      <c r="A33" s="39" t="s">
        <v>402</v>
      </c>
    </row>
    <row r="34">
      <c r="A34" s="39" t="s">
        <v>403</v>
      </c>
    </row>
    <row r="35">
      <c r="A35" s="39" t="s">
        <v>404</v>
      </c>
    </row>
    <row r="36">
      <c r="A36" s="39" t="s">
        <v>405</v>
      </c>
    </row>
    <row r="37">
      <c r="A37" s="39" t="s">
        <v>406</v>
      </c>
    </row>
    <row r="38">
      <c r="A38" s="39" t="s">
        <v>407</v>
      </c>
    </row>
    <row r="39">
      <c r="A39" s="39" t="s">
        <v>408</v>
      </c>
    </row>
    <row r="40">
      <c r="A40" s="39" t="s">
        <v>409</v>
      </c>
    </row>
    <row r="41">
      <c r="A41" s="39" t="s">
        <v>410</v>
      </c>
    </row>
    <row r="42">
      <c r="A42" s="39" t="s">
        <v>411</v>
      </c>
    </row>
    <row r="43">
      <c r="A43" s="39" t="s">
        <v>412</v>
      </c>
    </row>
    <row r="44">
      <c r="A44" s="39" t="s">
        <v>413</v>
      </c>
    </row>
    <row r="45">
      <c r="A45" s="39" t="s">
        <v>414</v>
      </c>
    </row>
    <row r="46">
      <c r="A46" s="39" t="s">
        <v>415</v>
      </c>
    </row>
    <row r="47">
      <c r="A47" s="39" t="s">
        <v>416</v>
      </c>
    </row>
    <row r="48">
      <c r="A48" s="39" t="s">
        <v>417</v>
      </c>
    </row>
    <row r="49">
      <c r="A49" s="39" t="s">
        <v>418</v>
      </c>
    </row>
    <row r="50">
      <c r="A50" s="39" t="s">
        <v>419</v>
      </c>
    </row>
    <row r="51">
      <c r="A51" s="39" t="s">
        <v>420</v>
      </c>
    </row>
    <row r="52">
      <c r="A52" s="39" t="s">
        <v>421</v>
      </c>
    </row>
    <row r="53">
      <c r="A53" s="39" t="s">
        <v>422</v>
      </c>
    </row>
    <row r="54">
      <c r="A54" s="39" t="s">
        <v>423</v>
      </c>
    </row>
    <row r="55">
      <c r="A55" s="39" t="s">
        <v>424</v>
      </c>
    </row>
    <row r="56">
      <c r="A56" s="39" t="s">
        <v>425</v>
      </c>
    </row>
    <row r="57">
      <c r="A57" s="39" t="s">
        <v>426</v>
      </c>
    </row>
    <row r="58">
      <c r="A58" s="39" t="s">
        <v>427</v>
      </c>
    </row>
    <row r="59">
      <c r="A59" s="39" t="s">
        <v>428</v>
      </c>
    </row>
    <row r="60">
      <c r="A60" s="39" t="s">
        <v>429</v>
      </c>
    </row>
    <row r="61">
      <c r="A61" s="39" t="s">
        <v>430</v>
      </c>
    </row>
    <row r="62">
      <c r="A62" s="39" t="s">
        <v>431</v>
      </c>
    </row>
    <row r="63">
      <c r="A63" s="39" t="s">
        <v>432</v>
      </c>
    </row>
    <row r="64">
      <c r="A64" s="39" t="s">
        <v>435</v>
      </c>
    </row>
    <row r="65">
      <c r="A65" s="39" t="s">
        <v>436</v>
      </c>
    </row>
    <row r="66">
      <c r="A66" s="39" t="s">
        <v>437</v>
      </c>
    </row>
    <row r="67">
      <c r="A67" s="39" t="s">
        <v>438</v>
      </c>
    </row>
    <row r="68">
      <c r="A68" s="39" t="s">
        <v>439</v>
      </c>
    </row>
    <row r="69">
      <c r="A69" s="39" t="s">
        <v>440</v>
      </c>
    </row>
    <row r="70">
      <c r="A70" s="39" t="s">
        <v>441</v>
      </c>
    </row>
    <row r="71">
      <c r="A71" s="39" t="s">
        <v>442</v>
      </c>
    </row>
    <row r="72">
      <c r="A72" s="39" t="s">
        <v>443</v>
      </c>
    </row>
    <row r="73">
      <c r="A73" s="39" t="s">
        <v>444</v>
      </c>
    </row>
    <row r="74">
      <c r="A74" s="39" t="s">
        <v>445</v>
      </c>
    </row>
    <row r="75">
      <c r="A75" s="39" t="s">
        <v>446</v>
      </c>
    </row>
    <row r="76">
      <c r="A76" s="39" t="s">
        <v>447</v>
      </c>
    </row>
    <row r="77">
      <c r="A77" s="39" t="s">
        <v>448</v>
      </c>
    </row>
    <row r="78">
      <c r="A78" s="39" t="s">
        <v>449</v>
      </c>
    </row>
    <row r="79">
      <c r="A79" s="39" t="s">
        <v>450</v>
      </c>
    </row>
    <row r="80">
      <c r="A80" s="39" t="s">
        <v>451</v>
      </c>
    </row>
    <row r="81">
      <c r="A81" s="39" t="s">
        <v>452</v>
      </c>
    </row>
    <row r="82">
      <c r="A82" s="39" t="s">
        <v>453</v>
      </c>
    </row>
    <row r="83">
      <c r="A83" s="39" t="s">
        <v>455</v>
      </c>
    </row>
    <row r="84">
      <c r="A84" s="39" t="s">
        <v>457</v>
      </c>
    </row>
  </sheetData>
  <drawing r:id="rId1"/>
</worksheet>
</file>