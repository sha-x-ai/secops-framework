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Steps and Roles" sheetId="2" r:id="rId6"/>
    <sheet state="visible" name="Dashboard" sheetId="3" r:id="rId7"/>
    <sheet state="visible" name="Accounts" sheetId="4" r:id="rId8"/>
    <sheet state="visible" name="Checklist" sheetId="5" r:id="rId9"/>
    <sheet state="visible" name="Deviations" sheetId="6" r:id="rId10"/>
  </sheets>
  <definedNames>
    <definedName hidden="1" localSheetId="3" name="_xlnm._FilterDatabase">Accounts!$A$1:$W$21</definedName>
    <definedName hidden="1" localSheetId="5" name="_xlnm._FilterDatabase">Deviations!$A$1:$L$151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tc={f686e7f3-4e04-461e-ab05-cdf031c76a91}</author>
  </authors>
  <commentList>
    <comment authorId="0" xr:uid="{f686e7f3-4e04-461e-ab05-cdf031c76a91}" ref="D2">
      <text>
        <t xml:space="preserve">[Threaded comment]
 Your version of Excel allows you to read this threaded comment; however, any edits to it will get removed if the file is opened in a newer version of Excel. Learn more: https://go.microsoft.com/fwlink/?linkid=870924
Comment:
	I think the Pre phase should be primarily owned by TSE before PS comes in for execution.
@wkhan@paloaltonetworks.com
Assigned to wkhan@paloaltonetworks.com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
      <text>
        <t xml:space="preserve">Source: project context. ~38 days from Terraform to all scanners returning data, from 386 onboarding XSUP tickets across 212 customers.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tc={239cf119-013d-4194-a2a0-a11e490eb34c}</author>
    <author>tc={309b295c-631f-4d4d-9e9f-673b43a2404e}</author>
    <author>tc={395909a6-590a-4703-815f-a01afe0438d0}</author>
  </authors>
  <commentList>
    <comment authorId="0" ref="V1">
      <text>
        <t xml:space="preserve">Seeded 2026-09-23 from the project context file. Owners update this whenever they touch the row; rows older than 7 days are flagged on the Dashboard.</t>
      </text>
    </comment>
    <comment authorId="0" ref="M1">
      <text>
        <t xml:space="preserve">Rule: no date is committed until Go / No Go is 'Go'. A date here without a Go is flagged as a gate breach.</t>
      </text>
    </comment>
    <comment authorId="0" ref="O1">
      <text>
        <t xml:space="preserve">The exit criterion. Enter only when every account is ingesting and every enabled scanner returns data. Not when Terraform applies.</t>
      </text>
    </comment>
    <comment authorId="1" xr:uid="{239cf119-013d-4194-a2a0-a11e490eb34c}" ref="M1">
      <text>
        <t xml:space="preserve">[Threaded comment]
 Your version of Excel allows you to read this threaded comment; however, any edits to it will get removed if the file is opened in a newer version of Excel. Learn more: https://go.microsoft.com/fwlink/?linkid=870924
Comment:
	Request Engineering support in #crtx-oae-all-acconts
</t>
      </text>
    </comment>
    <comment authorId="2" xr:uid="{309b295c-631f-4d4d-9e9f-673b43a2404e}" ref="M9">
      <text>
        <t xml:space="preserve">[Threaded comment]
 Your version of Excel allows you to read this threaded comment; however, any edits to it will get removed if the file is opened in a newer version of Excel. Learn more: https://go.microsoft.com/fwlink/?linkid=870924
Comment:
	@kpreston@paloaltonetworks.com can you add the approximate date
Assigned to kpreston@paloaltonetworks.com
</t>
      </text>
    </comment>
    <comment authorId="3" xr:uid="{395909a6-590a-4703-815f-a01afe0438d0}" ref="M2">
      <text>
        <t xml:space="preserve">[Threaded comment]
 Your version of Excel allows you to read this threaded comment; however, any edits to it will get removed if the file is opened in a newer version of Excel. Learn more: https://go.microsoft.com/fwlink/?linkid=870924
Comment:
	@mdombrowski@paloaltonetworks.com do we have an update on the date or ETA?
Assigned to mdombrowski@paloaltonetworks.com
Reply:
	No ETA as of now, I don't believe they will onboard GCP until they are comfortable with resolution on the asset count issue engineering is working on.
</t>
      </text>
    </comment>
  </commentList>
</comments>
</file>

<file path=xl/sharedStrings.xml><?xml version="1.0" encoding="utf-8"?>
<sst xmlns="http://schemas.openxmlformats.org/spreadsheetml/2006/main" count="3198" uniqueCount="249">
  <si>
    <t>How this tracker works</t>
  </si>
  <si>
    <t>What to edit</t>
  </si>
  <si>
    <t>White cells</t>
  </si>
  <si>
    <t>Inputs. Owners update these.</t>
  </si>
  <si>
    <t>Grey cells</t>
  </si>
  <si>
    <t>Formulas. Do not edit.</t>
  </si>
  <si>
    <t>Last updated (Accounts)</t>
  </si>
  <si>
    <t>Owners update this date every time they touch the row. Rows older than 7 days are flagged.</t>
  </si>
  <si>
    <t>Rules the Dashboard enforces</t>
  </si>
  <si>
    <t>Gate breach (RED)</t>
  </si>
  <si>
    <t>Stage is Onboarding or later and Go / No Go is not Go.</t>
  </si>
  <si>
    <t>Any pre-onboarding step marked Skipped.</t>
  </si>
  <si>
    <t>A committed onboarding date is entered before Go / No Go is Go. No date is committed until the gate is green.</t>
  </si>
  <si>
    <t>Stage is Done but 'All scanners returning data' is empty. Done means every enabled scanner returns data, not Terraform applied.</t>
  </si>
  <si>
    <t>Watch item (AMBER)</t>
  </si>
  <si>
    <t>No onboarding record linked; no named engineer during Pre or Onboarding; retro not held within 48 hours of the scanner date; next action missing or overdue; row not updated in 7 days; a Done step with no evidence link where evidence is required.</t>
  </si>
  <si>
    <t>How to add an account</t>
  </si>
  <si>
    <t>Add a row in Accounts. In Checklist, copy the 16 rows of any account to the bottom, change the account name and reset Status to Not started. Fill Named owner for each step; Row flag fills from its formula.</t>
  </si>
  <si>
    <t>How the runbook stays in sync</t>
  </si>
  <si>
    <t>The Steps tab mirrors the runbook . Change it only when a retro changes the runbook. Checklist rows carry the step text; when the runbook changes a step, update Steps and the matching Checklist rows.</t>
  </si>
  <si>
    <t>Step ID</t>
  </si>
  <si>
    <t>Phase</t>
  </si>
  <si>
    <t>Step</t>
  </si>
  <si>
    <t>Owner role</t>
  </si>
  <si>
    <t>Exit criterion</t>
  </si>
  <si>
    <t>Evidence required (Y/N)</t>
  </si>
  <si>
    <t>Evidence / asset expected</t>
  </si>
  <si>
    <t>Deviations logged</t>
  </si>
  <si>
    <t>Rank key (helper)</t>
  </si>
  <si>
    <t>P1</t>
  </si>
  <si>
    <t>Pre</t>
  </si>
  <si>
    <t>Copy the Onboarding Record template and link it in the Accounts tab</t>
  </si>
  <si>
    <t>TSE</t>
  </si>
  <si>
    <t>Record link populated in Accounts tab</t>
  </si>
  <si>
    <t>Y</t>
  </si>
  <si>
    <t>Onboarding Record link</t>
  </si>
  <si>
    <t>P2</t>
  </si>
  <si>
    <t>Technical assessment of the environment</t>
  </si>
  <si>
    <t>Section A environment profile complete</t>
  </si>
  <si>
    <t>Onboarding Record, Section A</t>
  </si>
  <si>
    <t>P3</t>
  </si>
  <si>
    <t>Permission pre-flight run on named admins</t>
  </si>
  <si>
    <t>Pre-flight output attached; every failure resolved or logged as a deviation</t>
  </si>
  <si>
    <t>Pre-flight script output</t>
  </si>
  <si>
    <t>P4</t>
  </si>
  <si>
    <t>Engineering review of regions, services, APIs and SCPs; known noise suppressed in the back end before Terraform</t>
  </si>
  <si>
    <t>Named engineer</t>
  </si>
  <si>
    <t>Suppression applied before Terraform runs (pre-facto, not post-onboarding cleanup)</t>
  </si>
  <si>
    <t>Engineering review notes / suppression confirmation</t>
  </si>
  <si>
    <t>P5</t>
  </si>
  <si>
    <t>Branch decisions recorded (Outpost vs Cloud Scan, StackSet vs per-account Terraform, Azure vs AWS, Fed tenant, least-privilege Azure)</t>
  </si>
  <si>
    <t>Section B branch decisions complete</t>
  </si>
  <si>
    <t>Onboarding Record, Section B</t>
  </si>
  <si>
    <t>P6</t>
  </si>
  <si>
    <t>Workshop with TSE, TPE and PS on the wizard and the decision branches</t>
  </si>
  <si>
    <t>Workshop held; date recorded</t>
  </si>
  <si>
    <t>N</t>
  </si>
  <si>
    <t>P7</t>
  </si>
  <si>
    <t>Customer briefed on findings vs. issues and on not editing templates</t>
  </si>
  <si>
    <t>Briefing held with the customer's named admins</t>
  </si>
  <si>
    <t>P8</t>
  </si>
  <si>
    <t>Go / No Go with a committed date</t>
  </si>
  <si>
    <t>TSE + PS</t>
  </si>
  <si>
    <t>P1 to P7 Done or N/A; Go recorded in Accounts tab; date committed. If any gate item is not met, the date moves</t>
  </si>
  <si>
    <t>Onboarding Record, Section C</t>
  </si>
  <si>
    <t>D1</t>
  </si>
  <si>
    <t>During</t>
  </si>
  <si>
    <t>First account or subscription onboarded and validated end to end before the org</t>
  </si>
  <si>
    <t>PS</t>
  </si>
  <si>
    <t>One account or subscription ingesting with every enabled scanner returning data</t>
  </si>
  <si>
    <t>Validation evidence</t>
  </si>
  <si>
    <t>D2</t>
  </si>
  <si>
    <t>Tiger team plus named engineer on the call reading errors live</t>
  </si>
  <si>
    <t>Named engineer attended the event call</t>
  </si>
  <si>
    <t>D3</t>
  </si>
  <si>
    <t>Every deviation logged against the step where it occurred</t>
  </si>
  <si>
    <t>Every deviation in the Deviations tab with a step ID</t>
  </si>
  <si>
    <t>D4</t>
  </si>
  <si>
    <t>Org onboarding run; Terraform applied</t>
  </si>
  <si>
    <t>Terraform apply date recorded in Accounts tab (this is not the exit)</t>
  </si>
  <si>
    <t>V1</t>
  </si>
  <si>
    <t>Post</t>
  </si>
  <si>
    <t>Validation checklist run against the definition of done</t>
  </si>
  <si>
    <t>All accounts ingesting and every enabled scanner returning data; date recorded in Accounts tab</t>
  </si>
  <si>
    <t>Onboarding Record, Section E</t>
  </si>
  <si>
    <t>V2</t>
  </si>
  <si>
    <t>Enablement session on findings vs. issues</t>
  </si>
  <si>
    <t>Session held</t>
  </si>
  <si>
    <t>V3</t>
  </si>
  <si>
    <t>Retro within 48 hours of V1</t>
  </si>
  <si>
    <t>Retro held; outputs logged to runbook change log (Vitaliy), docs feedback log and pre-flight script</t>
  </si>
  <si>
    <t>Onboarding Record, Section F</t>
  </si>
  <si>
    <t>V4</t>
  </si>
  <si>
    <t>Handover to CS</t>
  </si>
  <si>
    <t>Section G complete; CS owner named</t>
  </si>
  <si>
    <t>Onboarding Record, Section G</t>
  </si>
  <si>
    <t>Clean exits</t>
  </si>
  <si>
    <t>Median days</t>
  </si>
  <si>
    <t>Accounts with a gate breach</t>
  </si>
  <si>
    <t>Stage is Onboarding or later</t>
  </si>
  <si>
    <t>Done with no open blocker</t>
  </si>
  <si>
    <t>See Health = RED</t>
  </si>
  <si>
    <t>All accounts</t>
  </si>
  <si>
    <t>Pipeline by stage</t>
  </si>
  <si>
    <t>Not started</t>
  </si>
  <si>
    <t>Pre-onboarding</t>
  </si>
  <si>
    <t>Onboarding</t>
  </si>
  <si>
    <t>Post-onboarding</t>
  </si>
  <si>
    <t>Done</t>
  </si>
  <si>
    <t>On hold</t>
  </si>
  <si>
    <t>Account spotlight: gate compliance and next action</t>
  </si>
  <si>
    <t>Account</t>
  </si>
  <si>
    <t>Stage</t>
  </si>
  <si>
    <t>Pre steps complete</t>
  </si>
  <si>
    <t>Go / No Go</t>
  </si>
  <si>
    <t>Days, Terraform to all scanners</t>
  </si>
  <si>
    <t>Deviations</t>
  </si>
  <si>
    <t>Gate breaches</t>
  </si>
  <si>
    <t>Watch items</t>
  </si>
  <si>
    <t>Gate Check</t>
  </si>
  <si>
    <t>Flags</t>
  </si>
  <si>
    <t>Next action</t>
  </si>
  <si>
    <t>Owner</t>
  </si>
  <si>
    <t>Due</t>
  </si>
  <si>
    <t>#</t>
  </si>
  <si>
    <t>Motion</t>
  </si>
  <si>
    <t>Prior onboarding issues</t>
  </si>
  <si>
    <t>Cloud(s)</t>
  </si>
  <si>
    <t>PS consultant</t>
  </si>
  <si>
    <t>Go / No Go date</t>
  </si>
  <si>
    <t>Committed onboarding date</t>
  </si>
  <si>
    <t>Terraform apply date</t>
  </si>
  <si>
    <t>All scanners returning data successfully (date)</t>
  </si>
  <si>
    <t>Retro date</t>
  </si>
  <si>
    <t>CS handover date</t>
  </si>
  <si>
    <t>Open blocker</t>
  </si>
  <si>
    <t>Next action owner</t>
  </si>
  <si>
    <t>Next action due</t>
  </si>
  <si>
    <t>Last updated</t>
  </si>
  <si>
    <t>Notes</t>
  </si>
  <si>
    <t>Zoom Video</t>
  </si>
  <si>
    <t>Upgrade</t>
  </si>
  <si>
    <t>AWS, OCI, GCP, Azure</t>
  </si>
  <si>
    <t>Matthew Dombrowski</t>
  </si>
  <si>
    <t>Z Yu</t>
  </si>
  <si>
    <t>TBD</t>
  </si>
  <si>
    <t>Issues with asset count in Cortex. Currently being looked at by engineering.</t>
  </si>
  <si>
    <t>Once issues are resolved, we can continue onboarding GCP and Azure (if customer wants to in migration)</t>
  </si>
  <si>
    <t>Matt-PS
Mark - EE
Zoom - Cloud Ops</t>
  </si>
  <si>
    <t>Broadcom</t>
  </si>
  <si>
    <t>Azure, GCP, AWS</t>
  </si>
  <si>
    <t>Stephen Lovett</t>
  </si>
  <si>
    <t>OAE - Broadcom - Tracker</t>
  </si>
  <si>
    <t>Not held</t>
  </si>
  <si>
    <t>Pending customer's internal ticket to have cloud admin review outpost terraform files and apply.</t>
  </si>
  <si>
    <t>Telecom Guatemala</t>
  </si>
  <si>
    <t>Net new</t>
  </si>
  <si>
    <t>Azure</t>
  </si>
  <si>
    <t>Ariel Nin</t>
  </si>
  <si>
    <t>Fabio Cezar (DC)</t>
  </si>
  <si>
    <t>OAE - Telecomunicaciones De Guatemala - Tracker</t>
  </si>
  <si>
    <t>09/24 Reapplied on 09/30</t>
  </si>
  <si>
    <t>N/A</t>
  </si>
  <si>
    <t>Continue the Cortex Cloud CSPM deployment</t>
  </si>
  <si>
    <t>Ariel Nin - Professional Services</t>
  </si>
  <si>
    <t>10/05 onwards</t>
  </si>
  <si>
    <t>FIS Global</t>
  </si>
  <si>
    <t>Azure, GCP, AWS, OCI</t>
  </si>
  <si>
    <t>Harold Moore (DC)</t>
  </si>
  <si>
    <t>OAE - FIS Global - Tracker</t>
  </si>
  <si>
    <t xml:space="preserve">Customer has onboarded all their Cloud Providers however seeing errors and warnings. Customer has indicated expanding security capabilities and pivot towards outposts. </t>
  </si>
  <si>
    <t>Fidelity</t>
  </si>
  <si>
    <t>Ravi Badana</t>
  </si>
  <si>
    <t>OAE - FnF - Tracker</t>
  </si>
  <si>
    <t>Customer is conducting POV</t>
  </si>
  <si>
    <t>DOI</t>
  </si>
  <si>
    <t xml:space="preserve"> OAE - DOI - Tracker</t>
  </si>
  <si>
    <t>Marriott</t>
  </si>
  <si>
    <t>AWS, Azure, Alibaba, GCP, OCI</t>
  </si>
  <si>
    <t>Bliss Jourdan</t>
  </si>
  <si>
    <t>Khizar Karim</t>
  </si>
  <si>
    <t>OAE - Marriott - Tracker</t>
  </si>
  <si>
    <t>Next Sprint. Within 2 weeks.</t>
  </si>
  <si>
    <t>Want updates to the AWS CFT. Want to remove the lamdba function and connect manually.</t>
  </si>
  <si>
    <t>Honeywell International</t>
  </si>
  <si>
    <t>Kirk Preston</t>
  </si>
  <si>
    <t>Honeywell Onboarding + Tracker</t>
  </si>
  <si>
    <t>ETA, Likely 10/27 or 11/3 (contd)</t>
  </si>
  <si>
    <t>AWS Commercial: 9/17/26, GCP Commercial: 2026-10-15</t>
  </si>
  <si>
    <t>AWS Commerical: 2026-09-24</t>
  </si>
  <si>
    <t>Customer is evaluating compliance reporting parity before onboarding more accounts/CSPs. This could delay onboarding.</t>
  </si>
  <si>
    <t xml:space="preserve">Download CSP templates for internal review proactively. </t>
  </si>
  <si>
    <t>Salesforce - ESS org</t>
  </si>
  <si>
    <t>Mastercard</t>
  </si>
  <si>
    <t>Unknown</t>
  </si>
  <si>
    <t>Thales</t>
  </si>
  <si>
    <t>AWS,GCP</t>
  </si>
  <si>
    <t>Steve Briand</t>
  </si>
  <si>
    <t>Csutomer is evaluating Cortex Cloud vs Wiz and has experienced various Errors and Warnings during onboarding.</t>
  </si>
  <si>
    <t>Verizon</t>
  </si>
  <si>
    <t>AWS</t>
  </si>
  <si>
    <t>Farooq Abrahem</t>
  </si>
  <si>
    <t>We have onboarded Verizon to AWS outpost. They are evaluating Wiz too.</t>
  </si>
  <si>
    <t>Over the past week, we have been working through a series of AWS governance blockers with Verizon to deploy the Cortex Cloud Outpost, starting with a Duplicate tag key 'Name' error that was resolved by removing the 'Name' tag from the Terraform variables. After that, scans failed with InvalidSnapshot.NotFound because Verizon's internal auto-tagging Lambda (VzGov-Tagger) was aggressively deleting our temporary snapshots for lacking mandatory corporate tags, which the customer has since mitigated by updating their Lambda configuration to whitelist the Cortex role. Today, however, we are seeing new failures—specifically Workload status not found and InvalidVolume.NotFound (likely due to Cortex targeting ephemeral volumes that their auto-scaler already terminated). Because the customer is experiencing severe migration fatigue and Wiz is actively courting them, we cannot ask Verizon to pull more CloudTrail logs. We urgently need backend engineering to review our internal telemetry for the Outpost proxy connection and fleet logs to determine why the scanner workloads are failing to launch or report back.</t>
  </si>
  <si>
    <t>Early Warning Services LLC</t>
  </si>
  <si>
    <t>AWS, Azure</t>
  </si>
  <si>
    <t>Lindsey Smith</t>
  </si>
  <si>
    <t>EWS are experiencing very low resource accounts indicating issues with onboarding</t>
  </si>
  <si>
    <t>AWS is their largest cloud provider and primary focus. EWS have tried to onboard on their own, with multiple tries, but not full success.</t>
  </si>
  <si>
    <t>Step ID (P = Pre, D = During, V = Post)</t>
  </si>
  <si>
    <t>Step (full text and exit criterion in Steps tab)</t>
  </si>
  <si>
    <t>Named owner</t>
  </si>
  <si>
    <t>Status</t>
  </si>
  <si>
    <t>Date done</t>
  </si>
  <si>
    <t>Evidence / asset link</t>
  </si>
  <si>
    <t>Evidence required</t>
  </si>
  <si>
    <t>Row flag</t>
  </si>
  <si>
    <t>Onboarding Record created and linked</t>
  </si>
  <si>
    <t>Technical assessment</t>
  </si>
  <si>
    <t>Permission pre-flight on named admins</t>
  </si>
  <si>
    <t>Engineering review; pre-facto noise suppression</t>
  </si>
  <si>
    <t>Branch decisions recorded</t>
  </si>
  <si>
    <t>Wizard and branches workshop (TSE, TPE, PS)</t>
  </si>
  <si>
    <t>Customer briefing: findings vs. issues, no template edits</t>
  </si>
  <si>
    <t>Go / No Go with committed date</t>
  </si>
  <si>
    <t>First account validated end to end</t>
  </si>
  <si>
    <t>Named engineer on the call</t>
  </si>
  <si>
    <t>Deviations logged live</t>
  </si>
  <si>
    <t>Org onboarded; Terraform applied</t>
  </si>
  <si>
    <t>Validation: all scanners returning data</t>
  </si>
  <si>
    <t>Enablement session</t>
  </si>
  <si>
    <t>Retro within 48 hours</t>
  </si>
  <si>
    <t>CS handover</t>
  </si>
  <si>
    <t>Azure Dev completed</t>
  </si>
  <si>
    <t>Honeywell</t>
  </si>
  <si>
    <t>In progress</t>
  </si>
  <si>
    <t>https://docs.google.com/document/d/1erYNnpmSYybPaQ9FyD8uTRDJP-QtDkCkYi9FP-1wz6Y/edit?tab=t.4w05kogx4q1t</t>
  </si>
  <si>
    <t>AWS Org Onboarding Review</t>
  </si>
  <si>
    <t>Discovery Engine Errors, but High Coverage</t>
  </si>
  <si>
    <t>Matercard</t>
  </si>
  <si>
    <t>Gap Inc</t>
  </si>
  <si>
    <t>Date</t>
  </si>
  <si>
    <t>Cloud</t>
  </si>
  <si>
    <t>What happened</t>
  </si>
  <si>
    <t>Type</t>
  </si>
  <si>
    <t>TAC / XSUP case #</t>
  </si>
  <si>
    <t>Case tagged to upgrade at open?</t>
  </si>
  <si>
    <t>Feeds</t>
  </si>
  <si>
    <t>Resolution / change landed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</si>
</sst>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dd"/>
    <numFmt numFmtId="166" formatCode="mm/dd/yyyy"/>
    <numFmt numFmtId="167" formatCode="m/d"/>
  </numFmts>
  <fonts count="20">
    <font>
      <sz val="11.0"/>
      <color theme="1"/>
      <name val="Calibri"/>
      <scheme val="minor"/>
    </font>
    <font>
      <b/>
      <sz val="16.0"/>
      <color theme="1"/>
      <name val="Arial"/>
    </font>
    <font>
      <b/>
      <sz val="11.0"/>
      <color rgb="FF007A55"/>
      <name val="Arial"/>
    </font>
    <font>
      <sz val="11.0"/>
      <color theme="1"/>
      <name val="Calibri"/>
    </font>
    <font>
      <b/>
      <sz val="10.0"/>
      <color theme="1"/>
      <name val="Arial"/>
    </font>
    <font>
      <sz val="10.0"/>
      <color theme="1"/>
      <name val="Arial"/>
    </font>
    <font>
      <b/>
      <sz val="10.0"/>
      <color rgb="FFB4522B"/>
      <name val="Arial"/>
    </font>
    <font>
      <b/>
      <sz val="10.0"/>
      <color rgb="FFFFFFFF"/>
      <name val="Arial"/>
    </font>
    <font>
      <b/>
      <sz val="26.0"/>
      <color theme="1"/>
      <name val="Arial"/>
    </font>
    <font/>
    <font>
      <b/>
      <sz val="9.0"/>
      <color rgb="FF007A55"/>
      <name val="Arial"/>
    </font>
    <font>
      <b/>
      <sz val="10.0"/>
      <color rgb="FF007A55"/>
      <name val="Arial"/>
    </font>
    <font>
      <sz val="12.0"/>
      <color rgb="FF0000FF"/>
      <name val="Arial"/>
    </font>
    <font>
      <i/>
      <sz val="9.0"/>
      <color rgb="FF808080"/>
      <name val="Arial"/>
    </font>
    <font>
      <b/>
      <sz val="12.0"/>
      <color rgb="FF007A55"/>
      <name val="Arial"/>
    </font>
    <font>
      <u/>
      <sz val="10.0"/>
      <color theme="1"/>
      <name val="Arial"/>
    </font>
    <font>
      <color theme="1"/>
      <name val="Calibri"/>
      <scheme val="minor"/>
    </font>
    <font>
      <color theme="1"/>
      <name val="Calibri"/>
    </font>
    <font>
      <u/>
      <color theme="1"/>
      <name val="Calibri"/>
      <scheme val="minor"/>
    </font>
    <font>
      <u/>
      <color rgb="FF0000FF"/>
    </font>
  </fonts>
  <fills count="8">
    <fill>
      <patternFill patternType="none"/>
    </fill>
    <fill>
      <patternFill patternType="lightGray"/>
    </fill>
    <fill>
      <patternFill patternType="solid">
        <fgColor rgb="FFF2F2F2"/>
        <bgColor rgb="FFF2F2F2"/>
      </patternFill>
    </fill>
    <fill>
      <patternFill patternType="solid">
        <fgColor rgb="FF007A55"/>
        <bgColor rgb="FF007A55"/>
      </patternFill>
    </fill>
    <fill>
      <patternFill patternType="solid">
        <fgColor rgb="FFE8F5F0"/>
        <bgColor rgb="FFE8F5F0"/>
      </patternFill>
    </fill>
    <fill>
      <patternFill patternType="solid">
        <fgColor rgb="FFFFFF00"/>
        <bgColor rgb="FFFFFF00"/>
      </patternFill>
    </fill>
    <fill>
      <patternFill patternType="solid">
        <fgColor rgb="FF6AA84F"/>
        <bgColor rgb="FF6AA84F"/>
      </patternFill>
    </fill>
    <fill>
      <patternFill patternType="solid">
        <fgColor rgb="FFCCCCCC"/>
        <bgColor rgb="FFCCCCCC"/>
      </patternFill>
    </fill>
  </fills>
  <borders count="7">
    <border/>
    <border>
      <bottom style="thin">
        <color rgb="FF007A55"/>
      </bottom>
    </border>
    <border>
      <left/>
      <right/>
      <top/>
      <bottom/>
    </border>
    <border>
      <left style="thin">
        <color rgb="FFD9D9D9"/>
      </left>
      <right style="thin">
        <color rgb="FFD9D9D9"/>
      </right>
      <top style="thin">
        <color rgb="FFD9D9D9"/>
      </top>
      <bottom style="thin">
        <color rgb="FFD9D9D9"/>
      </bottom>
    </border>
    <border>
      <left/>
      <top/>
      <bottom/>
    </border>
    <border>
      <top/>
      <bottom/>
    </border>
    <border>
      <bottom style="medium">
        <color rgb="FF007A55"/>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Font="1"/>
    <xf borderId="1" fillId="0" fontId="2" numFmtId="0" xfId="0" applyBorder="1" applyFont="1"/>
    <xf borderId="1" fillId="0" fontId="3" numFmtId="0" xfId="0" applyBorder="1" applyFont="1"/>
    <xf borderId="0" fillId="0" fontId="4" numFmtId="0" xfId="0" applyAlignment="1" applyFont="1">
      <alignment shrinkToFit="0" vertical="top" wrapText="1"/>
    </xf>
    <xf borderId="0" fillId="0" fontId="5" numFmtId="0" xfId="0" applyAlignment="1" applyFont="1">
      <alignment shrinkToFit="0" vertical="top" wrapText="1"/>
    </xf>
    <xf borderId="2" fillId="2" fontId="5" numFmtId="0" xfId="0" applyAlignment="1" applyBorder="1" applyFill="1" applyFont="1">
      <alignment shrinkToFit="0" vertical="top" wrapText="1"/>
    </xf>
    <xf borderId="0" fillId="0" fontId="6" numFmtId="0" xfId="0" applyAlignment="1" applyFont="1">
      <alignment shrinkToFit="0" vertical="top" wrapText="1"/>
    </xf>
    <xf borderId="0" fillId="0" fontId="5" numFmtId="0" xfId="0" applyAlignment="1" applyFont="1">
      <alignment readingOrder="0" shrinkToFit="0" vertical="top" wrapText="1"/>
    </xf>
    <xf borderId="0" fillId="0" fontId="5" numFmtId="0" xfId="0" applyFont="1"/>
    <xf borderId="3" fillId="3" fontId="7" numFmtId="0" xfId="0" applyAlignment="1" applyBorder="1" applyFill="1" applyFont="1">
      <alignment shrinkToFit="0" vertical="center" wrapText="1"/>
    </xf>
    <xf borderId="3" fillId="0" fontId="5" numFmtId="0" xfId="0" applyAlignment="1" applyBorder="1" applyFont="1">
      <alignment shrinkToFit="0" vertical="top" wrapText="1"/>
    </xf>
    <xf borderId="3" fillId="2" fontId="5" numFmtId="0" xfId="0" applyAlignment="1" applyBorder="1" applyFill="1" applyFont="1">
      <alignment shrinkToFit="0" vertical="top" wrapText="1"/>
    </xf>
    <xf borderId="4" fillId="4" fontId="8" numFmtId="0" xfId="0" applyAlignment="1" applyBorder="1" applyFill="1" applyFont="1">
      <alignment horizontal="center" shrinkToFit="0" vertical="center" wrapText="1"/>
    </xf>
    <xf borderId="5" fillId="0" fontId="9" numFmtId="0" xfId="0" applyBorder="1" applyFont="1"/>
    <xf borderId="4" fillId="4" fontId="8" numFmtId="1" xfId="0" applyAlignment="1" applyBorder="1" applyFill="1" applyFont="1" applyNumberFormat="1">
      <alignment horizontal="center" shrinkToFit="0" vertical="center" wrapText="1"/>
    </xf>
    <xf borderId="0" fillId="0" fontId="10" numFmtId="0" xfId="0" applyFont="1"/>
    <xf borderId="4" fillId="4" fontId="11" numFmtId="0" xfId="0" applyAlignment="1" applyBorder="1" applyFill="1" applyFont="1">
      <alignment horizontal="center" shrinkToFit="0" vertical="center" wrapText="1"/>
    </xf>
    <xf borderId="4" fillId="4" fontId="11" numFmtId="0" xfId="0" applyAlignment="1" applyBorder="1" applyFill="1" applyFont="1">
      <alignment horizontal="center" readingOrder="0" shrinkToFit="0" vertical="center" wrapText="1"/>
    </xf>
    <xf borderId="2" fillId="5" fontId="12" numFmtId="0" xfId="0" applyBorder="1" applyFill="1" applyFont="1"/>
    <xf borderId="4" fillId="4" fontId="13" numFmtId="0" xfId="0" applyAlignment="1" applyBorder="1" applyFill="1" applyFont="1">
      <alignment horizontal="center" shrinkToFit="0" vertical="center" wrapText="1"/>
    </xf>
    <xf borderId="6" fillId="0" fontId="14" numFmtId="0" xfId="0" applyBorder="1" applyFont="1"/>
    <xf borderId="6" fillId="0" fontId="3" numFmtId="0" xfId="0" applyBorder="1" applyFont="1"/>
    <xf borderId="0" fillId="0" fontId="11" numFmtId="0" xfId="0" applyAlignment="1" applyFont="1">
      <alignment horizontal="center" shrinkToFit="0" wrapText="1"/>
    </xf>
    <xf borderId="2" fillId="4" fontId="1" numFmtId="0" xfId="0" applyAlignment="1" applyBorder="1" applyFill="1" applyFont="1">
      <alignment horizontal="center"/>
    </xf>
    <xf borderId="3" fillId="3" fontId="7" numFmtId="0" xfId="0" applyAlignment="1" applyBorder="1" applyFill="1" applyFont="1">
      <alignment readingOrder="0" shrinkToFit="0" vertical="center" wrapText="1"/>
    </xf>
    <xf borderId="3" fillId="0" fontId="5" numFmtId="1" xfId="0" applyAlignment="1" applyBorder="1" applyFont="1" applyNumberFormat="1">
      <alignment shrinkToFit="0" vertical="top" wrapText="1"/>
    </xf>
    <xf borderId="3" fillId="0" fontId="4" numFmtId="0" xfId="0" applyAlignment="1" applyBorder="1" applyFont="1">
      <alignment horizontal="center" vertical="top"/>
    </xf>
    <xf borderId="3" fillId="0" fontId="5" numFmtId="164" xfId="0" applyAlignment="1" applyBorder="1" applyFont="1" applyNumberFormat="1">
      <alignment shrinkToFit="0" vertical="top" wrapText="1"/>
    </xf>
    <xf borderId="3" fillId="6" fontId="7" numFmtId="0" xfId="0" applyAlignment="1" applyBorder="1" applyFill="1" applyFont="1">
      <alignment shrinkToFit="0" vertical="center" wrapText="1"/>
    </xf>
    <xf borderId="3" fillId="6" fontId="7" numFmtId="0" xfId="0" applyAlignment="1" applyBorder="1" applyFill="1" applyFont="1">
      <alignment readingOrder="0" shrinkToFit="0" vertical="center" wrapText="1"/>
    </xf>
    <xf borderId="3" fillId="0" fontId="5" numFmtId="0" xfId="0" applyAlignment="1" applyBorder="1" applyFont="1">
      <alignment readingOrder="0" shrinkToFit="0" vertical="top" wrapText="1"/>
    </xf>
    <xf borderId="3" fillId="0" fontId="15" numFmtId="0" xfId="0" applyAlignment="1" applyBorder="1" applyFont="1">
      <alignment readingOrder="0" shrinkToFit="0" vertical="top" wrapText="1"/>
    </xf>
    <xf borderId="3" fillId="0" fontId="5" numFmtId="164" xfId="0" applyAlignment="1" applyBorder="1" applyFont="1" applyNumberFormat="1">
      <alignment readingOrder="0" shrinkToFit="0" vertical="top" wrapText="1"/>
    </xf>
    <xf borderId="3" fillId="0" fontId="5" numFmtId="165" xfId="0" applyAlignment="1" applyBorder="1" applyFont="1" applyNumberFormat="1">
      <alignment readingOrder="0" shrinkToFit="0" vertical="top" wrapText="1"/>
    </xf>
    <xf borderId="3" fillId="0" fontId="5" numFmtId="166" xfId="0" applyAlignment="1" applyBorder="1" applyFont="1" applyNumberFormat="1">
      <alignment readingOrder="0" shrinkToFit="0" vertical="top" wrapText="1"/>
    </xf>
    <xf borderId="3" fillId="0" fontId="5" numFmtId="0" xfId="0" applyAlignment="1" applyBorder="1" applyFont="1">
      <alignment shrinkToFit="0" vertical="top" wrapText="0"/>
    </xf>
    <xf borderId="3" fillId="0" fontId="5" numFmtId="0" xfId="0" applyAlignment="1" applyBorder="1" applyFont="1">
      <alignment readingOrder="0" shrinkToFit="0" vertical="top" wrapText="0"/>
    </xf>
    <xf borderId="3" fillId="0" fontId="5" numFmtId="164" xfId="0" applyAlignment="1" applyBorder="1" applyFont="1" applyNumberFormat="1">
      <alignment shrinkToFit="0" vertical="top" wrapText="0"/>
    </xf>
    <xf borderId="3" fillId="0" fontId="5" numFmtId="164" xfId="0" applyAlignment="1" applyBorder="1" applyFont="1" applyNumberFormat="1">
      <alignment readingOrder="0" shrinkToFit="0" vertical="top" wrapText="0"/>
    </xf>
    <xf borderId="0" fillId="0" fontId="16" numFmtId="0" xfId="0" applyAlignment="1" applyFont="1">
      <alignment shrinkToFit="0" wrapText="0"/>
    </xf>
    <xf borderId="0" fillId="0" fontId="16" numFmtId="0" xfId="0" applyAlignment="1" applyFont="1">
      <alignment shrinkToFit="0" wrapText="1"/>
    </xf>
    <xf borderId="0" fillId="0" fontId="17" numFmtId="0" xfId="0" applyFont="1"/>
    <xf borderId="0" fillId="7" fontId="17" numFmtId="0" xfId="0" applyFill="1" applyFont="1"/>
    <xf borderId="2" fillId="2" fontId="3" numFmtId="0" xfId="0" applyBorder="1" applyFill="1" applyFont="1"/>
    <xf borderId="0" fillId="0" fontId="17" numFmtId="0" xfId="0" applyAlignment="1" applyFont="1">
      <alignment readingOrder="0"/>
    </xf>
    <xf borderId="0" fillId="0" fontId="16" numFmtId="167" xfId="0" applyAlignment="1" applyFont="1" applyNumberFormat="1">
      <alignment readingOrder="0"/>
    </xf>
    <xf borderId="0" fillId="0" fontId="16" numFmtId="0" xfId="0" applyFont="1"/>
    <xf borderId="0" fillId="0" fontId="18" numFmtId="0" xfId="0" applyAlignment="1" applyFont="1">
      <alignment readingOrder="0"/>
    </xf>
    <xf borderId="0" fillId="0" fontId="16" numFmtId="165" xfId="0" applyAlignment="1" applyFont="1" applyNumberFormat="1">
      <alignment readingOrder="0"/>
    </xf>
    <xf borderId="0" fillId="0" fontId="19" numFmtId="0" xfId="0" applyAlignment="1" applyFont="1">
      <alignment readingOrder="0"/>
    </xf>
    <xf borderId="0" fillId="0" fontId="16" numFmtId="0" xfId="0" applyAlignment="1" applyFont="1">
      <alignment readingOrder="0"/>
    </xf>
    <xf borderId="0" fillId="7" fontId="17" numFmtId="0" xfId="0" applyAlignment="1" applyFill="1" applyFont="1">
      <alignment readingOrder="0"/>
    </xf>
  </cellXfs>
  <cellStyles count="1">
    <cellStyle xfId="0" name="Normal" builtinId="0"/>
  </cellStyles>
  <dxfs count="7">
    <dxf>
      <font>
        <b/>
        <color rgb="FFB4522B"/>
      </font>
      <fill>
        <patternFill patternType="solid">
          <fgColor rgb="FFFBF0E5"/>
          <bgColor rgb="FFFBF0E5"/>
        </patternFill>
      </fill>
      <border/>
    </dxf>
    <dxf>
      <font>
        <b/>
        <color rgb="FF8A6100"/>
      </font>
      <fill>
        <patternFill patternType="solid">
          <fgColor rgb="FFFFF4CC"/>
          <bgColor rgb="FFFFF4CC"/>
        </patternFill>
      </fill>
      <border/>
    </dxf>
    <dxf>
      <font>
        <b/>
        <color rgb="FF007A55"/>
      </font>
      <fill>
        <patternFill patternType="solid">
          <fgColor rgb="FFE8F5F0"/>
          <bgColor rgb="FFE8F5F0"/>
        </patternFill>
      </fill>
      <border/>
    </dxf>
    <dxf>
      <font>
        <b/>
        <color rgb="FFB4522B"/>
      </font>
      <fill>
        <patternFill patternType="none"/>
      </fill>
      <border/>
    </dxf>
    <dxf>
      <font>
        <color rgb="FF007A55"/>
      </font>
      <fill>
        <patternFill patternType="solid">
          <fgColor rgb="FFE8F5F0"/>
          <bgColor rgb="FFE8F5F0"/>
        </patternFill>
      </fill>
      <border/>
    </dxf>
    <dxf>
      <font>
        <color rgb="FFB4522B"/>
      </font>
      <fill>
        <patternFill patternType="none"/>
      </fill>
      <border/>
    </dxf>
    <dxf>
      <font/>
      <fill>
        <patternFill patternType="solid">
          <fgColor rgb="FFFBF0E5"/>
          <bgColor rgb="FFFBF0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397dbc2f-c30a-456c-bf61-67d43c0b7966}">
    <Anchor>
      <Comment id="{f686e7f3-4e04-461e-ab05-cdf031c76a91}"/>
    </Anchor>
    <History>
      <Event time="2026-09-24T15:56:27.00" id="{3ea0815d-96d4-42f3-9b24-b8d18c1486c6}">
        <Attribution userId="placeholder@email.com" userName="Vitaliy Stoyko" userProvider="google-sheets"/>
        <Anchor>
          <Comment id="{f686e7f3-4e04-461e-ab05-cdf031c76a91}"/>
        </Anchor>
        <Create/>
      </Event>
      <Event time="2026-09-24T15:56:27.00" id="{61fb7a00-3100-4d8d-a708-1666db5e731b}">
        <Attribution userId="placeholder@email.com" userName="Vitaliy Stoyko" userProvider="google-sheets"/>
        <Anchor>
          <Comment id="{f686e7f3-4e04-461e-ab05-cdf031c76a91}"/>
        </Anchor>
        <Assign userId="wkhan@paloaltonetworks.com" userName="wkhan@paloaltonetworks.com" userProvider="google-sheets"/>
      </Event>
    </History>
  </Task>
</Tasks>
</file>

<file path=xl/documenttasks/documenttask2.xml><?xml version="1.0" encoding="utf-8"?>
<Tasks xmlns="http://schemas.microsoft.com/office/tasks/2019/documenttasks">
  <Task id="{1092d45f-44ab-4b85-85ba-5a07765599cf}">
    <Anchor>
      <Comment id="{309b295c-631f-4d4d-9e9f-673b43a2404e}"/>
    </Anchor>
    <History>
      <Event time="2026-10-08T14:16:41.00" id="{df753728-4366-46e5-8644-b844fc9d4138}">
        <Attribution userId="placeholder@email.com" userName="Mark Davis" userProvider="google-sheets"/>
        <Anchor>
          <Comment id="{309b295c-631f-4d4d-9e9f-673b43a2404e}"/>
        </Anchor>
        <Create/>
      </Event>
      <Event time="2026-10-08T14:16:41.00" id="{1e3db314-c7e2-4ac5-a703-0ddb18600f9d}">
        <Attribution userId="placeholder@email.com" userName="Mark Davis" userProvider="google-sheets"/>
        <Anchor>
          <Comment id="{309b295c-631f-4d4d-9e9f-673b43a2404e}"/>
        </Anchor>
        <Assign userId="kpreston@paloaltonetworks.com" userName="kpreston@paloaltonetworks.com" userProvider="google-sheets"/>
      </Event>
    </History>
  </Task>
  <Task id="{916fd7b3-fdb4-4846-a2b8-34a29a15ea05}">
    <Anchor>
      <Comment id="{395909a6-590a-4703-815f-a01afe0438d0}"/>
    </Anchor>
    <History>
      <Event time="2026-10-08T14:17:28.00" id="{af89bbfb-037b-4603-82e5-a39d2ea3b221}">
        <Attribution userId="placeholder@email.com" userName="Mark Davis" userProvider="google-sheets"/>
        <Anchor>
          <Comment id="{395909a6-590a-4703-815f-a01afe0438d0}"/>
        </Anchor>
        <Create/>
      </Event>
      <Event time="2026-10-08T14:17:28.00" id="{7d26be4c-e97e-4f1f-9c56-7a44259055c7}">
        <Attribution userId="placeholder@email.com" userName="Mark Davis" userProvider="google-sheets"/>
        <Anchor>
          <Comment id="{395909a6-590a-4703-815f-a01afe0438d0}"/>
        </Anchor>
        <Assign userId="mdombrowski@paloaltonetworks.com" userName="mdombrowski@paloaltonetworks.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dombrowski@paloaltonetworks.com" id="{241faf9c-d9a1-42d5-a70a-60cfc7809220}" userId="mdombrowski@paloaltonetworks.com" providerId="google-sheets"/>
  <x18tc:person displayName="kpreston@paloaltonetworks.com" id="{56e03885-87f2-492f-9183-9dca5148a9b4}" userId="kpreston@paloaltonetworks.com" providerId="google-sheets"/>
  <x18tc:person displayName="wkhan@paloaltonetworks.com" id="{18cbfaf2-4378-434e-9b32-08bc1ebd500c}" userId="wkhan@paloaltonetworks.com" providerId="google-sheets"/>
  <x18tc:person displayName="Mark Davis" id="{91c3b4d8-e88b-4de7-bd6c-37d411afa666}" providerId="google-sheets"/>
  <x18tc:person displayName="Matthew Dombrowski" id="{1d261d50-0a43-4c84-839d-18e86c4ddbe3}" providerId="google-sheets"/>
  <x18tc:person displayName="Vitaliy Stoyko" id="{7111b4c2-54ca-4ff3-bb28-4c0058f7cae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9-24T15:56:27.00" personId="{7111b4c2-54ca-4ff3-bb28-4c0058f7caed}" id="{f686e7f3-4e04-461e-ab05-cdf031c76a91}" done="1">
    <x18tc:text xml:space="preserve">I think the Pre phase should be primarily owned by TSE before PS comes in for execution.
@wkhan@paloaltonetworks.com
Assigned to wkhan@paloaltonetworks.com</x18tc:text>
    <x18tc:mentions>
      <x18tc:mention mentionpersonId="{18cbfaf2-4378-434e-9b32-08bc1ebd500c}" mentionId="{1e26086b-7902-40ea-90f2-47cb6df7b75c}" startIndex="89" length="27"/>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 dT="2026-09-25T18:21:56.00" personId="{7111b4c2-54ca-4ff3-bb28-4c0058f7caed}" id="{239cf119-013d-4194-a2a0-a11e490eb34c}" done="0">
    <x18tc:text xml:space="preserve">Request Engineering support in #crtx-oae-all-acconts</x18tc:text>
  </x18tc:threadedComment>
  <x18tc:threadedComment ref="M9" dT="2026-10-08T14:16:41.00" personId="{91c3b4d8-e88b-4de7-bd6c-37d411afa666}" id="{309b295c-631f-4d4d-9e9f-673b43a2404e}" done="1">
    <x18tc:text xml:space="preserve">@kpreston@paloaltonetworks.com can you add the approximate date
Assigned to kpreston@paloaltonetworks.com</x18tc:text>
    <x18tc:mentions>
      <x18tc:mention mentionpersonId="{56e03885-87f2-492f-9183-9dca5148a9b4}" mentionId="{36f04a2b-3458-4564-b1c8-6cb0d89fe986}" startIndex="0" length="30"/>
    </x18tc:mentions>
  </x18tc:threadedComment>
  <x18tc:threadedComment ref="M2" dT="2026-10-08T14:17:28.00" personId="{91c3b4d8-e88b-4de7-bd6c-37d411afa666}" id="{395909a6-590a-4703-815f-a01afe0438d0}" done="0">
    <x18tc:text xml:space="preserve">@mdombrowski@paloaltonetworks.com do we have an update on the date or ETA?
Assigned to mdombrowski@paloaltonetworks.com</x18tc:text>
    <x18tc:mentions>
      <x18tc:mention mentionpersonId="{241faf9c-d9a1-42d5-a70a-60cfc7809220}" mentionId="{f0dfd225-fe95-449b-bc7a-916795c2b743}" startIndex="0" length="33"/>
    </x18tc:mentions>
  </x18tc:threadedComment>
  <x18tc:threadedComment ref="M2" dT="2026-10-08T15:01:47.00" personId="{1d261d50-0a43-4c84-839d-18e86c4ddbe3}" id="{140c8a7c-f259-478e-b10e-54f6d1312d20}" parentId="{395909a6-590a-4703-815f-a01afe0438d0}">
    <x18tc:text xml:space="preserve">No ETA as of now, I don't believe they will onboard GCP until they are comfortable with resolution on the asset count issue engineering is working 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document/d/1STpRmQCoCH93DXWxMrNC-4pbgrar2W-5z7gaz6M9neI/edit?tab=t.0" TargetMode="External"/><Relationship Id="rId11" Type="http://schemas.openxmlformats.org/officeDocument/2006/relationships/drawing" Target="../drawings/drawing4.xml"/><Relationship Id="rId10" Type="http://schemas.openxmlformats.org/officeDocument/2006/relationships/hyperlink" Target="https://drive.google.com/drive/folders/1Tg5srjvjS7tjnmWCbj18s4OCl2D_weaK?usp=drive_link" TargetMode="External"/><Relationship Id="rId12" Type="http://schemas.openxmlformats.org/officeDocument/2006/relationships/vmlDrawing" Target="../drawings/vmlDrawing3.vml"/><Relationship Id="rId9" Type="http://schemas.openxmlformats.org/officeDocument/2006/relationships/hyperlink" Target="https://docs.google.com/document/d/1SxND0QvdBlqNKUp__ZElTLHfWn_nxOuAiY5JJR3JJZ8/edit?tab=t.0" TargetMode="External"/><Relationship Id="rId5" Type="http://schemas.openxmlformats.org/officeDocument/2006/relationships/hyperlink" Target="https://docs.google.com/document/d/1z3uZBUWBDGGY3t3JU7ylkqpMap-lS9OBL9wf6OXF4uA/edit?tab=t.0" TargetMode="External"/><Relationship Id="rId6" Type="http://schemas.openxmlformats.org/officeDocument/2006/relationships/hyperlink" Target="https://docs.google.com/document/d/18MJ4DTJrHX1BUQOpJ9yZEkOTDG1lLFiGtjTMFf2FCOc/edit?usp=sharing" TargetMode="External"/><Relationship Id="rId7" Type="http://schemas.openxmlformats.org/officeDocument/2006/relationships/hyperlink" Target="https://docs.google.com/document/d/1-ZUGJ2fv0wjjYHoKCjKCd3RhXeioxUnc2dQdMfvTWn4/edit?tab=t.0" TargetMode="External"/><Relationship Id="rId8" Type="http://schemas.openxmlformats.org/officeDocument/2006/relationships/hyperlink" Target="https://docs.google.com/document/d/1NjJktU0yMiZBR-cWkALhZ7e9yh7cc3CWMr8MQzpbAP0/edit?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z3uZBUWBDGGY3t3JU7ylkqpMap-lS9OBL9wf6OXF4uA/edit?tab=t.0" TargetMode="External"/><Relationship Id="rId2" Type="http://schemas.openxmlformats.org/officeDocument/2006/relationships/hyperlink" Target="https://docs.google.com/document/d/1z3uZBUWBDGGY3t3JU7ylkqpMap-lS9OBL9wf6OXF4uA/edit?tab=t.0" TargetMode="External"/><Relationship Id="rId3" Type="http://schemas.openxmlformats.org/officeDocument/2006/relationships/hyperlink" Target="https://docs.google.com/document/d/1z3uZBUWBDGGY3t3JU7ylkqpMap-lS9OBL9wf6OXF4uA/edit?tab=t.0" TargetMode="External"/><Relationship Id="rId4" Type="http://schemas.openxmlformats.org/officeDocument/2006/relationships/hyperlink" Target="https://docs.google.com/document/d/1z3uZBUWBDGGY3t3JU7ylkqpMap-lS9OBL9wf6OXF4uA/edit?tab=t.0" TargetMode="External"/><Relationship Id="rId11" Type="http://schemas.openxmlformats.org/officeDocument/2006/relationships/hyperlink" Target="https://drive.google.com/file/d/1RWLT09GY_luFdBKnvCHevcawZurqo9zv/view?usp=drive_link" TargetMode="External"/><Relationship Id="rId10" Type="http://schemas.openxmlformats.org/officeDocument/2006/relationships/hyperlink" Target="https://docs.google.com/document/d/1erYNnpmSYybPaQ9FyD8uTRDJP-QtDkCkYi9FP-1wz6Y/edit?tab=t.4w05kogx4q1t" TargetMode="External"/><Relationship Id="rId12" Type="http://schemas.openxmlformats.org/officeDocument/2006/relationships/drawing" Target="../drawings/drawing5.xml"/><Relationship Id="rId9" Type="http://schemas.openxmlformats.org/officeDocument/2006/relationships/hyperlink" Target="https://docs.google.com/document/d/1z3uZBUWBDGGY3t3JU7ylkqpMap-lS9OBL9wf6OXF4uA/edit?tab=t.0" TargetMode="External"/><Relationship Id="rId5" Type="http://schemas.openxmlformats.org/officeDocument/2006/relationships/hyperlink" Target="https://docs.google.com/document/d/1z3uZBUWBDGGY3t3JU7ylkqpMap-lS9OBL9wf6OXF4uA/edit?tab=t.0" TargetMode="External"/><Relationship Id="rId6" Type="http://schemas.openxmlformats.org/officeDocument/2006/relationships/hyperlink" Target="https://docs.google.com/document/d/1z3uZBUWBDGGY3t3JU7ylkqpMap-lS9OBL9wf6OXF4uA/edit?tab=t.0" TargetMode="External"/><Relationship Id="rId7" Type="http://schemas.openxmlformats.org/officeDocument/2006/relationships/hyperlink" Target="https://docs.google.com/document/d/1z3uZBUWBDGGY3t3JU7ylkqpMap-lS9OBL9wf6OXF4uA/edit?tab=t.0" TargetMode="External"/><Relationship Id="rId8" Type="http://schemas.openxmlformats.org/officeDocument/2006/relationships/hyperlink" Target="https://docs.google.com/document/d/1z3uZBUWBDGGY3t3JU7ylkqpMap-lS9OBL9wf6OXF4uA/edit?tab=t.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22B"/>
    <pageSetUpPr/>
  </sheetPr>
  <sheetViews>
    <sheetView workbookViewId="0"/>
  </sheetViews>
  <sheetFormatPr customHeight="1" defaultColWidth="14.43" defaultRowHeight="15.0"/>
  <cols>
    <col customWidth="1" min="1" max="1" width="34.0"/>
    <col customWidth="1" min="2" max="2" width="90.0"/>
    <col customWidth="1" min="3" max="3" width="12.0"/>
    <col customWidth="1" min="4" max="6" width="8.71"/>
  </cols>
  <sheetData>
    <row r="1">
      <c r="A1" s="1" t="s">
        <v>0</v>
      </c>
    </row>
    <row r="4">
      <c r="A4" s="2" t="s">
        <v>1</v>
      </c>
      <c r="B4" s="3"/>
    </row>
    <row r="5" ht="15.75" customHeight="1">
      <c r="A5" s="4" t="s">
        <v>2</v>
      </c>
      <c r="B5" s="5" t="s">
        <v>3</v>
      </c>
    </row>
    <row r="6" ht="15.75" customHeight="1">
      <c r="A6" s="4" t="s">
        <v>4</v>
      </c>
      <c r="B6" s="6" t="s">
        <v>5</v>
      </c>
    </row>
    <row r="7" ht="15.75" customHeight="1">
      <c r="A7" s="4" t="s">
        <v>6</v>
      </c>
      <c r="B7" s="5" t="s">
        <v>7</v>
      </c>
    </row>
    <row r="8">
      <c r="A8" s="2" t="s">
        <v>8</v>
      </c>
      <c r="B8" s="3"/>
    </row>
    <row r="9" ht="15.75" customHeight="1">
      <c r="A9" s="7" t="s">
        <v>9</v>
      </c>
      <c r="B9" s="5" t="s">
        <v>10</v>
      </c>
    </row>
    <row r="10" ht="15.75" customHeight="1">
      <c r="A10" s="7" t="s">
        <v>9</v>
      </c>
      <c r="B10" s="5" t="s">
        <v>11</v>
      </c>
    </row>
    <row r="11" ht="30.0" customHeight="1">
      <c r="A11" s="7" t="s">
        <v>9</v>
      </c>
      <c r="B11" s="5" t="s">
        <v>12</v>
      </c>
    </row>
    <row r="12" ht="30.0" customHeight="1">
      <c r="A12" s="7" t="s">
        <v>9</v>
      </c>
      <c r="B12" s="5" t="s">
        <v>13</v>
      </c>
    </row>
    <row r="13" ht="47.25" customHeight="1">
      <c r="A13" s="4" t="s">
        <v>14</v>
      </c>
      <c r="B13" s="5" t="s">
        <v>15</v>
      </c>
    </row>
    <row r="14">
      <c r="A14" s="2" t="s">
        <v>16</v>
      </c>
      <c r="B14" s="3"/>
    </row>
    <row r="15" ht="30.0" customHeight="1">
      <c r="A15" s="5" t="s">
        <v>17</v>
      </c>
    </row>
    <row r="17">
      <c r="A17" s="2" t="s">
        <v>18</v>
      </c>
      <c r="B17" s="3"/>
    </row>
    <row r="18" ht="30.0" customHeight="1">
      <c r="A18" s="8" t="s">
        <v>19</v>
      </c>
    </row>
    <row r="19" ht="15.75" customHeight="1"/>
    <row r="20" ht="15.75" customHeight="1"/>
    <row r="21" ht="15.75" customHeight="1"/>
    <row r="22" ht="15.75" customHeight="1">
      <c r="A22" s="9"/>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
    <mergeCell ref="A15:B15"/>
    <mergeCell ref="A18:B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A55"/>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9.0"/>
    <col customWidth="1" min="3" max="3" width="52.0"/>
    <col customWidth="1" min="4" max="4" width="15.0"/>
    <col customWidth="1" min="5" max="5" width="52.0"/>
    <col customWidth="1" min="6" max="6" width="16.86"/>
    <col customWidth="1" min="7" max="7" width="32.0"/>
    <col customWidth="1" min="8" max="8" width="12.0"/>
    <col customWidth="1" hidden="1" min="9" max="9" width="10.0"/>
  </cols>
  <sheetData>
    <row r="1" ht="31.5" customHeight="1">
      <c r="A1" s="10" t="s">
        <v>20</v>
      </c>
      <c r="B1" s="10" t="s">
        <v>21</v>
      </c>
      <c r="C1" s="10" t="s">
        <v>22</v>
      </c>
      <c r="D1" s="10" t="s">
        <v>23</v>
      </c>
      <c r="E1" s="10" t="s">
        <v>24</v>
      </c>
      <c r="F1" s="10" t="s">
        <v>25</v>
      </c>
      <c r="G1" s="10" t="s">
        <v>26</v>
      </c>
      <c r="H1" s="10" t="s">
        <v>27</v>
      </c>
      <c r="I1" s="10" t="s">
        <v>28</v>
      </c>
    </row>
    <row r="2">
      <c r="A2" s="11" t="s">
        <v>29</v>
      </c>
      <c r="B2" s="11" t="s">
        <v>30</v>
      </c>
      <c r="C2" s="11" t="s">
        <v>31</v>
      </c>
      <c r="D2" s="11" t="s">
        <v>32</v>
      </c>
      <c r="E2" s="11" t="s">
        <v>33</v>
      </c>
      <c r="F2" s="11" t="s">
        <v>34</v>
      </c>
      <c r="G2" s="11" t="s">
        <v>35</v>
      </c>
      <c r="H2" s="12">
        <f>COUNTIF(Deviations!$C$2:$C$151,A2)</f>
        <v>0</v>
      </c>
      <c r="I2" s="12">
        <f t="shared" ref="I2:I17" si="1">H2+(100-ROW())/1000</f>
        <v>0.098</v>
      </c>
    </row>
    <row r="3">
      <c r="A3" s="11" t="s">
        <v>36</v>
      </c>
      <c r="B3" s="11" t="s">
        <v>30</v>
      </c>
      <c r="C3" s="11" t="s">
        <v>37</v>
      </c>
      <c r="D3" s="11" t="s">
        <v>32</v>
      </c>
      <c r="E3" s="11" t="s">
        <v>38</v>
      </c>
      <c r="F3" s="11" t="s">
        <v>34</v>
      </c>
      <c r="G3" s="11" t="s">
        <v>39</v>
      </c>
      <c r="H3" s="12">
        <f>COUNTIF(Deviations!$C$2:$C$151,A3)</f>
        <v>0</v>
      </c>
      <c r="I3" s="12">
        <f t="shared" si="1"/>
        <v>0.097</v>
      </c>
    </row>
    <row r="4">
      <c r="A4" s="11" t="s">
        <v>40</v>
      </c>
      <c r="B4" s="11" t="s">
        <v>30</v>
      </c>
      <c r="C4" s="11" t="s">
        <v>41</v>
      </c>
      <c r="D4" s="11" t="s">
        <v>32</v>
      </c>
      <c r="E4" s="11" t="s">
        <v>42</v>
      </c>
      <c r="F4" s="11" t="s">
        <v>34</v>
      </c>
      <c r="G4" s="11" t="s">
        <v>43</v>
      </c>
      <c r="H4" s="12">
        <f>COUNTIF(Deviations!$C$2:$C$151,A4)</f>
        <v>0</v>
      </c>
      <c r="I4" s="12">
        <f t="shared" si="1"/>
        <v>0.096</v>
      </c>
    </row>
    <row r="5">
      <c r="A5" s="11" t="s">
        <v>44</v>
      </c>
      <c r="B5" s="11" t="s">
        <v>30</v>
      </c>
      <c r="C5" s="11" t="s">
        <v>45</v>
      </c>
      <c r="D5" s="11" t="s">
        <v>46</v>
      </c>
      <c r="E5" s="11" t="s">
        <v>47</v>
      </c>
      <c r="F5" s="11" t="s">
        <v>34</v>
      </c>
      <c r="G5" s="11" t="s">
        <v>48</v>
      </c>
      <c r="H5" s="12">
        <f>COUNTIF(Deviations!$C$2:$C$151,A5)</f>
        <v>0</v>
      </c>
      <c r="I5" s="12">
        <f t="shared" si="1"/>
        <v>0.095</v>
      </c>
    </row>
    <row r="6">
      <c r="A6" s="11" t="s">
        <v>49</v>
      </c>
      <c r="B6" s="11" t="s">
        <v>30</v>
      </c>
      <c r="C6" s="11" t="s">
        <v>50</v>
      </c>
      <c r="D6" s="11" t="s">
        <v>32</v>
      </c>
      <c r="E6" s="11" t="s">
        <v>51</v>
      </c>
      <c r="F6" s="11" t="s">
        <v>34</v>
      </c>
      <c r="G6" s="11" t="s">
        <v>52</v>
      </c>
      <c r="H6" s="12">
        <f>COUNTIF(Deviations!$C$2:$C$151,A6)</f>
        <v>0</v>
      </c>
      <c r="I6" s="12">
        <f t="shared" si="1"/>
        <v>0.094</v>
      </c>
    </row>
    <row r="7">
      <c r="A7" s="11" t="s">
        <v>53</v>
      </c>
      <c r="B7" s="11" t="s">
        <v>30</v>
      </c>
      <c r="C7" s="11" t="s">
        <v>54</v>
      </c>
      <c r="D7" s="11" t="s">
        <v>32</v>
      </c>
      <c r="E7" s="11" t="s">
        <v>55</v>
      </c>
      <c r="F7" s="11" t="s">
        <v>56</v>
      </c>
      <c r="G7" s="11"/>
      <c r="H7" s="12">
        <f>COUNTIF(Deviations!$C$2:$C$151,A7)</f>
        <v>0</v>
      </c>
      <c r="I7" s="12">
        <f t="shared" si="1"/>
        <v>0.093</v>
      </c>
    </row>
    <row r="8">
      <c r="A8" s="11" t="s">
        <v>57</v>
      </c>
      <c r="B8" s="11" t="s">
        <v>30</v>
      </c>
      <c r="C8" s="11" t="s">
        <v>58</v>
      </c>
      <c r="D8" s="11" t="s">
        <v>32</v>
      </c>
      <c r="E8" s="11" t="s">
        <v>59</v>
      </c>
      <c r="F8" s="11" t="s">
        <v>56</v>
      </c>
      <c r="G8" s="11"/>
      <c r="H8" s="12">
        <f>COUNTIF(Deviations!$C$2:$C$151,A8)</f>
        <v>0</v>
      </c>
      <c r="I8" s="12">
        <f t="shared" si="1"/>
        <v>0.092</v>
      </c>
    </row>
    <row r="9">
      <c r="A9" s="11" t="s">
        <v>60</v>
      </c>
      <c r="B9" s="11" t="s">
        <v>30</v>
      </c>
      <c r="C9" s="11" t="s">
        <v>61</v>
      </c>
      <c r="D9" s="11" t="s">
        <v>62</v>
      </c>
      <c r="E9" s="11" t="s">
        <v>63</v>
      </c>
      <c r="F9" s="11" t="s">
        <v>34</v>
      </c>
      <c r="G9" s="11" t="s">
        <v>64</v>
      </c>
      <c r="H9" s="12">
        <f>COUNTIF(Deviations!$C$2:$C$151,A9)</f>
        <v>0</v>
      </c>
      <c r="I9" s="12">
        <f t="shared" si="1"/>
        <v>0.091</v>
      </c>
    </row>
    <row r="10">
      <c r="A10" s="11" t="s">
        <v>65</v>
      </c>
      <c r="B10" s="11" t="s">
        <v>66</v>
      </c>
      <c r="C10" s="11" t="s">
        <v>67</v>
      </c>
      <c r="D10" s="11" t="s">
        <v>68</v>
      </c>
      <c r="E10" s="11" t="s">
        <v>69</v>
      </c>
      <c r="F10" s="11" t="s">
        <v>34</v>
      </c>
      <c r="G10" s="11" t="s">
        <v>70</v>
      </c>
      <c r="H10" s="12">
        <f>COUNTIF(Deviations!$C$2:$C$151,A10)</f>
        <v>0</v>
      </c>
      <c r="I10" s="12">
        <f t="shared" si="1"/>
        <v>0.09</v>
      </c>
    </row>
    <row r="11">
      <c r="A11" s="11" t="s">
        <v>71</v>
      </c>
      <c r="B11" s="11" t="s">
        <v>66</v>
      </c>
      <c r="C11" s="11" t="s">
        <v>72</v>
      </c>
      <c r="D11" s="11" t="s">
        <v>46</v>
      </c>
      <c r="E11" s="11" t="s">
        <v>73</v>
      </c>
      <c r="F11" s="11" t="s">
        <v>56</v>
      </c>
      <c r="G11" s="11"/>
      <c r="H11" s="12">
        <f>COUNTIF(Deviations!$C$2:$C$151,A11)</f>
        <v>0</v>
      </c>
      <c r="I11" s="12">
        <f t="shared" si="1"/>
        <v>0.089</v>
      </c>
    </row>
    <row r="12">
      <c r="A12" s="11" t="s">
        <v>74</v>
      </c>
      <c r="B12" s="11" t="s">
        <v>66</v>
      </c>
      <c r="C12" s="11" t="s">
        <v>75</v>
      </c>
      <c r="D12" s="11" t="s">
        <v>68</v>
      </c>
      <c r="E12" s="11" t="s">
        <v>76</v>
      </c>
      <c r="F12" s="11" t="s">
        <v>56</v>
      </c>
      <c r="G12" s="11"/>
      <c r="H12" s="12">
        <f>COUNTIF(Deviations!$C$2:$C$151,A12)</f>
        <v>0</v>
      </c>
      <c r="I12" s="12">
        <f t="shared" si="1"/>
        <v>0.088</v>
      </c>
    </row>
    <row r="13">
      <c r="A13" s="11" t="s">
        <v>77</v>
      </c>
      <c r="B13" s="11" t="s">
        <v>66</v>
      </c>
      <c r="C13" s="11" t="s">
        <v>78</v>
      </c>
      <c r="D13" s="11" t="s">
        <v>68</v>
      </c>
      <c r="E13" s="11" t="s">
        <v>79</v>
      </c>
      <c r="F13" s="11" t="s">
        <v>56</v>
      </c>
      <c r="G13" s="11"/>
      <c r="H13" s="12">
        <f>COUNTIF(Deviations!$C$2:$C$151,A13)</f>
        <v>0</v>
      </c>
      <c r="I13" s="12">
        <f t="shared" si="1"/>
        <v>0.087</v>
      </c>
    </row>
    <row r="14">
      <c r="A14" s="11" t="s">
        <v>80</v>
      </c>
      <c r="B14" s="11" t="s">
        <v>81</v>
      </c>
      <c r="C14" s="11" t="s">
        <v>82</v>
      </c>
      <c r="D14" s="11" t="s">
        <v>62</v>
      </c>
      <c r="E14" s="11" t="s">
        <v>83</v>
      </c>
      <c r="F14" s="11" t="s">
        <v>34</v>
      </c>
      <c r="G14" s="11" t="s">
        <v>84</v>
      </c>
      <c r="H14" s="12">
        <f>COUNTIF(Deviations!$C$2:$C$151,A14)</f>
        <v>0</v>
      </c>
      <c r="I14" s="12">
        <f t="shared" si="1"/>
        <v>0.086</v>
      </c>
    </row>
    <row r="15">
      <c r="A15" s="11" t="s">
        <v>85</v>
      </c>
      <c r="B15" s="11" t="s">
        <v>81</v>
      </c>
      <c r="C15" s="11" t="s">
        <v>86</v>
      </c>
      <c r="D15" s="11" t="s">
        <v>32</v>
      </c>
      <c r="E15" s="11" t="s">
        <v>87</v>
      </c>
      <c r="F15" s="11" t="s">
        <v>56</v>
      </c>
      <c r="G15" s="11"/>
      <c r="H15" s="12">
        <f>COUNTIF(Deviations!$C$2:$C$151,A15)</f>
        <v>0</v>
      </c>
      <c r="I15" s="12">
        <f t="shared" si="1"/>
        <v>0.085</v>
      </c>
    </row>
    <row r="16">
      <c r="A16" s="11" t="s">
        <v>88</v>
      </c>
      <c r="B16" s="11" t="s">
        <v>81</v>
      </c>
      <c r="C16" s="11" t="s">
        <v>89</v>
      </c>
      <c r="D16" s="11" t="s">
        <v>32</v>
      </c>
      <c r="E16" s="11" t="s">
        <v>90</v>
      </c>
      <c r="F16" s="11" t="s">
        <v>34</v>
      </c>
      <c r="G16" s="11" t="s">
        <v>91</v>
      </c>
      <c r="H16" s="12">
        <f>COUNTIF(Deviations!$C$2:$C$151,A16)</f>
        <v>0</v>
      </c>
      <c r="I16" s="12">
        <f t="shared" si="1"/>
        <v>0.084</v>
      </c>
    </row>
    <row r="17">
      <c r="A17" s="11" t="s">
        <v>92</v>
      </c>
      <c r="B17" s="11" t="s">
        <v>81</v>
      </c>
      <c r="C17" s="11" t="s">
        <v>93</v>
      </c>
      <c r="D17" s="11" t="s">
        <v>32</v>
      </c>
      <c r="E17" s="11" t="s">
        <v>94</v>
      </c>
      <c r="F17" s="11" t="s">
        <v>34</v>
      </c>
      <c r="G17" s="11" t="s">
        <v>95</v>
      </c>
      <c r="H17" s="12">
        <f>COUNTIF(Deviations!$C$2:$C$151,A17)</f>
        <v>0</v>
      </c>
      <c r="I17" s="12">
        <f t="shared" si="1"/>
        <v>0.083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389"/>
    <pageSetUpPr/>
  </sheetPr>
  <sheetViews>
    <sheetView showGridLines="0" workbookViewId="0">
      <pane xSplit="1.0" ySplit="14.0" topLeftCell="B15" activePane="bottomRight" state="frozen"/>
      <selection activeCell="B1" sqref="B1" pane="topRight"/>
      <selection activeCell="A15" sqref="A15" pane="bottomLeft"/>
      <selection activeCell="B15" sqref="B15" pane="bottomRight"/>
    </sheetView>
  </sheetViews>
  <sheetFormatPr customHeight="1" defaultColWidth="14.43" defaultRowHeight="15.0"/>
  <cols>
    <col customWidth="1" min="1" max="2" width="22.0"/>
    <col customWidth="1" min="3" max="3" width="18.0"/>
    <col customWidth="1" min="4" max="4" width="16.0"/>
    <col customWidth="1" min="5" max="5" width="11.0"/>
    <col customWidth="1" min="6" max="6" width="10.0"/>
    <col customWidth="1" min="7" max="7" width="11.0"/>
    <col customWidth="1" min="8" max="8" width="10.0"/>
    <col customWidth="1" min="9" max="9" width="9.0"/>
    <col customWidth="1" min="10" max="10" width="8.0"/>
    <col customWidth="1" min="11" max="11" width="9.0"/>
    <col customWidth="1" min="12" max="12" width="40.0"/>
    <col customWidth="1" min="13" max="13" width="30.0"/>
    <col customWidth="1" min="14" max="14" width="16.0"/>
    <col customWidth="1" min="15" max="15" width="11.0"/>
  </cols>
  <sheetData>
    <row r="2" ht="39.75" customHeight="1">
      <c r="A2" s="13">
        <f>SUMPRODUCT(((Accounts!$J$2:$J$21="Onboarding")+(Accounts!$J$2:$J$21="Post-onboarding")+(Accounts!$J$2:$J$21="Done"))*1)</f>
        <v>8</v>
      </c>
      <c r="B2" s="14"/>
      <c r="C2" s="13">
        <f>SUMPRODUCT((Accounts!$J$2:$J$21="Done")*(Accounts!$R$2:$R$21=""))</f>
        <v>0</v>
      </c>
      <c r="D2" s="14"/>
      <c r="E2" s="15" t="str">
        <f>IFERROR(MEDIAN($G$15:$G$27),"–")</f>
        <v>–</v>
      </c>
      <c r="F2" s="14"/>
      <c r="G2" s="13">
        <f>COUNTIF($I$15:$I$27,"&gt;0")</f>
        <v>8</v>
      </c>
      <c r="H2" s="14"/>
      <c r="I2" s="13">
        <f>COUNTA(Deviations!$B$2:$B$151)</f>
        <v>0</v>
      </c>
      <c r="J2" s="14"/>
      <c r="K2" s="13"/>
      <c r="L2" s="14"/>
      <c r="N2" s="16"/>
    </row>
    <row r="3" ht="27.75" customHeight="1">
      <c r="A3" s="17" t="str">
        <f>"Events run (of "&amp;COUNTA(Accounts!$B$2:$B$21)&amp;")"</f>
        <v>Events run (of 13)</v>
      </c>
      <c r="B3" s="14"/>
      <c r="C3" s="17" t="s">
        <v>96</v>
      </c>
      <c r="D3" s="14"/>
      <c r="E3" s="18" t="s">
        <v>97</v>
      </c>
      <c r="F3" s="14"/>
      <c r="G3" s="17" t="s">
        <v>98</v>
      </c>
      <c r="H3" s="14"/>
      <c r="I3" s="17" t="s">
        <v>27</v>
      </c>
      <c r="J3" s="14"/>
      <c r="K3" s="17"/>
      <c r="L3" s="14"/>
      <c r="N3" s="19"/>
    </row>
    <row r="4">
      <c r="A4" s="20" t="s">
        <v>99</v>
      </c>
      <c r="B4" s="14"/>
      <c r="C4" s="20" t="s">
        <v>100</v>
      </c>
      <c r="D4" s="14"/>
      <c r="E4" s="20"/>
      <c r="F4" s="14"/>
      <c r="G4" s="20" t="s">
        <v>101</v>
      </c>
      <c r="H4" s="14"/>
      <c r="I4" s="20" t="s">
        <v>102</v>
      </c>
      <c r="J4" s="14"/>
      <c r="K4" s="20"/>
      <c r="L4" s="14"/>
    </row>
    <row r="6" ht="15.75" customHeight="1">
      <c r="A6" s="21" t="s">
        <v>103</v>
      </c>
      <c r="B6" s="22"/>
      <c r="C6" s="22"/>
      <c r="D6" s="22"/>
      <c r="E6" s="22"/>
      <c r="F6" s="22"/>
      <c r="G6" s="22"/>
      <c r="H6" s="22"/>
      <c r="I6" s="22"/>
      <c r="J6" s="22"/>
      <c r="K6" s="22"/>
      <c r="L6" s="22"/>
      <c r="M6" s="22"/>
      <c r="N6" s="22"/>
      <c r="O6" s="22"/>
    </row>
    <row r="7" ht="15.75" customHeight="1">
      <c r="A7" s="23" t="s">
        <v>104</v>
      </c>
      <c r="B7" s="23" t="s">
        <v>105</v>
      </c>
      <c r="C7" s="23" t="s">
        <v>106</v>
      </c>
      <c r="D7" s="23" t="s">
        <v>107</v>
      </c>
      <c r="E7" s="23" t="s">
        <v>108</v>
      </c>
      <c r="F7" s="23" t="s">
        <v>109</v>
      </c>
    </row>
    <row r="8" ht="15.75" customHeight="1">
      <c r="A8" s="24">
        <f>COUNTIF(Accounts!$J$2:$J$21,"Not started")</f>
        <v>4</v>
      </c>
      <c r="B8" s="24">
        <f>COUNTIF(Accounts!$J$2:$J$21,"Pre-onboarding")</f>
        <v>1</v>
      </c>
      <c r="C8" s="24">
        <f>COUNTIF(Accounts!$J$2:$J$21,"Onboarding")</f>
        <v>6</v>
      </c>
      <c r="D8" s="24">
        <f>COUNTIF(Accounts!$J$2:$J$21,"Post-onboarding")</f>
        <v>1</v>
      </c>
      <c r="E8" s="24">
        <f>COUNTIF(Accounts!$J$2:$J$21,"Done")</f>
        <v>1</v>
      </c>
      <c r="F8" s="24">
        <f>COUNTIF(Accounts!$J$2:$J$21,"On hold")</f>
        <v>0</v>
      </c>
    </row>
    <row r="13">
      <c r="A13" s="21" t="s">
        <v>110</v>
      </c>
      <c r="B13" s="22"/>
      <c r="C13" s="22"/>
      <c r="D13" s="22"/>
      <c r="E13" s="22"/>
      <c r="F13" s="22"/>
      <c r="G13" s="22"/>
      <c r="H13" s="22"/>
      <c r="I13" s="22"/>
      <c r="J13" s="22"/>
      <c r="K13" s="22"/>
      <c r="L13" s="22"/>
      <c r="M13" s="22"/>
      <c r="N13" s="22"/>
      <c r="O13" s="22"/>
    </row>
    <row r="14" ht="49.5" customHeight="1">
      <c r="A14" s="10" t="s">
        <v>111</v>
      </c>
      <c r="B14" s="10" t="s">
        <v>112</v>
      </c>
      <c r="C14" s="10" t="s">
        <v>68</v>
      </c>
      <c r="D14" s="10" t="s">
        <v>32</v>
      </c>
      <c r="E14" s="10" t="s">
        <v>113</v>
      </c>
      <c r="F14" s="10" t="s">
        <v>114</v>
      </c>
      <c r="G14" s="10" t="s">
        <v>115</v>
      </c>
      <c r="H14" s="10" t="s">
        <v>116</v>
      </c>
      <c r="I14" s="10" t="s">
        <v>117</v>
      </c>
      <c r="J14" s="10" t="s">
        <v>118</v>
      </c>
      <c r="K14" s="25" t="s">
        <v>119</v>
      </c>
      <c r="L14" s="10" t="s">
        <v>120</v>
      </c>
      <c r="M14" s="10" t="s">
        <v>121</v>
      </c>
      <c r="N14" s="10" t="s">
        <v>122</v>
      </c>
      <c r="O14" s="10" t="s">
        <v>123</v>
      </c>
    </row>
    <row r="15">
      <c r="A15" s="11" t="str">
        <f>IF(Accounts!$B2="","",Accounts!$B2)</f>
        <v>Zoom Video</v>
      </c>
      <c r="B15" s="11" t="str">
        <f>IF($A15="","",Accounts!$J2&amp;"")</f>
        <v>Onboarding</v>
      </c>
      <c r="C15" s="11" t="str">
        <f>IF($A15="","",Accounts!$F2&amp;"")</f>
        <v>Matthew Dombrowski</v>
      </c>
      <c r="D15" s="11" t="str">
        <f>IF($A15="","",Accounts!$G2&amp;"")</f>
        <v>Z Yu</v>
      </c>
      <c r="E15" s="11" t="str">
        <f>IF($A15="","",(COUNTIFS(Checklist!$A$2:$A$400,$A15,Checklist!$B$2:$B$400,"P*",Checklist!$F$2:$F$400,"Done")+COUNTIFS(Checklist!$A$2:$A$400,$A15,Checklist!$B$2:$B$400,"P*",Checklist!$F$2:$F$400,"N/A"))&amp;" / "&amp;COUNTIFS(Checklist!$A$2:$A$400,$A15,Checklist!$B$2:$B$400,"P*"))</f>
        <v>0 / 8</v>
      </c>
      <c r="F15" s="11" t="str">
        <f>IF($A15="","",IF(Accounts!$K2="","Not held",Accounts!$K2))</f>
        <v>Not held</v>
      </c>
      <c r="G15" s="26" t="str">
        <f>IF(OR($A15="",Accounts!$N2="",Accounts!$O2=""),"",Accounts!$O2-Accounts!$N2)</f>
        <v/>
      </c>
      <c r="H15" s="11">
        <f>IF($A15="","",COUNTIF(Deviations!$B$2:$B$151,$A15))</f>
        <v>0</v>
      </c>
      <c r="I15" s="11">
        <f>IF($A15="","",(AND(OR(Accounts!$J2="Onboarding",Accounts!$J2="Post-onboarding",Accounts!$J2="Done"),Accounts!$K2&lt;&gt;"Go"))*1+(COUNTIFS(Checklist!$A$2:$A$400,$A15,Checklist!$B$2:$B$400,"P*",Checklist!$F$2:$F$400,"Skipped")&gt;0)*1+(AND(Accounts!$M2&lt;&gt;"",Accounts!$K2&lt;&gt;"Go"))*1+(AND(Accounts!$J2="Done",Accounts!$O2=""))*1)</f>
        <v>2</v>
      </c>
      <c r="J15" s="11">
        <f>IF($A15="","",(AND(Accounts!$J2&lt;&gt;"Not started",Accounts!$I2=""))*1+(AND(OR(Accounts!$J2="Pre-onboarding",Accounts!$J2="Onboarding"),Accounts!$H2=""))*1+(IF(Accounts!$O2="",FALSE,AND(Accounts!$P2="",TODAY()-Accounts!$O2&gt;2)))*1+(IF(Accounts!$U2="",FALSE,AND(Accounts!$U2&lt;TODAY(),Accounts!$J2&lt;&gt;"Done")))*1+(IF(Accounts!$V2="",TRUE,TODAY()-Accounts!$V2&gt;7))*1+(AND(Accounts!$S2="",Accounts!$J2&lt;&gt;"Done"))*1+(COUNTIFS(Checklist!$A$2:$A$400,$A15,Checklist!$K$2:$K$400,"*Evidence missing*")&gt;0)*1)</f>
        <v>3</v>
      </c>
      <c r="K15" s="27" t="str">
        <f t="shared" ref="K15:K27" si="1">IF($A15="","",IF(I15&gt;0,"RED",IF(J15&gt;0,"AMBER","GREEN")))</f>
        <v>RED</v>
      </c>
      <c r="L15" s="11" t="str">
        <f>IF($A15="","",IF(AND(OR(Accounts!$J2="Onboarding",Accounts!$J2="Post-onboarding",Accounts!$J2="Done"),Accounts!$K2&lt;&gt;"Go"),"Onboarding started without a Go"&amp;CHAR(10),"")&amp;IF(COUNTIFS(Checklist!$A$2:$A$400,$A15,Checklist!$B$2:$B$400,"P*",Checklist!$F$2:$F$400,"Skipped")&gt;0,"Pre-onboarding step skipped"&amp;CHAR(10),"")&amp;IF(AND(Accounts!$M2&lt;&gt;"",Accounts!$K2&lt;&gt;"Go"),"Date committed before the gate is green"&amp;CHAR(10),"")&amp;IF(AND(Accounts!$J2="Done",Accounts!$O2=""),"Marked Done before all scanners return data"&amp;CHAR(10),"")&amp;IF(AND(Accounts!$J2&lt;&gt;"Not started",Accounts!$I2=""),"No onboarding record linked"&amp;CHAR(10),"")&amp;IF(AND(OR(Accounts!$J2="Pre-onboarding",Accounts!$J2="Onboarding"),Accounts!$H2=""),"No named engineer"&amp;CHAR(10),"")&amp;IF(IF(Accounts!$O2="",FALSE,AND(Accounts!$P2="",TODAY()-Accounts!$O2&gt;2)),"Retro overdue (48h rule)"&amp;CHAR(10),"")&amp;IF(IF(Accounts!$U2="",FALSE,AND(Accounts!$U2&lt;TODAY(),Accounts!$J2&lt;&gt;"Done")),"Next action overdue"&amp;CHAR(10),"")&amp;IF(IF(Accounts!$V2="",TRUE,TODAY()-Accounts!$V2&gt;7),"Not updated in 7+ days"&amp;CHAR(10),"")&amp;IF(AND(Accounts!$S2="",Accounts!$J2&lt;&gt;"Done"),"No next action set"&amp;CHAR(10),"")&amp;IF(COUNTIFS(Checklist!$A$2:$A$400,$A15,Checklist!$K$2:$K$400,"*Evidence missing*")&gt;0,"Done step missing evidence"&amp;CHAR(10),""))</f>
        <v>Onboarding started without a Go
Date committed before the gate is green
No onboarding record linked
No named engineer
Not updated in 7+ days
</v>
      </c>
      <c r="M15" s="11" t="str">
        <f>IF($A15="","",Accounts!$S2&amp;"")</f>
        <v>Once issues are resolved, we can continue onboarding GCP and Azure (if customer wants to in migration)</v>
      </c>
      <c r="N15" s="11" t="str">
        <f>IF($A15="","",Accounts!$T2&amp;"")</f>
        <v>Matt-PS
Mark - EE
Zoom - Cloud Ops</v>
      </c>
      <c r="O15" s="28" t="str">
        <f>IF(OR($A15="",Accounts!$U2=""),"",Accounts!$U2)</f>
        <v>TBD</v>
      </c>
    </row>
    <row r="16">
      <c r="A16" s="11" t="str">
        <f>IF(Accounts!$B3="","",Accounts!$B3)</f>
        <v>Broadcom</v>
      </c>
      <c r="B16" s="11" t="str">
        <f>IF($A16="","",Accounts!$J3&amp;"")</f>
        <v>Onboarding</v>
      </c>
      <c r="C16" s="11" t="str">
        <f>IF($A16="","",Accounts!$F3&amp;"")</f>
        <v>Stephen Lovett</v>
      </c>
      <c r="D16" s="11" t="str">
        <f>IF($A16="","",Accounts!$G3&amp;"")</f>
        <v>Z Yu</v>
      </c>
      <c r="E16" s="11" t="str">
        <f>IF($A16="","",(COUNTIFS(Checklist!$A$2:$A$400,$A16,Checklist!$B$2:$B$400,"P*",Checklist!$F$2:$F$400,"Done")+COUNTIFS(Checklist!$A$2:$A$400,$A16,Checklist!$B$2:$B$400,"P*",Checklist!$F$2:$F$400,"N/A"))&amp;" / "&amp;COUNTIFS(Checklist!$A$2:$A$400,$A16,Checklist!$B$2:$B$400,"P*"))</f>
        <v>3 / 8</v>
      </c>
      <c r="F16" s="11" t="str">
        <f>IF($A16="","",IF(Accounts!$K3="","Not held",Accounts!$K3))</f>
        <v>Not held</v>
      </c>
      <c r="G16" s="26" t="str">
        <f>IF(OR($A16="",Accounts!$N3="",Accounts!$O3=""),"",Accounts!$O3-Accounts!$N3)</f>
        <v/>
      </c>
      <c r="H16" s="11">
        <f>IF($A16="","",COUNTIF(Deviations!$B$2:$B$151,$A16))</f>
        <v>0</v>
      </c>
      <c r="I16" s="11">
        <f>IF($A16="","",(AND(OR(Accounts!$J3="Onboarding",Accounts!$J3="Post-onboarding",Accounts!$J3="Done"),Accounts!$K3&lt;&gt;"Go"))*1+(COUNTIFS(Checklist!$A$2:$A$400,$A16,Checklist!$B$2:$B$400,"P*",Checklist!$F$2:$F$400,"Skipped")&gt;0)*1+(AND(Accounts!$M3&lt;&gt;"",Accounts!$K3&lt;&gt;"Go"))*1+(AND(Accounts!$J3="Done",Accounts!$O3=""))*1)</f>
        <v>1</v>
      </c>
      <c r="J16" s="11">
        <f>IF($A16="","",(AND(Accounts!$J3&lt;&gt;"Not started",Accounts!$I3=""))*1+(AND(OR(Accounts!$J3="Pre-onboarding",Accounts!$J3="Onboarding"),Accounts!$H3=""))*1+(IF(Accounts!$O3="",FALSE,AND(Accounts!$P3="",TODAY()-Accounts!$O3&gt;2)))*1+(IF(Accounts!$U3="",FALSE,AND(Accounts!$U3&lt;TODAY(),Accounts!$J3&lt;&gt;"Done")))*1+(IF(Accounts!$V3="",TRUE,TODAY()-Accounts!$V3&gt;7))*1+(AND(Accounts!$S3="",Accounts!$J3&lt;&gt;"Done"))*1+(COUNTIFS(Checklist!$A$2:$A$400,$A16,Checklist!$K$2:$K$400,"*Evidence missing*")&gt;0)*1)</f>
        <v>3</v>
      </c>
      <c r="K16" s="27" t="str">
        <f t="shared" si="1"/>
        <v>RED</v>
      </c>
      <c r="L16" s="11" t="str">
        <f>IF($A16="","",IF(AND(OR(Accounts!$J3="Onboarding",Accounts!$J3="Post-onboarding",Accounts!$J3="Done"),Accounts!$K3&lt;&gt;"Go"),"Onboarding started without a Go"&amp;CHAR(10),"")&amp;IF(COUNTIFS(Checklist!$A$2:$A$400,$A16,Checklist!$B$2:$B$400,"P*",Checklist!$F$2:$F$400,"Skipped")&gt;0,"Pre-onboarding step skipped"&amp;CHAR(10),"")&amp;IF(AND(Accounts!$M3&lt;&gt;"",Accounts!$K3&lt;&gt;"Go"),"Date committed before the gate is green"&amp;CHAR(10),"")&amp;IF(AND(Accounts!$J3="Done",Accounts!$O3=""),"Marked Done before all scanners return data"&amp;CHAR(10),"")&amp;IF(AND(Accounts!$J3&lt;&gt;"Not started",Accounts!$I3=""),"No onboarding record linked"&amp;CHAR(10),"")&amp;IF(AND(OR(Accounts!$J3="Pre-onboarding",Accounts!$J3="Onboarding"),Accounts!$H3=""),"No named engineer"&amp;CHAR(10),"")&amp;IF(IF(Accounts!$O3="",FALSE,AND(Accounts!$P3="",TODAY()-Accounts!$O3&gt;2)),"Retro overdue (48h rule)"&amp;CHAR(10),"")&amp;IF(IF(Accounts!$U3="",FALSE,AND(Accounts!$U3&lt;TODAY(),Accounts!$J3&lt;&gt;"Done")),"Next action overdue"&amp;CHAR(10),"")&amp;IF(IF(Accounts!$V3="",TRUE,TODAY()-Accounts!$V3&gt;7),"Not updated in 7+ days"&amp;CHAR(10),"")&amp;IF(AND(Accounts!$S3="",Accounts!$J3&lt;&gt;"Done"),"No next action set"&amp;CHAR(10),"")&amp;IF(COUNTIFS(Checklist!$A$2:$A$400,$A16,Checklist!$K$2:$K$400,"*Evidence missing*")&gt;0,"Done step missing evidence"&amp;CHAR(10),""))</f>
        <v>Onboarding started without a Go
No named engineer
Not updated in 7+ days
Done step missing evidence
</v>
      </c>
      <c r="M16" s="11" t="str">
        <f>IF($A16="","",Accounts!$S3&amp;"")</f>
        <v>Pending customer's internal ticket to have cloud admin review outpost terraform files and apply.</v>
      </c>
      <c r="N16" s="11" t="str">
        <f>IF($A16="","",Accounts!$T3&amp;"")</f>
        <v/>
      </c>
      <c r="O16" s="28" t="str">
        <f>IF(OR($A16="",Accounts!$U3=""),"",Accounts!$U3)</f>
        <v/>
      </c>
    </row>
    <row r="17">
      <c r="A17" s="11" t="str">
        <f>IF(Accounts!$B4="","",Accounts!$B4)</f>
        <v>Telecom Guatemala</v>
      </c>
      <c r="B17" s="11" t="str">
        <f>IF($A17="","",Accounts!$J4&amp;"")</f>
        <v>Done</v>
      </c>
      <c r="C17" s="11" t="str">
        <f>IF($A17="","",Accounts!$F4&amp;"")</f>
        <v>Ariel Nin</v>
      </c>
      <c r="D17" s="11" t="str">
        <f>IF($A17="","",Accounts!$G4&amp;"")</f>
        <v>Fabio Cezar (DC)</v>
      </c>
      <c r="E17" s="11" t="str">
        <f>IF($A17="","",(COUNTIFS(Checklist!$A$2:$A$400,$A17,Checklist!$B$2:$B$400,"P*",Checklist!$F$2:$F$400,"Done")+COUNTIFS(Checklist!$A$2:$A$400,$A17,Checklist!$B$2:$B$400,"P*",Checklist!$F$2:$F$400,"N/A"))&amp;" / "&amp;COUNTIFS(Checklist!$A$2:$A$400,$A17,Checklist!$B$2:$B$400,"P*"))</f>
        <v>4 / 8</v>
      </c>
      <c r="F17" s="11" t="str">
        <f>IF($A17="","",IF(Accounts!$K4="","Not held",Accounts!$K4))</f>
        <v>Not held</v>
      </c>
      <c r="G17" s="26" t="str">
        <f>IF(OR($A17="",Accounts!$N4="",Accounts!$O4=""),"",Accounts!$O4-Accounts!$N4)</f>
        <v>#VALUE!</v>
      </c>
      <c r="H17" s="11">
        <f>IF($A17="","",COUNTIF(Deviations!$B$2:$B$151,$A17))</f>
        <v>0</v>
      </c>
      <c r="I17" s="11">
        <f>IF($A17="","",(AND(OR(Accounts!$J4="Onboarding",Accounts!$J4="Post-onboarding",Accounts!$J4="Done"),Accounts!$K4&lt;&gt;"Go"))*1+(COUNTIFS(Checklist!$A$2:$A$400,$A17,Checklist!$B$2:$B$400,"P*",Checklist!$F$2:$F$400,"Skipped")&gt;0)*1+(AND(Accounts!$M4&lt;&gt;"",Accounts!$K4&lt;&gt;"Go"))*1+(AND(Accounts!$J4="Done",Accounts!$O4=""))*1)</f>
        <v>2</v>
      </c>
      <c r="J17" s="11">
        <f>IF($A17="","",(AND(Accounts!$J4&lt;&gt;"Not started",Accounts!$I4=""))*1+(AND(OR(Accounts!$J4="Pre-onboarding",Accounts!$J4="Onboarding"),Accounts!$H4=""))*1+(IF(Accounts!$O4="",FALSE,AND(Accounts!$P4="",TODAY()-Accounts!$O4&gt;2)))*1+(IF(Accounts!$U4="",FALSE,AND(Accounts!$U4&lt;TODAY(),Accounts!$J4&lt;&gt;"Done")))*1+(IF(Accounts!$V4="",TRUE,TODAY()-Accounts!$V4&gt;7))*1+(AND(Accounts!$S4="",Accounts!$J4&lt;&gt;"Done"))*1+(COUNTIFS(Checklist!$A$2:$A$400,$A17,Checklist!$K$2:$K$400,"*Evidence missing*")&gt;0)*1)</f>
        <v>2</v>
      </c>
      <c r="K17" s="27" t="str">
        <f t="shared" si="1"/>
        <v>RED</v>
      </c>
      <c r="L17" s="11" t="str">
        <f>IF($A17="","",IF(AND(OR(Accounts!$J4="Onboarding",Accounts!$J4="Post-onboarding",Accounts!$J4="Done"),Accounts!$K4&lt;&gt;"Go"),"Onboarding started without a Go"&amp;CHAR(10),"")&amp;IF(COUNTIFS(Checklist!$A$2:$A$400,$A17,Checklist!$B$2:$B$400,"P*",Checklist!$F$2:$F$400,"Skipped")&gt;0,"Pre-onboarding step skipped"&amp;CHAR(10),"")&amp;IF(AND(Accounts!$M4&lt;&gt;"",Accounts!$K4&lt;&gt;"Go"),"Date committed before the gate is green"&amp;CHAR(10),"")&amp;IF(AND(Accounts!$J4="Done",Accounts!$O4=""),"Marked Done before all scanners return data"&amp;CHAR(10),"")&amp;IF(AND(Accounts!$J4&lt;&gt;"Not started",Accounts!$I4=""),"No onboarding record linked"&amp;CHAR(10),"")&amp;IF(AND(OR(Accounts!$J4="Pre-onboarding",Accounts!$J4="Onboarding"),Accounts!$H4=""),"No named engineer"&amp;CHAR(10),"")&amp;IF(IF(Accounts!$O4="",FALSE,AND(Accounts!$P4="",TODAY()-Accounts!$O4&gt;2)),"Retro overdue (48h rule)"&amp;CHAR(10),"")&amp;IF(IF(Accounts!$U4="",FALSE,AND(Accounts!$U4&lt;TODAY(),Accounts!$J4&lt;&gt;"Done")),"Next action overdue"&amp;CHAR(10),"")&amp;IF(IF(Accounts!$V4="",TRUE,TODAY()-Accounts!$V4&gt;7),"Not updated in 7+ days"&amp;CHAR(10),"")&amp;IF(AND(Accounts!$S4="",Accounts!$J4&lt;&gt;"Done"),"No next action set"&amp;CHAR(10),"")&amp;IF(COUNTIFS(Checklist!$A$2:$A$400,$A17,Checklist!$K$2:$K$400,"*Evidence missing*")&gt;0,"Done step missing evidence"&amp;CHAR(10),""))</f>
        <v>Onboarding started without a Go
Date committed before the gate is green
Retro overdue (48h rule)
Not updated in 7+ days
</v>
      </c>
      <c r="M17" s="11" t="str">
        <f>IF($A17="","",Accounts!$S4&amp;"")</f>
        <v>Continue the Cortex Cloud CSPM deployment</v>
      </c>
      <c r="N17" s="11" t="str">
        <f>IF($A17="","",Accounts!$T4&amp;"")</f>
        <v>Ariel Nin - Professional Services</v>
      </c>
      <c r="O17" s="28" t="str">
        <f>IF(OR($A17="",Accounts!$U4=""),"",Accounts!$U4)</f>
        <v>10/05 onwards</v>
      </c>
    </row>
    <row r="18">
      <c r="A18" s="11" t="str">
        <f>IF(Accounts!$B5="","",Accounts!$B5)</f>
        <v>FIS Global</v>
      </c>
      <c r="B18" s="11" t="str">
        <f>IF($A18="","",Accounts!$J5&amp;"")</f>
        <v>Not started</v>
      </c>
      <c r="C18" s="11" t="str">
        <f>IF($A18="","",Accounts!$F5&amp;"")</f>
        <v>Stephen Lovett</v>
      </c>
      <c r="D18" s="11" t="str">
        <f>IF($A18="","",Accounts!$G5&amp;"")</f>
        <v>Harold Moore (DC)</v>
      </c>
      <c r="E18" s="11" t="str">
        <f>IF($A18="","",(COUNTIFS(Checklist!$A$2:$A$400,$A18,Checklist!$B$2:$B$400,"P*",Checklist!$F$2:$F$400,"Done")+COUNTIFS(Checklist!$A$2:$A$400,$A18,Checklist!$B$2:$B$400,"P*",Checklist!$F$2:$F$400,"N/A"))&amp;" / "&amp;COUNTIFS(Checklist!$A$2:$A$400,$A18,Checklist!$B$2:$B$400,"P*"))</f>
        <v>0 / 8</v>
      </c>
      <c r="F18" s="11" t="str">
        <f>IF($A18="","",IF(Accounts!$K5="","Not held",Accounts!$K5))</f>
        <v>Not held</v>
      </c>
      <c r="G18" s="26" t="str">
        <f>IF(OR($A18="",Accounts!$N5="",Accounts!$O5=""),"",Accounts!$O5-Accounts!$N5)</f>
        <v/>
      </c>
      <c r="H18" s="11">
        <f>IF($A18="","",COUNTIF(Deviations!$B$2:$B$151,$A18))</f>
        <v>0</v>
      </c>
      <c r="I18" s="11">
        <f>IF($A18="","",(AND(OR(Accounts!$J5="Onboarding",Accounts!$J5="Post-onboarding",Accounts!$J5="Done"),Accounts!$K5&lt;&gt;"Go"))*1+(COUNTIFS(Checklist!$A$2:$A$400,$A18,Checklist!$B$2:$B$400,"P*",Checklist!$F$2:$F$400,"Skipped")&gt;0)*1+(AND(Accounts!$M5&lt;&gt;"",Accounts!$K5&lt;&gt;"Go"))*1+(AND(Accounts!$J5="Done",Accounts!$O5=""))*1)</f>
        <v>0</v>
      </c>
      <c r="J18" s="11">
        <f>IF($A18="","",(AND(Accounts!$J5&lt;&gt;"Not started",Accounts!$I5=""))*1+(AND(OR(Accounts!$J5="Pre-onboarding",Accounts!$J5="Onboarding"),Accounts!$H5=""))*1+(IF(Accounts!$O5="",FALSE,AND(Accounts!$P5="",TODAY()-Accounts!$O5&gt;2)))*1+(IF(Accounts!$U5="",FALSE,AND(Accounts!$U5&lt;TODAY(),Accounts!$J5&lt;&gt;"Done")))*1+(IF(Accounts!$V5="",TRUE,TODAY()-Accounts!$V5&gt;7))*1+(AND(Accounts!$S5="",Accounts!$J5&lt;&gt;"Done"))*1+(COUNTIFS(Checklist!$A$2:$A$400,$A18,Checklist!$K$2:$K$400,"*Evidence missing*")&gt;0)*1)</f>
        <v>1</v>
      </c>
      <c r="K18" s="27" t="str">
        <f t="shared" si="1"/>
        <v>AMBER</v>
      </c>
      <c r="L18" s="11" t="str">
        <f>IF($A18="","",IF(AND(OR(Accounts!$J5="Onboarding",Accounts!$J5="Post-onboarding",Accounts!$J5="Done"),Accounts!$K5&lt;&gt;"Go"),"Onboarding started without a Go"&amp;CHAR(10),"")&amp;IF(COUNTIFS(Checklist!$A$2:$A$400,$A18,Checklist!$B$2:$B$400,"P*",Checklist!$F$2:$F$400,"Skipped")&gt;0,"Pre-onboarding step skipped"&amp;CHAR(10),"")&amp;IF(AND(Accounts!$M5&lt;&gt;"",Accounts!$K5&lt;&gt;"Go"),"Date committed before the gate is green"&amp;CHAR(10),"")&amp;IF(AND(Accounts!$J5="Done",Accounts!$O5=""),"Marked Done before all scanners return data"&amp;CHAR(10),"")&amp;IF(AND(Accounts!$J5&lt;&gt;"Not started",Accounts!$I5=""),"No onboarding record linked"&amp;CHAR(10),"")&amp;IF(AND(OR(Accounts!$J5="Pre-onboarding",Accounts!$J5="Onboarding"),Accounts!$H5=""),"No named engineer"&amp;CHAR(10),"")&amp;IF(IF(Accounts!$O5="",FALSE,AND(Accounts!$P5="",TODAY()-Accounts!$O5&gt;2)),"Retro overdue (48h rule)"&amp;CHAR(10),"")&amp;IF(IF(Accounts!$U5="",FALSE,AND(Accounts!$U5&lt;TODAY(),Accounts!$J5&lt;&gt;"Done")),"Next action overdue"&amp;CHAR(10),"")&amp;IF(IF(Accounts!$V5="",TRUE,TODAY()-Accounts!$V5&gt;7),"Not updated in 7+ days"&amp;CHAR(10),"")&amp;IF(AND(Accounts!$S5="",Accounts!$J5&lt;&gt;"Done"),"No next action set"&amp;CHAR(10),"")&amp;IF(COUNTIFS(Checklist!$A$2:$A$400,$A18,Checklist!$K$2:$K$400,"*Evidence missing*")&gt;0,"Done step missing evidence"&amp;CHAR(10),""))</f>
        <v>Not updated in 7+ days
</v>
      </c>
      <c r="M18" s="11" t="str">
        <f>IF($A18="","",Accounts!$S5&amp;"")</f>
        <v>Customer has onboarded all their Cloud Providers however seeing errors and warnings. Customer has indicated expanding security capabilities and pivot towards outposts. </v>
      </c>
      <c r="N18" s="11" t="str">
        <f>IF($A18="","",Accounts!$T5&amp;"")</f>
        <v/>
      </c>
      <c r="O18" s="28" t="str">
        <f>IF(OR($A18="",Accounts!$U5=""),"",Accounts!$U5)</f>
        <v/>
      </c>
    </row>
    <row r="19">
      <c r="A19" s="11" t="str">
        <f>IF(Accounts!$B6="","",Accounts!$B6)</f>
        <v>Fidelity</v>
      </c>
      <c r="B19" s="11" t="str">
        <f>IF($A19="","",Accounts!$J6&amp;"")</f>
        <v>Pre-onboarding</v>
      </c>
      <c r="C19" s="11" t="str">
        <f>IF($A19="","",Accounts!$F6&amp;"")</f>
        <v>Stephen Lovett</v>
      </c>
      <c r="D19" s="11" t="str">
        <f>IF($A19="","",Accounts!$G6&amp;"")</f>
        <v>Ravi Badana</v>
      </c>
      <c r="E19" s="11" t="str">
        <f>IF($A19="","",(COUNTIFS(Checklist!$A$2:$A$400,$A19,Checklist!$B$2:$B$400,"P*",Checklist!$F$2:$F$400,"Done")+COUNTIFS(Checklist!$A$2:$A$400,$A19,Checklist!$B$2:$B$400,"P*",Checklist!$F$2:$F$400,"N/A"))&amp;" / "&amp;COUNTIFS(Checklist!$A$2:$A$400,$A19,Checklist!$B$2:$B$400,"P*"))</f>
        <v>0 / 8</v>
      </c>
      <c r="F19" s="11" t="str">
        <f>IF($A19="","",IF(Accounts!$K6="","Not held",Accounts!$K6))</f>
        <v>Not held</v>
      </c>
      <c r="G19" s="26" t="str">
        <f>IF(OR($A19="",Accounts!$N6="",Accounts!$O6=""),"",Accounts!$O6-Accounts!$N6)</f>
        <v/>
      </c>
      <c r="H19" s="11">
        <f>IF($A19="","",COUNTIF(Deviations!$B$2:$B$151,$A19))</f>
        <v>0</v>
      </c>
      <c r="I19" s="11">
        <f>IF($A19="","",(AND(OR(Accounts!$J6="Onboarding",Accounts!$J6="Post-onboarding",Accounts!$J6="Done"),Accounts!$K6&lt;&gt;"Go"))*1+(COUNTIFS(Checklist!$A$2:$A$400,$A19,Checklist!$B$2:$B$400,"P*",Checklist!$F$2:$F$400,"Skipped")&gt;0)*1+(AND(Accounts!$M6&lt;&gt;"",Accounts!$K6&lt;&gt;"Go"))*1+(AND(Accounts!$J6="Done",Accounts!$O6=""))*1)</f>
        <v>0</v>
      </c>
      <c r="J19" s="11">
        <f>IF($A19="","",(AND(Accounts!$J6&lt;&gt;"Not started",Accounts!$I6=""))*1+(AND(OR(Accounts!$J6="Pre-onboarding",Accounts!$J6="Onboarding"),Accounts!$H6=""))*1+(IF(Accounts!$O6="",FALSE,AND(Accounts!$P6="",TODAY()-Accounts!$O6&gt;2)))*1+(IF(Accounts!$U6="",FALSE,AND(Accounts!$U6&lt;TODAY(),Accounts!$J6&lt;&gt;"Done")))*1+(IF(Accounts!$V6="",TRUE,TODAY()-Accounts!$V6&gt;7))*1+(AND(Accounts!$S6="",Accounts!$J6&lt;&gt;"Done"))*1+(COUNTIFS(Checklist!$A$2:$A$400,$A19,Checklist!$K$2:$K$400,"*Evidence missing*")&gt;0)*1)</f>
        <v>2</v>
      </c>
      <c r="K19" s="27" t="str">
        <f t="shared" si="1"/>
        <v>AMBER</v>
      </c>
      <c r="L19" s="11" t="str">
        <f>IF($A19="","",IF(AND(OR(Accounts!$J6="Onboarding",Accounts!$J6="Post-onboarding",Accounts!$J6="Done"),Accounts!$K6&lt;&gt;"Go"),"Onboarding started without a Go"&amp;CHAR(10),"")&amp;IF(COUNTIFS(Checklist!$A$2:$A$400,$A19,Checklist!$B$2:$B$400,"P*",Checklist!$F$2:$F$400,"Skipped")&gt;0,"Pre-onboarding step skipped"&amp;CHAR(10),"")&amp;IF(AND(Accounts!$M6&lt;&gt;"",Accounts!$K6&lt;&gt;"Go"),"Date committed before the gate is green"&amp;CHAR(10),"")&amp;IF(AND(Accounts!$J6="Done",Accounts!$O6=""),"Marked Done before all scanners return data"&amp;CHAR(10),"")&amp;IF(AND(Accounts!$J6&lt;&gt;"Not started",Accounts!$I6=""),"No onboarding record linked"&amp;CHAR(10),"")&amp;IF(AND(OR(Accounts!$J6="Pre-onboarding",Accounts!$J6="Onboarding"),Accounts!$H6=""),"No named engineer"&amp;CHAR(10),"")&amp;IF(IF(Accounts!$O6="",FALSE,AND(Accounts!$P6="",TODAY()-Accounts!$O6&gt;2)),"Retro overdue (48h rule)"&amp;CHAR(10),"")&amp;IF(IF(Accounts!$U6="",FALSE,AND(Accounts!$U6&lt;TODAY(),Accounts!$J6&lt;&gt;"Done")),"Next action overdue"&amp;CHAR(10),"")&amp;IF(IF(Accounts!$V6="",TRUE,TODAY()-Accounts!$V6&gt;7),"Not updated in 7+ days"&amp;CHAR(10),"")&amp;IF(AND(Accounts!$S6="",Accounts!$J6&lt;&gt;"Done"),"No next action set"&amp;CHAR(10),"")&amp;IF(COUNTIFS(Checklist!$A$2:$A$400,$A19,Checklist!$K$2:$K$400,"*Evidence missing*")&gt;0,"Done step missing evidence"&amp;CHAR(10),""))</f>
        <v>No named engineer
Not updated in 7+ days
</v>
      </c>
      <c r="M19" s="11" t="str">
        <f>IF($A19="","",Accounts!$S6&amp;"")</f>
        <v>Customer is conducting POV</v>
      </c>
      <c r="N19" s="11" t="str">
        <f>IF($A19="","",Accounts!$T6&amp;"")</f>
        <v/>
      </c>
      <c r="O19" s="28" t="str">
        <f>IF(OR($A19="",Accounts!$U6=""),"",Accounts!$U6)</f>
        <v/>
      </c>
    </row>
    <row r="20">
      <c r="A20" s="11" t="str">
        <f>IF(Accounts!$B7="","",Accounts!$B7)</f>
        <v>DOI</v>
      </c>
      <c r="B20" s="11" t="str">
        <f>IF($A20="","",Accounts!$J7&amp;"")</f>
        <v>Not started</v>
      </c>
      <c r="C20" s="11" t="str">
        <f>IF($A20="","",Accounts!$F7&amp;"")</f>
        <v>Stephen Lovett</v>
      </c>
      <c r="D20" s="11" t="str">
        <f>IF($A20="","",Accounts!$G7&amp;"")</f>
        <v/>
      </c>
      <c r="E20" s="11" t="str">
        <f>IF($A20="","",(COUNTIFS(Checklist!$A$2:$A$400,$A20,Checklist!$B$2:$B$400,"P*",Checklist!$F$2:$F$400,"Done")+COUNTIFS(Checklist!$A$2:$A$400,$A20,Checklist!$B$2:$B$400,"P*",Checklist!$F$2:$F$400,"N/A"))&amp;" / "&amp;COUNTIFS(Checklist!$A$2:$A$400,$A20,Checklist!$B$2:$B$400,"P*"))</f>
        <v>0 / 8</v>
      </c>
      <c r="F20" s="11" t="str">
        <f>IF($A20="","",IF(Accounts!$K7="","Not held",Accounts!$K7))</f>
        <v>Not held</v>
      </c>
      <c r="G20" s="26" t="str">
        <f>IF(OR($A20="",Accounts!$N7="",Accounts!$O7=""),"",Accounts!$O7-Accounts!$N7)</f>
        <v/>
      </c>
      <c r="H20" s="11">
        <f>IF($A20="","",COUNTIF(Deviations!$B$2:$B$151,$A20))</f>
        <v>0</v>
      </c>
      <c r="I20" s="11">
        <f>IF($A20="","",(AND(OR(Accounts!$J7="Onboarding",Accounts!$J7="Post-onboarding",Accounts!$J7="Done"),Accounts!$K7&lt;&gt;"Go"))*1+(COUNTIFS(Checklist!$A$2:$A$400,$A20,Checklist!$B$2:$B$400,"P*",Checklist!$F$2:$F$400,"Skipped")&gt;0)*1+(AND(Accounts!$M7&lt;&gt;"",Accounts!$K7&lt;&gt;"Go"))*1+(AND(Accounts!$J7="Done",Accounts!$O7=""))*1)</f>
        <v>0</v>
      </c>
      <c r="J20" s="11">
        <f>IF($A20="","",(AND(Accounts!$J7&lt;&gt;"Not started",Accounts!$I7=""))*1+(AND(OR(Accounts!$J7="Pre-onboarding",Accounts!$J7="Onboarding"),Accounts!$H7=""))*1+(IF(Accounts!$O7="",FALSE,AND(Accounts!$P7="",TODAY()-Accounts!$O7&gt;2)))*1+(IF(Accounts!$U7="",FALSE,AND(Accounts!$U7&lt;TODAY(),Accounts!$J7&lt;&gt;"Done")))*1+(IF(Accounts!$V7="",TRUE,TODAY()-Accounts!$V7&gt;7))*1+(AND(Accounts!$S7="",Accounts!$J7&lt;&gt;"Done"))*1+(COUNTIFS(Checklist!$A$2:$A$400,$A20,Checklist!$K$2:$K$400,"*Evidence missing*")&gt;0)*1)</f>
        <v>1</v>
      </c>
      <c r="K20" s="27" t="str">
        <f t="shared" si="1"/>
        <v>AMBER</v>
      </c>
      <c r="L20" s="11" t="str">
        <f>IF($A20="","",IF(AND(OR(Accounts!$J7="Onboarding",Accounts!$J7="Post-onboarding",Accounts!$J7="Done"),Accounts!$K7&lt;&gt;"Go"),"Onboarding started without a Go"&amp;CHAR(10),"")&amp;IF(COUNTIFS(Checklist!$A$2:$A$400,$A20,Checklist!$B$2:$B$400,"P*",Checklist!$F$2:$F$400,"Skipped")&gt;0,"Pre-onboarding step skipped"&amp;CHAR(10),"")&amp;IF(AND(Accounts!$M7&lt;&gt;"",Accounts!$K7&lt;&gt;"Go"),"Date committed before the gate is green"&amp;CHAR(10),"")&amp;IF(AND(Accounts!$J7="Done",Accounts!$O7=""),"Marked Done before all scanners return data"&amp;CHAR(10),"")&amp;IF(AND(Accounts!$J7&lt;&gt;"Not started",Accounts!$I7=""),"No onboarding record linked"&amp;CHAR(10),"")&amp;IF(AND(OR(Accounts!$J7="Pre-onboarding",Accounts!$J7="Onboarding"),Accounts!$H7=""),"No named engineer"&amp;CHAR(10),"")&amp;IF(IF(Accounts!$O7="",FALSE,AND(Accounts!$P7="",TODAY()-Accounts!$O7&gt;2)),"Retro overdue (48h rule)"&amp;CHAR(10),"")&amp;IF(IF(Accounts!$U7="",FALSE,AND(Accounts!$U7&lt;TODAY(),Accounts!$J7&lt;&gt;"Done")),"Next action overdue"&amp;CHAR(10),"")&amp;IF(IF(Accounts!$V7="",TRUE,TODAY()-Accounts!$V7&gt;7),"Not updated in 7+ days"&amp;CHAR(10),"")&amp;IF(AND(Accounts!$S7="",Accounts!$J7&lt;&gt;"Done"),"No next action set"&amp;CHAR(10),"")&amp;IF(COUNTIFS(Checklist!$A$2:$A$400,$A20,Checklist!$K$2:$K$400,"*Evidence missing*")&gt;0,"Done step missing evidence"&amp;CHAR(10),""))</f>
        <v>Not updated in 7+ days
</v>
      </c>
      <c r="M20" s="11" t="str">
        <f>IF($A20="","",Accounts!$S7&amp;"")</f>
        <v>On hold</v>
      </c>
      <c r="N20" s="11" t="str">
        <f>IF($A20="","",Accounts!$T7&amp;"")</f>
        <v/>
      </c>
      <c r="O20" s="28" t="str">
        <f>IF(OR($A20="",Accounts!$U7=""),"",Accounts!$U7)</f>
        <v/>
      </c>
    </row>
    <row r="21">
      <c r="A21" s="11" t="str">
        <f>IF(Accounts!$B8="","",Accounts!$B8)</f>
        <v>Marriott</v>
      </c>
      <c r="B21" s="11" t="str">
        <f>IF($A21="","",Accounts!$J8&amp;"")</f>
        <v>Onboarding</v>
      </c>
      <c r="C21" s="11" t="str">
        <f>IF($A21="","",Accounts!$F8&amp;"")</f>
        <v>Bliss Jourdan</v>
      </c>
      <c r="D21" s="11" t="str">
        <f>IF($A21="","",Accounts!$G8&amp;"")</f>
        <v>Khizar Karim</v>
      </c>
      <c r="E21" s="11" t="str">
        <f>IF($A21="","",(COUNTIFS(Checklist!$A$2:$A$400,$A21,Checklist!$B$2:$B$400,"P*",Checklist!$F$2:$F$400,"Done")+COUNTIFS(Checklist!$A$2:$A$400,$A21,Checklist!$B$2:$B$400,"P*",Checklist!$F$2:$F$400,"N/A"))&amp;" / "&amp;COUNTIFS(Checklist!$A$2:$A$400,$A21,Checklist!$B$2:$B$400,"P*"))</f>
        <v>0 / 8</v>
      </c>
      <c r="F21" s="11" t="str">
        <f>IF($A21="","",IF(Accounts!$K8="","Not held",Accounts!$K8))</f>
        <v>Not held</v>
      </c>
      <c r="G21" s="26" t="str">
        <f>IF(OR($A21="",Accounts!$N8="",Accounts!$O8=""),"",Accounts!$O8-Accounts!$N8)</f>
        <v/>
      </c>
      <c r="H21" s="11">
        <f>IF($A21="","",COUNTIF(Deviations!$B$2:$B$151,$A21))</f>
        <v>0</v>
      </c>
      <c r="I21" s="11">
        <f>IF($A21="","",(AND(OR(Accounts!$J8="Onboarding",Accounts!$J8="Post-onboarding",Accounts!$J8="Done"),Accounts!$K8&lt;&gt;"Go"))*1+(COUNTIFS(Checklist!$A$2:$A$400,$A21,Checklist!$B$2:$B$400,"P*",Checklist!$F$2:$F$400,"Skipped")&gt;0)*1+(AND(Accounts!$M8&lt;&gt;"",Accounts!$K8&lt;&gt;"Go"))*1+(AND(Accounts!$J8="Done",Accounts!$O8=""))*1)</f>
        <v>2</v>
      </c>
      <c r="J21" s="11">
        <f>IF($A21="","",(AND(Accounts!$J8&lt;&gt;"Not started",Accounts!$I8=""))*1+(AND(OR(Accounts!$J8="Pre-onboarding",Accounts!$J8="Onboarding"),Accounts!$H8=""))*1+(IF(Accounts!$O8="",FALSE,AND(Accounts!$P8="",TODAY()-Accounts!$O8&gt;2)))*1+(IF(Accounts!$U8="",FALSE,AND(Accounts!$U8&lt;TODAY(),Accounts!$J8&lt;&gt;"Done")))*1+(IF(Accounts!$V8="",TRUE,TODAY()-Accounts!$V8&gt;7))*1+(AND(Accounts!$S8="",Accounts!$J8&lt;&gt;"Done"))*1+(COUNTIFS(Checklist!$A$2:$A$400,$A21,Checklist!$K$2:$K$400,"*Evidence missing*")&gt;0)*1)</f>
        <v>3</v>
      </c>
      <c r="K21" s="27" t="str">
        <f t="shared" si="1"/>
        <v>RED</v>
      </c>
      <c r="L21" s="11" t="str">
        <f>IF($A21="","",IF(AND(OR(Accounts!$J8="Onboarding",Accounts!$J8="Post-onboarding",Accounts!$J8="Done"),Accounts!$K8&lt;&gt;"Go"),"Onboarding started without a Go"&amp;CHAR(10),"")&amp;IF(COUNTIFS(Checklist!$A$2:$A$400,$A21,Checklist!$B$2:$B$400,"P*",Checklist!$F$2:$F$400,"Skipped")&gt;0,"Pre-onboarding step skipped"&amp;CHAR(10),"")&amp;IF(AND(Accounts!$M8&lt;&gt;"",Accounts!$K8&lt;&gt;"Go"),"Date committed before the gate is green"&amp;CHAR(10),"")&amp;IF(AND(Accounts!$J8="Done",Accounts!$O8=""),"Marked Done before all scanners return data"&amp;CHAR(10),"")&amp;IF(AND(Accounts!$J8&lt;&gt;"Not started",Accounts!$I8=""),"No onboarding record linked"&amp;CHAR(10),"")&amp;IF(AND(OR(Accounts!$J8="Pre-onboarding",Accounts!$J8="Onboarding"),Accounts!$H8=""),"No named engineer"&amp;CHAR(10),"")&amp;IF(IF(Accounts!$O8="",FALSE,AND(Accounts!$P8="",TODAY()-Accounts!$O8&gt;2)),"Retro overdue (48h rule)"&amp;CHAR(10),"")&amp;IF(IF(Accounts!$U8="",FALSE,AND(Accounts!$U8&lt;TODAY(),Accounts!$J8&lt;&gt;"Done")),"Next action overdue"&amp;CHAR(10),"")&amp;IF(IF(Accounts!$V8="",TRUE,TODAY()-Accounts!$V8&gt;7),"Not updated in 7+ days"&amp;CHAR(10),"")&amp;IF(AND(Accounts!$S8="",Accounts!$J8&lt;&gt;"Done"),"No next action set"&amp;CHAR(10),"")&amp;IF(COUNTIFS(Checklist!$A$2:$A$400,$A21,Checklist!$K$2:$K$400,"*Evidence missing*")&gt;0,"Done step missing evidence"&amp;CHAR(10),""))</f>
        <v>Onboarding started without a Go
Date committed before the gate is green
No named engineer
Not updated in 7+ days
No next action set
</v>
      </c>
      <c r="M21" s="11" t="str">
        <f>IF($A21="","",Accounts!$S8&amp;"")</f>
        <v/>
      </c>
      <c r="N21" s="11" t="str">
        <f>IF($A21="","",Accounts!$T8&amp;"")</f>
        <v/>
      </c>
      <c r="O21" s="28" t="str">
        <f>IF(OR($A21="",Accounts!$U8=""),"",Accounts!$U8)</f>
        <v/>
      </c>
    </row>
    <row r="22">
      <c r="A22" s="11" t="str">
        <f>IF(Accounts!$B9="","",Accounts!$B9)</f>
        <v>Honeywell International</v>
      </c>
      <c r="B22" s="11" t="str">
        <f>IF($A22="","",Accounts!$J9&amp;"")</f>
        <v>Onboarding</v>
      </c>
      <c r="C22" s="11" t="str">
        <f>IF($A22="","",Accounts!$F9&amp;"")</f>
        <v>Kirk Preston</v>
      </c>
      <c r="D22" s="11" t="str">
        <f>IF($A22="","",Accounts!$G9&amp;"")</f>
        <v/>
      </c>
      <c r="E22" s="11" t="str">
        <f>IF($A22="","",(COUNTIFS(Checklist!$A$2:$A$400,$A22,Checklist!$B$2:$B$400,"P*",Checklist!$F$2:$F$400,"Done")+COUNTIFS(Checklist!$A$2:$A$400,$A22,Checklist!$B$2:$B$400,"P*",Checklist!$F$2:$F$400,"N/A"))&amp;" / "&amp;COUNTIFS(Checklist!$A$2:$A$400,$A22,Checklist!$B$2:$B$400,"P*"))</f>
        <v>0 / 0</v>
      </c>
      <c r="F22" s="11" t="str">
        <f>IF($A22="","",IF(Accounts!$K9="","Not held",Accounts!$K9))</f>
        <v>Not held</v>
      </c>
      <c r="G22" s="26" t="str">
        <f>IF(OR($A22="",Accounts!$N9="",Accounts!$O9=""),"",Accounts!$O9-Accounts!$N9)</f>
        <v>#VALUE!</v>
      </c>
      <c r="H22" s="11">
        <f>IF($A22="","",COUNTIF(Deviations!$B$2:$B$151,$A22))</f>
        <v>0</v>
      </c>
      <c r="I22" s="11">
        <f>IF($A22="","",(AND(OR(Accounts!$J9="Onboarding",Accounts!$J9="Post-onboarding",Accounts!$J9="Done"),Accounts!$K9&lt;&gt;"Go"))*1+(COUNTIFS(Checklist!$A$2:$A$400,$A22,Checklist!$B$2:$B$400,"P*",Checklist!$F$2:$F$400,"Skipped")&gt;0)*1+(AND(Accounts!$M9&lt;&gt;"",Accounts!$K9&lt;&gt;"Go"))*1+(AND(Accounts!$J9="Done",Accounts!$O9=""))*1)</f>
        <v>2</v>
      </c>
      <c r="J22" s="11" t="str">
        <f>IF($A22="","",(AND(Accounts!$J9&lt;&gt;"Not started",Accounts!$I9=""))*1+(AND(OR(Accounts!$J9="Pre-onboarding",Accounts!$J9="Onboarding"),Accounts!$H9=""))*1+(IF(Accounts!$O9="",FALSE,AND(Accounts!$P9="",TODAY()-Accounts!$O9&gt;2)))*1+(IF(Accounts!$U9="",FALSE,AND(Accounts!$U9&lt;TODAY(),Accounts!$J9&lt;&gt;"Done")))*1+(IF(Accounts!$V9="",TRUE,TODAY()-Accounts!$V9&gt;7))*1+(AND(Accounts!$S9="",Accounts!$J9&lt;&gt;"Done"))*1+(COUNTIFS(Checklist!$A$2:$A$400,$A22,Checklist!$K$2:$K$400,"*Evidence missing*")&gt;0)*1)</f>
        <v>#VALUE!</v>
      </c>
      <c r="K22" s="27" t="str">
        <f t="shared" si="1"/>
        <v>RED</v>
      </c>
      <c r="L22" s="11" t="str">
        <f>IF($A22="","",IF(AND(OR(Accounts!$J9="Onboarding",Accounts!$J9="Post-onboarding",Accounts!$J9="Done"),Accounts!$K9&lt;&gt;"Go"),"Onboarding started without a Go"&amp;CHAR(10),"")&amp;IF(COUNTIFS(Checklist!$A$2:$A$400,$A22,Checklist!$B$2:$B$400,"P*",Checklist!$F$2:$F$400,"Skipped")&gt;0,"Pre-onboarding step skipped"&amp;CHAR(10),"")&amp;IF(AND(Accounts!$M9&lt;&gt;"",Accounts!$K9&lt;&gt;"Go"),"Date committed before the gate is green"&amp;CHAR(10),"")&amp;IF(AND(Accounts!$J9="Done",Accounts!$O9=""),"Marked Done before all scanners return data"&amp;CHAR(10),"")&amp;IF(AND(Accounts!$J9&lt;&gt;"Not started",Accounts!$I9=""),"No onboarding record linked"&amp;CHAR(10),"")&amp;IF(AND(OR(Accounts!$J9="Pre-onboarding",Accounts!$J9="Onboarding"),Accounts!$H9=""),"No named engineer"&amp;CHAR(10),"")&amp;IF(IF(Accounts!$O9="",FALSE,AND(Accounts!$P9="",TODAY()-Accounts!$O9&gt;2)),"Retro overdue (48h rule)"&amp;CHAR(10),"")&amp;IF(IF(Accounts!$U9="",FALSE,AND(Accounts!$U9&lt;TODAY(),Accounts!$J9&lt;&gt;"Done")),"Next action overdue"&amp;CHAR(10),"")&amp;IF(IF(Accounts!$V9="",TRUE,TODAY()-Accounts!$V9&gt;7),"Not updated in 7+ days"&amp;CHAR(10),"")&amp;IF(AND(Accounts!$S9="",Accounts!$J9&lt;&gt;"Done"),"No next action set"&amp;CHAR(10),"")&amp;IF(COUNTIFS(Checklist!$A$2:$A$400,$A22,Checklist!$K$2:$K$400,"*Evidence missing*")&gt;0,"Done step missing evidence"&amp;CHAR(10),""))</f>
        <v>#VALUE!</v>
      </c>
      <c r="M22" s="11" t="str">
        <f>IF($A22="","",Accounts!$S9&amp;"")</f>
        <v>Download CSP templates for internal review proactively. </v>
      </c>
      <c r="N22" s="11" t="str">
        <f>IF($A22="","",Accounts!$T9&amp;"")</f>
        <v>TBD</v>
      </c>
      <c r="O22" s="28" t="str">
        <f>IF(OR($A22="",Accounts!$U9=""),"",Accounts!$U9)</f>
        <v>TBD</v>
      </c>
    </row>
    <row r="23">
      <c r="A23" s="11" t="str">
        <f>IF(Accounts!$B10="","",Accounts!$B10)</f>
        <v>Salesforce - ESS org</v>
      </c>
      <c r="B23" s="11" t="str">
        <f>IF($A23="","",Accounts!$J10&amp;"")</f>
        <v>Not started</v>
      </c>
      <c r="C23" s="11" t="str">
        <f>IF($A23="","",Accounts!$F10&amp;"")</f>
        <v>Bliss Jourdan</v>
      </c>
      <c r="D23" s="11" t="str">
        <f>IF($A23="","",Accounts!$G10&amp;"")</f>
        <v>Khizar Karim</v>
      </c>
      <c r="E23" s="11" t="str">
        <f>IF($A23="","",(COUNTIFS(Checklist!$A$2:$A$400,$A23,Checklist!$B$2:$B$400,"P*",Checklist!$F$2:$F$400,"Done")+COUNTIFS(Checklist!$A$2:$A$400,$A23,Checklist!$B$2:$B$400,"P*",Checklist!$F$2:$F$400,"N/A"))&amp;" / "&amp;COUNTIFS(Checklist!$A$2:$A$400,$A23,Checklist!$B$2:$B$400,"P*"))</f>
        <v>0 / 8</v>
      </c>
      <c r="F23" s="11" t="str">
        <f>IF($A23="","",IF(Accounts!$K10="","Not held",Accounts!$K10))</f>
        <v>Not held</v>
      </c>
      <c r="G23" s="26" t="str">
        <f>IF(OR($A23="",Accounts!$N10="",Accounts!$O10=""),"",Accounts!$O10-Accounts!$N10)</f>
        <v/>
      </c>
      <c r="H23" s="11">
        <f>IF($A23="","",COUNTIF(Deviations!$B$2:$B$151,$A23))</f>
        <v>0</v>
      </c>
      <c r="I23" s="11">
        <f>IF($A23="","",(AND(OR(Accounts!$J10="Onboarding",Accounts!$J10="Post-onboarding",Accounts!$J10="Done"),Accounts!$K10&lt;&gt;"Go"))*1+(COUNTIFS(Checklist!$A$2:$A$400,$A23,Checklist!$B$2:$B$400,"P*",Checklist!$F$2:$F$400,"Skipped")&gt;0)*1+(AND(Accounts!$M10&lt;&gt;"",Accounts!$K10&lt;&gt;"Go"))*1+(AND(Accounts!$J10="Done",Accounts!$O10=""))*1)</f>
        <v>0</v>
      </c>
      <c r="J23" s="11">
        <f>IF($A23="","",(AND(Accounts!$J10&lt;&gt;"Not started",Accounts!$I10=""))*1+(AND(OR(Accounts!$J10="Pre-onboarding",Accounts!$J10="Onboarding"),Accounts!$H10=""))*1+(IF(Accounts!$O10="",FALSE,AND(Accounts!$P10="",TODAY()-Accounts!$O10&gt;2)))*1+(IF(Accounts!$U10="",FALSE,AND(Accounts!$U10&lt;TODAY(),Accounts!$J10&lt;&gt;"Done")))*1+(IF(Accounts!$V10="",TRUE,TODAY()-Accounts!$V10&gt;7))*1+(AND(Accounts!$S10="",Accounts!$J10&lt;&gt;"Done"))*1+(COUNTIFS(Checklist!$A$2:$A$400,$A23,Checklist!$K$2:$K$400,"*Evidence missing*")&gt;0)*1)</f>
        <v>2</v>
      </c>
      <c r="K23" s="27" t="str">
        <f t="shared" si="1"/>
        <v>AMBER</v>
      </c>
      <c r="L23" s="11" t="str">
        <f>IF($A23="","",IF(AND(OR(Accounts!$J10="Onboarding",Accounts!$J10="Post-onboarding",Accounts!$J10="Done"),Accounts!$K10&lt;&gt;"Go"),"Onboarding started without a Go"&amp;CHAR(10),"")&amp;IF(COUNTIFS(Checklist!$A$2:$A$400,$A23,Checklist!$B$2:$B$400,"P*",Checklist!$F$2:$F$400,"Skipped")&gt;0,"Pre-onboarding step skipped"&amp;CHAR(10),"")&amp;IF(AND(Accounts!$M10&lt;&gt;"",Accounts!$K10&lt;&gt;"Go"),"Date committed before the gate is green"&amp;CHAR(10),"")&amp;IF(AND(Accounts!$J10="Done",Accounts!$O10=""),"Marked Done before all scanners return data"&amp;CHAR(10),"")&amp;IF(AND(Accounts!$J10&lt;&gt;"Not started",Accounts!$I10=""),"No onboarding record linked"&amp;CHAR(10),"")&amp;IF(AND(OR(Accounts!$J10="Pre-onboarding",Accounts!$J10="Onboarding"),Accounts!$H10=""),"No named engineer"&amp;CHAR(10),"")&amp;IF(IF(Accounts!$O10="",FALSE,AND(Accounts!$P10="",TODAY()-Accounts!$O10&gt;2)),"Retro overdue (48h rule)"&amp;CHAR(10),"")&amp;IF(IF(Accounts!$U10="",FALSE,AND(Accounts!$U10&lt;TODAY(),Accounts!$J10&lt;&gt;"Done")),"Next action overdue"&amp;CHAR(10),"")&amp;IF(IF(Accounts!$V10="",TRUE,TODAY()-Accounts!$V10&gt;7),"Not updated in 7+ days"&amp;CHAR(10),"")&amp;IF(AND(Accounts!$S10="",Accounts!$J10&lt;&gt;"Done"),"No next action set"&amp;CHAR(10),"")&amp;IF(COUNTIFS(Checklist!$A$2:$A$400,$A23,Checklist!$K$2:$K$400,"*Evidence missing*")&gt;0,"Done step missing evidence"&amp;CHAR(10),""))</f>
        <v>Not updated in 7+ days
No next action set
</v>
      </c>
      <c r="M23" s="11" t="str">
        <f>IF($A23="","",Accounts!$S10&amp;"")</f>
        <v/>
      </c>
      <c r="N23" s="11" t="str">
        <f>IF($A23="","",Accounts!$T10&amp;"")</f>
        <v/>
      </c>
      <c r="O23" s="28" t="str">
        <f>IF(OR($A23="",Accounts!$U10=""),"",Accounts!$U10)</f>
        <v/>
      </c>
    </row>
    <row r="24">
      <c r="A24" s="11" t="str">
        <f>IF(Accounts!$B11="","",Accounts!$B11)</f>
        <v>Mastercard</v>
      </c>
      <c r="B24" s="11" t="str">
        <f>IF($A24="","",Accounts!$J11&amp;"")</f>
        <v>Not started</v>
      </c>
      <c r="C24" s="11" t="str">
        <f>IF($A24="","",Accounts!$F11&amp;"")</f>
        <v/>
      </c>
      <c r="D24" s="11" t="str">
        <f>IF($A24="","",Accounts!$G11&amp;"")</f>
        <v>Khizar Karim</v>
      </c>
      <c r="E24" s="11" t="str">
        <f>IF($A24="","",(COUNTIFS(Checklist!$A$2:$A$400,$A24,Checklist!$B$2:$B$400,"P*",Checklist!$F$2:$F$400,"Done")+COUNTIFS(Checklist!$A$2:$A$400,$A24,Checklist!$B$2:$B$400,"P*",Checklist!$F$2:$F$400,"N/A"))&amp;" / "&amp;COUNTIFS(Checklist!$A$2:$A$400,$A24,Checklist!$B$2:$B$400,"P*"))</f>
        <v>0 / 0</v>
      </c>
      <c r="F24" s="11" t="str">
        <f>IF($A24="","",IF(Accounts!$K11="","Not held",Accounts!$K11))</f>
        <v>Not held</v>
      </c>
      <c r="G24" s="26" t="str">
        <f>IF(OR($A24="",Accounts!$N11="",Accounts!$O11=""),"",Accounts!$O11-Accounts!$N11)</f>
        <v/>
      </c>
      <c r="H24" s="11">
        <f>IF($A24="","",COUNTIF(Deviations!$B$2:$B$151,$A24))</f>
        <v>0</v>
      </c>
      <c r="I24" s="11">
        <f>IF($A24="","",(AND(OR(Accounts!$J11="Onboarding",Accounts!$J11="Post-onboarding",Accounts!$J11="Done"),Accounts!$K11&lt;&gt;"Go"))*1+(COUNTIFS(Checklist!$A$2:$A$400,$A24,Checklist!$B$2:$B$400,"P*",Checklist!$F$2:$F$400,"Skipped")&gt;0)*1+(AND(Accounts!$M11&lt;&gt;"",Accounts!$K11&lt;&gt;"Go"))*1+(AND(Accounts!$J11="Done",Accounts!$O11=""))*1)</f>
        <v>0</v>
      </c>
      <c r="J24" s="11">
        <f>IF($A24="","",(AND(Accounts!$J11&lt;&gt;"Not started",Accounts!$I11=""))*1+(AND(OR(Accounts!$J11="Pre-onboarding",Accounts!$J11="Onboarding"),Accounts!$H11=""))*1+(IF(Accounts!$O11="",FALSE,AND(Accounts!$P11="",TODAY()-Accounts!$O11&gt;2)))*1+(IF(Accounts!$U11="",FALSE,AND(Accounts!$U11&lt;TODAY(),Accounts!$J11&lt;&gt;"Done")))*1+(IF(Accounts!$V11="",TRUE,TODAY()-Accounts!$V11&gt;7))*1+(AND(Accounts!$S11="",Accounts!$J11&lt;&gt;"Done"))*1+(COUNTIFS(Checklist!$A$2:$A$400,$A24,Checklist!$K$2:$K$400,"*Evidence missing*")&gt;0)*1)</f>
        <v>2</v>
      </c>
      <c r="K24" s="27" t="str">
        <f t="shared" si="1"/>
        <v>AMBER</v>
      </c>
      <c r="L24" s="11" t="str">
        <f>IF($A24="","",IF(AND(OR(Accounts!$J11="Onboarding",Accounts!$J11="Post-onboarding",Accounts!$J11="Done"),Accounts!$K11&lt;&gt;"Go"),"Onboarding started without a Go"&amp;CHAR(10),"")&amp;IF(COUNTIFS(Checklist!$A$2:$A$400,$A24,Checklist!$B$2:$B$400,"P*",Checklist!$F$2:$F$400,"Skipped")&gt;0,"Pre-onboarding step skipped"&amp;CHAR(10),"")&amp;IF(AND(Accounts!$M11&lt;&gt;"",Accounts!$K11&lt;&gt;"Go"),"Date committed before the gate is green"&amp;CHAR(10),"")&amp;IF(AND(Accounts!$J11="Done",Accounts!$O11=""),"Marked Done before all scanners return data"&amp;CHAR(10),"")&amp;IF(AND(Accounts!$J11&lt;&gt;"Not started",Accounts!$I11=""),"No onboarding record linked"&amp;CHAR(10),"")&amp;IF(AND(OR(Accounts!$J11="Pre-onboarding",Accounts!$J11="Onboarding"),Accounts!$H11=""),"No named engineer"&amp;CHAR(10),"")&amp;IF(IF(Accounts!$O11="",FALSE,AND(Accounts!$P11="",TODAY()-Accounts!$O11&gt;2)),"Retro overdue (48h rule)"&amp;CHAR(10),"")&amp;IF(IF(Accounts!$U11="",FALSE,AND(Accounts!$U11&lt;TODAY(),Accounts!$J11&lt;&gt;"Done")),"Next action overdue"&amp;CHAR(10),"")&amp;IF(IF(Accounts!$V11="",TRUE,TODAY()-Accounts!$V11&gt;7),"Not updated in 7+ days"&amp;CHAR(10),"")&amp;IF(AND(Accounts!$S11="",Accounts!$J11&lt;&gt;"Done"),"No next action set"&amp;CHAR(10),"")&amp;IF(COUNTIFS(Checklist!$A$2:$A$400,$A24,Checklist!$K$2:$K$400,"*Evidence missing*")&gt;0,"Done step missing evidence"&amp;CHAR(10),""))</f>
        <v>Not updated in 7+ days
No next action set
</v>
      </c>
      <c r="M24" s="11" t="str">
        <f>IF($A24="","",Accounts!$S11&amp;"")</f>
        <v/>
      </c>
      <c r="N24" s="11" t="str">
        <f>IF($A24="","",Accounts!$T11&amp;"")</f>
        <v/>
      </c>
      <c r="O24" s="28" t="str">
        <f>IF(OR($A24="",Accounts!$U11=""),"",Accounts!$U11)</f>
        <v/>
      </c>
    </row>
    <row r="25">
      <c r="A25" s="11" t="str">
        <f>IF(Accounts!$B12="","",Accounts!$B12)</f>
        <v>Thales</v>
      </c>
      <c r="B25" s="11" t="str">
        <f>IF($A25="","",Accounts!$J12&amp;"")</f>
        <v>Onboarding</v>
      </c>
      <c r="C25" s="11" t="str">
        <f>IF($A25="","",Accounts!$F12&amp;"")</f>
        <v>Ariel Nin</v>
      </c>
      <c r="D25" s="11" t="str">
        <f>IF($A25="","",Accounts!$G12&amp;"")</f>
        <v>Steve Briand</v>
      </c>
      <c r="E25" s="11" t="str">
        <f>IF($A25="","",(COUNTIFS(Checklist!$A$2:$A$400,$A25,Checklist!$B$2:$B$400,"P*",Checklist!$F$2:$F$400,"Done")+COUNTIFS(Checklist!$A$2:$A$400,$A25,Checklist!$B$2:$B$400,"P*",Checklist!$F$2:$F$400,"N/A"))&amp;" / "&amp;COUNTIFS(Checklist!$A$2:$A$400,$A25,Checklist!$B$2:$B$400,"P*"))</f>
        <v>0 / 8</v>
      </c>
      <c r="F25" s="11" t="str">
        <f>IF($A25="","",IF(Accounts!$K12="","Not held",Accounts!$K12))</f>
        <v>Not held</v>
      </c>
      <c r="G25" s="26" t="str">
        <f>IF(OR($A25="",Accounts!$N12="",Accounts!$O12=""),"",Accounts!$O12-Accounts!$N12)</f>
        <v/>
      </c>
      <c r="H25" s="11">
        <f>IF($A25="","",COUNTIF(Deviations!$B$2:$B$151,$A25))</f>
        <v>0</v>
      </c>
      <c r="I25" s="11">
        <f>IF($A25="","",(AND(OR(Accounts!$J12="Onboarding",Accounts!$J12="Post-onboarding",Accounts!$J12="Done"),Accounts!$K12&lt;&gt;"Go"))*1+(COUNTIFS(Checklist!$A$2:$A$400,$A25,Checklist!$B$2:$B$400,"P*",Checklist!$F$2:$F$400,"Skipped")&gt;0)*1+(AND(Accounts!$M12&lt;&gt;"",Accounts!$K12&lt;&gt;"Go"))*1+(AND(Accounts!$J12="Done",Accounts!$O12=""))*1)</f>
        <v>2</v>
      </c>
      <c r="J25" s="11">
        <f>IF($A25="","",(AND(Accounts!$J12&lt;&gt;"Not started",Accounts!$I12=""))*1+(AND(OR(Accounts!$J12="Pre-onboarding",Accounts!$J12="Onboarding"),Accounts!$H12=""))*1+(IF(Accounts!$O12="",FALSE,AND(Accounts!$P12="",TODAY()-Accounts!$O12&gt;2)))*1+(IF(Accounts!$U12="",FALSE,AND(Accounts!$U12&lt;TODAY(),Accounts!$J12&lt;&gt;"Done")))*1+(IF(Accounts!$V12="",TRUE,TODAY()-Accounts!$V12&gt;7))*1+(AND(Accounts!$S12="",Accounts!$J12&lt;&gt;"Done"))*1+(COUNTIFS(Checklist!$A$2:$A$400,$A25,Checklist!$K$2:$K$400,"*Evidence missing*")&gt;0)*1)</f>
        <v>4</v>
      </c>
      <c r="K25" s="27" t="str">
        <f t="shared" si="1"/>
        <v>RED</v>
      </c>
      <c r="L25" s="11" t="str">
        <f>IF($A25="","",IF(AND(OR(Accounts!$J12="Onboarding",Accounts!$J12="Post-onboarding",Accounts!$J12="Done"),Accounts!$K12&lt;&gt;"Go"),"Onboarding started without a Go"&amp;CHAR(10),"")&amp;IF(COUNTIFS(Checklist!$A$2:$A$400,$A25,Checklist!$B$2:$B$400,"P*",Checklist!$F$2:$F$400,"Skipped")&gt;0,"Pre-onboarding step skipped"&amp;CHAR(10),"")&amp;IF(AND(Accounts!$M12&lt;&gt;"",Accounts!$K12&lt;&gt;"Go"),"Date committed before the gate is green"&amp;CHAR(10),"")&amp;IF(AND(Accounts!$J12="Done",Accounts!$O12=""),"Marked Done before all scanners return data"&amp;CHAR(10),"")&amp;IF(AND(Accounts!$J12&lt;&gt;"Not started",Accounts!$I12=""),"No onboarding record linked"&amp;CHAR(10),"")&amp;IF(AND(OR(Accounts!$J12="Pre-onboarding",Accounts!$J12="Onboarding"),Accounts!$H12=""),"No named engineer"&amp;CHAR(10),"")&amp;IF(IF(Accounts!$O12="",FALSE,AND(Accounts!$P12="",TODAY()-Accounts!$O12&gt;2)),"Retro overdue (48h rule)"&amp;CHAR(10),"")&amp;IF(IF(Accounts!$U12="",FALSE,AND(Accounts!$U12&lt;TODAY(),Accounts!$J12&lt;&gt;"Done")),"Next action overdue"&amp;CHAR(10),"")&amp;IF(IF(Accounts!$V12="",TRUE,TODAY()-Accounts!$V12&gt;7),"Not updated in 7+ days"&amp;CHAR(10),"")&amp;IF(AND(Accounts!$S12="",Accounts!$J12&lt;&gt;"Done"),"No next action set"&amp;CHAR(10),"")&amp;IF(COUNTIFS(Checklist!$A$2:$A$400,$A25,Checklist!$K$2:$K$400,"*Evidence missing*")&gt;0,"Done step missing evidence"&amp;CHAR(10),""))</f>
        <v>Onboarding started without a Go
Date committed before the gate is green
No onboarding record linked
No named engineer
Not updated in 7+ days
No next action set
</v>
      </c>
      <c r="M25" s="11" t="str">
        <f>IF($A25="","",Accounts!$S12&amp;"")</f>
        <v/>
      </c>
      <c r="N25" s="11" t="str">
        <f>IF($A25="","",Accounts!$T12&amp;"")</f>
        <v/>
      </c>
      <c r="O25" s="28" t="str">
        <f>IF(OR($A25="",Accounts!$U12=""),"",Accounts!$U12)</f>
        <v/>
      </c>
    </row>
    <row r="26" ht="15.75" customHeight="1">
      <c r="A26" s="11" t="str">
        <f>IF(Accounts!$B13="","",Accounts!$B13)</f>
        <v>Verizon</v>
      </c>
      <c r="B26" s="11" t="str">
        <f>IF($A26="","",Accounts!$J13&amp;"")</f>
        <v>Post-onboarding</v>
      </c>
      <c r="C26" s="11" t="str">
        <f>IF($A26="","",Accounts!$F13&amp;"")</f>
        <v/>
      </c>
      <c r="D26" s="11" t="str">
        <f>IF($A26="","",Accounts!$G13&amp;"")</f>
        <v>Farooq Abrahem</v>
      </c>
      <c r="E26" s="11" t="str">
        <f>IF($A26="","",(COUNTIFS(Checklist!$A$2:$A$400,$A26,Checklist!$B$2:$B$400,"P*",Checklist!$F$2:$F$400,"Done")+COUNTIFS(Checklist!$A$2:$A$400,$A26,Checklist!$B$2:$B$400,"P*",Checklist!$F$2:$F$400,"N/A"))&amp;" / "&amp;COUNTIFS(Checklist!$A$2:$A$400,$A26,Checklist!$B$2:$B$400,"P*"))</f>
        <v>0 / 0</v>
      </c>
      <c r="F26" s="11" t="str">
        <f>IF($A26="","",IF(Accounts!$K13="","Not held",Accounts!$K13))</f>
        <v>Not held</v>
      </c>
      <c r="G26" s="26" t="str">
        <f>IF(OR($A26="",Accounts!$N13="",Accounts!$O13=""),"",Accounts!$O13-Accounts!$N13)</f>
        <v/>
      </c>
      <c r="H26" s="11">
        <f>IF($A26="","",COUNTIF(Deviations!$B$2:$B$151,$A26))</f>
        <v>0</v>
      </c>
      <c r="I26" s="11">
        <f>IF($A26="","",(AND(OR(Accounts!$J13="Onboarding",Accounts!$J13="Post-onboarding",Accounts!$J13="Done"),Accounts!$K13&lt;&gt;"Go"))*1+(COUNTIFS(Checklist!$A$2:$A$400,$A26,Checklist!$B$2:$B$400,"P*",Checklist!$F$2:$F$400,"Skipped")&gt;0)*1+(AND(Accounts!$M13&lt;&gt;"",Accounts!$K13&lt;&gt;"Go"))*1+(AND(Accounts!$J13="Done",Accounts!$O13=""))*1)</f>
        <v>1</v>
      </c>
      <c r="J26" s="11">
        <f>IF($A26="","",(AND(Accounts!$J13&lt;&gt;"Not started",Accounts!$I13=""))*1+(AND(OR(Accounts!$J13="Pre-onboarding",Accounts!$J13="Onboarding"),Accounts!$H13=""))*1+(IF(Accounts!$O13="",FALSE,AND(Accounts!$P13="",TODAY()-Accounts!$O13&gt;2)))*1+(IF(Accounts!$U13="",FALSE,AND(Accounts!$U13&lt;TODAY(),Accounts!$J13&lt;&gt;"Done")))*1+(IF(Accounts!$V13="",TRUE,TODAY()-Accounts!$V13&gt;7))*1+(AND(Accounts!$S13="",Accounts!$J13&lt;&gt;"Done"))*1+(COUNTIFS(Checklist!$A$2:$A$400,$A26,Checklist!$K$2:$K$400,"*Evidence missing*")&gt;0)*1)</f>
        <v>3</v>
      </c>
      <c r="K26" s="27" t="str">
        <f t="shared" si="1"/>
        <v>RED</v>
      </c>
      <c r="L26" s="11" t="str">
        <f>IF($A26="","",IF(AND(OR(Accounts!$J13="Onboarding",Accounts!$J13="Post-onboarding",Accounts!$J13="Done"),Accounts!$K13&lt;&gt;"Go"),"Onboarding started without a Go"&amp;CHAR(10),"")&amp;IF(COUNTIFS(Checklist!$A$2:$A$400,$A26,Checklist!$B$2:$B$400,"P*",Checklist!$F$2:$F$400,"Skipped")&gt;0,"Pre-onboarding step skipped"&amp;CHAR(10),"")&amp;IF(AND(Accounts!$M13&lt;&gt;"",Accounts!$K13&lt;&gt;"Go"),"Date committed before the gate is green"&amp;CHAR(10),"")&amp;IF(AND(Accounts!$J13="Done",Accounts!$O13=""),"Marked Done before all scanners return data"&amp;CHAR(10),"")&amp;IF(AND(Accounts!$J13&lt;&gt;"Not started",Accounts!$I13=""),"No onboarding record linked"&amp;CHAR(10),"")&amp;IF(AND(OR(Accounts!$J13="Pre-onboarding",Accounts!$J13="Onboarding"),Accounts!$H13=""),"No named engineer"&amp;CHAR(10),"")&amp;IF(IF(Accounts!$O13="",FALSE,AND(Accounts!$P13="",TODAY()-Accounts!$O13&gt;2)),"Retro overdue (48h rule)"&amp;CHAR(10),"")&amp;IF(IF(Accounts!$U13="",FALSE,AND(Accounts!$U13&lt;TODAY(),Accounts!$J13&lt;&gt;"Done")),"Next action overdue"&amp;CHAR(10),"")&amp;IF(IF(Accounts!$V13="",TRUE,TODAY()-Accounts!$V13&gt;7),"Not updated in 7+ days"&amp;CHAR(10),"")&amp;IF(AND(Accounts!$S13="",Accounts!$J13&lt;&gt;"Done"),"No next action set"&amp;CHAR(10),"")&amp;IF(COUNTIFS(Checklist!$A$2:$A$400,$A26,Checklist!$K$2:$K$400,"*Evidence missing*")&gt;0,"Done step missing evidence"&amp;CHAR(10),""))</f>
        <v>Onboarding started without a Go
No onboarding record linked
Not updated in 7+ days
No next action set
</v>
      </c>
      <c r="M26" s="11" t="str">
        <f>IF($A26="","",Accounts!$S13&amp;"")</f>
        <v/>
      </c>
      <c r="N26" s="11" t="str">
        <f>IF($A26="","",Accounts!$T13&amp;"")</f>
        <v/>
      </c>
      <c r="O26" s="28" t="str">
        <f>IF(OR($A26="",Accounts!$U13=""),"",Accounts!$U13)</f>
        <v/>
      </c>
    </row>
    <row r="27" ht="66.75" customHeight="1">
      <c r="A27" s="11" t="str">
        <f>IF(Accounts!$B14="","",Accounts!$B14)</f>
        <v>Early Warning Services LLC</v>
      </c>
      <c r="B27" s="11" t="str">
        <f>IF($A27="","",Accounts!$J14&amp;"")</f>
        <v>Onboarding</v>
      </c>
      <c r="C27" s="11" t="str">
        <f>IF($A27="","",Accounts!$F14&amp;"")</f>
        <v/>
      </c>
      <c r="D27" s="11" t="str">
        <f>IF($A27="","",Accounts!$G14&amp;"")</f>
        <v>Lindsey Smith</v>
      </c>
      <c r="E27" s="11" t="str">
        <f>IF($A27="","",(COUNTIFS(Checklist!$A$2:$A$400,$A27,Checklist!$B$2:$B$400,"P*",Checklist!$F$2:$F$400,"Done")+COUNTIFS(Checklist!$A$2:$A$400,$A27,Checklist!$B$2:$B$400,"P*",Checklist!$F$2:$F$400,"N/A"))&amp;" / "&amp;COUNTIFS(Checklist!$A$2:$A$400,$A27,Checklist!$B$2:$B$400,"P*"))</f>
        <v>0 / 8</v>
      </c>
      <c r="F27" s="11" t="str">
        <f>IF($A27="","",IF(Accounts!$K14="","Not held",Accounts!$K14))</f>
        <v>Not held</v>
      </c>
      <c r="G27" s="26" t="str">
        <f>IF(OR($A27="",Accounts!$N14="",Accounts!$O14=""),"",Accounts!$O14-Accounts!$N14)</f>
        <v/>
      </c>
      <c r="H27" s="11">
        <f>IF($A27="","",COUNTIF(Deviations!$B$2:$B$151,$A27))</f>
        <v>0</v>
      </c>
      <c r="I27" s="11">
        <f>IF($A27="","",(AND(OR(Accounts!$J14="Onboarding",Accounts!$J14="Post-onboarding",Accounts!$J14="Done"),Accounts!$K14&lt;&gt;"Go"))*1+(COUNTIFS(Checklist!$A$2:$A$400,$A27,Checklist!$B$2:$B$400,"P*",Checklist!$F$2:$F$400,"Skipped")&gt;0)*1+(AND(Accounts!$M14&lt;&gt;"",Accounts!$K14&lt;&gt;"Go"))*1+(AND(Accounts!$J14="Done",Accounts!$O14=""))*1)</f>
        <v>1</v>
      </c>
      <c r="J27" s="11">
        <f>IF($A27="","",(AND(Accounts!$J14&lt;&gt;"Not started",Accounts!$I14=""))*1+(AND(OR(Accounts!$J14="Pre-onboarding",Accounts!$J14="Onboarding"),Accounts!$H14=""))*1+(IF(Accounts!$O14="",FALSE,AND(Accounts!$P14="",TODAY()-Accounts!$O14&gt;2)))*1+(IF(Accounts!$U14="",FALSE,AND(Accounts!$U14&lt;TODAY(),Accounts!$J14&lt;&gt;"Done")))*1+(IF(Accounts!$V14="",TRUE,TODAY()-Accounts!$V14&gt;7))*1+(AND(Accounts!$S14="",Accounts!$J14&lt;&gt;"Done"))*1+(COUNTIFS(Checklist!$A$2:$A$400,$A27,Checklist!$K$2:$K$400,"*Evidence missing*")&gt;0)*1)</f>
        <v>4</v>
      </c>
      <c r="K27" s="27" t="str">
        <f t="shared" si="1"/>
        <v>RED</v>
      </c>
      <c r="L27" s="11" t="str">
        <f>IF($A27="","",IF(AND(OR(Accounts!$J14="Onboarding",Accounts!$J14="Post-onboarding",Accounts!$J14="Done"),Accounts!$K14&lt;&gt;"Go"),"Onboarding started without a Go"&amp;CHAR(10),"")&amp;IF(COUNTIFS(Checklist!$A$2:$A$400,$A27,Checklist!$B$2:$B$400,"P*",Checklist!$F$2:$F$400,"Skipped")&gt;0,"Pre-onboarding step skipped"&amp;CHAR(10),"")&amp;IF(AND(Accounts!$M14&lt;&gt;"",Accounts!$K14&lt;&gt;"Go"),"Date committed before the gate is green"&amp;CHAR(10),"")&amp;IF(AND(Accounts!$J14="Done",Accounts!$O14=""),"Marked Done before all scanners return data"&amp;CHAR(10),"")&amp;IF(AND(Accounts!$J14&lt;&gt;"Not started",Accounts!$I14=""),"No onboarding record linked"&amp;CHAR(10),"")&amp;IF(AND(OR(Accounts!$J14="Pre-onboarding",Accounts!$J14="Onboarding"),Accounts!$H14=""),"No named engineer"&amp;CHAR(10),"")&amp;IF(IF(Accounts!$O14="",FALSE,AND(Accounts!$P14="",TODAY()-Accounts!$O14&gt;2)),"Retro overdue (48h rule)"&amp;CHAR(10),"")&amp;IF(IF(Accounts!$U14="",FALSE,AND(Accounts!$U14&lt;TODAY(),Accounts!$J14&lt;&gt;"Done")),"Next action overdue"&amp;CHAR(10),"")&amp;IF(IF(Accounts!$V14="",TRUE,TODAY()-Accounts!$V14&gt;7),"Not updated in 7+ days"&amp;CHAR(10),"")&amp;IF(AND(Accounts!$S14="",Accounts!$J14&lt;&gt;"Done"),"No next action set"&amp;CHAR(10),"")&amp;IF(COUNTIFS(Checklist!$A$2:$A$400,$A27,Checklist!$K$2:$K$400,"*Evidence missing*")&gt;0,"Done step missing evidence"&amp;CHAR(10),""))</f>
        <v>Onboarding started without a Go
No onboarding record linked
No named engineer
Not updated in 7+ days
No next action set
</v>
      </c>
      <c r="M27" s="11" t="str">
        <f>IF($A27="","",Accounts!$S14&amp;"")</f>
        <v/>
      </c>
      <c r="N27" s="11" t="str">
        <f>IF($A27="","",Accounts!$T14&amp;"")</f>
        <v/>
      </c>
      <c r="O27" s="28" t="str">
        <f>IF(OR($A27="",Accounts!$U14=""),"",Accounts!$U14)</f>
        <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18">
    <mergeCell ref="C3:D3"/>
    <mergeCell ref="E3:F3"/>
    <mergeCell ref="A4:B4"/>
    <mergeCell ref="C4:D4"/>
    <mergeCell ref="E4:F4"/>
    <mergeCell ref="G3:H3"/>
    <mergeCell ref="I3:J3"/>
    <mergeCell ref="G4:H4"/>
    <mergeCell ref="I4:J4"/>
    <mergeCell ref="K4:L4"/>
    <mergeCell ref="A2:B2"/>
    <mergeCell ref="C2:D2"/>
    <mergeCell ref="E2:F2"/>
    <mergeCell ref="G2:H2"/>
    <mergeCell ref="I2:J2"/>
    <mergeCell ref="K2:L2"/>
    <mergeCell ref="A3:B3"/>
    <mergeCell ref="K3:L3"/>
  </mergeCells>
  <conditionalFormatting sqref="K15:K27">
    <cfRule type="expression" dxfId="0" priority="1">
      <formula>$K15="RED"</formula>
    </cfRule>
  </conditionalFormatting>
  <conditionalFormatting sqref="K15:K27">
    <cfRule type="expression" dxfId="1" priority="2">
      <formula>$K15="AMBER"</formula>
    </cfRule>
  </conditionalFormatting>
  <conditionalFormatting sqref="K15:K27">
    <cfRule type="expression" dxfId="2" priority="3">
      <formula>$K15="GREEN"</formula>
    </cfRule>
  </conditionalFormatting>
  <conditionalFormatting sqref="I15:I27">
    <cfRule type="expression" dxfId="3" priority="4">
      <formula>AND(ISNUMBER($I15),$I15&gt;0)</formula>
    </cfRule>
  </conditionalFormatting>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A55"/>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4.0"/>
    <col customWidth="1" min="2" max="2" width="22.0"/>
    <col customWidth="1" min="3" max="3" width="21.0"/>
    <col customWidth="1" min="4" max="4" width="16.86"/>
    <col customWidth="1" min="5" max="5" width="17.86"/>
    <col customWidth="1" min="6" max="6" width="20.0"/>
    <col customWidth="1" min="7" max="8" width="16.0"/>
    <col customWidth="1" min="9" max="9" width="26.0"/>
    <col customWidth="1" min="10" max="10" width="20.57"/>
    <col customWidth="1" min="11" max="11" width="11.0"/>
    <col customWidth="1" min="12" max="12" width="18.14"/>
    <col customWidth="1" min="13" max="13" width="18.57"/>
    <col customWidth="1" min="14" max="14" width="12.0"/>
    <col customWidth="1" min="15" max="15" width="14.0"/>
    <col customWidth="1" min="16" max="17" width="11.0"/>
    <col customWidth="1" min="18" max="18" width="35.57"/>
    <col customWidth="1" min="19" max="19" width="28.0"/>
    <col customWidth="1" min="20" max="20" width="18.0"/>
    <col customWidth="1" min="21" max="22" width="12.0"/>
    <col customWidth="1" min="23" max="23" width="30.0"/>
  </cols>
  <sheetData>
    <row r="1" ht="84.0" customHeight="1">
      <c r="A1" s="10" t="s">
        <v>124</v>
      </c>
      <c r="B1" s="10" t="s">
        <v>111</v>
      </c>
      <c r="C1" s="10" t="s">
        <v>125</v>
      </c>
      <c r="D1" s="10" t="s">
        <v>126</v>
      </c>
      <c r="E1" s="29" t="s">
        <v>127</v>
      </c>
      <c r="F1" s="10" t="s">
        <v>128</v>
      </c>
      <c r="G1" s="10" t="s">
        <v>32</v>
      </c>
      <c r="H1" s="10" t="s">
        <v>46</v>
      </c>
      <c r="I1" s="29" t="s">
        <v>35</v>
      </c>
      <c r="J1" s="29" t="s">
        <v>112</v>
      </c>
      <c r="K1" s="10" t="s">
        <v>114</v>
      </c>
      <c r="L1" s="10" t="s">
        <v>129</v>
      </c>
      <c r="M1" s="29" t="s">
        <v>130</v>
      </c>
      <c r="N1" s="29" t="s">
        <v>131</v>
      </c>
      <c r="O1" s="30" t="s">
        <v>132</v>
      </c>
      <c r="P1" s="10" t="s">
        <v>133</v>
      </c>
      <c r="Q1" s="29" t="s">
        <v>134</v>
      </c>
      <c r="R1" s="29" t="s">
        <v>135</v>
      </c>
      <c r="S1" s="29" t="s">
        <v>121</v>
      </c>
      <c r="T1" s="29" t="s">
        <v>136</v>
      </c>
      <c r="U1" s="29" t="s">
        <v>137</v>
      </c>
      <c r="V1" s="29" t="s">
        <v>138</v>
      </c>
      <c r="W1" s="29" t="s">
        <v>139</v>
      </c>
    </row>
    <row r="2">
      <c r="A2" s="11">
        <v>1.0</v>
      </c>
      <c r="B2" s="31" t="s">
        <v>140</v>
      </c>
      <c r="C2" s="11" t="s">
        <v>141</v>
      </c>
      <c r="D2" s="31" t="s">
        <v>56</v>
      </c>
      <c r="E2" s="31" t="s">
        <v>142</v>
      </c>
      <c r="F2" s="31" t="s">
        <v>143</v>
      </c>
      <c r="G2" s="11" t="s">
        <v>144</v>
      </c>
      <c r="H2" s="11"/>
      <c r="I2" s="11"/>
      <c r="J2" s="31" t="s">
        <v>106</v>
      </c>
      <c r="K2" s="11"/>
      <c r="L2" s="28"/>
      <c r="M2" s="31" t="s">
        <v>145</v>
      </c>
      <c r="N2" s="28"/>
      <c r="O2" s="28"/>
      <c r="P2" s="28"/>
      <c r="Q2" s="28"/>
      <c r="R2" s="31" t="s">
        <v>146</v>
      </c>
      <c r="S2" s="31" t="s">
        <v>147</v>
      </c>
      <c r="T2" s="31" t="s">
        <v>148</v>
      </c>
      <c r="U2" s="31" t="s">
        <v>145</v>
      </c>
      <c r="V2" s="28">
        <v>46288.0</v>
      </c>
      <c r="W2" s="11"/>
    </row>
    <row r="3">
      <c r="A3" s="11">
        <v>2.0</v>
      </c>
      <c r="B3" s="11" t="s">
        <v>149</v>
      </c>
      <c r="C3" s="11" t="s">
        <v>141</v>
      </c>
      <c r="D3" s="11" t="s">
        <v>56</v>
      </c>
      <c r="E3" s="31" t="s">
        <v>150</v>
      </c>
      <c r="F3" s="11" t="s">
        <v>151</v>
      </c>
      <c r="G3" s="11" t="s">
        <v>144</v>
      </c>
      <c r="H3" s="11"/>
      <c r="I3" s="32" t="s">
        <v>152</v>
      </c>
      <c r="J3" s="31" t="s">
        <v>106</v>
      </c>
      <c r="K3" s="31" t="s">
        <v>153</v>
      </c>
      <c r="L3" s="28"/>
      <c r="M3" s="28"/>
      <c r="N3" s="28"/>
      <c r="O3" s="28"/>
      <c r="P3" s="28"/>
      <c r="Q3" s="28"/>
      <c r="R3" s="11"/>
      <c r="S3" s="31" t="s">
        <v>154</v>
      </c>
      <c r="T3" s="11"/>
      <c r="U3" s="28"/>
      <c r="V3" s="28">
        <v>46288.0</v>
      </c>
      <c r="W3" s="11"/>
    </row>
    <row r="4">
      <c r="A4" s="11">
        <v>3.0</v>
      </c>
      <c r="B4" s="31" t="s">
        <v>155</v>
      </c>
      <c r="C4" s="31" t="s">
        <v>156</v>
      </c>
      <c r="D4" s="11" t="s">
        <v>34</v>
      </c>
      <c r="E4" s="11" t="s">
        <v>157</v>
      </c>
      <c r="F4" s="31" t="s">
        <v>158</v>
      </c>
      <c r="G4" s="31" t="s">
        <v>159</v>
      </c>
      <c r="H4" s="11"/>
      <c r="I4" s="32" t="s">
        <v>160</v>
      </c>
      <c r="J4" s="31" t="s">
        <v>108</v>
      </c>
      <c r="K4" s="11"/>
      <c r="L4" s="28"/>
      <c r="M4" s="33">
        <v>46289.0</v>
      </c>
      <c r="N4" s="31" t="s">
        <v>161</v>
      </c>
      <c r="O4" s="34">
        <v>46300.0</v>
      </c>
      <c r="P4" s="28"/>
      <c r="Q4" s="31" t="s">
        <v>162</v>
      </c>
      <c r="R4" s="31" t="s">
        <v>162</v>
      </c>
      <c r="S4" s="31" t="s">
        <v>163</v>
      </c>
      <c r="T4" s="31" t="s">
        <v>164</v>
      </c>
      <c r="U4" s="31" t="s">
        <v>165</v>
      </c>
      <c r="V4" s="35">
        <v>46303.0</v>
      </c>
      <c r="W4" s="31" t="s">
        <v>162</v>
      </c>
    </row>
    <row r="5">
      <c r="A5" s="11">
        <v>4.0</v>
      </c>
      <c r="B5" s="31" t="s">
        <v>166</v>
      </c>
      <c r="C5" s="31" t="s">
        <v>156</v>
      </c>
      <c r="D5" s="11" t="s">
        <v>34</v>
      </c>
      <c r="E5" s="31" t="s">
        <v>167</v>
      </c>
      <c r="F5" s="31" t="s">
        <v>151</v>
      </c>
      <c r="G5" s="31" t="s">
        <v>168</v>
      </c>
      <c r="H5" s="11"/>
      <c r="I5" s="32" t="s">
        <v>169</v>
      </c>
      <c r="J5" s="11" t="s">
        <v>104</v>
      </c>
      <c r="K5" s="11"/>
      <c r="L5" s="28"/>
      <c r="M5" s="28"/>
      <c r="N5" s="28"/>
      <c r="O5" s="28"/>
      <c r="P5" s="28"/>
      <c r="Q5" s="28"/>
      <c r="R5" s="11"/>
      <c r="S5" s="31" t="s">
        <v>170</v>
      </c>
      <c r="T5" s="11"/>
      <c r="U5" s="28"/>
      <c r="V5" s="28">
        <v>46288.0</v>
      </c>
      <c r="W5" s="11"/>
    </row>
    <row r="6">
      <c r="A6" s="11">
        <v>5.0</v>
      </c>
      <c r="B6" s="31" t="s">
        <v>171</v>
      </c>
      <c r="C6" s="11" t="s">
        <v>141</v>
      </c>
      <c r="D6" s="31" t="s">
        <v>34</v>
      </c>
      <c r="E6" s="31" t="s">
        <v>157</v>
      </c>
      <c r="F6" s="31" t="s">
        <v>151</v>
      </c>
      <c r="G6" s="31" t="s">
        <v>172</v>
      </c>
      <c r="H6" s="11"/>
      <c r="I6" s="32" t="s">
        <v>173</v>
      </c>
      <c r="J6" s="31" t="s">
        <v>105</v>
      </c>
      <c r="K6" s="11"/>
      <c r="L6" s="28"/>
      <c r="M6" s="28"/>
      <c r="N6" s="28"/>
      <c r="O6" s="28"/>
      <c r="P6" s="28"/>
      <c r="Q6" s="28"/>
      <c r="R6" s="11"/>
      <c r="S6" s="31" t="s">
        <v>174</v>
      </c>
      <c r="T6" s="11"/>
      <c r="U6" s="28"/>
      <c r="V6" s="28">
        <v>46288.0</v>
      </c>
      <c r="W6" s="11"/>
    </row>
    <row r="7">
      <c r="A7" s="11">
        <v>6.0</v>
      </c>
      <c r="B7" s="31" t="s">
        <v>175</v>
      </c>
      <c r="C7" s="31" t="s">
        <v>141</v>
      </c>
      <c r="D7" s="31" t="s">
        <v>34</v>
      </c>
      <c r="E7" s="31" t="s">
        <v>150</v>
      </c>
      <c r="F7" s="31" t="s">
        <v>151</v>
      </c>
      <c r="G7" s="11"/>
      <c r="H7" s="11"/>
      <c r="I7" s="32" t="s">
        <v>176</v>
      </c>
      <c r="J7" s="11" t="s">
        <v>104</v>
      </c>
      <c r="K7" s="11"/>
      <c r="L7" s="28"/>
      <c r="M7" s="28"/>
      <c r="N7" s="28"/>
      <c r="O7" s="28"/>
      <c r="P7" s="28"/>
      <c r="Q7" s="28"/>
      <c r="R7" s="11"/>
      <c r="S7" s="31" t="s">
        <v>109</v>
      </c>
      <c r="T7" s="11"/>
      <c r="U7" s="28"/>
      <c r="V7" s="28">
        <v>46288.0</v>
      </c>
      <c r="W7" s="11"/>
    </row>
    <row r="8">
      <c r="A8" s="11">
        <v>7.0</v>
      </c>
      <c r="B8" s="31" t="s">
        <v>177</v>
      </c>
      <c r="C8" s="11" t="s">
        <v>141</v>
      </c>
      <c r="D8" s="11" t="s">
        <v>56</v>
      </c>
      <c r="E8" s="31" t="s">
        <v>178</v>
      </c>
      <c r="F8" s="31" t="s">
        <v>179</v>
      </c>
      <c r="G8" s="31" t="s">
        <v>180</v>
      </c>
      <c r="H8" s="11"/>
      <c r="I8" s="32" t="s">
        <v>181</v>
      </c>
      <c r="J8" s="31" t="s">
        <v>106</v>
      </c>
      <c r="K8" s="11"/>
      <c r="L8" s="28"/>
      <c r="M8" s="31" t="s">
        <v>182</v>
      </c>
      <c r="N8" s="28"/>
      <c r="O8" s="28"/>
      <c r="P8" s="28"/>
      <c r="Q8" s="28"/>
      <c r="R8" s="31" t="s">
        <v>183</v>
      </c>
      <c r="S8" s="11"/>
      <c r="T8" s="11"/>
      <c r="U8" s="28"/>
      <c r="V8" s="33">
        <v>46303.0</v>
      </c>
      <c r="W8" s="11"/>
    </row>
    <row r="9">
      <c r="A9" s="11">
        <v>8.0</v>
      </c>
      <c r="B9" s="31" t="s">
        <v>184</v>
      </c>
      <c r="C9" s="11" t="s">
        <v>141</v>
      </c>
      <c r="D9" s="31" t="s">
        <v>56</v>
      </c>
      <c r="E9" s="31" t="s">
        <v>178</v>
      </c>
      <c r="F9" s="31" t="s">
        <v>185</v>
      </c>
      <c r="G9" s="11"/>
      <c r="H9" s="11"/>
      <c r="I9" s="32" t="s">
        <v>186</v>
      </c>
      <c r="J9" s="31" t="s">
        <v>106</v>
      </c>
      <c r="K9" s="11"/>
      <c r="L9" s="28"/>
      <c r="M9" s="31" t="s">
        <v>187</v>
      </c>
      <c r="N9" s="31" t="s">
        <v>188</v>
      </c>
      <c r="O9" s="31" t="s">
        <v>189</v>
      </c>
      <c r="P9" s="28"/>
      <c r="Q9" s="31" t="s">
        <v>162</v>
      </c>
      <c r="R9" s="31" t="s">
        <v>190</v>
      </c>
      <c r="S9" s="31" t="s">
        <v>191</v>
      </c>
      <c r="T9" s="31" t="s">
        <v>145</v>
      </c>
      <c r="U9" s="31" t="s">
        <v>145</v>
      </c>
      <c r="V9" s="33">
        <v>46314.0</v>
      </c>
      <c r="W9" s="31"/>
    </row>
    <row r="10">
      <c r="A10" s="11">
        <v>9.0</v>
      </c>
      <c r="B10" s="31" t="s">
        <v>192</v>
      </c>
      <c r="C10" s="11" t="s">
        <v>141</v>
      </c>
      <c r="D10" s="31" t="s">
        <v>56</v>
      </c>
      <c r="E10" s="11"/>
      <c r="F10" s="31" t="s">
        <v>179</v>
      </c>
      <c r="G10" s="31" t="s">
        <v>180</v>
      </c>
      <c r="H10" s="11"/>
      <c r="I10" s="11"/>
      <c r="J10" s="11" t="s">
        <v>104</v>
      </c>
      <c r="K10" s="11"/>
      <c r="L10" s="28"/>
      <c r="M10" s="28"/>
      <c r="N10" s="28"/>
      <c r="O10" s="28"/>
      <c r="P10" s="28"/>
      <c r="Q10" s="28"/>
      <c r="R10" s="11"/>
      <c r="S10" s="11"/>
      <c r="T10" s="11"/>
      <c r="U10" s="28"/>
      <c r="V10" s="28">
        <v>46288.0</v>
      </c>
      <c r="W10" s="11"/>
    </row>
    <row r="11">
      <c r="A11" s="11">
        <v>10.0</v>
      </c>
      <c r="B11" s="31" t="s">
        <v>193</v>
      </c>
      <c r="C11" s="11" t="s">
        <v>141</v>
      </c>
      <c r="D11" s="11" t="s">
        <v>194</v>
      </c>
      <c r="E11" s="11"/>
      <c r="F11" s="11"/>
      <c r="G11" s="31" t="s">
        <v>180</v>
      </c>
      <c r="H11" s="11"/>
      <c r="I11" s="11"/>
      <c r="J11" s="11" t="s">
        <v>104</v>
      </c>
      <c r="K11" s="11"/>
      <c r="L11" s="28"/>
      <c r="M11" s="28"/>
      <c r="N11" s="28"/>
      <c r="O11" s="28"/>
      <c r="P11" s="28"/>
      <c r="Q11" s="28"/>
      <c r="R11" s="11"/>
      <c r="S11" s="11"/>
      <c r="T11" s="11"/>
      <c r="U11" s="28"/>
      <c r="V11" s="28">
        <v>46288.0</v>
      </c>
      <c r="W11" s="11"/>
    </row>
    <row r="12">
      <c r="A12" s="11">
        <v>11.0</v>
      </c>
      <c r="B12" s="31" t="s">
        <v>195</v>
      </c>
      <c r="C12" s="31" t="s">
        <v>141</v>
      </c>
      <c r="D12" s="31" t="s">
        <v>34</v>
      </c>
      <c r="E12" s="31" t="s">
        <v>196</v>
      </c>
      <c r="F12" s="31" t="s">
        <v>158</v>
      </c>
      <c r="G12" s="31" t="s">
        <v>197</v>
      </c>
      <c r="H12" s="11"/>
      <c r="I12" s="11"/>
      <c r="J12" s="31" t="s">
        <v>106</v>
      </c>
      <c r="K12" s="31" t="s">
        <v>153</v>
      </c>
      <c r="L12" s="33"/>
      <c r="M12" s="33">
        <v>46294.0</v>
      </c>
      <c r="N12" s="28"/>
      <c r="O12" s="28"/>
      <c r="P12" s="28"/>
      <c r="Q12" s="28"/>
      <c r="R12" s="31" t="s">
        <v>198</v>
      </c>
      <c r="S12" s="11"/>
      <c r="T12" s="11"/>
      <c r="U12" s="28"/>
      <c r="V12" s="28"/>
      <c r="W12" s="11"/>
    </row>
    <row r="13">
      <c r="A13" s="36">
        <v>12.0</v>
      </c>
      <c r="B13" s="37" t="s">
        <v>199</v>
      </c>
      <c r="C13" s="37" t="s">
        <v>141</v>
      </c>
      <c r="D13" s="37" t="s">
        <v>34</v>
      </c>
      <c r="E13" s="37" t="s">
        <v>200</v>
      </c>
      <c r="F13" s="36"/>
      <c r="G13" s="37" t="s">
        <v>201</v>
      </c>
      <c r="H13" s="36"/>
      <c r="I13" s="36"/>
      <c r="J13" s="37" t="s">
        <v>107</v>
      </c>
      <c r="K13" s="36"/>
      <c r="L13" s="38"/>
      <c r="M13" s="38"/>
      <c r="N13" s="39">
        <v>46293.0</v>
      </c>
      <c r="O13" s="38"/>
      <c r="P13" s="38"/>
      <c r="Q13" s="38"/>
      <c r="R13" s="31" t="s">
        <v>202</v>
      </c>
      <c r="S13" s="36"/>
      <c r="T13" s="36"/>
      <c r="U13" s="38"/>
      <c r="V13" s="38"/>
      <c r="W13" s="31" t="s">
        <v>203</v>
      </c>
      <c r="X13" s="40"/>
      <c r="Y13" s="40"/>
    </row>
    <row r="14">
      <c r="A14" s="11">
        <v>13.0</v>
      </c>
      <c r="B14" s="31" t="s">
        <v>204</v>
      </c>
      <c r="C14" s="31" t="s">
        <v>141</v>
      </c>
      <c r="D14" s="31" t="s">
        <v>34</v>
      </c>
      <c r="E14" s="31" t="s">
        <v>205</v>
      </c>
      <c r="F14" s="11"/>
      <c r="G14" s="31" t="s">
        <v>206</v>
      </c>
      <c r="H14" s="11"/>
      <c r="I14" s="11"/>
      <c r="J14" s="31" t="s">
        <v>106</v>
      </c>
      <c r="K14" s="11"/>
      <c r="L14" s="28"/>
      <c r="M14" s="28"/>
      <c r="N14" s="28"/>
      <c r="O14" s="28"/>
      <c r="P14" s="28"/>
      <c r="Q14" s="28"/>
      <c r="R14" s="31" t="s">
        <v>207</v>
      </c>
      <c r="S14" s="11"/>
      <c r="T14" s="11"/>
      <c r="U14" s="28"/>
      <c r="V14" s="28"/>
      <c r="W14" s="31" t="s">
        <v>208</v>
      </c>
    </row>
    <row r="15">
      <c r="A15" s="11">
        <v>14.0</v>
      </c>
      <c r="B15" s="11"/>
      <c r="C15" s="11"/>
      <c r="D15" s="11"/>
      <c r="E15" s="11"/>
      <c r="F15" s="11"/>
      <c r="G15" s="11"/>
      <c r="H15" s="11"/>
      <c r="I15" s="11"/>
      <c r="J15" s="11"/>
      <c r="K15" s="11"/>
      <c r="L15" s="28"/>
      <c r="M15" s="28"/>
      <c r="N15" s="28"/>
      <c r="O15" s="28"/>
      <c r="P15" s="28"/>
      <c r="Q15" s="28"/>
      <c r="R15" s="11"/>
      <c r="S15" s="11"/>
      <c r="T15" s="11"/>
      <c r="U15" s="28"/>
      <c r="V15" s="28"/>
      <c r="W15" s="11"/>
    </row>
    <row r="16">
      <c r="A16" s="11">
        <v>15.0</v>
      </c>
      <c r="B16" s="11"/>
      <c r="C16" s="11"/>
      <c r="D16" s="11"/>
      <c r="E16" s="11"/>
      <c r="F16" s="11"/>
      <c r="G16" s="11"/>
      <c r="H16" s="11"/>
      <c r="I16" s="11"/>
      <c r="J16" s="11"/>
      <c r="K16" s="11"/>
      <c r="L16" s="28"/>
      <c r="M16" s="28"/>
      <c r="N16" s="28"/>
      <c r="O16" s="28"/>
      <c r="P16" s="28"/>
      <c r="Q16" s="28"/>
      <c r="R16" s="11"/>
      <c r="S16" s="11"/>
      <c r="T16" s="11"/>
      <c r="U16" s="28"/>
      <c r="V16" s="28"/>
      <c r="W16" s="11"/>
    </row>
    <row r="17">
      <c r="A17" s="11">
        <v>16.0</v>
      </c>
      <c r="B17" s="11"/>
      <c r="C17" s="11"/>
      <c r="D17" s="11"/>
      <c r="E17" s="11"/>
      <c r="F17" s="11"/>
      <c r="G17" s="11"/>
      <c r="H17" s="11"/>
      <c r="I17" s="11"/>
      <c r="J17" s="11"/>
      <c r="K17" s="11"/>
      <c r="L17" s="28"/>
      <c r="M17" s="28"/>
      <c r="N17" s="28"/>
      <c r="O17" s="28"/>
      <c r="P17" s="28"/>
      <c r="Q17" s="28"/>
      <c r="R17" s="11"/>
      <c r="S17" s="11"/>
      <c r="T17" s="11"/>
      <c r="U17" s="28"/>
      <c r="V17" s="28"/>
      <c r="W17" s="11"/>
    </row>
    <row r="18">
      <c r="A18" s="11">
        <v>17.0</v>
      </c>
      <c r="B18" s="11"/>
      <c r="C18" s="11"/>
      <c r="D18" s="11"/>
      <c r="E18" s="11"/>
      <c r="F18" s="11"/>
      <c r="G18" s="11"/>
      <c r="H18" s="11"/>
      <c r="I18" s="11"/>
      <c r="J18" s="11"/>
      <c r="K18" s="11"/>
      <c r="L18" s="28"/>
      <c r="M18" s="28"/>
      <c r="N18" s="28"/>
      <c r="O18" s="28"/>
      <c r="P18" s="28"/>
      <c r="Q18" s="28"/>
      <c r="R18" s="11"/>
      <c r="S18" s="11"/>
      <c r="T18" s="11"/>
      <c r="U18" s="28"/>
      <c r="V18" s="28"/>
      <c r="W18" s="11"/>
    </row>
    <row r="19">
      <c r="A19" s="11">
        <v>18.0</v>
      </c>
      <c r="B19" s="11"/>
      <c r="C19" s="11"/>
      <c r="D19" s="11"/>
      <c r="E19" s="11"/>
      <c r="F19" s="11"/>
      <c r="G19" s="11"/>
      <c r="H19" s="11"/>
      <c r="I19" s="11"/>
      <c r="J19" s="11"/>
      <c r="K19" s="11"/>
      <c r="L19" s="28"/>
      <c r="M19" s="28"/>
      <c r="N19" s="28"/>
      <c r="O19" s="28"/>
      <c r="P19" s="28"/>
      <c r="Q19" s="28"/>
      <c r="R19" s="11"/>
      <c r="S19" s="11"/>
      <c r="T19" s="11"/>
      <c r="U19" s="28"/>
      <c r="V19" s="28"/>
      <c r="W19" s="11"/>
    </row>
    <row r="20">
      <c r="A20" s="11">
        <v>19.0</v>
      </c>
      <c r="B20" s="11"/>
      <c r="C20" s="11"/>
      <c r="D20" s="11"/>
      <c r="E20" s="11"/>
      <c r="F20" s="11"/>
      <c r="G20" s="11"/>
      <c r="H20" s="11"/>
      <c r="I20" s="11"/>
      <c r="J20" s="11"/>
      <c r="K20" s="11"/>
      <c r="L20" s="28"/>
      <c r="M20" s="28"/>
      <c r="N20" s="28"/>
      <c r="O20" s="28"/>
      <c r="P20" s="28"/>
      <c r="Q20" s="28"/>
      <c r="R20" s="11"/>
      <c r="S20" s="11"/>
      <c r="T20" s="11"/>
      <c r="U20" s="28"/>
      <c r="V20" s="28"/>
      <c r="W20" s="11"/>
    </row>
    <row r="21" ht="15.75" customHeight="1">
      <c r="A21" s="11">
        <v>20.0</v>
      </c>
      <c r="B21" s="11"/>
      <c r="C21" s="11"/>
      <c r="D21" s="11"/>
      <c r="E21" s="11"/>
      <c r="F21" s="11"/>
      <c r="G21" s="11"/>
      <c r="H21" s="11"/>
      <c r="I21" s="11"/>
      <c r="J21" s="11"/>
      <c r="K21" s="11"/>
      <c r="L21" s="28"/>
      <c r="M21" s="28"/>
      <c r="N21" s="28"/>
      <c r="O21" s="28"/>
      <c r="P21" s="28"/>
      <c r="Q21" s="28"/>
      <c r="R21" s="11"/>
      <c r="S21" s="11"/>
      <c r="T21" s="11"/>
      <c r="U21" s="28"/>
      <c r="V21" s="28"/>
      <c r="W21" s="11"/>
    </row>
    <row r="22" ht="15.75" customHeight="1">
      <c r="R22" s="41"/>
      <c r="W22" s="41"/>
    </row>
    <row r="23" ht="15.75" customHeight="1">
      <c r="R23" s="41"/>
      <c r="W23" s="41"/>
    </row>
    <row r="24" ht="15.75" customHeight="1">
      <c r="R24" s="41"/>
      <c r="W24" s="41"/>
    </row>
    <row r="25" ht="15.75" customHeight="1">
      <c r="R25" s="41"/>
      <c r="W25" s="41"/>
    </row>
    <row r="26" ht="15.75" customHeight="1">
      <c r="R26" s="41"/>
      <c r="W26" s="41"/>
    </row>
    <row r="27" ht="15.75" customHeight="1">
      <c r="R27" s="41"/>
      <c r="W27" s="41"/>
    </row>
    <row r="28" ht="15.75" customHeight="1">
      <c r="R28" s="41"/>
      <c r="W28" s="41"/>
    </row>
    <row r="29" ht="15.75" customHeight="1">
      <c r="R29" s="41"/>
      <c r="W29" s="41"/>
    </row>
    <row r="30" ht="15.75" customHeight="1">
      <c r="R30" s="41"/>
      <c r="W30" s="41"/>
    </row>
    <row r="31" ht="15.75" customHeight="1">
      <c r="R31" s="41"/>
      <c r="W31" s="41"/>
    </row>
    <row r="32" ht="15.75" customHeight="1">
      <c r="R32" s="41"/>
      <c r="W32" s="41"/>
    </row>
    <row r="33" ht="15.75" customHeight="1">
      <c r="R33" s="41"/>
      <c r="W33" s="41"/>
    </row>
    <row r="34" ht="15.75" customHeight="1">
      <c r="R34" s="41"/>
      <c r="W34" s="41"/>
    </row>
    <row r="35" ht="15.75" customHeight="1">
      <c r="R35" s="41"/>
      <c r="W35" s="41"/>
    </row>
    <row r="36" ht="15.75" customHeight="1">
      <c r="R36" s="41"/>
      <c r="W36" s="41"/>
    </row>
    <row r="37" ht="15.75" customHeight="1">
      <c r="R37" s="41"/>
      <c r="W37" s="41"/>
    </row>
    <row r="38" ht="15.75" customHeight="1">
      <c r="R38" s="41"/>
      <c r="W38" s="41"/>
    </row>
    <row r="39" ht="15.75" customHeight="1">
      <c r="R39" s="41"/>
      <c r="W39" s="41"/>
    </row>
    <row r="40" ht="15.75" customHeight="1">
      <c r="R40" s="41"/>
      <c r="W40" s="41"/>
    </row>
    <row r="41" ht="15.75" customHeight="1">
      <c r="R41" s="41"/>
      <c r="W41" s="41"/>
    </row>
    <row r="42" ht="15.75" customHeight="1">
      <c r="R42" s="41"/>
      <c r="W42" s="41"/>
    </row>
    <row r="43" ht="15.75" customHeight="1">
      <c r="R43" s="41"/>
      <c r="W43" s="41"/>
    </row>
    <row r="44" ht="15.75" customHeight="1">
      <c r="R44" s="41"/>
      <c r="W44" s="41"/>
    </row>
    <row r="45" ht="15.75" customHeight="1">
      <c r="R45" s="41"/>
      <c r="W45" s="41"/>
    </row>
    <row r="46" ht="15.75" customHeight="1">
      <c r="R46" s="41"/>
      <c r="W46" s="41"/>
    </row>
    <row r="47" ht="15.75" customHeight="1">
      <c r="R47" s="41"/>
      <c r="W47" s="41"/>
    </row>
    <row r="48" ht="15.75" customHeight="1">
      <c r="R48" s="41"/>
      <c r="W48" s="41"/>
    </row>
    <row r="49" ht="15.75" customHeight="1">
      <c r="R49" s="41"/>
      <c r="W49" s="41"/>
    </row>
    <row r="50" ht="15.75" customHeight="1">
      <c r="R50" s="41"/>
      <c r="W50" s="41"/>
    </row>
    <row r="51" ht="15.75" customHeight="1">
      <c r="R51" s="41"/>
      <c r="W51" s="41"/>
    </row>
    <row r="52" ht="15.75" customHeight="1">
      <c r="R52" s="41"/>
      <c r="W52" s="41"/>
    </row>
    <row r="53" ht="15.75" customHeight="1">
      <c r="R53" s="41"/>
      <c r="W53" s="41"/>
    </row>
    <row r="54" ht="15.75" customHeight="1">
      <c r="R54" s="41"/>
      <c r="W54" s="41"/>
    </row>
    <row r="55" ht="15.75" customHeight="1">
      <c r="R55" s="41"/>
      <c r="W55" s="41"/>
    </row>
    <row r="56" ht="15.75" customHeight="1">
      <c r="R56" s="41"/>
      <c r="W56" s="41"/>
    </row>
    <row r="57" ht="15.75" customHeight="1">
      <c r="R57" s="41"/>
      <c r="W57" s="41"/>
    </row>
    <row r="58" ht="15.75" customHeight="1">
      <c r="R58" s="41"/>
      <c r="W58" s="41"/>
    </row>
    <row r="59" ht="15.75" customHeight="1">
      <c r="R59" s="41"/>
      <c r="W59" s="41"/>
    </row>
    <row r="60" ht="15.75" customHeight="1">
      <c r="R60" s="41"/>
      <c r="W60" s="41"/>
    </row>
    <row r="61" ht="15.75" customHeight="1">
      <c r="R61" s="41"/>
      <c r="W61" s="41"/>
    </row>
    <row r="62" ht="15.75" customHeight="1">
      <c r="R62" s="41"/>
      <c r="W62" s="41"/>
    </row>
    <row r="63" ht="15.75" customHeight="1">
      <c r="R63" s="41"/>
      <c r="W63" s="41"/>
    </row>
    <row r="64" ht="15.75" customHeight="1">
      <c r="R64" s="41"/>
      <c r="W64" s="41"/>
    </row>
    <row r="65" ht="15.75" customHeight="1">
      <c r="R65" s="41"/>
      <c r="W65" s="41"/>
    </row>
    <row r="66" ht="15.75" customHeight="1">
      <c r="R66" s="41"/>
      <c r="W66" s="41"/>
    </row>
    <row r="67" ht="15.75" customHeight="1">
      <c r="R67" s="41"/>
      <c r="W67" s="41"/>
    </row>
    <row r="68" ht="15.75" customHeight="1">
      <c r="R68" s="41"/>
      <c r="W68" s="41"/>
    </row>
    <row r="69" ht="15.75" customHeight="1">
      <c r="R69" s="41"/>
      <c r="W69" s="41"/>
    </row>
    <row r="70" ht="15.75" customHeight="1">
      <c r="R70" s="41"/>
      <c r="W70" s="41"/>
    </row>
    <row r="71" ht="15.75" customHeight="1">
      <c r="R71" s="41"/>
      <c r="W71" s="41"/>
    </row>
    <row r="72" ht="15.75" customHeight="1">
      <c r="R72" s="41"/>
      <c r="W72" s="41"/>
    </row>
    <row r="73" ht="15.75" customHeight="1">
      <c r="R73" s="41"/>
      <c r="W73" s="41"/>
    </row>
    <row r="74" ht="15.75" customHeight="1">
      <c r="R74" s="41"/>
      <c r="W74" s="41"/>
    </row>
    <row r="75" ht="15.75" customHeight="1">
      <c r="R75" s="41"/>
      <c r="W75" s="41"/>
    </row>
    <row r="76" ht="15.75" customHeight="1">
      <c r="R76" s="41"/>
      <c r="W76" s="41"/>
    </row>
    <row r="77" ht="15.75" customHeight="1">
      <c r="R77" s="41"/>
      <c r="W77" s="41"/>
    </row>
    <row r="78" ht="15.75" customHeight="1">
      <c r="R78" s="41"/>
      <c r="W78" s="41"/>
    </row>
    <row r="79" ht="15.75" customHeight="1">
      <c r="R79" s="41"/>
      <c r="W79" s="41"/>
    </row>
    <row r="80" ht="15.75" customHeight="1">
      <c r="R80" s="41"/>
      <c r="W80" s="41"/>
    </row>
    <row r="81" ht="15.75" customHeight="1">
      <c r="R81" s="41"/>
      <c r="W81" s="41"/>
    </row>
    <row r="82" ht="15.75" customHeight="1">
      <c r="R82" s="41"/>
      <c r="W82" s="41"/>
    </row>
    <row r="83" ht="15.75" customHeight="1">
      <c r="R83" s="41"/>
      <c r="W83" s="41"/>
    </row>
    <row r="84" ht="15.75" customHeight="1">
      <c r="R84" s="41"/>
      <c r="W84" s="41"/>
    </row>
    <row r="85" ht="15.75" customHeight="1">
      <c r="R85" s="41"/>
      <c r="W85" s="41"/>
    </row>
    <row r="86" ht="15.75" customHeight="1">
      <c r="R86" s="41"/>
      <c r="W86" s="41"/>
    </row>
    <row r="87" ht="15.75" customHeight="1">
      <c r="R87" s="41"/>
      <c r="W87" s="41"/>
    </row>
    <row r="88" ht="15.75" customHeight="1">
      <c r="R88" s="41"/>
      <c r="W88" s="41"/>
    </row>
    <row r="89" ht="15.75" customHeight="1">
      <c r="R89" s="41"/>
      <c r="W89" s="41"/>
    </row>
    <row r="90" ht="15.75" customHeight="1">
      <c r="R90" s="41"/>
      <c r="W90" s="41"/>
    </row>
    <row r="91" ht="15.75" customHeight="1">
      <c r="R91" s="41"/>
      <c r="W91" s="41"/>
    </row>
    <row r="92" ht="15.75" customHeight="1">
      <c r="R92" s="41"/>
      <c r="W92" s="41"/>
    </row>
    <row r="93" ht="15.75" customHeight="1">
      <c r="R93" s="41"/>
      <c r="W93" s="41"/>
    </row>
    <row r="94" ht="15.75" customHeight="1">
      <c r="R94" s="41"/>
      <c r="W94" s="41"/>
    </row>
    <row r="95" ht="15.75" customHeight="1">
      <c r="R95" s="41"/>
      <c r="W95" s="41"/>
    </row>
    <row r="96" ht="15.75" customHeight="1">
      <c r="R96" s="41"/>
      <c r="W96" s="41"/>
    </row>
    <row r="97" ht="15.75" customHeight="1">
      <c r="R97" s="41"/>
      <c r="W97" s="41"/>
    </row>
    <row r="98" ht="15.75" customHeight="1">
      <c r="R98" s="41"/>
      <c r="W98" s="41"/>
    </row>
    <row r="99" ht="15.75" customHeight="1">
      <c r="R99" s="41"/>
      <c r="W99" s="41"/>
    </row>
    <row r="100" ht="15.75" customHeight="1">
      <c r="R100" s="41"/>
      <c r="W100" s="41"/>
    </row>
    <row r="101" ht="15.75" customHeight="1">
      <c r="R101" s="41"/>
      <c r="W101" s="41"/>
    </row>
    <row r="102" ht="15.75" customHeight="1">
      <c r="R102" s="41"/>
      <c r="W102" s="41"/>
    </row>
    <row r="103" ht="15.75" customHeight="1">
      <c r="R103" s="41"/>
      <c r="W103" s="41"/>
    </row>
    <row r="104" ht="15.75" customHeight="1">
      <c r="R104" s="41"/>
      <c r="W104" s="41"/>
    </row>
    <row r="105" ht="15.75" customHeight="1">
      <c r="R105" s="41"/>
      <c r="W105" s="41"/>
    </row>
    <row r="106" ht="15.75" customHeight="1">
      <c r="R106" s="41"/>
      <c r="W106" s="41"/>
    </row>
    <row r="107" ht="15.75" customHeight="1">
      <c r="R107" s="41"/>
      <c r="W107" s="41"/>
    </row>
    <row r="108" ht="15.75" customHeight="1">
      <c r="R108" s="41"/>
      <c r="W108" s="41"/>
    </row>
    <row r="109" ht="15.75" customHeight="1">
      <c r="R109" s="41"/>
      <c r="W109" s="41"/>
    </row>
    <row r="110" ht="15.75" customHeight="1">
      <c r="R110" s="41"/>
      <c r="W110" s="41"/>
    </row>
    <row r="111" ht="15.75" customHeight="1">
      <c r="R111" s="41"/>
      <c r="W111" s="41"/>
    </row>
    <row r="112" ht="15.75" customHeight="1">
      <c r="R112" s="41"/>
      <c r="W112" s="41"/>
    </row>
    <row r="113" ht="15.75" customHeight="1">
      <c r="R113" s="41"/>
      <c r="W113" s="41"/>
    </row>
    <row r="114" ht="15.75" customHeight="1">
      <c r="R114" s="41"/>
      <c r="W114" s="41"/>
    </row>
    <row r="115" ht="15.75" customHeight="1">
      <c r="R115" s="41"/>
      <c r="W115" s="41"/>
    </row>
    <row r="116" ht="15.75" customHeight="1">
      <c r="R116" s="41"/>
      <c r="W116" s="41"/>
    </row>
    <row r="117" ht="15.75" customHeight="1">
      <c r="R117" s="41"/>
      <c r="W117" s="41"/>
    </row>
    <row r="118" ht="15.75" customHeight="1">
      <c r="R118" s="41"/>
      <c r="W118" s="41"/>
    </row>
    <row r="119" ht="15.75" customHeight="1">
      <c r="R119" s="41"/>
      <c r="W119" s="41"/>
    </row>
    <row r="120" ht="15.75" customHeight="1">
      <c r="R120" s="41"/>
      <c r="W120" s="41"/>
    </row>
    <row r="121" ht="15.75" customHeight="1">
      <c r="R121" s="41"/>
      <c r="W121" s="41"/>
    </row>
    <row r="122" ht="15.75" customHeight="1">
      <c r="R122" s="41"/>
      <c r="W122" s="41"/>
    </row>
    <row r="123" ht="15.75" customHeight="1">
      <c r="R123" s="41"/>
      <c r="W123" s="41"/>
    </row>
    <row r="124" ht="15.75" customHeight="1">
      <c r="R124" s="41"/>
      <c r="W124" s="41"/>
    </row>
    <row r="125" ht="15.75" customHeight="1">
      <c r="R125" s="41"/>
      <c r="W125" s="41"/>
    </row>
    <row r="126" ht="15.75" customHeight="1">
      <c r="R126" s="41"/>
      <c r="W126" s="41"/>
    </row>
    <row r="127" ht="15.75" customHeight="1">
      <c r="R127" s="41"/>
      <c r="W127" s="41"/>
    </row>
    <row r="128" ht="15.75" customHeight="1">
      <c r="R128" s="41"/>
      <c r="W128" s="41"/>
    </row>
    <row r="129" ht="15.75" customHeight="1">
      <c r="R129" s="41"/>
      <c r="W129" s="41"/>
    </row>
    <row r="130" ht="15.75" customHeight="1">
      <c r="R130" s="41"/>
      <c r="W130" s="41"/>
    </row>
    <row r="131" ht="15.75" customHeight="1">
      <c r="R131" s="41"/>
      <c r="W131" s="41"/>
    </row>
    <row r="132" ht="15.75" customHeight="1">
      <c r="R132" s="41"/>
      <c r="W132" s="41"/>
    </row>
    <row r="133" ht="15.75" customHeight="1">
      <c r="R133" s="41"/>
      <c r="W133" s="41"/>
    </row>
    <row r="134" ht="15.75" customHeight="1">
      <c r="R134" s="41"/>
      <c r="W134" s="41"/>
    </row>
    <row r="135" ht="15.75" customHeight="1">
      <c r="R135" s="41"/>
      <c r="W135" s="41"/>
    </row>
    <row r="136" ht="15.75" customHeight="1">
      <c r="R136" s="41"/>
      <c r="W136" s="41"/>
    </row>
    <row r="137" ht="15.75" customHeight="1">
      <c r="R137" s="41"/>
      <c r="W137" s="41"/>
    </row>
    <row r="138" ht="15.75" customHeight="1">
      <c r="R138" s="41"/>
      <c r="W138" s="41"/>
    </row>
    <row r="139" ht="15.75" customHeight="1">
      <c r="R139" s="41"/>
      <c r="W139" s="41"/>
    </row>
    <row r="140" ht="15.75" customHeight="1">
      <c r="R140" s="41"/>
      <c r="W140" s="41"/>
    </row>
    <row r="141" ht="15.75" customHeight="1">
      <c r="R141" s="41"/>
      <c r="W141" s="41"/>
    </row>
    <row r="142" ht="15.75" customHeight="1">
      <c r="R142" s="41"/>
      <c r="W142" s="41"/>
    </row>
    <row r="143" ht="15.75" customHeight="1">
      <c r="R143" s="41"/>
      <c r="W143" s="41"/>
    </row>
    <row r="144" ht="15.75" customHeight="1">
      <c r="R144" s="41"/>
      <c r="W144" s="41"/>
    </row>
    <row r="145" ht="15.75" customHeight="1">
      <c r="R145" s="41"/>
      <c r="W145" s="41"/>
    </row>
    <row r="146" ht="15.75" customHeight="1">
      <c r="R146" s="41"/>
      <c r="W146" s="41"/>
    </row>
    <row r="147" ht="15.75" customHeight="1">
      <c r="R147" s="41"/>
      <c r="W147" s="41"/>
    </row>
    <row r="148" ht="15.75" customHeight="1">
      <c r="R148" s="41"/>
      <c r="W148" s="41"/>
    </row>
    <row r="149" ht="15.75" customHeight="1">
      <c r="R149" s="41"/>
      <c r="W149" s="41"/>
    </row>
    <row r="150" ht="15.75" customHeight="1">
      <c r="R150" s="41"/>
      <c r="W150" s="41"/>
    </row>
    <row r="151" ht="15.75" customHeight="1">
      <c r="R151" s="41"/>
      <c r="W151" s="41"/>
    </row>
    <row r="152" ht="15.75" customHeight="1">
      <c r="R152" s="41"/>
      <c r="W152" s="41"/>
    </row>
    <row r="153" ht="15.75" customHeight="1">
      <c r="R153" s="41"/>
      <c r="W153" s="41"/>
    </row>
    <row r="154" ht="15.75" customHeight="1">
      <c r="R154" s="41"/>
      <c r="W154" s="41"/>
    </row>
    <row r="155" ht="15.75" customHeight="1">
      <c r="R155" s="41"/>
      <c r="W155" s="41"/>
    </row>
    <row r="156" ht="15.75" customHeight="1">
      <c r="R156" s="41"/>
      <c r="W156" s="41"/>
    </row>
    <row r="157" ht="15.75" customHeight="1">
      <c r="R157" s="41"/>
      <c r="W157" s="41"/>
    </row>
    <row r="158" ht="15.75" customHeight="1">
      <c r="R158" s="41"/>
      <c r="W158" s="41"/>
    </row>
    <row r="159" ht="15.75" customHeight="1">
      <c r="R159" s="41"/>
      <c r="W159" s="41"/>
    </row>
    <row r="160" ht="15.75" customHeight="1">
      <c r="R160" s="41"/>
      <c r="W160" s="41"/>
    </row>
    <row r="161" ht="15.75" customHeight="1">
      <c r="R161" s="41"/>
      <c r="W161" s="41"/>
    </row>
    <row r="162" ht="15.75" customHeight="1">
      <c r="R162" s="41"/>
      <c r="W162" s="41"/>
    </row>
    <row r="163" ht="15.75" customHeight="1">
      <c r="R163" s="41"/>
      <c r="W163" s="41"/>
    </row>
    <row r="164" ht="15.75" customHeight="1">
      <c r="R164" s="41"/>
      <c r="W164" s="41"/>
    </row>
    <row r="165" ht="15.75" customHeight="1">
      <c r="R165" s="41"/>
      <c r="W165" s="41"/>
    </row>
    <row r="166" ht="15.75" customHeight="1">
      <c r="R166" s="41"/>
      <c r="W166" s="41"/>
    </row>
    <row r="167" ht="15.75" customHeight="1">
      <c r="R167" s="41"/>
      <c r="W167" s="41"/>
    </row>
    <row r="168" ht="15.75" customHeight="1">
      <c r="R168" s="41"/>
      <c r="W168" s="41"/>
    </row>
    <row r="169" ht="15.75" customHeight="1">
      <c r="R169" s="41"/>
      <c r="W169" s="41"/>
    </row>
    <row r="170" ht="15.75" customHeight="1">
      <c r="R170" s="41"/>
      <c r="W170" s="41"/>
    </row>
    <row r="171" ht="15.75" customHeight="1">
      <c r="R171" s="41"/>
      <c r="W171" s="41"/>
    </row>
    <row r="172" ht="15.75" customHeight="1">
      <c r="R172" s="41"/>
      <c r="W172" s="41"/>
    </row>
    <row r="173" ht="15.75" customHeight="1">
      <c r="R173" s="41"/>
      <c r="W173" s="41"/>
    </row>
    <row r="174" ht="15.75" customHeight="1">
      <c r="R174" s="41"/>
      <c r="W174" s="41"/>
    </row>
    <row r="175" ht="15.75" customHeight="1">
      <c r="R175" s="41"/>
      <c r="W175" s="41"/>
    </row>
    <row r="176" ht="15.75" customHeight="1">
      <c r="R176" s="41"/>
      <c r="W176" s="41"/>
    </row>
    <row r="177" ht="15.75" customHeight="1">
      <c r="R177" s="41"/>
      <c r="W177" s="41"/>
    </row>
    <row r="178" ht="15.75" customHeight="1">
      <c r="R178" s="41"/>
      <c r="W178" s="41"/>
    </row>
    <row r="179" ht="15.75" customHeight="1">
      <c r="R179" s="41"/>
      <c r="W179" s="41"/>
    </row>
    <row r="180" ht="15.75" customHeight="1">
      <c r="R180" s="41"/>
      <c r="W180" s="41"/>
    </row>
    <row r="181" ht="15.75" customHeight="1">
      <c r="R181" s="41"/>
      <c r="W181" s="41"/>
    </row>
    <row r="182" ht="15.75" customHeight="1">
      <c r="R182" s="41"/>
      <c r="W182" s="41"/>
    </row>
    <row r="183" ht="15.75" customHeight="1">
      <c r="R183" s="41"/>
      <c r="W183" s="41"/>
    </row>
    <row r="184" ht="15.75" customHeight="1">
      <c r="R184" s="41"/>
      <c r="W184" s="41"/>
    </row>
    <row r="185" ht="15.75" customHeight="1">
      <c r="R185" s="41"/>
      <c r="W185" s="41"/>
    </row>
    <row r="186" ht="15.75" customHeight="1">
      <c r="R186" s="41"/>
      <c r="W186" s="41"/>
    </row>
    <row r="187" ht="15.75" customHeight="1">
      <c r="R187" s="41"/>
      <c r="W187" s="41"/>
    </row>
    <row r="188" ht="15.75" customHeight="1">
      <c r="R188" s="41"/>
      <c r="W188" s="41"/>
    </row>
    <row r="189" ht="15.75" customHeight="1">
      <c r="R189" s="41"/>
      <c r="W189" s="41"/>
    </row>
    <row r="190" ht="15.75" customHeight="1">
      <c r="R190" s="41"/>
      <c r="W190" s="41"/>
    </row>
    <row r="191" ht="15.75" customHeight="1">
      <c r="R191" s="41"/>
      <c r="W191" s="41"/>
    </row>
    <row r="192" ht="15.75" customHeight="1">
      <c r="R192" s="41"/>
      <c r="W192" s="41"/>
    </row>
    <row r="193" ht="15.75" customHeight="1">
      <c r="R193" s="41"/>
      <c r="W193" s="41"/>
    </row>
    <row r="194" ht="15.75" customHeight="1">
      <c r="R194" s="41"/>
      <c r="W194" s="41"/>
    </row>
    <row r="195" ht="15.75" customHeight="1">
      <c r="R195" s="41"/>
      <c r="W195" s="41"/>
    </row>
    <row r="196" ht="15.75" customHeight="1">
      <c r="R196" s="41"/>
      <c r="W196" s="41"/>
    </row>
    <row r="197" ht="15.75" customHeight="1">
      <c r="R197" s="41"/>
      <c r="W197" s="41"/>
    </row>
    <row r="198" ht="15.75" customHeight="1">
      <c r="R198" s="41"/>
      <c r="W198" s="41"/>
    </row>
    <row r="199" ht="15.75" customHeight="1">
      <c r="R199" s="41"/>
      <c r="W199" s="41"/>
    </row>
    <row r="200" ht="15.75" customHeight="1">
      <c r="R200" s="41"/>
      <c r="W200" s="41"/>
    </row>
    <row r="201" ht="15.75" customHeight="1">
      <c r="R201" s="41"/>
      <c r="W201" s="41"/>
    </row>
    <row r="202" ht="15.75" customHeight="1">
      <c r="R202" s="41"/>
      <c r="W202" s="41"/>
    </row>
    <row r="203" ht="15.75" customHeight="1">
      <c r="R203" s="41"/>
      <c r="W203" s="41"/>
    </row>
    <row r="204" ht="15.75" customHeight="1">
      <c r="R204" s="41"/>
      <c r="W204" s="41"/>
    </row>
    <row r="205" ht="15.75" customHeight="1">
      <c r="R205" s="41"/>
      <c r="W205" s="41"/>
    </row>
    <row r="206" ht="15.75" customHeight="1">
      <c r="R206" s="41"/>
      <c r="W206" s="41"/>
    </row>
    <row r="207" ht="15.75" customHeight="1">
      <c r="R207" s="41"/>
      <c r="W207" s="41"/>
    </row>
    <row r="208" ht="15.75" customHeight="1">
      <c r="R208" s="41"/>
      <c r="W208" s="41"/>
    </row>
    <row r="209" ht="15.75" customHeight="1">
      <c r="R209" s="41"/>
      <c r="W209" s="41"/>
    </row>
    <row r="210" ht="15.75" customHeight="1">
      <c r="R210" s="41"/>
      <c r="W210" s="41"/>
    </row>
    <row r="211" ht="15.75" customHeight="1">
      <c r="R211" s="41"/>
      <c r="W211" s="41"/>
    </row>
    <row r="212" ht="15.75" customHeight="1">
      <c r="R212" s="41"/>
      <c r="W212" s="41"/>
    </row>
    <row r="213" ht="15.75" customHeight="1">
      <c r="R213" s="41"/>
      <c r="W213" s="41"/>
    </row>
    <row r="214" ht="15.75" customHeight="1">
      <c r="R214" s="41"/>
      <c r="W214" s="41"/>
    </row>
    <row r="215" ht="15.75" customHeight="1">
      <c r="R215" s="41"/>
      <c r="W215" s="41"/>
    </row>
    <row r="216" ht="15.75" customHeight="1">
      <c r="R216" s="41"/>
      <c r="W216" s="41"/>
    </row>
    <row r="217" ht="15.75" customHeight="1">
      <c r="R217" s="41"/>
      <c r="W217" s="41"/>
    </row>
    <row r="218" ht="15.75" customHeight="1">
      <c r="R218" s="41"/>
      <c r="W218" s="41"/>
    </row>
    <row r="219" ht="15.75" customHeight="1">
      <c r="R219" s="41"/>
      <c r="W219" s="41"/>
    </row>
    <row r="220" ht="15.75" customHeight="1">
      <c r="R220" s="41"/>
      <c r="W220" s="41"/>
    </row>
    <row r="221" ht="15.75" customHeight="1">
      <c r="R221" s="41"/>
      <c r="W221" s="41"/>
    </row>
    <row r="222" ht="15.75" customHeight="1">
      <c r="R222" s="41"/>
      <c r="W222" s="41"/>
    </row>
    <row r="223" ht="15.75" customHeight="1">
      <c r="R223" s="41"/>
      <c r="W223" s="41"/>
    </row>
    <row r="224" ht="15.75" customHeight="1">
      <c r="R224" s="41"/>
      <c r="W224" s="41"/>
    </row>
    <row r="225" ht="15.75" customHeight="1">
      <c r="R225" s="41"/>
      <c r="W225" s="41"/>
    </row>
    <row r="226" ht="15.75" customHeight="1">
      <c r="R226" s="41"/>
      <c r="W226" s="41"/>
    </row>
    <row r="227" ht="15.75" customHeight="1">
      <c r="R227" s="41"/>
      <c r="W227" s="41"/>
    </row>
    <row r="228" ht="15.75" customHeight="1">
      <c r="R228" s="41"/>
      <c r="W228" s="41"/>
    </row>
    <row r="229" ht="15.75" customHeight="1">
      <c r="R229" s="41"/>
      <c r="W229" s="41"/>
    </row>
    <row r="230" ht="15.75" customHeight="1">
      <c r="R230" s="41"/>
      <c r="W230" s="41"/>
    </row>
    <row r="231" ht="15.75" customHeight="1">
      <c r="R231" s="41"/>
      <c r="W231" s="41"/>
    </row>
    <row r="232" ht="15.75" customHeight="1">
      <c r="R232" s="41"/>
      <c r="W232" s="41"/>
    </row>
    <row r="233" ht="15.75" customHeight="1">
      <c r="R233" s="41"/>
      <c r="W233" s="41"/>
    </row>
    <row r="234" ht="15.75" customHeight="1">
      <c r="R234" s="41"/>
      <c r="W234" s="41"/>
    </row>
    <row r="235" ht="15.75" customHeight="1">
      <c r="R235" s="41"/>
      <c r="W235" s="41"/>
    </row>
    <row r="236" ht="15.75" customHeight="1">
      <c r="R236" s="41"/>
      <c r="W236" s="41"/>
    </row>
    <row r="237" ht="15.75" customHeight="1">
      <c r="R237" s="41"/>
      <c r="W237" s="41"/>
    </row>
    <row r="238" ht="15.75" customHeight="1">
      <c r="R238" s="41"/>
      <c r="W238" s="41"/>
    </row>
    <row r="239" ht="15.75" customHeight="1">
      <c r="R239" s="41"/>
      <c r="W239" s="41"/>
    </row>
    <row r="240" ht="15.75" customHeight="1">
      <c r="R240" s="41"/>
      <c r="W240" s="41"/>
    </row>
    <row r="241" ht="15.75" customHeight="1">
      <c r="R241" s="41"/>
      <c r="W241" s="41"/>
    </row>
    <row r="242" ht="15.75" customHeight="1">
      <c r="R242" s="41"/>
      <c r="W242" s="41"/>
    </row>
    <row r="243" ht="15.75" customHeight="1">
      <c r="R243" s="41"/>
      <c r="W243" s="41"/>
    </row>
    <row r="244" ht="15.75" customHeight="1">
      <c r="R244" s="41"/>
      <c r="W244" s="41"/>
    </row>
    <row r="245" ht="15.75" customHeight="1">
      <c r="R245" s="41"/>
      <c r="W245" s="41"/>
    </row>
    <row r="246" ht="15.75" customHeight="1">
      <c r="R246" s="41"/>
      <c r="W246" s="41"/>
    </row>
    <row r="247" ht="15.75" customHeight="1">
      <c r="R247" s="41"/>
      <c r="W247" s="41"/>
    </row>
    <row r="248" ht="15.75" customHeight="1">
      <c r="R248" s="41"/>
      <c r="W248" s="41"/>
    </row>
    <row r="249" ht="15.75" customHeight="1">
      <c r="R249" s="41"/>
      <c r="W249" s="41"/>
    </row>
    <row r="250" ht="15.75" customHeight="1">
      <c r="R250" s="41"/>
      <c r="W250" s="41"/>
    </row>
    <row r="251" ht="15.75" customHeight="1">
      <c r="R251" s="41"/>
      <c r="W251" s="41"/>
    </row>
    <row r="252" ht="15.75" customHeight="1">
      <c r="R252" s="41"/>
      <c r="W252" s="41"/>
    </row>
    <row r="253" ht="15.75" customHeight="1">
      <c r="R253" s="41"/>
      <c r="W253" s="41"/>
    </row>
    <row r="254" ht="15.75" customHeight="1">
      <c r="R254" s="41"/>
      <c r="W254" s="41"/>
    </row>
    <row r="255" ht="15.75" customHeight="1">
      <c r="R255" s="41"/>
      <c r="W255" s="41"/>
    </row>
    <row r="256" ht="15.75" customHeight="1">
      <c r="R256" s="41"/>
      <c r="W256" s="41"/>
    </row>
    <row r="257" ht="15.75" customHeight="1">
      <c r="R257" s="41"/>
      <c r="W257" s="41"/>
    </row>
    <row r="258" ht="15.75" customHeight="1">
      <c r="R258" s="41"/>
      <c r="W258" s="41"/>
    </row>
    <row r="259" ht="15.75" customHeight="1">
      <c r="R259" s="41"/>
      <c r="W259" s="41"/>
    </row>
    <row r="260" ht="15.75" customHeight="1">
      <c r="R260" s="41"/>
      <c r="W260" s="41"/>
    </row>
    <row r="261" ht="15.75" customHeight="1">
      <c r="R261" s="41"/>
      <c r="W261" s="41"/>
    </row>
    <row r="262" ht="15.75" customHeight="1">
      <c r="R262" s="41"/>
      <c r="W262" s="41"/>
    </row>
    <row r="263" ht="15.75" customHeight="1">
      <c r="R263" s="41"/>
      <c r="W263" s="41"/>
    </row>
    <row r="264" ht="15.75" customHeight="1">
      <c r="R264" s="41"/>
      <c r="W264" s="41"/>
    </row>
    <row r="265" ht="15.75" customHeight="1">
      <c r="R265" s="41"/>
      <c r="W265" s="41"/>
    </row>
    <row r="266" ht="15.75" customHeight="1">
      <c r="R266" s="41"/>
      <c r="W266" s="41"/>
    </row>
    <row r="267" ht="15.75" customHeight="1">
      <c r="R267" s="41"/>
      <c r="W267" s="41"/>
    </row>
    <row r="268" ht="15.75" customHeight="1">
      <c r="R268" s="41"/>
      <c r="W268" s="41"/>
    </row>
    <row r="269" ht="15.75" customHeight="1">
      <c r="R269" s="41"/>
      <c r="W269" s="41"/>
    </row>
    <row r="270" ht="15.75" customHeight="1">
      <c r="R270" s="41"/>
      <c r="W270" s="41"/>
    </row>
    <row r="271" ht="15.75" customHeight="1">
      <c r="R271" s="41"/>
      <c r="W271" s="41"/>
    </row>
    <row r="272" ht="15.75" customHeight="1">
      <c r="R272" s="41"/>
      <c r="W272" s="41"/>
    </row>
    <row r="273" ht="15.75" customHeight="1">
      <c r="R273" s="41"/>
      <c r="W273" s="41"/>
    </row>
    <row r="274" ht="15.75" customHeight="1">
      <c r="R274" s="41"/>
      <c r="W274" s="41"/>
    </row>
    <row r="275" ht="15.75" customHeight="1">
      <c r="R275" s="41"/>
      <c r="W275" s="41"/>
    </row>
    <row r="276" ht="15.75" customHeight="1">
      <c r="R276" s="41"/>
      <c r="W276" s="41"/>
    </row>
    <row r="277" ht="15.75" customHeight="1">
      <c r="R277" s="41"/>
      <c r="W277" s="41"/>
    </row>
    <row r="278" ht="15.75" customHeight="1">
      <c r="R278" s="41"/>
      <c r="W278" s="41"/>
    </row>
    <row r="279" ht="15.75" customHeight="1">
      <c r="R279" s="41"/>
      <c r="W279" s="41"/>
    </row>
    <row r="280" ht="15.75" customHeight="1">
      <c r="R280" s="41"/>
      <c r="W280" s="41"/>
    </row>
    <row r="281" ht="15.75" customHeight="1">
      <c r="R281" s="41"/>
      <c r="W281" s="41"/>
    </row>
    <row r="282" ht="15.75" customHeight="1">
      <c r="R282" s="41"/>
      <c r="W282" s="41"/>
    </row>
    <row r="283" ht="15.75" customHeight="1">
      <c r="R283" s="41"/>
      <c r="W283" s="41"/>
    </row>
    <row r="284" ht="15.75" customHeight="1">
      <c r="R284" s="41"/>
      <c r="W284" s="41"/>
    </row>
    <row r="285" ht="15.75" customHeight="1">
      <c r="R285" s="41"/>
      <c r="W285" s="41"/>
    </row>
    <row r="286" ht="15.75" customHeight="1">
      <c r="R286" s="41"/>
      <c r="W286" s="41"/>
    </row>
    <row r="287" ht="15.75" customHeight="1">
      <c r="R287" s="41"/>
      <c r="W287" s="41"/>
    </row>
    <row r="288" ht="15.75" customHeight="1">
      <c r="R288" s="41"/>
      <c r="W288" s="41"/>
    </row>
    <row r="289" ht="15.75" customHeight="1">
      <c r="R289" s="41"/>
      <c r="W289" s="41"/>
    </row>
    <row r="290" ht="15.75" customHeight="1">
      <c r="R290" s="41"/>
      <c r="W290" s="41"/>
    </row>
    <row r="291" ht="15.75" customHeight="1">
      <c r="R291" s="41"/>
      <c r="W291" s="41"/>
    </row>
    <row r="292" ht="15.75" customHeight="1">
      <c r="R292" s="41"/>
      <c r="W292" s="41"/>
    </row>
    <row r="293" ht="15.75" customHeight="1">
      <c r="R293" s="41"/>
      <c r="W293" s="41"/>
    </row>
    <row r="294" ht="15.75" customHeight="1">
      <c r="R294" s="41"/>
      <c r="W294" s="41"/>
    </row>
    <row r="295" ht="15.75" customHeight="1">
      <c r="R295" s="41"/>
      <c r="W295" s="41"/>
    </row>
    <row r="296" ht="15.75" customHeight="1">
      <c r="R296" s="41"/>
      <c r="W296" s="41"/>
    </row>
    <row r="297" ht="15.75" customHeight="1">
      <c r="R297" s="41"/>
      <c r="W297" s="41"/>
    </row>
    <row r="298" ht="15.75" customHeight="1">
      <c r="R298" s="41"/>
      <c r="W298" s="41"/>
    </row>
    <row r="299" ht="15.75" customHeight="1">
      <c r="R299" s="41"/>
      <c r="W299" s="41"/>
    </row>
    <row r="300" ht="15.75" customHeight="1">
      <c r="R300" s="41"/>
      <c r="W300" s="41"/>
    </row>
    <row r="301" ht="15.75" customHeight="1">
      <c r="R301" s="41"/>
      <c r="W301" s="41"/>
    </row>
    <row r="302" ht="15.75" customHeight="1">
      <c r="R302" s="41"/>
      <c r="W302" s="41"/>
    </row>
    <row r="303" ht="15.75" customHeight="1">
      <c r="R303" s="41"/>
      <c r="W303" s="41"/>
    </row>
    <row r="304" ht="15.75" customHeight="1">
      <c r="R304" s="41"/>
      <c r="W304" s="41"/>
    </row>
    <row r="305" ht="15.75" customHeight="1">
      <c r="R305" s="41"/>
      <c r="W305" s="41"/>
    </row>
    <row r="306" ht="15.75" customHeight="1">
      <c r="R306" s="41"/>
      <c r="W306" s="41"/>
    </row>
    <row r="307" ht="15.75" customHeight="1">
      <c r="R307" s="41"/>
      <c r="W307" s="41"/>
    </row>
    <row r="308" ht="15.75" customHeight="1">
      <c r="R308" s="41"/>
      <c r="W308" s="41"/>
    </row>
    <row r="309" ht="15.75" customHeight="1">
      <c r="R309" s="41"/>
      <c r="W309" s="41"/>
    </row>
    <row r="310" ht="15.75" customHeight="1">
      <c r="R310" s="41"/>
      <c r="W310" s="41"/>
    </row>
    <row r="311" ht="15.75" customHeight="1">
      <c r="R311" s="41"/>
      <c r="W311" s="41"/>
    </row>
    <row r="312" ht="15.75" customHeight="1">
      <c r="R312" s="41"/>
      <c r="W312" s="41"/>
    </row>
    <row r="313" ht="15.75" customHeight="1">
      <c r="R313" s="41"/>
      <c r="W313" s="41"/>
    </row>
    <row r="314" ht="15.75" customHeight="1">
      <c r="R314" s="41"/>
      <c r="W314" s="41"/>
    </row>
    <row r="315" ht="15.75" customHeight="1">
      <c r="R315" s="41"/>
      <c r="W315" s="41"/>
    </row>
    <row r="316" ht="15.75" customHeight="1">
      <c r="R316" s="41"/>
      <c r="W316" s="41"/>
    </row>
    <row r="317" ht="15.75" customHeight="1">
      <c r="R317" s="41"/>
      <c r="W317" s="41"/>
    </row>
    <row r="318" ht="15.75" customHeight="1">
      <c r="R318" s="41"/>
      <c r="W318" s="41"/>
    </row>
    <row r="319" ht="15.75" customHeight="1">
      <c r="R319" s="41"/>
      <c r="W319" s="41"/>
    </row>
    <row r="320" ht="15.75" customHeight="1">
      <c r="R320" s="41"/>
      <c r="W320" s="41"/>
    </row>
    <row r="321" ht="15.75" customHeight="1">
      <c r="R321" s="41"/>
      <c r="W321" s="41"/>
    </row>
    <row r="322" ht="15.75" customHeight="1">
      <c r="R322" s="41"/>
      <c r="W322" s="41"/>
    </row>
    <row r="323" ht="15.75" customHeight="1">
      <c r="R323" s="41"/>
      <c r="W323" s="41"/>
    </row>
    <row r="324" ht="15.75" customHeight="1">
      <c r="R324" s="41"/>
      <c r="W324" s="41"/>
    </row>
    <row r="325" ht="15.75" customHeight="1">
      <c r="R325" s="41"/>
      <c r="W325" s="41"/>
    </row>
    <row r="326" ht="15.75" customHeight="1">
      <c r="R326" s="41"/>
      <c r="W326" s="41"/>
    </row>
    <row r="327" ht="15.75" customHeight="1">
      <c r="R327" s="41"/>
      <c r="W327" s="41"/>
    </row>
    <row r="328" ht="15.75" customHeight="1">
      <c r="R328" s="41"/>
      <c r="W328" s="41"/>
    </row>
    <row r="329" ht="15.75" customHeight="1">
      <c r="R329" s="41"/>
      <c r="W329" s="41"/>
    </row>
    <row r="330" ht="15.75" customHeight="1">
      <c r="R330" s="41"/>
      <c r="W330" s="41"/>
    </row>
    <row r="331" ht="15.75" customHeight="1">
      <c r="R331" s="41"/>
      <c r="W331" s="41"/>
    </row>
    <row r="332" ht="15.75" customHeight="1">
      <c r="R332" s="41"/>
      <c r="W332" s="41"/>
    </row>
    <row r="333" ht="15.75" customHeight="1">
      <c r="R333" s="41"/>
      <c r="W333" s="41"/>
    </row>
    <row r="334" ht="15.75" customHeight="1">
      <c r="R334" s="41"/>
      <c r="W334" s="41"/>
    </row>
    <row r="335" ht="15.75" customHeight="1">
      <c r="R335" s="41"/>
      <c r="W335" s="41"/>
    </row>
    <row r="336" ht="15.75" customHeight="1">
      <c r="R336" s="41"/>
      <c r="W336" s="41"/>
    </row>
    <row r="337" ht="15.75" customHeight="1">
      <c r="R337" s="41"/>
      <c r="W337" s="41"/>
    </row>
    <row r="338" ht="15.75" customHeight="1">
      <c r="R338" s="41"/>
      <c r="W338" s="41"/>
    </row>
    <row r="339" ht="15.75" customHeight="1">
      <c r="R339" s="41"/>
      <c r="W339" s="41"/>
    </row>
    <row r="340" ht="15.75" customHeight="1">
      <c r="R340" s="41"/>
      <c r="W340" s="41"/>
    </row>
    <row r="341" ht="15.75" customHeight="1">
      <c r="R341" s="41"/>
      <c r="W341" s="41"/>
    </row>
    <row r="342" ht="15.75" customHeight="1">
      <c r="R342" s="41"/>
      <c r="W342" s="41"/>
    </row>
    <row r="343" ht="15.75" customHeight="1">
      <c r="R343" s="41"/>
      <c r="W343" s="41"/>
    </row>
    <row r="344" ht="15.75" customHeight="1">
      <c r="R344" s="41"/>
      <c r="W344" s="41"/>
    </row>
    <row r="345" ht="15.75" customHeight="1">
      <c r="R345" s="41"/>
      <c r="W345" s="41"/>
    </row>
    <row r="346" ht="15.75" customHeight="1">
      <c r="R346" s="41"/>
      <c r="W346" s="41"/>
    </row>
    <row r="347" ht="15.75" customHeight="1">
      <c r="R347" s="41"/>
      <c r="W347" s="41"/>
    </row>
    <row r="348" ht="15.75" customHeight="1">
      <c r="R348" s="41"/>
      <c r="W348" s="41"/>
    </row>
    <row r="349" ht="15.75" customHeight="1">
      <c r="R349" s="41"/>
      <c r="W349" s="41"/>
    </row>
    <row r="350" ht="15.75" customHeight="1">
      <c r="R350" s="41"/>
      <c r="W350" s="41"/>
    </row>
    <row r="351" ht="15.75" customHeight="1">
      <c r="R351" s="41"/>
      <c r="W351" s="41"/>
    </row>
    <row r="352" ht="15.75" customHeight="1">
      <c r="R352" s="41"/>
      <c r="W352" s="41"/>
    </row>
    <row r="353" ht="15.75" customHeight="1">
      <c r="R353" s="41"/>
      <c r="W353" s="41"/>
    </row>
    <row r="354" ht="15.75" customHeight="1">
      <c r="R354" s="41"/>
      <c r="W354" s="41"/>
    </row>
    <row r="355" ht="15.75" customHeight="1">
      <c r="R355" s="41"/>
      <c r="W355" s="41"/>
    </row>
    <row r="356" ht="15.75" customHeight="1">
      <c r="R356" s="41"/>
      <c r="W356" s="41"/>
    </row>
    <row r="357" ht="15.75" customHeight="1">
      <c r="R357" s="41"/>
      <c r="W357" s="41"/>
    </row>
    <row r="358" ht="15.75" customHeight="1">
      <c r="R358" s="41"/>
      <c r="W358" s="41"/>
    </row>
    <row r="359" ht="15.75" customHeight="1">
      <c r="R359" s="41"/>
      <c r="W359" s="41"/>
    </row>
    <row r="360" ht="15.75" customHeight="1">
      <c r="R360" s="41"/>
      <c r="W360" s="41"/>
    </row>
    <row r="361" ht="15.75" customHeight="1">
      <c r="R361" s="41"/>
      <c r="W361" s="41"/>
    </row>
    <row r="362" ht="15.75" customHeight="1">
      <c r="R362" s="41"/>
      <c r="W362" s="41"/>
    </row>
    <row r="363" ht="15.75" customHeight="1">
      <c r="R363" s="41"/>
      <c r="W363" s="41"/>
    </row>
    <row r="364" ht="15.75" customHeight="1">
      <c r="R364" s="41"/>
      <c r="W364" s="41"/>
    </row>
    <row r="365" ht="15.75" customHeight="1">
      <c r="R365" s="41"/>
      <c r="W365" s="41"/>
    </row>
    <row r="366" ht="15.75" customHeight="1">
      <c r="R366" s="41"/>
      <c r="W366" s="41"/>
    </row>
    <row r="367" ht="15.75" customHeight="1">
      <c r="R367" s="41"/>
      <c r="W367" s="41"/>
    </row>
    <row r="368" ht="15.75" customHeight="1">
      <c r="R368" s="41"/>
      <c r="W368" s="41"/>
    </row>
    <row r="369" ht="15.75" customHeight="1">
      <c r="R369" s="41"/>
      <c r="W369" s="41"/>
    </row>
    <row r="370" ht="15.75" customHeight="1">
      <c r="R370" s="41"/>
      <c r="W370" s="41"/>
    </row>
    <row r="371" ht="15.75" customHeight="1">
      <c r="R371" s="41"/>
      <c r="W371" s="41"/>
    </row>
    <row r="372" ht="15.75" customHeight="1">
      <c r="R372" s="41"/>
      <c r="W372" s="41"/>
    </row>
    <row r="373" ht="15.75" customHeight="1">
      <c r="R373" s="41"/>
      <c r="W373" s="41"/>
    </row>
    <row r="374" ht="15.75" customHeight="1">
      <c r="R374" s="41"/>
      <c r="W374" s="41"/>
    </row>
    <row r="375" ht="15.75" customHeight="1">
      <c r="R375" s="41"/>
      <c r="W375" s="41"/>
    </row>
    <row r="376" ht="15.75" customHeight="1">
      <c r="R376" s="41"/>
      <c r="W376" s="41"/>
    </row>
    <row r="377" ht="15.75" customHeight="1">
      <c r="R377" s="41"/>
      <c r="W377" s="41"/>
    </row>
    <row r="378" ht="15.75" customHeight="1">
      <c r="R378" s="41"/>
      <c r="W378" s="41"/>
    </row>
    <row r="379" ht="15.75" customHeight="1">
      <c r="R379" s="41"/>
      <c r="W379" s="41"/>
    </row>
    <row r="380" ht="15.75" customHeight="1">
      <c r="R380" s="41"/>
      <c r="W380" s="41"/>
    </row>
    <row r="381" ht="15.75" customHeight="1">
      <c r="R381" s="41"/>
      <c r="W381" s="41"/>
    </row>
    <row r="382" ht="15.75" customHeight="1">
      <c r="R382" s="41"/>
      <c r="W382" s="41"/>
    </row>
    <row r="383" ht="15.75" customHeight="1">
      <c r="R383" s="41"/>
      <c r="W383" s="41"/>
    </row>
    <row r="384" ht="15.75" customHeight="1">
      <c r="R384" s="41"/>
      <c r="W384" s="41"/>
    </row>
    <row r="385" ht="15.75" customHeight="1">
      <c r="R385" s="41"/>
      <c r="W385" s="41"/>
    </row>
    <row r="386" ht="15.75" customHeight="1">
      <c r="R386" s="41"/>
      <c r="W386" s="41"/>
    </row>
    <row r="387" ht="15.75" customHeight="1">
      <c r="R387" s="41"/>
      <c r="W387" s="41"/>
    </row>
    <row r="388" ht="15.75" customHeight="1">
      <c r="R388" s="41"/>
      <c r="W388" s="41"/>
    </row>
    <row r="389" ht="15.75" customHeight="1">
      <c r="R389" s="41"/>
      <c r="W389" s="41"/>
    </row>
    <row r="390" ht="15.75" customHeight="1">
      <c r="R390" s="41"/>
      <c r="W390" s="41"/>
    </row>
    <row r="391" ht="15.75" customHeight="1">
      <c r="R391" s="41"/>
      <c r="W391" s="41"/>
    </row>
    <row r="392" ht="15.75" customHeight="1">
      <c r="R392" s="41"/>
      <c r="W392" s="41"/>
    </row>
    <row r="393" ht="15.75" customHeight="1">
      <c r="R393" s="41"/>
      <c r="W393" s="41"/>
    </row>
    <row r="394" ht="15.75" customHeight="1">
      <c r="R394" s="41"/>
      <c r="W394" s="41"/>
    </row>
    <row r="395" ht="15.75" customHeight="1">
      <c r="R395" s="41"/>
      <c r="W395" s="41"/>
    </row>
    <row r="396" ht="15.75" customHeight="1">
      <c r="R396" s="41"/>
      <c r="W396" s="41"/>
    </row>
    <row r="397" ht="15.75" customHeight="1">
      <c r="R397" s="41"/>
      <c r="W397" s="41"/>
    </row>
    <row r="398" ht="15.75" customHeight="1">
      <c r="R398" s="41"/>
      <c r="W398" s="41"/>
    </row>
    <row r="399" ht="15.75" customHeight="1">
      <c r="R399" s="41"/>
      <c r="W399" s="41"/>
    </row>
    <row r="400" ht="15.75" customHeight="1">
      <c r="R400" s="41"/>
      <c r="W400" s="41"/>
    </row>
    <row r="401" ht="15.75" customHeight="1">
      <c r="R401" s="41"/>
      <c r="W401" s="41"/>
    </row>
    <row r="402" ht="15.75" customHeight="1">
      <c r="R402" s="41"/>
      <c r="W402" s="41"/>
    </row>
    <row r="403" ht="15.75" customHeight="1">
      <c r="R403" s="41"/>
      <c r="W403" s="41"/>
    </row>
    <row r="404" ht="15.75" customHeight="1">
      <c r="R404" s="41"/>
      <c r="W404" s="41"/>
    </row>
    <row r="405" ht="15.75" customHeight="1">
      <c r="R405" s="41"/>
      <c r="W405" s="41"/>
    </row>
    <row r="406" ht="15.75" customHeight="1">
      <c r="R406" s="41"/>
      <c r="W406" s="41"/>
    </row>
    <row r="407" ht="15.75" customHeight="1">
      <c r="R407" s="41"/>
      <c r="W407" s="41"/>
    </row>
    <row r="408" ht="15.75" customHeight="1">
      <c r="R408" s="41"/>
      <c r="W408" s="41"/>
    </row>
    <row r="409" ht="15.75" customHeight="1">
      <c r="R409" s="41"/>
      <c r="W409" s="41"/>
    </row>
    <row r="410" ht="15.75" customHeight="1">
      <c r="R410" s="41"/>
      <c r="W410" s="41"/>
    </row>
    <row r="411" ht="15.75" customHeight="1">
      <c r="R411" s="41"/>
      <c r="W411" s="41"/>
    </row>
    <row r="412" ht="15.75" customHeight="1">
      <c r="R412" s="41"/>
      <c r="W412" s="41"/>
    </row>
    <row r="413" ht="15.75" customHeight="1">
      <c r="R413" s="41"/>
      <c r="W413" s="41"/>
    </row>
    <row r="414" ht="15.75" customHeight="1">
      <c r="R414" s="41"/>
      <c r="W414" s="41"/>
    </row>
    <row r="415" ht="15.75" customHeight="1">
      <c r="R415" s="41"/>
      <c r="W415" s="41"/>
    </row>
    <row r="416" ht="15.75" customHeight="1">
      <c r="R416" s="41"/>
      <c r="W416" s="41"/>
    </row>
    <row r="417" ht="15.75" customHeight="1">
      <c r="R417" s="41"/>
      <c r="W417" s="41"/>
    </row>
    <row r="418" ht="15.75" customHeight="1">
      <c r="R418" s="41"/>
      <c r="W418" s="41"/>
    </row>
    <row r="419" ht="15.75" customHeight="1">
      <c r="R419" s="41"/>
      <c r="W419" s="41"/>
    </row>
    <row r="420" ht="15.75" customHeight="1">
      <c r="R420" s="41"/>
      <c r="W420" s="41"/>
    </row>
    <row r="421" ht="15.75" customHeight="1">
      <c r="R421" s="41"/>
      <c r="W421" s="41"/>
    </row>
    <row r="422" ht="15.75" customHeight="1">
      <c r="R422" s="41"/>
      <c r="W422" s="41"/>
    </row>
    <row r="423" ht="15.75" customHeight="1">
      <c r="R423" s="41"/>
      <c r="W423" s="41"/>
    </row>
    <row r="424" ht="15.75" customHeight="1">
      <c r="R424" s="41"/>
      <c r="W424" s="41"/>
    </row>
    <row r="425" ht="15.75" customHeight="1">
      <c r="R425" s="41"/>
      <c r="W425" s="41"/>
    </row>
    <row r="426" ht="15.75" customHeight="1">
      <c r="R426" s="41"/>
      <c r="W426" s="41"/>
    </row>
    <row r="427" ht="15.75" customHeight="1">
      <c r="R427" s="41"/>
      <c r="W427" s="41"/>
    </row>
    <row r="428" ht="15.75" customHeight="1">
      <c r="R428" s="41"/>
      <c r="W428" s="41"/>
    </row>
    <row r="429" ht="15.75" customHeight="1">
      <c r="R429" s="41"/>
      <c r="W429" s="41"/>
    </row>
    <row r="430" ht="15.75" customHeight="1">
      <c r="R430" s="41"/>
      <c r="W430" s="41"/>
    </row>
    <row r="431" ht="15.75" customHeight="1">
      <c r="R431" s="41"/>
      <c r="W431" s="41"/>
    </row>
    <row r="432" ht="15.75" customHeight="1">
      <c r="R432" s="41"/>
      <c r="W432" s="41"/>
    </row>
    <row r="433" ht="15.75" customHeight="1">
      <c r="R433" s="41"/>
      <c r="W433" s="41"/>
    </row>
    <row r="434" ht="15.75" customHeight="1">
      <c r="R434" s="41"/>
      <c r="W434" s="41"/>
    </row>
    <row r="435" ht="15.75" customHeight="1">
      <c r="R435" s="41"/>
      <c r="W435" s="41"/>
    </row>
    <row r="436" ht="15.75" customHeight="1">
      <c r="R436" s="41"/>
      <c r="W436" s="41"/>
    </row>
    <row r="437" ht="15.75" customHeight="1">
      <c r="R437" s="41"/>
      <c r="W437" s="41"/>
    </row>
    <row r="438" ht="15.75" customHeight="1">
      <c r="R438" s="41"/>
      <c r="W438" s="41"/>
    </row>
    <row r="439" ht="15.75" customHeight="1">
      <c r="R439" s="41"/>
      <c r="W439" s="41"/>
    </row>
    <row r="440" ht="15.75" customHeight="1">
      <c r="R440" s="41"/>
      <c r="W440" s="41"/>
    </row>
    <row r="441" ht="15.75" customHeight="1">
      <c r="R441" s="41"/>
      <c r="W441" s="41"/>
    </row>
    <row r="442" ht="15.75" customHeight="1">
      <c r="R442" s="41"/>
      <c r="W442" s="41"/>
    </row>
    <row r="443" ht="15.75" customHeight="1">
      <c r="R443" s="41"/>
      <c r="W443" s="41"/>
    </row>
    <row r="444" ht="15.75" customHeight="1">
      <c r="R444" s="41"/>
      <c r="W444" s="41"/>
    </row>
    <row r="445" ht="15.75" customHeight="1">
      <c r="R445" s="41"/>
      <c r="W445" s="41"/>
    </row>
    <row r="446" ht="15.75" customHeight="1">
      <c r="R446" s="41"/>
      <c r="W446" s="41"/>
    </row>
    <row r="447" ht="15.75" customHeight="1">
      <c r="R447" s="41"/>
      <c r="W447" s="41"/>
    </row>
    <row r="448" ht="15.75" customHeight="1">
      <c r="R448" s="41"/>
      <c r="W448" s="41"/>
    </row>
    <row r="449" ht="15.75" customHeight="1">
      <c r="R449" s="41"/>
      <c r="W449" s="41"/>
    </row>
    <row r="450" ht="15.75" customHeight="1">
      <c r="R450" s="41"/>
      <c r="W450" s="41"/>
    </row>
    <row r="451" ht="15.75" customHeight="1">
      <c r="R451" s="41"/>
      <c r="W451" s="41"/>
    </row>
    <row r="452" ht="15.75" customHeight="1">
      <c r="R452" s="41"/>
      <c r="W452" s="41"/>
    </row>
    <row r="453" ht="15.75" customHeight="1">
      <c r="R453" s="41"/>
      <c r="W453" s="41"/>
    </row>
    <row r="454" ht="15.75" customHeight="1">
      <c r="R454" s="41"/>
      <c r="W454" s="41"/>
    </row>
    <row r="455" ht="15.75" customHeight="1">
      <c r="R455" s="41"/>
      <c r="W455" s="41"/>
    </row>
    <row r="456" ht="15.75" customHeight="1">
      <c r="R456" s="41"/>
      <c r="W456" s="41"/>
    </row>
    <row r="457" ht="15.75" customHeight="1">
      <c r="R457" s="41"/>
      <c r="W457" s="41"/>
    </row>
    <row r="458" ht="15.75" customHeight="1">
      <c r="R458" s="41"/>
      <c r="W458" s="41"/>
    </row>
    <row r="459" ht="15.75" customHeight="1">
      <c r="R459" s="41"/>
      <c r="W459" s="41"/>
    </row>
    <row r="460" ht="15.75" customHeight="1">
      <c r="R460" s="41"/>
      <c r="W460" s="41"/>
    </row>
    <row r="461" ht="15.75" customHeight="1">
      <c r="R461" s="41"/>
      <c r="W461" s="41"/>
    </row>
    <row r="462" ht="15.75" customHeight="1">
      <c r="R462" s="41"/>
      <c r="W462" s="41"/>
    </row>
    <row r="463" ht="15.75" customHeight="1">
      <c r="R463" s="41"/>
      <c r="W463" s="41"/>
    </row>
    <row r="464" ht="15.75" customHeight="1">
      <c r="R464" s="41"/>
      <c r="W464" s="41"/>
    </row>
    <row r="465" ht="15.75" customHeight="1">
      <c r="R465" s="41"/>
      <c r="W465" s="41"/>
    </row>
    <row r="466" ht="15.75" customHeight="1">
      <c r="R466" s="41"/>
      <c r="W466" s="41"/>
    </row>
    <row r="467" ht="15.75" customHeight="1">
      <c r="R467" s="41"/>
      <c r="W467" s="41"/>
    </row>
    <row r="468" ht="15.75" customHeight="1">
      <c r="R468" s="41"/>
      <c r="W468" s="41"/>
    </row>
    <row r="469" ht="15.75" customHeight="1">
      <c r="R469" s="41"/>
      <c r="W469" s="41"/>
    </row>
    <row r="470" ht="15.75" customHeight="1">
      <c r="R470" s="41"/>
      <c r="W470" s="41"/>
    </row>
    <row r="471" ht="15.75" customHeight="1">
      <c r="R471" s="41"/>
      <c r="W471" s="41"/>
    </row>
    <row r="472" ht="15.75" customHeight="1">
      <c r="R472" s="41"/>
      <c r="W472" s="41"/>
    </row>
    <row r="473" ht="15.75" customHeight="1">
      <c r="R473" s="41"/>
      <c r="W473" s="41"/>
    </row>
    <row r="474" ht="15.75" customHeight="1">
      <c r="R474" s="41"/>
      <c r="W474" s="41"/>
    </row>
    <row r="475" ht="15.75" customHeight="1">
      <c r="R475" s="41"/>
      <c r="W475" s="41"/>
    </row>
    <row r="476" ht="15.75" customHeight="1">
      <c r="R476" s="41"/>
      <c r="W476" s="41"/>
    </row>
    <row r="477" ht="15.75" customHeight="1">
      <c r="R477" s="41"/>
      <c r="W477" s="41"/>
    </row>
    <row r="478" ht="15.75" customHeight="1">
      <c r="R478" s="41"/>
      <c r="W478" s="41"/>
    </row>
    <row r="479" ht="15.75" customHeight="1">
      <c r="R479" s="41"/>
      <c r="W479" s="41"/>
    </row>
    <row r="480" ht="15.75" customHeight="1">
      <c r="R480" s="41"/>
      <c r="W480" s="41"/>
    </row>
    <row r="481" ht="15.75" customHeight="1">
      <c r="R481" s="41"/>
      <c r="W481" s="41"/>
    </row>
    <row r="482" ht="15.75" customHeight="1">
      <c r="R482" s="41"/>
      <c r="W482" s="41"/>
    </row>
    <row r="483" ht="15.75" customHeight="1">
      <c r="R483" s="41"/>
      <c r="W483" s="41"/>
    </row>
    <row r="484" ht="15.75" customHeight="1">
      <c r="R484" s="41"/>
      <c r="W484" s="41"/>
    </row>
    <row r="485" ht="15.75" customHeight="1">
      <c r="R485" s="41"/>
      <c r="W485" s="41"/>
    </row>
    <row r="486" ht="15.75" customHeight="1">
      <c r="R486" s="41"/>
      <c r="W486" s="41"/>
    </row>
    <row r="487" ht="15.75" customHeight="1">
      <c r="R487" s="41"/>
      <c r="W487" s="41"/>
    </row>
    <row r="488" ht="15.75" customHeight="1">
      <c r="R488" s="41"/>
      <c r="W488" s="41"/>
    </row>
    <row r="489" ht="15.75" customHeight="1">
      <c r="R489" s="41"/>
      <c r="W489" s="41"/>
    </row>
    <row r="490" ht="15.75" customHeight="1">
      <c r="R490" s="41"/>
      <c r="W490" s="41"/>
    </row>
    <row r="491" ht="15.75" customHeight="1">
      <c r="R491" s="41"/>
      <c r="W491" s="41"/>
    </row>
    <row r="492" ht="15.75" customHeight="1">
      <c r="R492" s="41"/>
      <c r="W492" s="41"/>
    </row>
    <row r="493" ht="15.75" customHeight="1">
      <c r="R493" s="41"/>
      <c r="W493" s="41"/>
    </row>
    <row r="494" ht="15.75" customHeight="1">
      <c r="R494" s="41"/>
      <c r="W494" s="41"/>
    </row>
    <row r="495" ht="15.75" customHeight="1">
      <c r="R495" s="41"/>
      <c r="W495" s="41"/>
    </row>
    <row r="496" ht="15.75" customHeight="1">
      <c r="R496" s="41"/>
      <c r="W496" s="41"/>
    </row>
    <row r="497" ht="15.75" customHeight="1">
      <c r="R497" s="41"/>
      <c r="W497" s="41"/>
    </row>
    <row r="498" ht="15.75" customHeight="1">
      <c r="R498" s="41"/>
      <c r="W498" s="41"/>
    </row>
    <row r="499" ht="15.75" customHeight="1">
      <c r="R499" s="41"/>
      <c r="W499" s="41"/>
    </row>
    <row r="500" ht="15.75" customHeight="1">
      <c r="R500" s="41"/>
      <c r="W500" s="41"/>
    </row>
    <row r="501" ht="15.75" customHeight="1">
      <c r="R501" s="41"/>
      <c r="W501" s="41"/>
    </row>
    <row r="502" ht="15.75" customHeight="1">
      <c r="R502" s="41"/>
      <c r="W502" s="41"/>
    </row>
    <row r="503" ht="15.75" customHeight="1">
      <c r="R503" s="41"/>
      <c r="W503" s="41"/>
    </row>
    <row r="504" ht="15.75" customHeight="1">
      <c r="R504" s="41"/>
      <c r="W504" s="41"/>
    </row>
    <row r="505" ht="15.75" customHeight="1">
      <c r="R505" s="41"/>
      <c r="W505" s="41"/>
    </row>
    <row r="506" ht="15.75" customHeight="1">
      <c r="R506" s="41"/>
      <c r="W506" s="41"/>
    </row>
    <row r="507" ht="15.75" customHeight="1">
      <c r="R507" s="41"/>
      <c r="W507" s="41"/>
    </row>
    <row r="508" ht="15.75" customHeight="1">
      <c r="R508" s="41"/>
      <c r="W508" s="41"/>
    </row>
    <row r="509" ht="15.75" customHeight="1">
      <c r="R509" s="41"/>
      <c r="W509" s="41"/>
    </row>
    <row r="510" ht="15.75" customHeight="1">
      <c r="R510" s="41"/>
      <c r="W510" s="41"/>
    </row>
    <row r="511" ht="15.75" customHeight="1">
      <c r="R511" s="41"/>
      <c r="W511" s="41"/>
    </row>
    <row r="512" ht="15.75" customHeight="1">
      <c r="R512" s="41"/>
      <c r="W512" s="41"/>
    </row>
    <row r="513" ht="15.75" customHeight="1">
      <c r="R513" s="41"/>
      <c r="W513" s="41"/>
    </row>
    <row r="514" ht="15.75" customHeight="1">
      <c r="R514" s="41"/>
      <c r="W514" s="41"/>
    </row>
    <row r="515" ht="15.75" customHeight="1">
      <c r="R515" s="41"/>
      <c r="W515" s="41"/>
    </row>
    <row r="516" ht="15.75" customHeight="1">
      <c r="R516" s="41"/>
      <c r="W516" s="41"/>
    </row>
    <row r="517" ht="15.75" customHeight="1">
      <c r="R517" s="41"/>
      <c r="W517" s="41"/>
    </row>
    <row r="518" ht="15.75" customHeight="1">
      <c r="R518" s="41"/>
      <c r="W518" s="41"/>
    </row>
    <row r="519" ht="15.75" customHeight="1">
      <c r="R519" s="41"/>
      <c r="W519" s="41"/>
    </row>
    <row r="520" ht="15.75" customHeight="1">
      <c r="R520" s="41"/>
      <c r="W520" s="41"/>
    </row>
    <row r="521" ht="15.75" customHeight="1">
      <c r="R521" s="41"/>
      <c r="W521" s="41"/>
    </row>
    <row r="522" ht="15.75" customHeight="1">
      <c r="R522" s="41"/>
      <c r="W522" s="41"/>
    </row>
    <row r="523" ht="15.75" customHeight="1">
      <c r="R523" s="41"/>
      <c r="W523" s="41"/>
    </row>
    <row r="524" ht="15.75" customHeight="1">
      <c r="R524" s="41"/>
      <c r="W524" s="41"/>
    </row>
    <row r="525" ht="15.75" customHeight="1">
      <c r="R525" s="41"/>
      <c r="W525" s="41"/>
    </row>
    <row r="526" ht="15.75" customHeight="1">
      <c r="R526" s="41"/>
      <c r="W526" s="41"/>
    </row>
    <row r="527" ht="15.75" customHeight="1">
      <c r="R527" s="41"/>
      <c r="W527" s="41"/>
    </row>
    <row r="528" ht="15.75" customHeight="1">
      <c r="R528" s="41"/>
      <c r="W528" s="41"/>
    </row>
    <row r="529" ht="15.75" customHeight="1">
      <c r="R529" s="41"/>
      <c r="W529" s="41"/>
    </row>
    <row r="530" ht="15.75" customHeight="1">
      <c r="R530" s="41"/>
      <c r="W530" s="41"/>
    </row>
    <row r="531" ht="15.75" customHeight="1">
      <c r="R531" s="41"/>
      <c r="W531" s="41"/>
    </row>
    <row r="532" ht="15.75" customHeight="1">
      <c r="R532" s="41"/>
      <c r="W532" s="41"/>
    </row>
    <row r="533" ht="15.75" customHeight="1">
      <c r="R533" s="41"/>
      <c r="W533" s="41"/>
    </row>
    <row r="534" ht="15.75" customHeight="1">
      <c r="R534" s="41"/>
      <c r="W534" s="41"/>
    </row>
    <row r="535" ht="15.75" customHeight="1">
      <c r="R535" s="41"/>
      <c r="W535" s="41"/>
    </row>
    <row r="536" ht="15.75" customHeight="1">
      <c r="R536" s="41"/>
      <c r="W536" s="41"/>
    </row>
    <row r="537" ht="15.75" customHeight="1">
      <c r="R537" s="41"/>
      <c r="W537" s="41"/>
    </row>
    <row r="538" ht="15.75" customHeight="1">
      <c r="R538" s="41"/>
      <c r="W538" s="41"/>
    </row>
    <row r="539" ht="15.75" customHeight="1">
      <c r="R539" s="41"/>
      <c r="W539" s="41"/>
    </row>
    <row r="540" ht="15.75" customHeight="1">
      <c r="R540" s="41"/>
      <c r="W540" s="41"/>
    </row>
    <row r="541" ht="15.75" customHeight="1">
      <c r="R541" s="41"/>
      <c r="W541" s="41"/>
    </row>
    <row r="542" ht="15.75" customHeight="1">
      <c r="R542" s="41"/>
      <c r="W542" s="41"/>
    </row>
    <row r="543" ht="15.75" customHeight="1">
      <c r="R543" s="41"/>
      <c r="W543" s="41"/>
    </row>
    <row r="544" ht="15.75" customHeight="1">
      <c r="R544" s="41"/>
      <c r="W544" s="41"/>
    </row>
    <row r="545" ht="15.75" customHeight="1">
      <c r="R545" s="41"/>
      <c r="W545" s="41"/>
    </row>
    <row r="546" ht="15.75" customHeight="1">
      <c r="R546" s="41"/>
      <c r="W546" s="41"/>
    </row>
    <row r="547" ht="15.75" customHeight="1">
      <c r="R547" s="41"/>
      <c r="W547" s="41"/>
    </row>
    <row r="548" ht="15.75" customHeight="1">
      <c r="R548" s="41"/>
      <c r="W548" s="41"/>
    </row>
    <row r="549" ht="15.75" customHeight="1">
      <c r="R549" s="41"/>
      <c r="W549" s="41"/>
    </row>
    <row r="550" ht="15.75" customHeight="1">
      <c r="R550" s="41"/>
      <c r="W550" s="41"/>
    </row>
    <row r="551" ht="15.75" customHeight="1">
      <c r="R551" s="41"/>
      <c r="W551" s="41"/>
    </row>
    <row r="552" ht="15.75" customHeight="1">
      <c r="R552" s="41"/>
      <c r="W552" s="41"/>
    </row>
    <row r="553" ht="15.75" customHeight="1">
      <c r="R553" s="41"/>
      <c r="W553" s="41"/>
    </row>
    <row r="554" ht="15.75" customHeight="1">
      <c r="R554" s="41"/>
      <c r="W554" s="41"/>
    </row>
    <row r="555" ht="15.75" customHeight="1">
      <c r="R555" s="41"/>
      <c r="W555" s="41"/>
    </row>
    <row r="556" ht="15.75" customHeight="1">
      <c r="R556" s="41"/>
      <c r="W556" s="41"/>
    </row>
    <row r="557" ht="15.75" customHeight="1">
      <c r="R557" s="41"/>
      <c r="W557" s="41"/>
    </row>
    <row r="558" ht="15.75" customHeight="1">
      <c r="R558" s="41"/>
      <c r="W558" s="41"/>
    </row>
    <row r="559" ht="15.75" customHeight="1">
      <c r="R559" s="41"/>
      <c r="W559" s="41"/>
    </row>
    <row r="560" ht="15.75" customHeight="1">
      <c r="R560" s="41"/>
      <c r="W560" s="41"/>
    </row>
    <row r="561" ht="15.75" customHeight="1">
      <c r="R561" s="41"/>
      <c r="W561" s="41"/>
    </row>
    <row r="562" ht="15.75" customHeight="1">
      <c r="R562" s="41"/>
      <c r="W562" s="41"/>
    </row>
    <row r="563" ht="15.75" customHeight="1">
      <c r="R563" s="41"/>
      <c r="W563" s="41"/>
    </row>
    <row r="564" ht="15.75" customHeight="1">
      <c r="R564" s="41"/>
      <c r="W564" s="41"/>
    </row>
    <row r="565" ht="15.75" customHeight="1">
      <c r="R565" s="41"/>
      <c r="W565" s="41"/>
    </row>
    <row r="566" ht="15.75" customHeight="1">
      <c r="R566" s="41"/>
      <c r="W566" s="41"/>
    </row>
    <row r="567" ht="15.75" customHeight="1">
      <c r="R567" s="41"/>
      <c r="W567" s="41"/>
    </row>
    <row r="568" ht="15.75" customHeight="1">
      <c r="R568" s="41"/>
      <c r="W568" s="41"/>
    </row>
    <row r="569" ht="15.75" customHeight="1">
      <c r="R569" s="41"/>
      <c r="W569" s="41"/>
    </row>
    <row r="570" ht="15.75" customHeight="1">
      <c r="R570" s="41"/>
      <c r="W570" s="41"/>
    </row>
    <row r="571" ht="15.75" customHeight="1">
      <c r="R571" s="41"/>
      <c r="W571" s="41"/>
    </row>
    <row r="572" ht="15.75" customHeight="1">
      <c r="R572" s="41"/>
      <c r="W572" s="41"/>
    </row>
    <row r="573" ht="15.75" customHeight="1">
      <c r="R573" s="41"/>
      <c r="W573" s="41"/>
    </row>
    <row r="574" ht="15.75" customHeight="1">
      <c r="R574" s="41"/>
      <c r="W574" s="41"/>
    </row>
    <row r="575" ht="15.75" customHeight="1">
      <c r="R575" s="41"/>
      <c r="W575" s="41"/>
    </row>
    <row r="576" ht="15.75" customHeight="1">
      <c r="R576" s="41"/>
      <c r="W576" s="41"/>
    </row>
    <row r="577" ht="15.75" customHeight="1">
      <c r="R577" s="41"/>
      <c r="W577" s="41"/>
    </row>
    <row r="578" ht="15.75" customHeight="1">
      <c r="R578" s="41"/>
      <c r="W578" s="41"/>
    </row>
    <row r="579" ht="15.75" customHeight="1">
      <c r="R579" s="41"/>
      <c r="W579" s="41"/>
    </row>
    <row r="580" ht="15.75" customHeight="1">
      <c r="R580" s="41"/>
      <c r="W580" s="41"/>
    </row>
    <row r="581" ht="15.75" customHeight="1">
      <c r="R581" s="41"/>
      <c r="W581" s="41"/>
    </row>
    <row r="582" ht="15.75" customHeight="1">
      <c r="R582" s="41"/>
      <c r="W582" s="41"/>
    </row>
    <row r="583" ht="15.75" customHeight="1">
      <c r="R583" s="41"/>
      <c r="W583" s="41"/>
    </row>
    <row r="584" ht="15.75" customHeight="1">
      <c r="R584" s="41"/>
      <c r="W584" s="41"/>
    </row>
    <row r="585" ht="15.75" customHeight="1">
      <c r="R585" s="41"/>
      <c r="W585" s="41"/>
    </row>
    <row r="586" ht="15.75" customHeight="1">
      <c r="R586" s="41"/>
      <c r="W586" s="41"/>
    </row>
    <row r="587" ht="15.75" customHeight="1">
      <c r="R587" s="41"/>
      <c r="W587" s="41"/>
    </row>
    <row r="588" ht="15.75" customHeight="1">
      <c r="R588" s="41"/>
      <c r="W588" s="41"/>
    </row>
    <row r="589" ht="15.75" customHeight="1">
      <c r="R589" s="41"/>
      <c r="W589" s="41"/>
    </row>
    <row r="590" ht="15.75" customHeight="1">
      <c r="R590" s="41"/>
      <c r="W590" s="41"/>
    </row>
    <row r="591" ht="15.75" customHeight="1">
      <c r="R591" s="41"/>
      <c r="W591" s="41"/>
    </row>
    <row r="592" ht="15.75" customHeight="1">
      <c r="R592" s="41"/>
      <c r="W592" s="41"/>
    </row>
    <row r="593" ht="15.75" customHeight="1">
      <c r="R593" s="41"/>
      <c r="W593" s="41"/>
    </row>
    <row r="594" ht="15.75" customHeight="1">
      <c r="R594" s="41"/>
      <c r="W594" s="41"/>
    </row>
    <row r="595" ht="15.75" customHeight="1">
      <c r="R595" s="41"/>
      <c r="W595" s="41"/>
    </row>
    <row r="596" ht="15.75" customHeight="1">
      <c r="R596" s="41"/>
      <c r="W596" s="41"/>
    </row>
    <row r="597" ht="15.75" customHeight="1">
      <c r="R597" s="41"/>
      <c r="W597" s="41"/>
    </row>
    <row r="598" ht="15.75" customHeight="1">
      <c r="R598" s="41"/>
      <c r="W598" s="41"/>
    </row>
    <row r="599" ht="15.75" customHeight="1">
      <c r="R599" s="41"/>
      <c r="W599" s="41"/>
    </row>
    <row r="600" ht="15.75" customHeight="1">
      <c r="R600" s="41"/>
      <c r="W600" s="41"/>
    </row>
    <row r="601" ht="15.75" customHeight="1">
      <c r="R601" s="41"/>
      <c r="W601" s="41"/>
    </row>
    <row r="602" ht="15.75" customHeight="1">
      <c r="R602" s="41"/>
      <c r="W602" s="41"/>
    </row>
    <row r="603" ht="15.75" customHeight="1">
      <c r="R603" s="41"/>
      <c r="W603" s="41"/>
    </row>
    <row r="604" ht="15.75" customHeight="1">
      <c r="R604" s="41"/>
      <c r="W604" s="41"/>
    </row>
    <row r="605" ht="15.75" customHeight="1">
      <c r="R605" s="41"/>
      <c r="W605" s="41"/>
    </row>
    <row r="606" ht="15.75" customHeight="1">
      <c r="R606" s="41"/>
      <c r="W606" s="41"/>
    </row>
    <row r="607" ht="15.75" customHeight="1">
      <c r="R607" s="41"/>
      <c r="W607" s="41"/>
    </row>
    <row r="608" ht="15.75" customHeight="1">
      <c r="R608" s="41"/>
      <c r="W608" s="41"/>
    </row>
    <row r="609" ht="15.75" customHeight="1">
      <c r="R609" s="41"/>
      <c r="W609" s="41"/>
    </row>
    <row r="610" ht="15.75" customHeight="1">
      <c r="R610" s="41"/>
      <c r="W610" s="41"/>
    </row>
    <row r="611" ht="15.75" customHeight="1">
      <c r="R611" s="41"/>
      <c r="W611" s="41"/>
    </row>
    <row r="612" ht="15.75" customHeight="1">
      <c r="R612" s="41"/>
      <c r="W612" s="41"/>
    </row>
    <row r="613" ht="15.75" customHeight="1">
      <c r="R613" s="41"/>
      <c r="W613" s="41"/>
    </row>
    <row r="614" ht="15.75" customHeight="1">
      <c r="R614" s="41"/>
      <c r="W614" s="41"/>
    </row>
    <row r="615" ht="15.75" customHeight="1">
      <c r="R615" s="41"/>
      <c r="W615" s="41"/>
    </row>
    <row r="616" ht="15.75" customHeight="1">
      <c r="R616" s="41"/>
      <c r="W616" s="41"/>
    </row>
    <row r="617" ht="15.75" customHeight="1">
      <c r="R617" s="41"/>
      <c r="W617" s="41"/>
    </row>
    <row r="618" ht="15.75" customHeight="1">
      <c r="R618" s="41"/>
      <c r="W618" s="41"/>
    </row>
    <row r="619" ht="15.75" customHeight="1">
      <c r="R619" s="41"/>
      <c r="W619" s="41"/>
    </row>
    <row r="620" ht="15.75" customHeight="1">
      <c r="R620" s="41"/>
      <c r="W620" s="41"/>
    </row>
    <row r="621" ht="15.75" customHeight="1">
      <c r="R621" s="41"/>
      <c r="W621" s="41"/>
    </row>
    <row r="622" ht="15.75" customHeight="1">
      <c r="R622" s="41"/>
      <c r="W622" s="41"/>
    </row>
    <row r="623" ht="15.75" customHeight="1">
      <c r="R623" s="41"/>
      <c r="W623" s="41"/>
    </row>
    <row r="624" ht="15.75" customHeight="1">
      <c r="R624" s="41"/>
      <c r="W624" s="41"/>
    </row>
    <row r="625" ht="15.75" customHeight="1">
      <c r="R625" s="41"/>
      <c r="W625" s="41"/>
    </row>
    <row r="626" ht="15.75" customHeight="1">
      <c r="R626" s="41"/>
      <c r="W626" s="41"/>
    </row>
    <row r="627" ht="15.75" customHeight="1">
      <c r="R627" s="41"/>
      <c r="W627" s="41"/>
    </row>
    <row r="628" ht="15.75" customHeight="1">
      <c r="R628" s="41"/>
      <c r="W628" s="41"/>
    </row>
    <row r="629" ht="15.75" customHeight="1">
      <c r="R629" s="41"/>
      <c r="W629" s="41"/>
    </row>
    <row r="630" ht="15.75" customHeight="1">
      <c r="R630" s="41"/>
      <c r="W630" s="41"/>
    </row>
    <row r="631" ht="15.75" customHeight="1">
      <c r="R631" s="41"/>
      <c r="W631" s="41"/>
    </row>
    <row r="632" ht="15.75" customHeight="1">
      <c r="R632" s="41"/>
      <c r="W632" s="41"/>
    </row>
    <row r="633" ht="15.75" customHeight="1">
      <c r="R633" s="41"/>
      <c r="W633" s="41"/>
    </row>
    <row r="634" ht="15.75" customHeight="1">
      <c r="R634" s="41"/>
      <c r="W634" s="41"/>
    </row>
    <row r="635" ht="15.75" customHeight="1">
      <c r="R635" s="41"/>
      <c r="W635" s="41"/>
    </row>
    <row r="636" ht="15.75" customHeight="1">
      <c r="R636" s="41"/>
      <c r="W636" s="41"/>
    </row>
    <row r="637" ht="15.75" customHeight="1">
      <c r="R637" s="41"/>
      <c r="W637" s="41"/>
    </row>
    <row r="638" ht="15.75" customHeight="1">
      <c r="R638" s="41"/>
      <c r="W638" s="41"/>
    </row>
    <row r="639" ht="15.75" customHeight="1">
      <c r="R639" s="41"/>
      <c r="W639" s="41"/>
    </row>
    <row r="640" ht="15.75" customHeight="1">
      <c r="R640" s="41"/>
      <c r="W640" s="41"/>
    </row>
    <row r="641" ht="15.75" customHeight="1">
      <c r="R641" s="41"/>
      <c r="W641" s="41"/>
    </row>
    <row r="642" ht="15.75" customHeight="1">
      <c r="R642" s="41"/>
      <c r="W642" s="41"/>
    </row>
    <row r="643" ht="15.75" customHeight="1">
      <c r="R643" s="41"/>
      <c r="W643" s="41"/>
    </row>
    <row r="644" ht="15.75" customHeight="1">
      <c r="R644" s="41"/>
      <c r="W644" s="41"/>
    </row>
    <row r="645" ht="15.75" customHeight="1">
      <c r="R645" s="41"/>
      <c r="W645" s="41"/>
    </row>
    <row r="646" ht="15.75" customHeight="1">
      <c r="R646" s="41"/>
      <c r="W646" s="41"/>
    </row>
    <row r="647" ht="15.75" customHeight="1">
      <c r="R647" s="41"/>
      <c r="W647" s="41"/>
    </row>
    <row r="648" ht="15.75" customHeight="1">
      <c r="R648" s="41"/>
      <c r="W648" s="41"/>
    </row>
    <row r="649" ht="15.75" customHeight="1">
      <c r="R649" s="41"/>
      <c r="W649" s="41"/>
    </row>
    <row r="650" ht="15.75" customHeight="1">
      <c r="R650" s="41"/>
      <c r="W650" s="41"/>
    </row>
    <row r="651" ht="15.75" customHeight="1">
      <c r="R651" s="41"/>
      <c r="W651" s="41"/>
    </row>
    <row r="652" ht="15.75" customHeight="1">
      <c r="R652" s="41"/>
      <c r="W652" s="41"/>
    </row>
    <row r="653" ht="15.75" customHeight="1">
      <c r="R653" s="41"/>
      <c r="W653" s="41"/>
    </row>
    <row r="654" ht="15.75" customHeight="1">
      <c r="R654" s="41"/>
      <c r="W654" s="41"/>
    </row>
    <row r="655" ht="15.75" customHeight="1">
      <c r="R655" s="41"/>
      <c r="W655" s="41"/>
    </row>
    <row r="656" ht="15.75" customHeight="1">
      <c r="R656" s="41"/>
      <c r="W656" s="41"/>
    </row>
    <row r="657" ht="15.75" customHeight="1">
      <c r="R657" s="41"/>
      <c r="W657" s="41"/>
    </row>
    <row r="658" ht="15.75" customHeight="1">
      <c r="R658" s="41"/>
      <c r="W658" s="41"/>
    </row>
    <row r="659" ht="15.75" customHeight="1">
      <c r="R659" s="41"/>
      <c r="W659" s="41"/>
    </row>
    <row r="660" ht="15.75" customHeight="1">
      <c r="R660" s="41"/>
      <c r="W660" s="41"/>
    </row>
    <row r="661" ht="15.75" customHeight="1">
      <c r="R661" s="41"/>
      <c r="W661" s="41"/>
    </row>
    <row r="662" ht="15.75" customHeight="1">
      <c r="R662" s="41"/>
      <c r="W662" s="41"/>
    </row>
    <row r="663" ht="15.75" customHeight="1">
      <c r="R663" s="41"/>
      <c r="W663" s="41"/>
    </row>
    <row r="664" ht="15.75" customHeight="1">
      <c r="R664" s="41"/>
      <c r="W664" s="41"/>
    </row>
    <row r="665" ht="15.75" customHeight="1">
      <c r="R665" s="41"/>
      <c r="W665" s="41"/>
    </row>
    <row r="666" ht="15.75" customHeight="1">
      <c r="R666" s="41"/>
      <c r="W666" s="41"/>
    </row>
    <row r="667" ht="15.75" customHeight="1">
      <c r="R667" s="41"/>
      <c r="W667" s="41"/>
    </row>
    <row r="668" ht="15.75" customHeight="1">
      <c r="R668" s="41"/>
      <c r="W668" s="41"/>
    </row>
    <row r="669" ht="15.75" customHeight="1">
      <c r="R669" s="41"/>
      <c r="W669" s="41"/>
    </row>
    <row r="670" ht="15.75" customHeight="1">
      <c r="R670" s="41"/>
      <c r="W670" s="41"/>
    </row>
    <row r="671" ht="15.75" customHeight="1">
      <c r="R671" s="41"/>
      <c r="W671" s="41"/>
    </row>
    <row r="672" ht="15.75" customHeight="1">
      <c r="R672" s="41"/>
      <c r="W672" s="41"/>
    </row>
    <row r="673" ht="15.75" customHeight="1">
      <c r="R673" s="41"/>
      <c r="W673" s="41"/>
    </row>
    <row r="674" ht="15.75" customHeight="1">
      <c r="R674" s="41"/>
      <c r="W674" s="41"/>
    </row>
    <row r="675" ht="15.75" customHeight="1">
      <c r="R675" s="41"/>
      <c r="W675" s="41"/>
    </row>
    <row r="676" ht="15.75" customHeight="1">
      <c r="R676" s="41"/>
      <c r="W676" s="41"/>
    </row>
    <row r="677" ht="15.75" customHeight="1">
      <c r="R677" s="41"/>
      <c r="W677" s="41"/>
    </row>
    <row r="678" ht="15.75" customHeight="1">
      <c r="R678" s="41"/>
      <c r="W678" s="41"/>
    </row>
    <row r="679" ht="15.75" customHeight="1">
      <c r="R679" s="41"/>
      <c r="W679" s="41"/>
    </row>
    <row r="680" ht="15.75" customHeight="1">
      <c r="R680" s="41"/>
      <c r="W680" s="41"/>
    </row>
    <row r="681" ht="15.75" customHeight="1">
      <c r="R681" s="41"/>
      <c r="W681" s="41"/>
    </row>
    <row r="682" ht="15.75" customHeight="1">
      <c r="R682" s="41"/>
      <c r="W682" s="41"/>
    </row>
    <row r="683" ht="15.75" customHeight="1">
      <c r="R683" s="41"/>
      <c r="W683" s="41"/>
    </row>
    <row r="684" ht="15.75" customHeight="1">
      <c r="R684" s="41"/>
      <c r="W684" s="41"/>
    </row>
    <row r="685" ht="15.75" customHeight="1">
      <c r="R685" s="41"/>
      <c r="W685" s="41"/>
    </row>
    <row r="686" ht="15.75" customHeight="1">
      <c r="R686" s="41"/>
      <c r="W686" s="41"/>
    </row>
    <row r="687" ht="15.75" customHeight="1">
      <c r="R687" s="41"/>
      <c r="W687" s="41"/>
    </row>
    <row r="688" ht="15.75" customHeight="1">
      <c r="R688" s="41"/>
      <c r="W688" s="41"/>
    </row>
    <row r="689" ht="15.75" customHeight="1">
      <c r="R689" s="41"/>
      <c r="W689" s="41"/>
    </row>
    <row r="690" ht="15.75" customHeight="1">
      <c r="R690" s="41"/>
      <c r="W690" s="41"/>
    </row>
    <row r="691" ht="15.75" customHeight="1">
      <c r="R691" s="41"/>
      <c r="W691" s="41"/>
    </row>
    <row r="692" ht="15.75" customHeight="1">
      <c r="R692" s="41"/>
      <c r="W692" s="41"/>
    </row>
    <row r="693" ht="15.75" customHeight="1">
      <c r="R693" s="41"/>
      <c r="W693" s="41"/>
    </row>
    <row r="694" ht="15.75" customHeight="1">
      <c r="R694" s="41"/>
      <c r="W694" s="41"/>
    </row>
    <row r="695" ht="15.75" customHeight="1">
      <c r="R695" s="41"/>
      <c r="W695" s="41"/>
    </row>
    <row r="696" ht="15.75" customHeight="1">
      <c r="R696" s="41"/>
      <c r="W696" s="41"/>
    </row>
    <row r="697" ht="15.75" customHeight="1">
      <c r="R697" s="41"/>
      <c r="W697" s="41"/>
    </row>
    <row r="698" ht="15.75" customHeight="1">
      <c r="R698" s="41"/>
      <c r="W698" s="41"/>
    </row>
    <row r="699" ht="15.75" customHeight="1">
      <c r="R699" s="41"/>
      <c r="W699" s="41"/>
    </row>
    <row r="700" ht="15.75" customHeight="1">
      <c r="R700" s="41"/>
      <c r="W700" s="41"/>
    </row>
    <row r="701" ht="15.75" customHeight="1">
      <c r="R701" s="41"/>
      <c r="W701" s="41"/>
    </row>
    <row r="702" ht="15.75" customHeight="1">
      <c r="R702" s="41"/>
      <c r="W702" s="41"/>
    </row>
    <row r="703" ht="15.75" customHeight="1">
      <c r="R703" s="41"/>
      <c r="W703" s="41"/>
    </row>
    <row r="704" ht="15.75" customHeight="1">
      <c r="R704" s="41"/>
      <c r="W704" s="41"/>
    </row>
    <row r="705" ht="15.75" customHeight="1">
      <c r="R705" s="41"/>
      <c r="W705" s="41"/>
    </row>
    <row r="706" ht="15.75" customHeight="1">
      <c r="R706" s="41"/>
      <c r="W706" s="41"/>
    </row>
    <row r="707" ht="15.75" customHeight="1">
      <c r="R707" s="41"/>
      <c r="W707" s="41"/>
    </row>
    <row r="708" ht="15.75" customHeight="1">
      <c r="R708" s="41"/>
      <c r="W708" s="41"/>
    </row>
    <row r="709" ht="15.75" customHeight="1">
      <c r="R709" s="41"/>
      <c r="W709" s="41"/>
    </row>
    <row r="710" ht="15.75" customHeight="1">
      <c r="R710" s="41"/>
      <c r="W710" s="41"/>
    </row>
    <row r="711" ht="15.75" customHeight="1">
      <c r="R711" s="41"/>
      <c r="W711" s="41"/>
    </row>
    <row r="712" ht="15.75" customHeight="1">
      <c r="R712" s="41"/>
      <c r="W712" s="41"/>
    </row>
    <row r="713" ht="15.75" customHeight="1">
      <c r="R713" s="41"/>
      <c r="W713" s="41"/>
    </row>
    <row r="714" ht="15.75" customHeight="1">
      <c r="R714" s="41"/>
      <c r="W714" s="41"/>
    </row>
    <row r="715" ht="15.75" customHeight="1">
      <c r="R715" s="41"/>
      <c r="W715" s="41"/>
    </row>
    <row r="716" ht="15.75" customHeight="1">
      <c r="R716" s="41"/>
      <c r="W716" s="41"/>
    </row>
    <row r="717" ht="15.75" customHeight="1">
      <c r="R717" s="41"/>
      <c r="W717" s="41"/>
    </row>
    <row r="718" ht="15.75" customHeight="1">
      <c r="R718" s="41"/>
      <c r="W718" s="41"/>
    </row>
    <row r="719" ht="15.75" customHeight="1">
      <c r="R719" s="41"/>
      <c r="W719" s="41"/>
    </row>
    <row r="720" ht="15.75" customHeight="1">
      <c r="R720" s="41"/>
      <c r="W720" s="41"/>
    </row>
    <row r="721" ht="15.75" customHeight="1">
      <c r="R721" s="41"/>
      <c r="W721" s="41"/>
    </row>
    <row r="722" ht="15.75" customHeight="1">
      <c r="R722" s="41"/>
      <c r="W722" s="41"/>
    </row>
    <row r="723" ht="15.75" customHeight="1">
      <c r="R723" s="41"/>
      <c r="W723" s="41"/>
    </row>
    <row r="724" ht="15.75" customHeight="1">
      <c r="R724" s="41"/>
      <c r="W724" s="41"/>
    </row>
    <row r="725" ht="15.75" customHeight="1">
      <c r="R725" s="41"/>
      <c r="W725" s="41"/>
    </row>
    <row r="726" ht="15.75" customHeight="1">
      <c r="R726" s="41"/>
      <c r="W726" s="41"/>
    </row>
    <row r="727" ht="15.75" customHeight="1">
      <c r="R727" s="41"/>
      <c r="W727" s="41"/>
    </row>
    <row r="728" ht="15.75" customHeight="1">
      <c r="R728" s="41"/>
      <c r="W728" s="41"/>
    </row>
    <row r="729" ht="15.75" customHeight="1">
      <c r="R729" s="41"/>
      <c r="W729" s="41"/>
    </row>
    <row r="730" ht="15.75" customHeight="1">
      <c r="R730" s="41"/>
      <c r="W730" s="41"/>
    </row>
    <row r="731" ht="15.75" customHeight="1">
      <c r="R731" s="41"/>
      <c r="W731" s="41"/>
    </row>
    <row r="732" ht="15.75" customHeight="1">
      <c r="R732" s="41"/>
      <c r="W732" s="41"/>
    </row>
    <row r="733" ht="15.75" customHeight="1">
      <c r="R733" s="41"/>
      <c r="W733" s="41"/>
    </row>
    <row r="734" ht="15.75" customHeight="1">
      <c r="R734" s="41"/>
      <c r="W734" s="41"/>
    </row>
    <row r="735" ht="15.75" customHeight="1">
      <c r="R735" s="41"/>
      <c r="W735" s="41"/>
    </row>
    <row r="736" ht="15.75" customHeight="1">
      <c r="R736" s="41"/>
      <c r="W736" s="41"/>
    </row>
    <row r="737" ht="15.75" customHeight="1">
      <c r="R737" s="41"/>
      <c r="W737" s="41"/>
    </row>
    <row r="738" ht="15.75" customHeight="1">
      <c r="R738" s="41"/>
      <c r="W738" s="41"/>
    </row>
    <row r="739" ht="15.75" customHeight="1">
      <c r="R739" s="41"/>
      <c r="W739" s="41"/>
    </row>
    <row r="740" ht="15.75" customHeight="1">
      <c r="R740" s="41"/>
      <c r="W740" s="41"/>
    </row>
    <row r="741" ht="15.75" customHeight="1">
      <c r="R741" s="41"/>
      <c r="W741" s="41"/>
    </row>
    <row r="742" ht="15.75" customHeight="1">
      <c r="R742" s="41"/>
      <c r="W742" s="41"/>
    </row>
    <row r="743" ht="15.75" customHeight="1">
      <c r="R743" s="41"/>
      <c r="W743" s="41"/>
    </row>
    <row r="744" ht="15.75" customHeight="1">
      <c r="R744" s="41"/>
      <c r="W744" s="41"/>
    </row>
    <row r="745" ht="15.75" customHeight="1">
      <c r="R745" s="41"/>
      <c r="W745" s="41"/>
    </row>
    <row r="746" ht="15.75" customHeight="1">
      <c r="R746" s="41"/>
      <c r="W746" s="41"/>
    </row>
    <row r="747" ht="15.75" customHeight="1">
      <c r="R747" s="41"/>
      <c r="W747" s="41"/>
    </row>
    <row r="748" ht="15.75" customHeight="1">
      <c r="R748" s="41"/>
      <c r="W748" s="41"/>
    </row>
    <row r="749" ht="15.75" customHeight="1">
      <c r="R749" s="41"/>
      <c r="W749" s="41"/>
    </row>
    <row r="750" ht="15.75" customHeight="1">
      <c r="R750" s="41"/>
      <c r="W750" s="41"/>
    </row>
    <row r="751" ht="15.75" customHeight="1">
      <c r="R751" s="41"/>
      <c r="W751" s="41"/>
    </row>
    <row r="752" ht="15.75" customHeight="1">
      <c r="R752" s="41"/>
      <c r="W752" s="41"/>
    </row>
    <row r="753" ht="15.75" customHeight="1">
      <c r="R753" s="41"/>
      <c r="W753" s="41"/>
    </row>
    <row r="754" ht="15.75" customHeight="1">
      <c r="R754" s="41"/>
      <c r="W754" s="41"/>
    </row>
    <row r="755" ht="15.75" customHeight="1">
      <c r="R755" s="41"/>
      <c r="W755" s="41"/>
    </row>
    <row r="756" ht="15.75" customHeight="1">
      <c r="R756" s="41"/>
      <c r="W756" s="41"/>
    </row>
    <row r="757" ht="15.75" customHeight="1">
      <c r="R757" s="41"/>
      <c r="W757" s="41"/>
    </row>
    <row r="758" ht="15.75" customHeight="1">
      <c r="R758" s="41"/>
      <c r="W758" s="41"/>
    </row>
    <row r="759" ht="15.75" customHeight="1">
      <c r="R759" s="41"/>
      <c r="W759" s="41"/>
    </row>
    <row r="760" ht="15.75" customHeight="1">
      <c r="R760" s="41"/>
      <c r="W760" s="41"/>
    </row>
    <row r="761" ht="15.75" customHeight="1">
      <c r="R761" s="41"/>
      <c r="W761" s="41"/>
    </row>
    <row r="762" ht="15.75" customHeight="1">
      <c r="R762" s="41"/>
      <c r="W762" s="41"/>
    </row>
    <row r="763" ht="15.75" customHeight="1">
      <c r="R763" s="41"/>
      <c r="W763" s="41"/>
    </row>
    <row r="764" ht="15.75" customHeight="1">
      <c r="R764" s="41"/>
      <c r="W764" s="41"/>
    </row>
    <row r="765" ht="15.75" customHeight="1">
      <c r="R765" s="41"/>
      <c r="W765" s="41"/>
    </row>
    <row r="766" ht="15.75" customHeight="1">
      <c r="R766" s="41"/>
      <c r="W766" s="41"/>
    </row>
    <row r="767" ht="15.75" customHeight="1">
      <c r="R767" s="41"/>
      <c r="W767" s="41"/>
    </row>
    <row r="768" ht="15.75" customHeight="1">
      <c r="R768" s="41"/>
      <c r="W768" s="41"/>
    </row>
    <row r="769" ht="15.75" customHeight="1">
      <c r="R769" s="41"/>
      <c r="W769" s="41"/>
    </row>
    <row r="770" ht="15.75" customHeight="1">
      <c r="R770" s="41"/>
      <c r="W770" s="41"/>
    </row>
    <row r="771" ht="15.75" customHeight="1">
      <c r="R771" s="41"/>
      <c r="W771" s="41"/>
    </row>
    <row r="772" ht="15.75" customHeight="1">
      <c r="R772" s="41"/>
      <c r="W772" s="41"/>
    </row>
    <row r="773" ht="15.75" customHeight="1">
      <c r="R773" s="41"/>
      <c r="W773" s="41"/>
    </row>
    <row r="774" ht="15.75" customHeight="1">
      <c r="R774" s="41"/>
      <c r="W774" s="41"/>
    </row>
    <row r="775" ht="15.75" customHeight="1">
      <c r="R775" s="41"/>
      <c r="W775" s="41"/>
    </row>
    <row r="776" ht="15.75" customHeight="1">
      <c r="R776" s="41"/>
      <c r="W776" s="41"/>
    </row>
    <row r="777" ht="15.75" customHeight="1">
      <c r="R777" s="41"/>
      <c r="W777" s="41"/>
    </row>
    <row r="778" ht="15.75" customHeight="1">
      <c r="R778" s="41"/>
      <c r="W778" s="41"/>
    </row>
    <row r="779" ht="15.75" customHeight="1">
      <c r="R779" s="41"/>
      <c r="W779" s="41"/>
    </row>
    <row r="780" ht="15.75" customHeight="1">
      <c r="R780" s="41"/>
      <c r="W780" s="41"/>
    </row>
    <row r="781" ht="15.75" customHeight="1">
      <c r="R781" s="41"/>
      <c r="W781" s="41"/>
    </row>
    <row r="782" ht="15.75" customHeight="1">
      <c r="R782" s="41"/>
      <c r="W782" s="41"/>
    </row>
    <row r="783" ht="15.75" customHeight="1">
      <c r="R783" s="41"/>
      <c r="W783" s="41"/>
    </row>
    <row r="784" ht="15.75" customHeight="1">
      <c r="R784" s="41"/>
      <c r="W784" s="41"/>
    </row>
    <row r="785" ht="15.75" customHeight="1">
      <c r="R785" s="41"/>
      <c r="W785" s="41"/>
    </row>
    <row r="786" ht="15.75" customHeight="1">
      <c r="R786" s="41"/>
      <c r="W786" s="41"/>
    </row>
    <row r="787" ht="15.75" customHeight="1">
      <c r="R787" s="41"/>
      <c r="W787" s="41"/>
    </row>
    <row r="788" ht="15.75" customHeight="1">
      <c r="R788" s="41"/>
      <c r="W788" s="41"/>
    </row>
    <row r="789" ht="15.75" customHeight="1">
      <c r="R789" s="41"/>
      <c r="W789" s="41"/>
    </row>
    <row r="790" ht="15.75" customHeight="1">
      <c r="R790" s="41"/>
      <c r="W790" s="41"/>
    </row>
    <row r="791" ht="15.75" customHeight="1">
      <c r="R791" s="41"/>
      <c r="W791" s="41"/>
    </row>
    <row r="792" ht="15.75" customHeight="1">
      <c r="R792" s="41"/>
      <c r="W792" s="41"/>
    </row>
    <row r="793" ht="15.75" customHeight="1">
      <c r="R793" s="41"/>
      <c r="W793" s="41"/>
    </row>
    <row r="794" ht="15.75" customHeight="1">
      <c r="R794" s="41"/>
      <c r="W794" s="41"/>
    </row>
    <row r="795" ht="15.75" customHeight="1">
      <c r="R795" s="41"/>
      <c r="W795" s="41"/>
    </row>
    <row r="796" ht="15.75" customHeight="1">
      <c r="R796" s="41"/>
      <c r="W796" s="41"/>
    </row>
    <row r="797" ht="15.75" customHeight="1">
      <c r="R797" s="41"/>
      <c r="W797" s="41"/>
    </row>
    <row r="798" ht="15.75" customHeight="1">
      <c r="R798" s="41"/>
      <c r="W798" s="41"/>
    </row>
    <row r="799" ht="15.75" customHeight="1">
      <c r="R799" s="41"/>
      <c r="W799" s="41"/>
    </row>
    <row r="800" ht="15.75" customHeight="1">
      <c r="R800" s="41"/>
      <c r="W800" s="41"/>
    </row>
    <row r="801" ht="15.75" customHeight="1">
      <c r="R801" s="41"/>
      <c r="W801" s="41"/>
    </row>
    <row r="802" ht="15.75" customHeight="1">
      <c r="R802" s="41"/>
      <c r="W802" s="41"/>
    </row>
    <row r="803" ht="15.75" customHeight="1">
      <c r="R803" s="41"/>
      <c r="W803" s="41"/>
    </row>
    <row r="804" ht="15.75" customHeight="1">
      <c r="R804" s="41"/>
      <c r="W804" s="41"/>
    </row>
    <row r="805" ht="15.75" customHeight="1">
      <c r="R805" s="41"/>
      <c r="W805" s="41"/>
    </row>
    <row r="806" ht="15.75" customHeight="1">
      <c r="R806" s="41"/>
      <c r="W806" s="41"/>
    </row>
    <row r="807" ht="15.75" customHeight="1">
      <c r="R807" s="41"/>
      <c r="W807" s="41"/>
    </row>
    <row r="808" ht="15.75" customHeight="1">
      <c r="R808" s="41"/>
      <c r="W808" s="41"/>
    </row>
    <row r="809" ht="15.75" customHeight="1">
      <c r="R809" s="41"/>
      <c r="W809" s="41"/>
    </row>
    <row r="810" ht="15.75" customHeight="1">
      <c r="R810" s="41"/>
      <c r="W810" s="41"/>
    </row>
    <row r="811" ht="15.75" customHeight="1">
      <c r="R811" s="41"/>
      <c r="W811" s="41"/>
    </row>
    <row r="812" ht="15.75" customHeight="1">
      <c r="R812" s="41"/>
      <c r="W812" s="41"/>
    </row>
    <row r="813" ht="15.75" customHeight="1">
      <c r="R813" s="41"/>
      <c r="W813" s="41"/>
    </row>
    <row r="814" ht="15.75" customHeight="1">
      <c r="R814" s="41"/>
      <c r="W814" s="41"/>
    </row>
    <row r="815" ht="15.75" customHeight="1">
      <c r="R815" s="41"/>
      <c r="W815" s="41"/>
    </row>
    <row r="816" ht="15.75" customHeight="1">
      <c r="R816" s="41"/>
      <c r="W816" s="41"/>
    </row>
    <row r="817" ht="15.75" customHeight="1">
      <c r="R817" s="41"/>
      <c r="W817" s="41"/>
    </row>
    <row r="818" ht="15.75" customHeight="1">
      <c r="R818" s="41"/>
      <c r="W818" s="41"/>
    </row>
    <row r="819" ht="15.75" customHeight="1">
      <c r="R819" s="41"/>
      <c r="W819" s="41"/>
    </row>
    <row r="820" ht="15.75" customHeight="1">
      <c r="R820" s="41"/>
      <c r="W820" s="41"/>
    </row>
    <row r="821" ht="15.75" customHeight="1">
      <c r="R821" s="41"/>
      <c r="W821" s="41"/>
    </row>
    <row r="822" ht="15.75" customHeight="1">
      <c r="R822" s="41"/>
      <c r="W822" s="41"/>
    </row>
    <row r="823" ht="15.75" customHeight="1">
      <c r="R823" s="41"/>
      <c r="W823" s="41"/>
    </row>
    <row r="824" ht="15.75" customHeight="1">
      <c r="R824" s="41"/>
      <c r="W824" s="41"/>
    </row>
    <row r="825" ht="15.75" customHeight="1">
      <c r="R825" s="41"/>
      <c r="W825" s="41"/>
    </row>
    <row r="826" ht="15.75" customHeight="1">
      <c r="R826" s="41"/>
      <c r="W826" s="41"/>
    </row>
    <row r="827" ht="15.75" customHeight="1">
      <c r="R827" s="41"/>
      <c r="W827" s="41"/>
    </row>
    <row r="828" ht="15.75" customHeight="1">
      <c r="R828" s="41"/>
      <c r="W828" s="41"/>
    </row>
    <row r="829" ht="15.75" customHeight="1">
      <c r="R829" s="41"/>
      <c r="W829" s="41"/>
    </row>
    <row r="830" ht="15.75" customHeight="1">
      <c r="R830" s="41"/>
      <c r="W830" s="41"/>
    </row>
    <row r="831" ht="15.75" customHeight="1">
      <c r="R831" s="41"/>
      <c r="W831" s="41"/>
    </row>
    <row r="832" ht="15.75" customHeight="1">
      <c r="R832" s="41"/>
      <c r="W832" s="41"/>
    </row>
    <row r="833" ht="15.75" customHeight="1">
      <c r="R833" s="41"/>
      <c r="W833" s="41"/>
    </row>
    <row r="834" ht="15.75" customHeight="1">
      <c r="R834" s="41"/>
      <c r="W834" s="41"/>
    </row>
    <row r="835" ht="15.75" customHeight="1">
      <c r="R835" s="41"/>
      <c r="W835" s="41"/>
    </row>
    <row r="836" ht="15.75" customHeight="1">
      <c r="R836" s="41"/>
      <c r="W836" s="41"/>
    </row>
    <row r="837" ht="15.75" customHeight="1">
      <c r="R837" s="41"/>
      <c r="W837" s="41"/>
    </row>
    <row r="838" ht="15.75" customHeight="1">
      <c r="R838" s="41"/>
      <c r="W838" s="41"/>
    </row>
    <row r="839" ht="15.75" customHeight="1">
      <c r="R839" s="41"/>
      <c r="W839" s="41"/>
    </row>
    <row r="840" ht="15.75" customHeight="1">
      <c r="R840" s="41"/>
      <c r="W840" s="41"/>
    </row>
    <row r="841" ht="15.75" customHeight="1">
      <c r="R841" s="41"/>
      <c r="W841" s="41"/>
    </row>
    <row r="842" ht="15.75" customHeight="1">
      <c r="R842" s="41"/>
      <c r="W842" s="41"/>
    </row>
    <row r="843" ht="15.75" customHeight="1">
      <c r="R843" s="41"/>
      <c r="W843" s="41"/>
    </row>
    <row r="844" ht="15.75" customHeight="1">
      <c r="R844" s="41"/>
      <c r="W844" s="41"/>
    </row>
    <row r="845" ht="15.75" customHeight="1">
      <c r="R845" s="41"/>
      <c r="W845" s="41"/>
    </row>
    <row r="846" ht="15.75" customHeight="1">
      <c r="R846" s="41"/>
      <c r="W846" s="41"/>
    </row>
    <row r="847" ht="15.75" customHeight="1">
      <c r="R847" s="41"/>
      <c r="W847" s="41"/>
    </row>
    <row r="848" ht="15.75" customHeight="1">
      <c r="R848" s="41"/>
      <c r="W848" s="41"/>
    </row>
    <row r="849" ht="15.75" customHeight="1">
      <c r="R849" s="41"/>
      <c r="W849" s="41"/>
    </row>
    <row r="850" ht="15.75" customHeight="1">
      <c r="R850" s="41"/>
      <c r="W850" s="41"/>
    </row>
    <row r="851" ht="15.75" customHeight="1">
      <c r="R851" s="41"/>
      <c r="W851" s="41"/>
    </row>
    <row r="852" ht="15.75" customHeight="1">
      <c r="R852" s="41"/>
      <c r="W852" s="41"/>
    </row>
    <row r="853" ht="15.75" customHeight="1">
      <c r="R853" s="41"/>
      <c r="W853" s="41"/>
    </row>
    <row r="854" ht="15.75" customHeight="1">
      <c r="R854" s="41"/>
      <c r="W854" s="41"/>
    </row>
    <row r="855" ht="15.75" customHeight="1">
      <c r="R855" s="41"/>
      <c r="W855" s="41"/>
    </row>
    <row r="856" ht="15.75" customHeight="1">
      <c r="R856" s="41"/>
      <c r="W856" s="41"/>
    </row>
    <row r="857" ht="15.75" customHeight="1">
      <c r="R857" s="41"/>
      <c r="W857" s="41"/>
    </row>
    <row r="858" ht="15.75" customHeight="1">
      <c r="R858" s="41"/>
      <c r="W858" s="41"/>
    </row>
    <row r="859" ht="15.75" customHeight="1">
      <c r="R859" s="41"/>
      <c r="W859" s="41"/>
    </row>
    <row r="860" ht="15.75" customHeight="1">
      <c r="R860" s="41"/>
      <c r="W860" s="41"/>
    </row>
    <row r="861" ht="15.75" customHeight="1">
      <c r="R861" s="41"/>
      <c r="W861" s="41"/>
    </row>
    <row r="862" ht="15.75" customHeight="1">
      <c r="R862" s="41"/>
      <c r="W862" s="41"/>
    </row>
    <row r="863" ht="15.75" customHeight="1">
      <c r="R863" s="41"/>
      <c r="W863" s="41"/>
    </row>
    <row r="864" ht="15.75" customHeight="1">
      <c r="R864" s="41"/>
      <c r="W864" s="41"/>
    </row>
    <row r="865" ht="15.75" customHeight="1">
      <c r="R865" s="41"/>
      <c r="W865" s="41"/>
    </row>
    <row r="866" ht="15.75" customHeight="1">
      <c r="R866" s="41"/>
      <c r="W866" s="41"/>
    </row>
    <row r="867" ht="15.75" customHeight="1">
      <c r="R867" s="41"/>
      <c r="W867" s="41"/>
    </row>
    <row r="868" ht="15.75" customHeight="1">
      <c r="R868" s="41"/>
      <c r="W868" s="41"/>
    </row>
    <row r="869" ht="15.75" customHeight="1">
      <c r="R869" s="41"/>
      <c r="W869" s="41"/>
    </row>
    <row r="870" ht="15.75" customHeight="1">
      <c r="R870" s="41"/>
      <c r="W870" s="41"/>
    </row>
    <row r="871" ht="15.75" customHeight="1">
      <c r="R871" s="41"/>
      <c r="W871" s="41"/>
    </row>
    <row r="872" ht="15.75" customHeight="1">
      <c r="R872" s="41"/>
      <c r="W872" s="41"/>
    </row>
    <row r="873" ht="15.75" customHeight="1">
      <c r="R873" s="41"/>
      <c r="W873" s="41"/>
    </row>
    <row r="874" ht="15.75" customHeight="1">
      <c r="R874" s="41"/>
      <c r="W874" s="41"/>
    </row>
    <row r="875" ht="15.75" customHeight="1">
      <c r="R875" s="41"/>
      <c r="W875" s="41"/>
    </row>
    <row r="876" ht="15.75" customHeight="1">
      <c r="R876" s="41"/>
      <c r="W876" s="41"/>
    </row>
    <row r="877" ht="15.75" customHeight="1">
      <c r="R877" s="41"/>
      <c r="W877" s="41"/>
    </row>
    <row r="878" ht="15.75" customHeight="1">
      <c r="R878" s="41"/>
      <c r="W878" s="41"/>
    </row>
    <row r="879" ht="15.75" customHeight="1">
      <c r="R879" s="41"/>
      <c r="W879" s="41"/>
    </row>
    <row r="880" ht="15.75" customHeight="1">
      <c r="R880" s="41"/>
      <c r="W880" s="41"/>
    </row>
    <row r="881" ht="15.75" customHeight="1">
      <c r="R881" s="41"/>
      <c r="W881" s="41"/>
    </row>
    <row r="882" ht="15.75" customHeight="1">
      <c r="R882" s="41"/>
      <c r="W882" s="41"/>
    </row>
    <row r="883" ht="15.75" customHeight="1">
      <c r="R883" s="41"/>
      <c r="W883" s="41"/>
    </row>
    <row r="884" ht="15.75" customHeight="1">
      <c r="R884" s="41"/>
      <c r="W884" s="41"/>
    </row>
    <row r="885" ht="15.75" customHeight="1">
      <c r="R885" s="41"/>
      <c r="W885" s="41"/>
    </row>
    <row r="886" ht="15.75" customHeight="1">
      <c r="R886" s="41"/>
      <c r="W886" s="41"/>
    </row>
    <row r="887" ht="15.75" customHeight="1">
      <c r="R887" s="41"/>
      <c r="W887" s="41"/>
    </row>
    <row r="888" ht="15.75" customHeight="1">
      <c r="R888" s="41"/>
      <c r="W888" s="41"/>
    </row>
    <row r="889" ht="15.75" customHeight="1">
      <c r="R889" s="41"/>
      <c r="W889" s="41"/>
    </row>
    <row r="890" ht="15.75" customHeight="1">
      <c r="R890" s="41"/>
      <c r="W890" s="41"/>
    </row>
    <row r="891" ht="15.75" customHeight="1">
      <c r="R891" s="41"/>
      <c r="W891" s="41"/>
    </row>
    <row r="892" ht="15.75" customHeight="1">
      <c r="R892" s="41"/>
      <c r="W892" s="41"/>
    </row>
    <row r="893" ht="15.75" customHeight="1">
      <c r="R893" s="41"/>
      <c r="W893" s="41"/>
    </row>
    <row r="894" ht="15.75" customHeight="1">
      <c r="R894" s="41"/>
      <c r="W894" s="41"/>
    </row>
    <row r="895" ht="15.75" customHeight="1">
      <c r="R895" s="41"/>
      <c r="W895" s="41"/>
    </row>
    <row r="896" ht="15.75" customHeight="1">
      <c r="R896" s="41"/>
      <c r="W896" s="41"/>
    </row>
    <row r="897" ht="15.75" customHeight="1">
      <c r="R897" s="41"/>
      <c r="W897" s="41"/>
    </row>
    <row r="898" ht="15.75" customHeight="1">
      <c r="R898" s="41"/>
      <c r="W898" s="41"/>
    </row>
    <row r="899" ht="15.75" customHeight="1">
      <c r="R899" s="41"/>
      <c r="W899" s="41"/>
    </row>
    <row r="900" ht="15.75" customHeight="1">
      <c r="R900" s="41"/>
      <c r="W900" s="41"/>
    </row>
    <row r="901" ht="15.75" customHeight="1">
      <c r="R901" s="41"/>
      <c r="W901" s="41"/>
    </row>
    <row r="902" ht="15.75" customHeight="1">
      <c r="R902" s="41"/>
      <c r="W902" s="41"/>
    </row>
    <row r="903" ht="15.75" customHeight="1">
      <c r="R903" s="41"/>
      <c r="W903" s="41"/>
    </row>
    <row r="904" ht="15.75" customHeight="1">
      <c r="R904" s="41"/>
      <c r="W904" s="41"/>
    </row>
    <row r="905" ht="15.75" customHeight="1">
      <c r="R905" s="41"/>
      <c r="W905" s="41"/>
    </row>
    <row r="906" ht="15.75" customHeight="1">
      <c r="R906" s="41"/>
      <c r="W906" s="41"/>
    </row>
    <row r="907" ht="15.75" customHeight="1">
      <c r="R907" s="41"/>
      <c r="W907" s="41"/>
    </row>
    <row r="908" ht="15.75" customHeight="1">
      <c r="R908" s="41"/>
      <c r="W908" s="41"/>
    </row>
    <row r="909" ht="15.75" customHeight="1">
      <c r="R909" s="41"/>
      <c r="W909" s="41"/>
    </row>
    <row r="910" ht="15.75" customHeight="1">
      <c r="R910" s="41"/>
      <c r="W910" s="41"/>
    </row>
    <row r="911" ht="15.75" customHeight="1">
      <c r="R911" s="41"/>
      <c r="W911" s="41"/>
    </row>
    <row r="912" ht="15.75" customHeight="1">
      <c r="R912" s="41"/>
      <c r="W912" s="41"/>
    </row>
    <row r="913" ht="15.75" customHeight="1">
      <c r="R913" s="41"/>
      <c r="W913" s="41"/>
    </row>
    <row r="914" ht="15.75" customHeight="1">
      <c r="R914" s="41"/>
      <c r="W914" s="41"/>
    </row>
    <row r="915" ht="15.75" customHeight="1">
      <c r="R915" s="41"/>
      <c r="W915" s="41"/>
    </row>
    <row r="916" ht="15.75" customHeight="1">
      <c r="R916" s="41"/>
      <c r="W916" s="41"/>
    </row>
    <row r="917" ht="15.75" customHeight="1">
      <c r="R917" s="41"/>
      <c r="W917" s="41"/>
    </row>
    <row r="918" ht="15.75" customHeight="1">
      <c r="R918" s="41"/>
      <c r="W918" s="41"/>
    </row>
    <row r="919" ht="15.75" customHeight="1">
      <c r="R919" s="41"/>
      <c r="W919" s="41"/>
    </row>
    <row r="920" ht="15.75" customHeight="1">
      <c r="R920" s="41"/>
      <c r="W920" s="41"/>
    </row>
    <row r="921" ht="15.75" customHeight="1">
      <c r="R921" s="41"/>
      <c r="W921" s="41"/>
    </row>
    <row r="922" ht="15.75" customHeight="1">
      <c r="R922" s="41"/>
      <c r="W922" s="41"/>
    </row>
    <row r="923" ht="15.75" customHeight="1">
      <c r="R923" s="41"/>
      <c r="W923" s="41"/>
    </row>
    <row r="924" ht="15.75" customHeight="1">
      <c r="R924" s="41"/>
      <c r="W924" s="41"/>
    </row>
    <row r="925" ht="15.75" customHeight="1">
      <c r="R925" s="41"/>
      <c r="W925" s="41"/>
    </row>
    <row r="926" ht="15.75" customHeight="1">
      <c r="R926" s="41"/>
      <c r="W926" s="41"/>
    </row>
    <row r="927" ht="15.75" customHeight="1">
      <c r="R927" s="41"/>
      <c r="W927" s="41"/>
    </row>
    <row r="928" ht="15.75" customHeight="1">
      <c r="R928" s="41"/>
      <c r="W928" s="41"/>
    </row>
    <row r="929" ht="15.75" customHeight="1">
      <c r="R929" s="41"/>
      <c r="W929" s="41"/>
    </row>
    <row r="930" ht="15.75" customHeight="1">
      <c r="R930" s="41"/>
      <c r="W930" s="41"/>
    </row>
    <row r="931" ht="15.75" customHeight="1">
      <c r="R931" s="41"/>
      <c r="W931" s="41"/>
    </row>
    <row r="932" ht="15.75" customHeight="1">
      <c r="R932" s="41"/>
      <c r="W932" s="41"/>
    </row>
    <row r="933" ht="15.75" customHeight="1">
      <c r="R933" s="41"/>
      <c r="W933" s="41"/>
    </row>
    <row r="934" ht="15.75" customHeight="1">
      <c r="R934" s="41"/>
      <c r="W934" s="41"/>
    </row>
    <row r="935" ht="15.75" customHeight="1">
      <c r="R935" s="41"/>
      <c r="W935" s="41"/>
    </row>
    <row r="936" ht="15.75" customHeight="1">
      <c r="R936" s="41"/>
      <c r="W936" s="41"/>
    </row>
    <row r="937" ht="15.75" customHeight="1">
      <c r="R937" s="41"/>
      <c r="W937" s="41"/>
    </row>
    <row r="938" ht="15.75" customHeight="1">
      <c r="R938" s="41"/>
      <c r="W938" s="41"/>
    </row>
    <row r="939" ht="15.75" customHeight="1">
      <c r="R939" s="41"/>
      <c r="W939" s="41"/>
    </row>
    <row r="940" ht="15.75" customHeight="1">
      <c r="R940" s="41"/>
      <c r="W940" s="41"/>
    </row>
    <row r="941" ht="15.75" customHeight="1">
      <c r="R941" s="41"/>
      <c r="W941" s="41"/>
    </row>
    <row r="942" ht="15.75" customHeight="1">
      <c r="R942" s="41"/>
      <c r="W942" s="41"/>
    </row>
    <row r="943" ht="15.75" customHeight="1">
      <c r="R943" s="41"/>
      <c r="W943" s="41"/>
    </row>
    <row r="944" ht="15.75" customHeight="1">
      <c r="R944" s="41"/>
      <c r="W944" s="41"/>
    </row>
    <row r="945" ht="15.75" customHeight="1">
      <c r="R945" s="41"/>
      <c r="W945" s="41"/>
    </row>
    <row r="946" ht="15.75" customHeight="1">
      <c r="R946" s="41"/>
      <c r="W946" s="41"/>
    </row>
    <row r="947" ht="15.75" customHeight="1">
      <c r="R947" s="41"/>
      <c r="W947" s="41"/>
    </row>
    <row r="948" ht="15.75" customHeight="1">
      <c r="R948" s="41"/>
      <c r="W948" s="41"/>
    </row>
    <row r="949" ht="15.75" customHeight="1">
      <c r="R949" s="41"/>
      <c r="W949" s="41"/>
    </row>
    <row r="950" ht="15.75" customHeight="1">
      <c r="R950" s="41"/>
      <c r="W950" s="41"/>
    </row>
    <row r="951" ht="15.75" customHeight="1">
      <c r="R951" s="41"/>
      <c r="W951" s="41"/>
    </row>
    <row r="952" ht="15.75" customHeight="1">
      <c r="R952" s="41"/>
      <c r="W952" s="41"/>
    </row>
    <row r="953" ht="15.75" customHeight="1">
      <c r="R953" s="41"/>
      <c r="W953" s="41"/>
    </row>
    <row r="954" ht="15.75" customHeight="1">
      <c r="R954" s="41"/>
      <c r="W954" s="41"/>
    </row>
    <row r="955" ht="15.75" customHeight="1">
      <c r="R955" s="41"/>
      <c r="W955" s="41"/>
    </row>
    <row r="956" ht="15.75" customHeight="1">
      <c r="R956" s="41"/>
      <c r="W956" s="41"/>
    </row>
    <row r="957" ht="15.75" customHeight="1">
      <c r="R957" s="41"/>
      <c r="W957" s="41"/>
    </row>
    <row r="958" ht="15.75" customHeight="1">
      <c r="R958" s="41"/>
      <c r="W958" s="41"/>
    </row>
    <row r="959" ht="15.75" customHeight="1">
      <c r="R959" s="41"/>
      <c r="W959" s="41"/>
    </row>
    <row r="960" ht="15.75" customHeight="1">
      <c r="R960" s="41"/>
      <c r="W960" s="41"/>
    </row>
    <row r="961" ht="15.75" customHeight="1">
      <c r="R961" s="41"/>
      <c r="W961" s="41"/>
    </row>
    <row r="962" ht="15.75" customHeight="1">
      <c r="R962" s="41"/>
      <c r="W962" s="41"/>
    </row>
    <row r="963" ht="15.75" customHeight="1">
      <c r="R963" s="41"/>
      <c r="W963" s="41"/>
    </row>
    <row r="964" ht="15.75" customHeight="1">
      <c r="R964" s="41"/>
      <c r="W964" s="41"/>
    </row>
    <row r="965" ht="15.75" customHeight="1">
      <c r="R965" s="41"/>
      <c r="W965" s="41"/>
    </row>
    <row r="966" ht="15.75" customHeight="1">
      <c r="R966" s="41"/>
      <c r="W966" s="41"/>
    </row>
    <row r="967" ht="15.75" customHeight="1">
      <c r="R967" s="41"/>
      <c r="W967" s="41"/>
    </row>
    <row r="968" ht="15.75" customHeight="1">
      <c r="R968" s="41"/>
      <c r="W968" s="41"/>
    </row>
    <row r="969" ht="15.75" customHeight="1">
      <c r="R969" s="41"/>
      <c r="W969" s="41"/>
    </row>
    <row r="970" ht="15.75" customHeight="1">
      <c r="R970" s="41"/>
      <c r="W970" s="41"/>
    </row>
    <row r="971" ht="15.75" customHeight="1">
      <c r="R971" s="41"/>
      <c r="W971" s="41"/>
    </row>
    <row r="972" ht="15.75" customHeight="1">
      <c r="R972" s="41"/>
      <c r="W972" s="41"/>
    </row>
    <row r="973" ht="15.75" customHeight="1">
      <c r="R973" s="41"/>
      <c r="W973" s="41"/>
    </row>
    <row r="974" ht="15.75" customHeight="1">
      <c r="R974" s="41"/>
      <c r="W974" s="41"/>
    </row>
    <row r="975" ht="15.75" customHeight="1">
      <c r="R975" s="41"/>
      <c r="W975" s="41"/>
    </row>
    <row r="976" ht="15.75" customHeight="1">
      <c r="R976" s="41"/>
      <c r="W976" s="41"/>
    </row>
    <row r="977" ht="15.75" customHeight="1">
      <c r="R977" s="41"/>
      <c r="W977" s="41"/>
    </row>
    <row r="978" ht="15.75" customHeight="1">
      <c r="R978" s="41"/>
      <c r="W978" s="41"/>
    </row>
    <row r="979" ht="15.75" customHeight="1">
      <c r="R979" s="41"/>
      <c r="W979" s="41"/>
    </row>
    <row r="980" ht="15.75" customHeight="1">
      <c r="R980" s="41"/>
      <c r="W980" s="41"/>
    </row>
    <row r="981" ht="15.75" customHeight="1">
      <c r="R981" s="41"/>
      <c r="W981" s="41"/>
    </row>
    <row r="982" ht="15.75" customHeight="1">
      <c r="R982" s="41"/>
      <c r="W982" s="41"/>
    </row>
    <row r="983" ht="15.75" customHeight="1">
      <c r="R983" s="41"/>
      <c r="W983" s="41"/>
    </row>
    <row r="984" ht="15.75" customHeight="1">
      <c r="R984" s="41"/>
      <c r="W984" s="41"/>
    </row>
    <row r="985" ht="15.75" customHeight="1">
      <c r="R985" s="41"/>
      <c r="W985" s="41"/>
    </row>
    <row r="986" ht="15.75" customHeight="1">
      <c r="R986" s="41"/>
      <c r="W986" s="41"/>
    </row>
    <row r="987" ht="15.75" customHeight="1">
      <c r="R987" s="41"/>
      <c r="W987" s="41"/>
    </row>
    <row r="988" ht="15.75" customHeight="1">
      <c r="R988" s="41"/>
      <c r="W988" s="41"/>
    </row>
    <row r="989" ht="15.75" customHeight="1">
      <c r="R989" s="41"/>
      <c r="W989" s="41"/>
    </row>
    <row r="990" ht="15.75" customHeight="1">
      <c r="R990" s="41"/>
      <c r="W990" s="41"/>
    </row>
    <row r="991" ht="15.75" customHeight="1">
      <c r="R991" s="41"/>
      <c r="W991" s="41"/>
    </row>
    <row r="992" ht="15.75" customHeight="1">
      <c r="R992" s="41"/>
      <c r="W992" s="41"/>
    </row>
    <row r="993" ht="15.75" customHeight="1">
      <c r="R993" s="41"/>
      <c r="W993" s="41"/>
    </row>
    <row r="994" ht="15.75" customHeight="1">
      <c r="R994" s="41"/>
      <c r="W994" s="41"/>
    </row>
    <row r="995" ht="15.75" customHeight="1">
      <c r="R995" s="41"/>
      <c r="W995" s="41"/>
    </row>
    <row r="996" ht="15.75" customHeight="1">
      <c r="R996" s="41"/>
      <c r="W996" s="41"/>
    </row>
    <row r="997" ht="15.75" customHeight="1">
      <c r="R997" s="41"/>
      <c r="W997" s="41"/>
    </row>
    <row r="998" ht="15.75" customHeight="1">
      <c r="R998" s="41"/>
      <c r="W998" s="41"/>
    </row>
    <row r="999" ht="15.75" customHeight="1">
      <c r="R999" s="41"/>
      <c r="W999" s="41"/>
    </row>
    <row r="1000" ht="15.75" customHeight="1">
      <c r="R1000" s="41"/>
      <c r="W1000" s="41"/>
    </row>
  </sheetData>
  <autoFilter ref="$A$1:$W$21"/>
  <dataValidations>
    <dataValidation type="list" allowBlank="1" showInputMessage="1" showErrorMessage="1" prompt="Pick a value from the list" sqref="C2:C21">
      <formula1>"Upgrade,Net new"</formula1>
    </dataValidation>
    <dataValidation type="list" allowBlank="1" showInputMessage="1" showErrorMessage="1" prompt="Pick a value from the list" sqref="D2:D21">
      <formula1>"Y,N,Unknown"</formula1>
    </dataValidation>
    <dataValidation type="list" allowBlank="1" showInputMessage="1" showErrorMessage="1" prompt="Pick a value from the list" sqref="K2:K21">
      <formula1>"Not held,No Go,Go"</formula1>
    </dataValidation>
    <dataValidation type="list" allowBlank="1" showInputMessage="1" showErrorMessage="1" prompt="Pick a value from the list" sqref="J2:J21">
      <formula1>"Not started,Pre-onboarding,Onboarding,Post-onboarding,Done,On hold"</formula1>
    </dataValidation>
  </dataValidations>
  <hyperlinks>
    <hyperlink r:id="rId4" ref="I3"/>
    <hyperlink r:id="rId5" ref="I4"/>
    <hyperlink r:id="rId6" ref="I5"/>
    <hyperlink r:id="rId7" ref="I6"/>
    <hyperlink r:id="rId8" ref="I7"/>
    <hyperlink r:id="rId9" ref="I8"/>
    <hyperlink r:id="rId10" ref="I9"/>
  </hyperlinks>
  <printOptions/>
  <pageMargins bottom="1.0" footer="0.0" header="0.0" left="0.75" right="0.75" top="1.0"/>
  <pageSetup orientation="landscape"/>
  <drawing r:id="rId11"/>
  <legacy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A55"/>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21.29"/>
    <col customWidth="1" min="3" max="3" width="48.43"/>
    <col customWidth="1" min="4" max="4" width="17.57"/>
    <col customWidth="1" min="5" max="5" width="24.0"/>
    <col customWidth="1" min="6" max="6" width="12.0"/>
    <col customWidth="1" min="7" max="7" width="11.0"/>
    <col customWidth="1" min="8" max="8" width="32.0"/>
    <col customWidth="1" min="9" max="9" width="16.43"/>
    <col customWidth="1" min="10" max="10" width="28.0"/>
    <col customWidth="1" min="11" max="11" width="24.0"/>
  </cols>
  <sheetData>
    <row r="1" ht="31.5" customHeight="1">
      <c r="A1" s="10" t="s">
        <v>111</v>
      </c>
      <c r="B1" s="10" t="s">
        <v>209</v>
      </c>
      <c r="C1" s="10" t="s">
        <v>210</v>
      </c>
      <c r="D1" s="10" t="s">
        <v>23</v>
      </c>
      <c r="E1" s="10" t="s">
        <v>211</v>
      </c>
      <c r="F1" s="10" t="s">
        <v>212</v>
      </c>
      <c r="G1" s="29" t="s">
        <v>213</v>
      </c>
      <c r="H1" s="29" t="s">
        <v>214</v>
      </c>
      <c r="I1" s="10" t="s">
        <v>215</v>
      </c>
      <c r="J1" s="29" t="s">
        <v>139</v>
      </c>
      <c r="K1" s="10" t="s">
        <v>216</v>
      </c>
    </row>
    <row r="2">
      <c r="A2" s="31" t="s">
        <v>140</v>
      </c>
      <c r="B2" s="42" t="s">
        <v>29</v>
      </c>
      <c r="C2" s="42" t="s">
        <v>217</v>
      </c>
      <c r="D2" s="42" t="s">
        <v>32</v>
      </c>
      <c r="E2" s="43" t="str">
        <f t="array" ref="E2">IF($A2="","",IFERROR(IF($D2="TSE",INDEX(Accounts!$G$2:$G$21,MATCH($A2,Accounts!$B$2:$B$21,0))&amp;"",IF($D2="PS",INDEX(Accounts!$F$2:$F$21,MATCH($A2,Accounts!$B$2:$B$21,0))&amp;"",IF($D2="Named engineer",INDEX(Accounts!$I$2:$I$21,MATCH($A2,Accounts!$B$2:$B$21,0))&amp;"",IF($D2="TSE + PS",IF(INDEX(Accounts!$G$2:$G$21,MATCH($A2,Accounts!$B$2:$B$21,0))&amp;""="","(no TSE)",INDEX(Accounts!$G$2:$G$21,MATCH($A2,Accounts!$B$2:$B$21,0))&amp;"")&amp;" / "&amp;IF(INDEX(Accounts!$F$2:$F$21,MATCH($A2,Accounts!$B$2:$B$21,0))&amp;""="","(no PS)",INDEX(Accounts!$F$2:$F$21,MATCH($A2,Accounts!$B$2:$B$21,0))&amp;""),"")))),""))</f>
        <v>Z Yu</v>
      </c>
      <c r="F2" s="42" t="s">
        <v>104</v>
      </c>
      <c r="I2" s="42" t="s">
        <v>34</v>
      </c>
      <c r="K2" s="44" t="str">
        <f t="shared" ref="K2:K1000" si="1">IF(F2="Done",IF(AND(I2="Y",H2=""),"Evidence missing ","")&amp;IF(G2="","Date missing ",""),"")&amp;IF(E2="","Owner missing ","")&amp;IF(F2="Skipped","Skipped","")</f>
        <v/>
      </c>
    </row>
    <row r="3">
      <c r="A3" s="31" t="s">
        <v>140</v>
      </c>
      <c r="B3" s="42" t="s">
        <v>36</v>
      </c>
      <c r="C3" s="42" t="s">
        <v>218</v>
      </c>
      <c r="D3" s="42" t="s">
        <v>32</v>
      </c>
      <c r="E3" s="43" t="str">
        <f t="array" ref="E3">IF($A3="","",IFERROR(IF($D3="TSE",INDEX(Accounts!$G$2:$G$21,MATCH($A3,Accounts!$B$2:$B$21,0))&amp;"",IF($D3="PS",INDEX(Accounts!$F$2:$F$21,MATCH($A3,Accounts!$B$2:$B$21,0))&amp;"",IF($D3="Named engineer",INDEX(Accounts!$I$2:$I$21,MATCH($A3,Accounts!$B$2:$B$21,0))&amp;"",IF($D3="TSE + PS",IF(INDEX(Accounts!$G$2:$G$21,MATCH($A3,Accounts!$B$2:$B$21,0))&amp;""="","(no TSE)",INDEX(Accounts!$G$2:$G$21,MATCH($A3,Accounts!$B$2:$B$21,0))&amp;"")&amp;" / "&amp;IF(INDEX(Accounts!$F$2:$F$21,MATCH($A3,Accounts!$B$2:$B$21,0))&amp;""="","(no PS)",INDEX(Accounts!$F$2:$F$21,MATCH($A3,Accounts!$B$2:$B$21,0))&amp;""),"")))),""))</f>
        <v>Z Yu</v>
      </c>
      <c r="F3" s="42" t="s">
        <v>104</v>
      </c>
      <c r="I3" s="42" t="s">
        <v>34</v>
      </c>
      <c r="K3" s="44" t="str">
        <f t="shared" si="1"/>
        <v/>
      </c>
    </row>
    <row r="4">
      <c r="A4" s="31" t="s">
        <v>140</v>
      </c>
      <c r="B4" s="42" t="s">
        <v>40</v>
      </c>
      <c r="C4" s="42" t="s">
        <v>219</v>
      </c>
      <c r="D4" s="42" t="s">
        <v>32</v>
      </c>
      <c r="E4" s="43" t="str">
        <f t="array" ref="E4">IF($A4="","",IFERROR(IF($D4="TSE",INDEX(Accounts!$G$2:$G$21,MATCH($A4,Accounts!$B$2:$B$21,0))&amp;"",IF($D4="PS",INDEX(Accounts!$F$2:$F$21,MATCH($A4,Accounts!$B$2:$B$21,0))&amp;"",IF($D4="Named engineer",INDEX(Accounts!$I$2:$I$21,MATCH($A4,Accounts!$B$2:$B$21,0))&amp;"",IF($D4="TSE + PS",IF(INDEX(Accounts!$G$2:$G$21,MATCH($A4,Accounts!$B$2:$B$21,0))&amp;""="","(no TSE)",INDEX(Accounts!$G$2:$G$21,MATCH($A4,Accounts!$B$2:$B$21,0))&amp;"")&amp;" / "&amp;IF(INDEX(Accounts!$F$2:$F$21,MATCH($A4,Accounts!$B$2:$B$21,0))&amp;""="","(no PS)",INDEX(Accounts!$F$2:$F$21,MATCH($A4,Accounts!$B$2:$B$21,0))&amp;""),"")))),""))</f>
        <v>Z Yu</v>
      </c>
      <c r="F4" s="42" t="s">
        <v>104</v>
      </c>
      <c r="I4" s="42" t="s">
        <v>34</v>
      </c>
      <c r="K4" s="44" t="str">
        <f t="shared" si="1"/>
        <v/>
      </c>
    </row>
    <row r="5">
      <c r="A5" s="31" t="s">
        <v>140</v>
      </c>
      <c r="B5" s="42" t="s">
        <v>44</v>
      </c>
      <c r="C5" s="42" t="s">
        <v>220</v>
      </c>
      <c r="D5" s="42" t="s">
        <v>46</v>
      </c>
      <c r="E5" s="43" t="str">
        <f t="array" ref="E5">IF($A5="","",IFERROR(IF($D5="TSE",INDEX(Accounts!$G$2:$G$21,MATCH($A5,Accounts!$B$2:$B$21,0))&amp;"",IF($D5="PS",INDEX(Accounts!$F$2:$F$21,MATCH($A5,Accounts!$B$2:$B$21,0))&amp;"",IF($D5="Named engineer",INDEX(Accounts!$I$2:$I$21,MATCH($A5,Accounts!$B$2:$B$21,0))&amp;"",IF($D5="TSE + PS",IF(INDEX(Accounts!$G$2:$G$21,MATCH($A5,Accounts!$B$2:$B$21,0))&amp;""="","(no TSE)",INDEX(Accounts!$G$2:$G$21,MATCH($A5,Accounts!$B$2:$B$21,0))&amp;"")&amp;" / "&amp;IF(INDEX(Accounts!$F$2:$F$21,MATCH($A5,Accounts!$B$2:$B$21,0))&amp;""="","(no PS)",INDEX(Accounts!$F$2:$F$21,MATCH($A5,Accounts!$B$2:$B$21,0))&amp;""),"")))),""))</f>
        <v/>
      </c>
      <c r="F5" s="42" t="s">
        <v>104</v>
      </c>
      <c r="I5" s="42" t="s">
        <v>34</v>
      </c>
      <c r="K5" s="44" t="str">
        <f t="shared" si="1"/>
        <v>Owner missing </v>
      </c>
    </row>
    <row r="6">
      <c r="A6" s="31" t="s">
        <v>140</v>
      </c>
      <c r="B6" s="42" t="s">
        <v>49</v>
      </c>
      <c r="C6" s="42" t="s">
        <v>221</v>
      </c>
      <c r="D6" s="42" t="s">
        <v>32</v>
      </c>
      <c r="E6" s="43" t="str">
        <f t="array" ref="E6">IF($A6="","",IFERROR(IF($D6="TSE",INDEX(Accounts!$G$2:$G$21,MATCH($A6,Accounts!$B$2:$B$21,0))&amp;"",IF($D6="PS",INDEX(Accounts!$F$2:$F$21,MATCH($A6,Accounts!$B$2:$B$21,0))&amp;"",IF($D6="Named engineer",INDEX(Accounts!$I$2:$I$21,MATCH($A6,Accounts!$B$2:$B$21,0))&amp;"",IF($D6="TSE + PS",IF(INDEX(Accounts!$G$2:$G$21,MATCH($A6,Accounts!$B$2:$B$21,0))&amp;""="","(no TSE)",INDEX(Accounts!$G$2:$G$21,MATCH($A6,Accounts!$B$2:$B$21,0))&amp;"")&amp;" / "&amp;IF(INDEX(Accounts!$F$2:$F$21,MATCH($A6,Accounts!$B$2:$B$21,0))&amp;""="","(no PS)",INDEX(Accounts!$F$2:$F$21,MATCH($A6,Accounts!$B$2:$B$21,0))&amp;""),"")))),""))</f>
        <v>Z Yu</v>
      </c>
      <c r="F6" s="42" t="s">
        <v>104</v>
      </c>
      <c r="I6" s="42" t="s">
        <v>34</v>
      </c>
      <c r="K6" s="44" t="str">
        <f t="shared" si="1"/>
        <v/>
      </c>
    </row>
    <row r="7">
      <c r="A7" s="31" t="s">
        <v>140</v>
      </c>
      <c r="B7" s="42" t="s">
        <v>53</v>
      </c>
      <c r="C7" s="42" t="s">
        <v>222</v>
      </c>
      <c r="D7" s="42" t="s">
        <v>32</v>
      </c>
      <c r="E7" s="43" t="str">
        <f t="array" ref="E7">IF($A7="","",IFERROR(IF($D7="TSE",INDEX(Accounts!$G$2:$G$21,MATCH($A7,Accounts!$B$2:$B$21,0))&amp;"",IF($D7="PS",INDEX(Accounts!$F$2:$F$21,MATCH($A7,Accounts!$B$2:$B$21,0))&amp;"",IF($D7="Named engineer",INDEX(Accounts!$I$2:$I$21,MATCH($A7,Accounts!$B$2:$B$21,0))&amp;"",IF($D7="TSE + PS",IF(INDEX(Accounts!$G$2:$G$21,MATCH($A7,Accounts!$B$2:$B$21,0))&amp;""="","(no TSE)",INDEX(Accounts!$G$2:$G$21,MATCH($A7,Accounts!$B$2:$B$21,0))&amp;"")&amp;" / "&amp;IF(INDEX(Accounts!$F$2:$F$21,MATCH($A7,Accounts!$B$2:$B$21,0))&amp;""="","(no PS)",INDEX(Accounts!$F$2:$F$21,MATCH($A7,Accounts!$B$2:$B$21,0))&amp;""),"")))),""))</f>
        <v>Z Yu</v>
      </c>
      <c r="F7" s="42" t="s">
        <v>104</v>
      </c>
      <c r="I7" s="42" t="s">
        <v>56</v>
      </c>
      <c r="K7" s="44" t="str">
        <f t="shared" si="1"/>
        <v/>
      </c>
    </row>
    <row r="8">
      <c r="A8" s="31" t="s">
        <v>140</v>
      </c>
      <c r="B8" s="42" t="s">
        <v>57</v>
      </c>
      <c r="C8" s="42" t="s">
        <v>223</v>
      </c>
      <c r="D8" s="42" t="s">
        <v>68</v>
      </c>
      <c r="E8" s="43" t="str">
        <f t="array" ref="E8">IF($A8="","",IFERROR(IF($D8="TSE",INDEX(Accounts!$G$2:$G$21,MATCH($A8,Accounts!$B$2:$B$21,0))&amp;"",IF($D8="PS",INDEX(Accounts!$F$2:$F$21,MATCH($A8,Accounts!$B$2:$B$21,0))&amp;"",IF($D8="Named engineer",INDEX(Accounts!$I$2:$I$21,MATCH($A8,Accounts!$B$2:$B$21,0))&amp;"",IF($D8="TSE + PS",IF(INDEX(Accounts!$G$2:$G$21,MATCH($A8,Accounts!$B$2:$B$21,0))&amp;""="","(no TSE)",INDEX(Accounts!$G$2:$G$21,MATCH($A8,Accounts!$B$2:$B$21,0))&amp;"")&amp;" / "&amp;IF(INDEX(Accounts!$F$2:$F$21,MATCH($A8,Accounts!$B$2:$B$21,0))&amp;""="","(no PS)",INDEX(Accounts!$F$2:$F$21,MATCH($A8,Accounts!$B$2:$B$21,0))&amp;""),"")))),""))</f>
        <v>Matthew Dombrowski</v>
      </c>
      <c r="F8" s="42" t="s">
        <v>104</v>
      </c>
      <c r="I8" s="42" t="s">
        <v>56</v>
      </c>
      <c r="K8" s="44" t="str">
        <f t="shared" si="1"/>
        <v/>
      </c>
    </row>
    <row r="9">
      <c r="A9" s="31" t="s">
        <v>140</v>
      </c>
      <c r="B9" s="42" t="s">
        <v>60</v>
      </c>
      <c r="C9" s="42" t="s">
        <v>224</v>
      </c>
      <c r="D9" s="42" t="s">
        <v>62</v>
      </c>
      <c r="E9" s="43" t="str">
        <f t="array" ref="E9">IF($A9="","",IFERROR(IF($D9="TSE",INDEX(Accounts!$G$2:$G$21,MATCH($A9,Accounts!$B$2:$B$21,0))&amp;"",IF($D9="PS",INDEX(Accounts!$F$2:$F$21,MATCH($A9,Accounts!$B$2:$B$21,0))&amp;"",IF($D9="Named engineer",INDEX(Accounts!$I$2:$I$21,MATCH($A9,Accounts!$B$2:$B$21,0))&amp;"",IF($D9="TSE + PS",IF(INDEX(Accounts!$G$2:$G$21,MATCH($A9,Accounts!$B$2:$B$21,0))&amp;""="","(no TSE)",INDEX(Accounts!$G$2:$G$21,MATCH($A9,Accounts!$B$2:$B$21,0))&amp;"")&amp;" / "&amp;IF(INDEX(Accounts!$F$2:$F$21,MATCH($A9,Accounts!$B$2:$B$21,0))&amp;""="","(no PS)",INDEX(Accounts!$F$2:$F$21,MATCH($A9,Accounts!$B$2:$B$21,0))&amp;""),"")))),""))</f>
        <v>Z Yu / Matthew Dombrowski</v>
      </c>
      <c r="F9" s="42" t="s">
        <v>104</v>
      </c>
      <c r="I9" s="42" t="s">
        <v>34</v>
      </c>
      <c r="K9" s="44" t="str">
        <f t="shared" si="1"/>
        <v/>
      </c>
    </row>
    <row r="10">
      <c r="A10" s="31" t="s">
        <v>140</v>
      </c>
      <c r="B10" s="42" t="s">
        <v>65</v>
      </c>
      <c r="C10" s="42" t="s">
        <v>225</v>
      </c>
      <c r="D10" s="42" t="s">
        <v>68</v>
      </c>
      <c r="E10" s="43" t="str">
        <f t="array" ref="E10">IF($A10="","",IFERROR(IF($D10="TSE",INDEX(Accounts!$G$2:$G$21,MATCH($A10,Accounts!$B$2:$B$21,0))&amp;"",IF($D10="PS",INDEX(Accounts!$F$2:$F$21,MATCH($A10,Accounts!$B$2:$B$21,0))&amp;"",IF($D10="Named engineer",INDEX(Accounts!$I$2:$I$21,MATCH($A10,Accounts!$B$2:$B$21,0))&amp;"",IF($D10="TSE + PS",IF(INDEX(Accounts!$G$2:$G$21,MATCH($A10,Accounts!$B$2:$B$21,0))&amp;""="","(no TSE)",INDEX(Accounts!$G$2:$G$21,MATCH($A10,Accounts!$B$2:$B$21,0))&amp;"")&amp;" / "&amp;IF(INDEX(Accounts!$F$2:$F$21,MATCH($A10,Accounts!$B$2:$B$21,0))&amp;""="","(no PS)",INDEX(Accounts!$F$2:$F$21,MATCH($A10,Accounts!$B$2:$B$21,0))&amp;""),"")))),""))</f>
        <v>Matthew Dombrowski</v>
      </c>
      <c r="F10" s="42" t="s">
        <v>104</v>
      </c>
      <c r="I10" s="42" t="s">
        <v>34</v>
      </c>
      <c r="K10" s="44" t="str">
        <f t="shared" si="1"/>
        <v/>
      </c>
    </row>
    <row r="11">
      <c r="A11" s="31" t="s">
        <v>140</v>
      </c>
      <c r="B11" s="42" t="s">
        <v>71</v>
      </c>
      <c r="C11" s="42" t="s">
        <v>226</v>
      </c>
      <c r="D11" s="42" t="s">
        <v>46</v>
      </c>
      <c r="E11" s="43" t="str">
        <f t="array" ref="E11">IF($A11="","",IFERROR(IF($D11="TSE",INDEX(Accounts!$G$2:$G$21,MATCH($A11,Accounts!$B$2:$B$21,0))&amp;"",IF($D11="PS",INDEX(Accounts!$F$2:$F$21,MATCH($A11,Accounts!$B$2:$B$21,0))&amp;"",IF($D11="Named engineer",INDEX(Accounts!$I$2:$I$21,MATCH($A11,Accounts!$B$2:$B$21,0))&amp;"",IF($D11="TSE + PS",IF(INDEX(Accounts!$G$2:$G$21,MATCH($A11,Accounts!$B$2:$B$21,0))&amp;""="","(no TSE)",INDEX(Accounts!$G$2:$G$21,MATCH($A11,Accounts!$B$2:$B$21,0))&amp;"")&amp;" / "&amp;IF(INDEX(Accounts!$F$2:$F$21,MATCH($A11,Accounts!$B$2:$B$21,0))&amp;""="","(no PS)",INDEX(Accounts!$F$2:$F$21,MATCH($A11,Accounts!$B$2:$B$21,0))&amp;""),"")))),""))</f>
        <v/>
      </c>
      <c r="F11" s="42" t="s">
        <v>104</v>
      </c>
      <c r="I11" s="42" t="s">
        <v>56</v>
      </c>
      <c r="K11" s="44" t="str">
        <f t="shared" si="1"/>
        <v>Owner missing </v>
      </c>
    </row>
    <row r="12">
      <c r="A12" s="31" t="s">
        <v>140</v>
      </c>
      <c r="B12" s="42" t="s">
        <v>74</v>
      </c>
      <c r="C12" s="42" t="s">
        <v>227</v>
      </c>
      <c r="D12" s="42" t="s">
        <v>68</v>
      </c>
      <c r="E12" s="43" t="str">
        <f t="array" ref="E12">IF($A12="","",IFERROR(IF($D12="TSE",INDEX(Accounts!$G$2:$G$21,MATCH($A12,Accounts!$B$2:$B$21,0))&amp;"",IF($D12="PS",INDEX(Accounts!$F$2:$F$21,MATCH($A12,Accounts!$B$2:$B$21,0))&amp;"",IF($D12="Named engineer",INDEX(Accounts!$I$2:$I$21,MATCH($A12,Accounts!$B$2:$B$21,0))&amp;"",IF($D12="TSE + PS",IF(INDEX(Accounts!$G$2:$G$21,MATCH($A12,Accounts!$B$2:$B$21,0))&amp;""="","(no TSE)",INDEX(Accounts!$G$2:$G$21,MATCH($A12,Accounts!$B$2:$B$21,0))&amp;"")&amp;" / "&amp;IF(INDEX(Accounts!$F$2:$F$21,MATCH($A12,Accounts!$B$2:$B$21,0))&amp;""="","(no PS)",INDEX(Accounts!$F$2:$F$21,MATCH($A12,Accounts!$B$2:$B$21,0))&amp;""),"")))),""))</f>
        <v>Matthew Dombrowski</v>
      </c>
      <c r="F12" s="42" t="s">
        <v>104</v>
      </c>
      <c r="I12" s="42" t="s">
        <v>56</v>
      </c>
      <c r="K12" s="44" t="str">
        <f t="shared" si="1"/>
        <v/>
      </c>
    </row>
    <row r="13">
      <c r="A13" s="31" t="s">
        <v>140</v>
      </c>
      <c r="B13" s="42" t="s">
        <v>77</v>
      </c>
      <c r="C13" s="42" t="s">
        <v>228</v>
      </c>
      <c r="D13" s="42" t="s">
        <v>68</v>
      </c>
      <c r="E13" s="43" t="str">
        <f t="array" ref="E13">IF($A13="","",IFERROR(IF($D13="TSE",INDEX(Accounts!$G$2:$G$21,MATCH($A13,Accounts!$B$2:$B$21,0))&amp;"",IF($D13="PS",INDEX(Accounts!$F$2:$F$21,MATCH($A13,Accounts!$B$2:$B$21,0))&amp;"",IF($D13="Named engineer",INDEX(Accounts!$I$2:$I$21,MATCH($A13,Accounts!$B$2:$B$21,0))&amp;"",IF($D13="TSE + PS",IF(INDEX(Accounts!$G$2:$G$21,MATCH($A13,Accounts!$B$2:$B$21,0))&amp;""="","(no TSE)",INDEX(Accounts!$G$2:$G$21,MATCH($A13,Accounts!$B$2:$B$21,0))&amp;"")&amp;" / "&amp;IF(INDEX(Accounts!$F$2:$F$21,MATCH($A13,Accounts!$B$2:$B$21,0))&amp;""="","(no PS)",INDEX(Accounts!$F$2:$F$21,MATCH($A13,Accounts!$B$2:$B$21,0))&amp;""),"")))),""))</f>
        <v>Matthew Dombrowski</v>
      </c>
      <c r="F13" s="42" t="s">
        <v>104</v>
      </c>
      <c r="I13" s="42" t="s">
        <v>56</v>
      </c>
      <c r="K13" s="44" t="str">
        <f t="shared" si="1"/>
        <v/>
      </c>
    </row>
    <row r="14">
      <c r="A14" s="31" t="s">
        <v>140</v>
      </c>
      <c r="B14" s="42" t="s">
        <v>80</v>
      </c>
      <c r="C14" s="42" t="s">
        <v>229</v>
      </c>
      <c r="D14" s="42" t="s">
        <v>62</v>
      </c>
      <c r="E14" s="43" t="str">
        <f t="array" ref="E14">IF($A14="","",IFERROR(IF($D14="TSE",INDEX(Accounts!$G$2:$G$21,MATCH($A14,Accounts!$B$2:$B$21,0))&amp;"",IF($D14="PS",INDEX(Accounts!$F$2:$F$21,MATCH($A14,Accounts!$B$2:$B$21,0))&amp;"",IF($D14="Named engineer",INDEX(Accounts!$I$2:$I$21,MATCH($A14,Accounts!$B$2:$B$21,0))&amp;"",IF($D14="TSE + PS",IF(INDEX(Accounts!$G$2:$G$21,MATCH($A14,Accounts!$B$2:$B$21,0))&amp;""="","(no TSE)",INDEX(Accounts!$G$2:$G$21,MATCH($A14,Accounts!$B$2:$B$21,0))&amp;"")&amp;" / "&amp;IF(INDEX(Accounts!$F$2:$F$21,MATCH($A14,Accounts!$B$2:$B$21,0))&amp;""="","(no PS)",INDEX(Accounts!$F$2:$F$21,MATCH($A14,Accounts!$B$2:$B$21,0))&amp;""),"")))),""))</f>
        <v>Z Yu / Matthew Dombrowski</v>
      </c>
      <c r="F14" s="42" t="s">
        <v>104</v>
      </c>
      <c r="I14" s="42" t="s">
        <v>34</v>
      </c>
      <c r="K14" s="44" t="str">
        <f t="shared" si="1"/>
        <v/>
      </c>
    </row>
    <row r="15">
      <c r="A15" s="31" t="s">
        <v>140</v>
      </c>
      <c r="B15" s="42" t="s">
        <v>85</v>
      </c>
      <c r="C15" s="42" t="s">
        <v>230</v>
      </c>
      <c r="D15" s="42" t="s">
        <v>32</v>
      </c>
      <c r="E15" s="43" t="str">
        <f t="array" ref="E15">IF($A15="","",IFERROR(IF($D15="TSE",INDEX(Accounts!$G$2:$G$21,MATCH($A15,Accounts!$B$2:$B$21,0))&amp;"",IF($D15="PS",INDEX(Accounts!$F$2:$F$21,MATCH($A15,Accounts!$B$2:$B$21,0))&amp;"",IF($D15="Named engineer",INDEX(Accounts!$I$2:$I$21,MATCH($A15,Accounts!$B$2:$B$21,0))&amp;"",IF($D15="TSE + PS",IF(INDEX(Accounts!$G$2:$G$21,MATCH($A15,Accounts!$B$2:$B$21,0))&amp;""="","(no TSE)",INDEX(Accounts!$G$2:$G$21,MATCH($A15,Accounts!$B$2:$B$21,0))&amp;"")&amp;" / "&amp;IF(INDEX(Accounts!$F$2:$F$21,MATCH($A15,Accounts!$B$2:$B$21,0))&amp;""="","(no PS)",INDEX(Accounts!$F$2:$F$21,MATCH($A15,Accounts!$B$2:$B$21,0))&amp;""),"")))),""))</f>
        <v>Z Yu</v>
      </c>
      <c r="F15" s="42" t="s">
        <v>104</v>
      </c>
      <c r="I15" s="42" t="s">
        <v>56</v>
      </c>
      <c r="K15" s="44" t="str">
        <f t="shared" si="1"/>
        <v/>
      </c>
    </row>
    <row r="16">
      <c r="A16" s="31" t="s">
        <v>140</v>
      </c>
      <c r="B16" s="42" t="s">
        <v>88</v>
      </c>
      <c r="C16" s="42" t="s">
        <v>231</v>
      </c>
      <c r="D16" s="42" t="s">
        <v>32</v>
      </c>
      <c r="E16" s="43" t="str">
        <f t="array" ref="E16">IF($A16="","",IFERROR(IF($D16="TSE",INDEX(Accounts!$G$2:$G$21,MATCH($A16,Accounts!$B$2:$B$21,0))&amp;"",IF($D16="PS",INDEX(Accounts!$F$2:$F$21,MATCH($A16,Accounts!$B$2:$B$21,0))&amp;"",IF($D16="Named engineer",INDEX(Accounts!$I$2:$I$21,MATCH($A16,Accounts!$B$2:$B$21,0))&amp;"",IF($D16="TSE + PS",IF(INDEX(Accounts!$G$2:$G$21,MATCH($A16,Accounts!$B$2:$B$21,0))&amp;""="","(no TSE)",INDEX(Accounts!$G$2:$G$21,MATCH($A16,Accounts!$B$2:$B$21,0))&amp;"")&amp;" / "&amp;IF(INDEX(Accounts!$F$2:$F$21,MATCH($A16,Accounts!$B$2:$B$21,0))&amp;""="","(no PS)",INDEX(Accounts!$F$2:$F$21,MATCH($A16,Accounts!$B$2:$B$21,0))&amp;""),"")))),""))</f>
        <v>Z Yu</v>
      </c>
      <c r="F16" s="42" t="s">
        <v>104</v>
      </c>
      <c r="I16" s="42" t="s">
        <v>34</v>
      </c>
      <c r="K16" s="44" t="str">
        <f t="shared" si="1"/>
        <v/>
      </c>
    </row>
    <row r="17">
      <c r="A17" s="31" t="s">
        <v>140</v>
      </c>
      <c r="B17" s="42" t="s">
        <v>92</v>
      </c>
      <c r="C17" s="42" t="s">
        <v>232</v>
      </c>
      <c r="D17" s="42" t="s">
        <v>32</v>
      </c>
      <c r="E17" s="43" t="str">
        <f t="array" ref="E17">IF($A17="","",IFERROR(IF($D17="TSE",INDEX(Accounts!$G$2:$G$21,MATCH($A17,Accounts!$B$2:$B$21,0))&amp;"",IF($D17="PS",INDEX(Accounts!$F$2:$F$21,MATCH($A17,Accounts!$B$2:$B$21,0))&amp;"",IF($D17="Named engineer",INDEX(Accounts!$I$2:$I$21,MATCH($A17,Accounts!$B$2:$B$21,0))&amp;"",IF($D17="TSE + PS",IF(INDEX(Accounts!$G$2:$G$21,MATCH($A17,Accounts!$B$2:$B$21,0))&amp;""="","(no TSE)",INDEX(Accounts!$G$2:$G$21,MATCH($A17,Accounts!$B$2:$B$21,0))&amp;"")&amp;" / "&amp;IF(INDEX(Accounts!$F$2:$F$21,MATCH($A17,Accounts!$B$2:$B$21,0))&amp;""="","(no PS)",INDEX(Accounts!$F$2:$F$21,MATCH($A17,Accounts!$B$2:$B$21,0))&amp;""),"")))),""))</f>
        <v>Z Yu</v>
      </c>
      <c r="F17" s="42" t="s">
        <v>104</v>
      </c>
      <c r="I17" s="42" t="s">
        <v>34</v>
      </c>
      <c r="K17" s="44" t="str">
        <f t="shared" si="1"/>
        <v/>
      </c>
    </row>
    <row r="18">
      <c r="A18" s="42" t="s">
        <v>149</v>
      </c>
      <c r="B18" s="42" t="s">
        <v>29</v>
      </c>
      <c r="C18" s="42" t="s">
        <v>217</v>
      </c>
      <c r="D18" s="42" t="s">
        <v>32</v>
      </c>
      <c r="E18" s="43" t="str">
        <f t="array" ref="E18">IF($A18="","",IFERROR(IF($D18="TSE",INDEX(Accounts!$G$2:$G$21,MATCH($A18,Accounts!$B$2:$B$21,0))&amp;"",IF($D18="PS",INDEX(Accounts!$F$2:$F$21,MATCH($A18,Accounts!$B$2:$B$21,0))&amp;"",IF($D18="Named engineer",INDEX(Accounts!$I$2:$I$21,MATCH($A18,Accounts!$B$2:$B$21,0))&amp;"",IF($D18="TSE + PS",IF(INDEX(Accounts!$G$2:$G$21,MATCH($A18,Accounts!$B$2:$B$21,0))&amp;""="","(no TSE)",INDEX(Accounts!$G$2:$G$21,MATCH($A18,Accounts!$B$2:$B$21,0))&amp;"")&amp;" / "&amp;IF(INDEX(Accounts!$F$2:$F$21,MATCH($A18,Accounts!$B$2:$B$21,0))&amp;""="","(no PS)",INDEX(Accounts!$F$2:$F$21,MATCH($A18,Accounts!$B$2:$B$21,0))&amp;""),"")))),""))</f>
        <v>Z Yu</v>
      </c>
      <c r="F18" s="42" t="s">
        <v>104</v>
      </c>
      <c r="I18" s="42" t="s">
        <v>34</v>
      </c>
      <c r="K18" s="44" t="str">
        <f t="shared" si="1"/>
        <v/>
      </c>
    </row>
    <row r="19">
      <c r="A19" s="42" t="s">
        <v>149</v>
      </c>
      <c r="B19" s="42" t="s">
        <v>36</v>
      </c>
      <c r="C19" s="42" t="s">
        <v>218</v>
      </c>
      <c r="D19" s="42" t="s">
        <v>32</v>
      </c>
      <c r="E19" s="43" t="str">
        <f t="array" ref="E19">IF($A19="","",IFERROR(IF($D19="TSE",INDEX(Accounts!$G$2:$G$21,MATCH($A19,Accounts!$B$2:$B$21,0))&amp;"",IF($D19="PS",INDEX(Accounts!$F$2:$F$21,MATCH($A19,Accounts!$B$2:$B$21,0))&amp;"",IF($D19="Named engineer",INDEX(Accounts!$I$2:$I$21,MATCH($A19,Accounts!$B$2:$B$21,0))&amp;"",IF($D19="TSE + PS",IF(INDEX(Accounts!$G$2:$G$21,MATCH($A19,Accounts!$B$2:$B$21,0))&amp;""="","(no TSE)",INDEX(Accounts!$G$2:$G$21,MATCH($A19,Accounts!$B$2:$B$21,0))&amp;"")&amp;" / "&amp;IF(INDEX(Accounts!$F$2:$F$21,MATCH($A19,Accounts!$B$2:$B$21,0))&amp;""="","(no PS)",INDEX(Accounts!$F$2:$F$21,MATCH($A19,Accounts!$B$2:$B$21,0))&amp;""),"")))),""))</f>
        <v>Z Yu</v>
      </c>
      <c r="F19" s="45" t="s">
        <v>108</v>
      </c>
      <c r="G19" s="46">
        <v>46273.0</v>
      </c>
      <c r="H19" s="47"/>
      <c r="I19" s="42" t="s">
        <v>34</v>
      </c>
      <c r="K19" s="44" t="str">
        <f t="shared" si="1"/>
        <v>Evidence missing </v>
      </c>
    </row>
    <row r="20">
      <c r="A20" s="42" t="s">
        <v>149</v>
      </c>
      <c r="B20" s="42" t="s">
        <v>40</v>
      </c>
      <c r="C20" s="42" t="s">
        <v>219</v>
      </c>
      <c r="D20" s="42" t="s">
        <v>32</v>
      </c>
      <c r="E20" s="43" t="str">
        <f t="array" ref="E20">IF($A20="","",IFERROR(IF($D20="TSE",INDEX(Accounts!$G$2:$G$21,MATCH($A20,Accounts!$B$2:$B$21,0))&amp;"",IF($D20="PS",INDEX(Accounts!$F$2:$F$21,MATCH($A20,Accounts!$B$2:$B$21,0))&amp;"",IF($D20="Named engineer",INDEX(Accounts!$I$2:$I$21,MATCH($A20,Accounts!$B$2:$B$21,0))&amp;"",IF($D20="TSE + PS",IF(INDEX(Accounts!$G$2:$G$21,MATCH($A20,Accounts!$B$2:$B$21,0))&amp;""="","(no TSE)",INDEX(Accounts!$G$2:$G$21,MATCH($A20,Accounts!$B$2:$B$21,0))&amp;"")&amp;" / "&amp;IF(INDEX(Accounts!$F$2:$F$21,MATCH($A20,Accounts!$B$2:$B$21,0))&amp;""="","(no PS)",INDEX(Accounts!$F$2:$F$21,MATCH($A20,Accounts!$B$2:$B$21,0))&amp;""),"")))),""))</f>
        <v>Z Yu</v>
      </c>
      <c r="F20" s="42" t="s">
        <v>104</v>
      </c>
      <c r="I20" s="42" t="s">
        <v>34</v>
      </c>
      <c r="K20" s="44" t="str">
        <f t="shared" si="1"/>
        <v/>
      </c>
    </row>
    <row r="21" ht="15.75" customHeight="1">
      <c r="A21" s="42" t="s">
        <v>149</v>
      </c>
      <c r="B21" s="42" t="s">
        <v>44</v>
      </c>
      <c r="C21" s="42" t="s">
        <v>220</v>
      </c>
      <c r="D21" s="42" t="s">
        <v>46</v>
      </c>
      <c r="E21" s="43" t="str">
        <f t="array" ref="E21">IF($A21="","",IFERROR(IF($D21="TSE",INDEX(Accounts!$G$2:$G$21,MATCH($A21,Accounts!$B$2:$B$21,0))&amp;"",IF($D21="PS",INDEX(Accounts!$F$2:$F$21,MATCH($A21,Accounts!$B$2:$B$21,0))&amp;"",IF($D21="Named engineer",INDEX(Accounts!$I$2:$I$21,MATCH($A21,Accounts!$B$2:$B$21,0))&amp;"",IF($D21="TSE + PS",IF(INDEX(Accounts!$G$2:$G$21,MATCH($A21,Accounts!$B$2:$B$21,0))&amp;""="","(no TSE)",INDEX(Accounts!$G$2:$G$21,MATCH($A21,Accounts!$B$2:$B$21,0))&amp;"")&amp;" / "&amp;IF(INDEX(Accounts!$F$2:$F$21,MATCH($A21,Accounts!$B$2:$B$21,0))&amp;""="","(no PS)",INDEX(Accounts!$F$2:$F$21,MATCH($A21,Accounts!$B$2:$B$21,0))&amp;""),"")))),""))</f>
        <v>OAE - Broadcom - Tracker</v>
      </c>
      <c r="F21" s="42" t="s">
        <v>104</v>
      </c>
      <c r="I21" s="42" t="s">
        <v>34</v>
      </c>
      <c r="K21" s="44" t="str">
        <f t="shared" si="1"/>
        <v/>
      </c>
    </row>
    <row r="22" ht="15.75" customHeight="1">
      <c r="A22" s="42" t="s">
        <v>149</v>
      </c>
      <c r="B22" s="42" t="s">
        <v>49</v>
      </c>
      <c r="C22" s="42" t="s">
        <v>221</v>
      </c>
      <c r="D22" s="42" t="s">
        <v>32</v>
      </c>
      <c r="E22" s="43" t="str">
        <f t="array" ref="E22">IF($A22="","",IFERROR(IF($D22="TSE",INDEX(Accounts!$G$2:$G$21,MATCH($A22,Accounts!$B$2:$B$21,0))&amp;"",IF($D22="PS",INDEX(Accounts!$F$2:$F$21,MATCH($A22,Accounts!$B$2:$B$21,0))&amp;"",IF($D22="Named engineer",INDEX(Accounts!$I$2:$I$21,MATCH($A22,Accounts!$B$2:$B$21,0))&amp;"",IF($D22="TSE + PS",IF(INDEX(Accounts!$G$2:$G$21,MATCH($A22,Accounts!$B$2:$B$21,0))&amp;""="","(no TSE)",INDEX(Accounts!$G$2:$G$21,MATCH($A22,Accounts!$B$2:$B$21,0))&amp;"")&amp;" / "&amp;IF(INDEX(Accounts!$F$2:$F$21,MATCH($A22,Accounts!$B$2:$B$21,0))&amp;""="","(no PS)",INDEX(Accounts!$F$2:$F$21,MATCH($A22,Accounts!$B$2:$B$21,0))&amp;""),"")))),""))</f>
        <v>Z Yu</v>
      </c>
      <c r="F22" s="42" t="s">
        <v>104</v>
      </c>
      <c r="I22" s="42" t="s">
        <v>34</v>
      </c>
      <c r="K22" s="44" t="str">
        <f t="shared" si="1"/>
        <v/>
      </c>
    </row>
    <row r="23" ht="15.75" customHeight="1">
      <c r="A23" s="42" t="s">
        <v>149</v>
      </c>
      <c r="B23" s="42" t="s">
        <v>53</v>
      </c>
      <c r="C23" s="42" t="s">
        <v>222</v>
      </c>
      <c r="D23" s="42" t="s">
        <v>32</v>
      </c>
      <c r="E23" s="43" t="str">
        <f t="array" ref="E23">IF($A23="","",IFERROR(IF($D23="TSE",INDEX(Accounts!$G$2:$G$21,MATCH($A23,Accounts!$B$2:$B$21,0))&amp;"",IF($D23="PS",INDEX(Accounts!$F$2:$F$21,MATCH($A23,Accounts!$B$2:$B$21,0))&amp;"",IF($D23="Named engineer",INDEX(Accounts!$I$2:$I$21,MATCH($A23,Accounts!$B$2:$B$21,0))&amp;"",IF($D23="TSE + PS",IF(INDEX(Accounts!$G$2:$G$21,MATCH($A23,Accounts!$B$2:$B$21,0))&amp;""="","(no TSE)",INDEX(Accounts!$G$2:$G$21,MATCH($A23,Accounts!$B$2:$B$21,0))&amp;"")&amp;" / "&amp;IF(INDEX(Accounts!$F$2:$F$21,MATCH($A23,Accounts!$B$2:$B$21,0))&amp;""="","(no PS)",INDEX(Accounts!$F$2:$F$21,MATCH($A23,Accounts!$B$2:$B$21,0))&amp;""),"")))),""))</f>
        <v>Z Yu</v>
      </c>
      <c r="F23" s="45" t="s">
        <v>108</v>
      </c>
      <c r="G23" s="46">
        <v>46275.0</v>
      </c>
      <c r="I23" s="42" t="s">
        <v>56</v>
      </c>
      <c r="K23" s="44" t="str">
        <f t="shared" si="1"/>
        <v/>
      </c>
    </row>
    <row r="24" ht="15.75" customHeight="1">
      <c r="A24" s="42" t="s">
        <v>149</v>
      </c>
      <c r="B24" s="42" t="s">
        <v>57</v>
      </c>
      <c r="C24" s="42" t="s">
        <v>223</v>
      </c>
      <c r="D24" s="42" t="s">
        <v>68</v>
      </c>
      <c r="E24" s="43" t="str">
        <f t="array" ref="E24">IF($A24="","",IFERROR(IF($D24="TSE",INDEX(Accounts!$G$2:$G$21,MATCH($A24,Accounts!$B$2:$B$21,0))&amp;"",IF($D24="PS",INDEX(Accounts!$F$2:$F$21,MATCH($A24,Accounts!$B$2:$B$21,0))&amp;"",IF($D24="Named engineer",INDEX(Accounts!$I$2:$I$21,MATCH($A24,Accounts!$B$2:$B$21,0))&amp;"",IF($D24="TSE + PS",IF(INDEX(Accounts!$G$2:$G$21,MATCH($A24,Accounts!$B$2:$B$21,0))&amp;""="","(no TSE)",INDEX(Accounts!$G$2:$G$21,MATCH($A24,Accounts!$B$2:$B$21,0))&amp;"")&amp;" / "&amp;IF(INDEX(Accounts!$F$2:$F$21,MATCH($A24,Accounts!$B$2:$B$21,0))&amp;""="","(no PS)",INDEX(Accounts!$F$2:$F$21,MATCH($A24,Accounts!$B$2:$B$21,0))&amp;""),"")))),""))</f>
        <v>Stephen Lovett</v>
      </c>
      <c r="F24" s="45" t="s">
        <v>108</v>
      </c>
      <c r="G24" s="46">
        <v>46280.0</v>
      </c>
      <c r="I24" s="42" t="s">
        <v>56</v>
      </c>
      <c r="K24" s="44" t="str">
        <f t="shared" si="1"/>
        <v/>
      </c>
    </row>
    <row r="25" ht="15.75" customHeight="1">
      <c r="A25" s="42" t="s">
        <v>149</v>
      </c>
      <c r="B25" s="42" t="s">
        <v>60</v>
      </c>
      <c r="C25" s="42" t="s">
        <v>224</v>
      </c>
      <c r="D25" s="42" t="s">
        <v>62</v>
      </c>
      <c r="E25" s="43" t="str">
        <f t="array" ref="E25">IF($A25="","",IFERROR(IF($D25="TSE",INDEX(Accounts!$G$2:$G$21,MATCH($A25,Accounts!$B$2:$B$21,0))&amp;"",IF($D25="PS",INDEX(Accounts!$F$2:$F$21,MATCH($A25,Accounts!$B$2:$B$21,0))&amp;"",IF($D25="Named engineer",INDEX(Accounts!$I$2:$I$21,MATCH($A25,Accounts!$B$2:$B$21,0))&amp;"",IF($D25="TSE + PS",IF(INDEX(Accounts!$G$2:$G$21,MATCH($A25,Accounts!$B$2:$B$21,0))&amp;""="","(no TSE)",INDEX(Accounts!$G$2:$G$21,MATCH($A25,Accounts!$B$2:$B$21,0))&amp;"")&amp;" / "&amp;IF(INDEX(Accounts!$F$2:$F$21,MATCH($A25,Accounts!$B$2:$B$21,0))&amp;""="","(no PS)",INDEX(Accounts!$F$2:$F$21,MATCH($A25,Accounts!$B$2:$B$21,0))&amp;""),"")))),""))</f>
        <v>Z Yu / Stephen Lovett</v>
      </c>
      <c r="F25" s="42" t="s">
        <v>104</v>
      </c>
      <c r="I25" s="42" t="s">
        <v>34</v>
      </c>
      <c r="K25" s="44" t="str">
        <f t="shared" si="1"/>
        <v/>
      </c>
    </row>
    <row r="26" ht="15.75" customHeight="1">
      <c r="A26" s="42" t="s">
        <v>149</v>
      </c>
      <c r="B26" s="42" t="s">
        <v>65</v>
      </c>
      <c r="C26" s="42" t="s">
        <v>225</v>
      </c>
      <c r="D26" s="42" t="s">
        <v>68</v>
      </c>
      <c r="E26" s="43" t="str">
        <f t="array" ref="E26">IF($A26="","",IFERROR(IF($D26="TSE",INDEX(Accounts!$G$2:$G$21,MATCH($A26,Accounts!$B$2:$B$21,0))&amp;"",IF($D26="PS",INDEX(Accounts!$F$2:$F$21,MATCH($A26,Accounts!$B$2:$B$21,0))&amp;"",IF($D26="Named engineer",INDEX(Accounts!$I$2:$I$21,MATCH($A26,Accounts!$B$2:$B$21,0))&amp;"",IF($D26="TSE + PS",IF(INDEX(Accounts!$G$2:$G$21,MATCH($A26,Accounts!$B$2:$B$21,0))&amp;""="","(no TSE)",INDEX(Accounts!$G$2:$G$21,MATCH($A26,Accounts!$B$2:$B$21,0))&amp;"")&amp;" / "&amp;IF(INDEX(Accounts!$F$2:$F$21,MATCH($A26,Accounts!$B$2:$B$21,0))&amp;""="","(no PS)",INDEX(Accounts!$F$2:$F$21,MATCH($A26,Accounts!$B$2:$B$21,0))&amp;""),"")))),""))</f>
        <v>Stephen Lovett</v>
      </c>
      <c r="F26" s="42" t="s">
        <v>104</v>
      </c>
      <c r="I26" s="42" t="s">
        <v>34</v>
      </c>
      <c r="K26" s="44" t="str">
        <f t="shared" si="1"/>
        <v/>
      </c>
    </row>
    <row r="27" ht="15.75" customHeight="1">
      <c r="A27" s="42" t="s">
        <v>149</v>
      </c>
      <c r="B27" s="42" t="s">
        <v>71</v>
      </c>
      <c r="C27" s="42" t="s">
        <v>226</v>
      </c>
      <c r="D27" s="42" t="s">
        <v>46</v>
      </c>
      <c r="E27" s="43" t="str">
        <f t="array" ref="E27">IF($A27="","",IFERROR(IF($D27="TSE",INDEX(Accounts!$G$2:$G$21,MATCH($A27,Accounts!$B$2:$B$21,0))&amp;"",IF($D27="PS",INDEX(Accounts!$F$2:$F$21,MATCH($A27,Accounts!$B$2:$B$21,0))&amp;"",IF($D27="Named engineer",INDEX(Accounts!$I$2:$I$21,MATCH($A27,Accounts!$B$2:$B$21,0))&amp;"",IF($D27="TSE + PS",IF(INDEX(Accounts!$G$2:$G$21,MATCH($A27,Accounts!$B$2:$B$21,0))&amp;""="","(no TSE)",INDEX(Accounts!$G$2:$G$21,MATCH($A27,Accounts!$B$2:$B$21,0))&amp;"")&amp;" / "&amp;IF(INDEX(Accounts!$F$2:$F$21,MATCH($A27,Accounts!$B$2:$B$21,0))&amp;""="","(no PS)",INDEX(Accounts!$F$2:$F$21,MATCH($A27,Accounts!$B$2:$B$21,0))&amp;""),"")))),""))</f>
        <v>OAE - Broadcom - Tracker</v>
      </c>
      <c r="F27" s="42" t="s">
        <v>104</v>
      </c>
      <c r="I27" s="42" t="s">
        <v>56</v>
      </c>
      <c r="K27" s="44" t="str">
        <f t="shared" si="1"/>
        <v/>
      </c>
    </row>
    <row r="28" ht="15.75" customHeight="1">
      <c r="A28" s="42" t="s">
        <v>149</v>
      </c>
      <c r="B28" s="42" t="s">
        <v>74</v>
      </c>
      <c r="C28" s="42" t="s">
        <v>227</v>
      </c>
      <c r="D28" s="42" t="s">
        <v>68</v>
      </c>
      <c r="E28" s="43" t="str">
        <f t="array" ref="E28">IF($A28="","",IFERROR(IF($D28="TSE",INDEX(Accounts!$G$2:$G$21,MATCH($A28,Accounts!$B$2:$B$21,0))&amp;"",IF($D28="PS",INDEX(Accounts!$F$2:$F$21,MATCH($A28,Accounts!$B$2:$B$21,0))&amp;"",IF($D28="Named engineer",INDEX(Accounts!$I$2:$I$21,MATCH($A28,Accounts!$B$2:$B$21,0))&amp;"",IF($D28="TSE + PS",IF(INDEX(Accounts!$G$2:$G$21,MATCH($A28,Accounts!$B$2:$B$21,0))&amp;""="","(no TSE)",INDEX(Accounts!$G$2:$G$21,MATCH($A28,Accounts!$B$2:$B$21,0))&amp;"")&amp;" / "&amp;IF(INDEX(Accounts!$F$2:$F$21,MATCH($A28,Accounts!$B$2:$B$21,0))&amp;""="","(no PS)",INDEX(Accounts!$F$2:$F$21,MATCH($A28,Accounts!$B$2:$B$21,0))&amp;""),"")))),""))</f>
        <v>Stephen Lovett</v>
      </c>
      <c r="F28" s="42" t="s">
        <v>104</v>
      </c>
      <c r="I28" s="42" t="s">
        <v>56</v>
      </c>
      <c r="K28" s="44" t="str">
        <f t="shared" si="1"/>
        <v/>
      </c>
    </row>
    <row r="29" ht="15.75" customHeight="1">
      <c r="A29" s="42" t="s">
        <v>149</v>
      </c>
      <c r="B29" s="42" t="s">
        <v>77</v>
      </c>
      <c r="C29" s="42" t="s">
        <v>228</v>
      </c>
      <c r="D29" s="42" t="s">
        <v>68</v>
      </c>
      <c r="E29" s="43" t="str">
        <f t="array" ref="E29">IF($A29="","",IFERROR(IF($D29="TSE",INDEX(Accounts!$G$2:$G$21,MATCH($A29,Accounts!$B$2:$B$21,0))&amp;"",IF($D29="PS",INDEX(Accounts!$F$2:$F$21,MATCH($A29,Accounts!$B$2:$B$21,0))&amp;"",IF($D29="Named engineer",INDEX(Accounts!$I$2:$I$21,MATCH($A29,Accounts!$B$2:$B$21,0))&amp;"",IF($D29="TSE + PS",IF(INDEX(Accounts!$G$2:$G$21,MATCH($A29,Accounts!$B$2:$B$21,0))&amp;""="","(no TSE)",INDEX(Accounts!$G$2:$G$21,MATCH($A29,Accounts!$B$2:$B$21,0))&amp;"")&amp;" / "&amp;IF(INDEX(Accounts!$F$2:$F$21,MATCH($A29,Accounts!$B$2:$B$21,0))&amp;""="","(no PS)",INDEX(Accounts!$F$2:$F$21,MATCH($A29,Accounts!$B$2:$B$21,0))&amp;""),"")))),""))</f>
        <v>Stephen Lovett</v>
      </c>
      <c r="F29" s="42" t="s">
        <v>104</v>
      </c>
      <c r="I29" s="42" t="s">
        <v>56</v>
      </c>
      <c r="K29" s="44" t="str">
        <f t="shared" si="1"/>
        <v/>
      </c>
    </row>
    <row r="30" ht="15.75" customHeight="1">
      <c r="A30" s="42" t="s">
        <v>149</v>
      </c>
      <c r="B30" s="42" t="s">
        <v>80</v>
      </c>
      <c r="C30" s="42" t="s">
        <v>229</v>
      </c>
      <c r="D30" s="42" t="s">
        <v>62</v>
      </c>
      <c r="E30" s="43" t="str">
        <f t="array" ref="E30">IF($A30="","",IFERROR(IF($D30="TSE",INDEX(Accounts!$G$2:$G$21,MATCH($A30,Accounts!$B$2:$B$21,0))&amp;"",IF($D30="PS",INDEX(Accounts!$F$2:$F$21,MATCH($A30,Accounts!$B$2:$B$21,0))&amp;"",IF($D30="Named engineer",INDEX(Accounts!$I$2:$I$21,MATCH($A30,Accounts!$B$2:$B$21,0))&amp;"",IF($D30="TSE + PS",IF(INDEX(Accounts!$G$2:$G$21,MATCH($A30,Accounts!$B$2:$B$21,0))&amp;""="","(no TSE)",INDEX(Accounts!$G$2:$G$21,MATCH($A30,Accounts!$B$2:$B$21,0))&amp;"")&amp;" / "&amp;IF(INDEX(Accounts!$F$2:$F$21,MATCH($A30,Accounts!$B$2:$B$21,0))&amp;""="","(no PS)",INDEX(Accounts!$F$2:$F$21,MATCH($A30,Accounts!$B$2:$B$21,0))&amp;""),"")))),""))</f>
        <v>Z Yu / Stephen Lovett</v>
      </c>
      <c r="F30" s="42" t="s">
        <v>104</v>
      </c>
      <c r="I30" s="42" t="s">
        <v>34</v>
      </c>
      <c r="K30" s="44" t="str">
        <f t="shared" si="1"/>
        <v/>
      </c>
    </row>
    <row r="31" ht="15.75" customHeight="1">
      <c r="A31" s="42" t="s">
        <v>149</v>
      </c>
      <c r="B31" s="42" t="s">
        <v>85</v>
      </c>
      <c r="C31" s="42" t="s">
        <v>230</v>
      </c>
      <c r="D31" s="42" t="s">
        <v>32</v>
      </c>
      <c r="E31" s="43" t="str">
        <f t="array" ref="E31">IF($A31="","",IFERROR(IF($D31="TSE",INDEX(Accounts!$G$2:$G$21,MATCH($A31,Accounts!$B$2:$B$21,0))&amp;"",IF($D31="PS",INDEX(Accounts!$F$2:$F$21,MATCH($A31,Accounts!$B$2:$B$21,0))&amp;"",IF($D31="Named engineer",INDEX(Accounts!$I$2:$I$21,MATCH($A31,Accounts!$B$2:$B$21,0))&amp;"",IF($D31="TSE + PS",IF(INDEX(Accounts!$G$2:$G$21,MATCH($A31,Accounts!$B$2:$B$21,0))&amp;""="","(no TSE)",INDEX(Accounts!$G$2:$G$21,MATCH($A31,Accounts!$B$2:$B$21,0))&amp;"")&amp;" / "&amp;IF(INDEX(Accounts!$F$2:$F$21,MATCH($A31,Accounts!$B$2:$B$21,0))&amp;""="","(no PS)",INDEX(Accounts!$F$2:$F$21,MATCH($A31,Accounts!$B$2:$B$21,0))&amp;""),"")))),""))</f>
        <v>Z Yu</v>
      </c>
      <c r="F31" s="42" t="s">
        <v>104</v>
      </c>
      <c r="I31" s="42" t="s">
        <v>56</v>
      </c>
      <c r="K31" s="44" t="str">
        <f t="shared" si="1"/>
        <v/>
      </c>
    </row>
    <row r="32" ht="15.75" customHeight="1">
      <c r="A32" s="42" t="s">
        <v>149</v>
      </c>
      <c r="B32" s="42" t="s">
        <v>88</v>
      </c>
      <c r="C32" s="42" t="s">
        <v>231</v>
      </c>
      <c r="D32" s="42" t="s">
        <v>32</v>
      </c>
      <c r="E32" s="43" t="str">
        <f t="array" ref="E32">IF($A32="","",IFERROR(IF($D32="TSE",INDEX(Accounts!$G$2:$G$21,MATCH($A32,Accounts!$B$2:$B$21,0))&amp;"",IF($D32="PS",INDEX(Accounts!$F$2:$F$21,MATCH($A32,Accounts!$B$2:$B$21,0))&amp;"",IF($D32="Named engineer",INDEX(Accounts!$I$2:$I$21,MATCH($A32,Accounts!$B$2:$B$21,0))&amp;"",IF($D32="TSE + PS",IF(INDEX(Accounts!$G$2:$G$21,MATCH($A32,Accounts!$B$2:$B$21,0))&amp;""="","(no TSE)",INDEX(Accounts!$G$2:$G$21,MATCH($A32,Accounts!$B$2:$B$21,0))&amp;"")&amp;" / "&amp;IF(INDEX(Accounts!$F$2:$F$21,MATCH($A32,Accounts!$B$2:$B$21,0))&amp;""="","(no PS)",INDEX(Accounts!$F$2:$F$21,MATCH($A32,Accounts!$B$2:$B$21,0))&amp;""),"")))),""))</f>
        <v>Z Yu</v>
      </c>
      <c r="F32" s="42" t="s">
        <v>104</v>
      </c>
      <c r="I32" s="42" t="s">
        <v>34</v>
      </c>
      <c r="K32" s="44" t="str">
        <f t="shared" si="1"/>
        <v/>
      </c>
    </row>
    <row r="33" ht="15.75" customHeight="1">
      <c r="A33" s="42" t="s">
        <v>149</v>
      </c>
      <c r="B33" s="42" t="s">
        <v>92</v>
      </c>
      <c r="C33" s="42" t="s">
        <v>232</v>
      </c>
      <c r="D33" s="42" t="s">
        <v>32</v>
      </c>
      <c r="E33" s="43" t="str">
        <f t="array" ref="E33">IF($A33="","",IFERROR(IF($D33="TSE",INDEX(Accounts!$G$2:$G$21,MATCH($A33,Accounts!$B$2:$B$21,0))&amp;"",IF($D33="PS",INDEX(Accounts!$F$2:$F$21,MATCH($A33,Accounts!$B$2:$B$21,0))&amp;"",IF($D33="Named engineer",INDEX(Accounts!$I$2:$I$21,MATCH($A33,Accounts!$B$2:$B$21,0))&amp;"",IF($D33="TSE + PS",IF(INDEX(Accounts!$G$2:$G$21,MATCH($A33,Accounts!$B$2:$B$21,0))&amp;""="","(no TSE)",INDEX(Accounts!$G$2:$G$21,MATCH($A33,Accounts!$B$2:$B$21,0))&amp;"")&amp;" / "&amp;IF(INDEX(Accounts!$F$2:$F$21,MATCH($A33,Accounts!$B$2:$B$21,0))&amp;""="","(no PS)",INDEX(Accounts!$F$2:$F$21,MATCH($A33,Accounts!$B$2:$B$21,0))&amp;""),"")))),""))</f>
        <v>Z Yu</v>
      </c>
      <c r="F33" s="42" t="s">
        <v>104</v>
      </c>
      <c r="I33" s="42" t="s">
        <v>34</v>
      </c>
      <c r="K33" s="44" t="str">
        <f t="shared" si="1"/>
        <v/>
      </c>
    </row>
    <row r="34" ht="15.75" customHeight="1">
      <c r="A34" s="45" t="s">
        <v>155</v>
      </c>
      <c r="B34" s="42" t="s">
        <v>29</v>
      </c>
      <c r="C34" s="42" t="s">
        <v>217</v>
      </c>
      <c r="D34" s="42" t="s">
        <v>32</v>
      </c>
      <c r="E34" s="43" t="str">
        <f t="array" ref="E34">IF($A34="","",IFERROR(IF($D34="TSE",INDEX(Accounts!$G$2:$G$21,MATCH($A34,Accounts!$B$2:$B$21,0))&amp;"",IF($D34="PS",INDEX(Accounts!$F$2:$F$21,MATCH($A34,Accounts!$B$2:$B$21,0))&amp;"",IF($D34="Named engineer",INDEX(Accounts!$I$2:$I$21,MATCH($A34,Accounts!$B$2:$B$21,0))&amp;"",IF($D34="TSE + PS",IF(INDEX(Accounts!$G$2:$G$21,MATCH($A34,Accounts!$B$2:$B$21,0))&amp;""="","(no TSE)",INDEX(Accounts!$G$2:$G$21,MATCH($A34,Accounts!$B$2:$B$21,0))&amp;"")&amp;" / "&amp;IF(INDEX(Accounts!$F$2:$F$21,MATCH($A34,Accounts!$B$2:$B$21,0))&amp;""="","(no PS)",INDEX(Accounts!$F$2:$F$21,MATCH($A34,Accounts!$B$2:$B$21,0))&amp;""),"")))),""))</f>
        <v>Fabio Cezar (DC)</v>
      </c>
      <c r="F34" s="45" t="s">
        <v>108</v>
      </c>
      <c r="H34" s="48" t="s">
        <v>160</v>
      </c>
      <c r="I34" s="42" t="s">
        <v>34</v>
      </c>
      <c r="K34" s="44" t="str">
        <f t="shared" si="1"/>
        <v>Date missing </v>
      </c>
    </row>
    <row r="35" ht="15.75" customHeight="1">
      <c r="A35" s="45" t="s">
        <v>155</v>
      </c>
      <c r="B35" s="42" t="s">
        <v>36</v>
      </c>
      <c r="C35" s="42" t="s">
        <v>218</v>
      </c>
      <c r="D35" s="42" t="s">
        <v>32</v>
      </c>
      <c r="E35" s="43" t="str">
        <f t="array" ref="E35">IF($A35="","",IFERROR(IF($D35="TSE",INDEX(Accounts!$G$2:$G$21,MATCH($A35,Accounts!$B$2:$B$21,0))&amp;"",IF($D35="PS",INDEX(Accounts!$F$2:$F$21,MATCH($A35,Accounts!$B$2:$B$21,0))&amp;"",IF($D35="Named engineer",INDEX(Accounts!$I$2:$I$21,MATCH($A35,Accounts!$B$2:$B$21,0))&amp;"",IF($D35="TSE + PS",IF(INDEX(Accounts!$G$2:$G$21,MATCH($A35,Accounts!$B$2:$B$21,0))&amp;""="","(no TSE)",INDEX(Accounts!$G$2:$G$21,MATCH($A35,Accounts!$B$2:$B$21,0))&amp;"")&amp;" / "&amp;IF(INDEX(Accounts!$F$2:$F$21,MATCH($A35,Accounts!$B$2:$B$21,0))&amp;""="","(no PS)",INDEX(Accounts!$F$2:$F$21,MATCH($A35,Accounts!$B$2:$B$21,0))&amp;""),"")))),""))</f>
        <v>Fabio Cezar (DC)</v>
      </c>
      <c r="F35" s="45" t="s">
        <v>108</v>
      </c>
      <c r="H35" s="48" t="s">
        <v>160</v>
      </c>
      <c r="I35" s="42" t="s">
        <v>34</v>
      </c>
      <c r="K35" s="44" t="str">
        <f t="shared" si="1"/>
        <v>Date missing </v>
      </c>
    </row>
    <row r="36" ht="15.75" customHeight="1">
      <c r="A36" s="45" t="s">
        <v>155</v>
      </c>
      <c r="B36" s="42" t="s">
        <v>40</v>
      </c>
      <c r="C36" s="42" t="s">
        <v>219</v>
      </c>
      <c r="D36" s="42" t="s">
        <v>32</v>
      </c>
      <c r="E36" s="43" t="str">
        <f t="array" ref="E36">IF($A36="","",IFERROR(IF($D36="TSE",INDEX(Accounts!$G$2:$G$21,MATCH($A36,Accounts!$B$2:$B$21,0))&amp;"",IF($D36="PS",INDEX(Accounts!$F$2:$F$21,MATCH($A36,Accounts!$B$2:$B$21,0))&amp;"",IF($D36="Named engineer",INDEX(Accounts!$I$2:$I$21,MATCH($A36,Accounts!$B$2:$B$21,0))&amp;"",IF($D36="TSE + PS",IF(INDEX(Accounts!$G$2:$G$21,MATCH($A36,Accounts!$B$2:$B$21,0))&amp;""="","(no TSE)",INDEX(Accounts!$G$2:$G$21,MATCH($A36,Accounts!$B$2:$B$21,0))&amp;"")&amp;" / "&amp;IF(INDEX(Accounts!$F$2:$F$21,MATCH($A36,Accounts!$B$2:$B$21,0))&amp;""="","(no PS)",INDEX(Accounts!$F$2:$F$21,MATCH($A36,Accounts!$B$2:$B$21,0))&amp;""),"")))),""))</f>
        <v>Fabio Cezar (DC)</v>
      </c>
      <c r="F36" s="45" t="s">
        <v>108</v>
      </c>
      <c r="H36" s="48" t="s">
        <v>160</v>
      </c>
      <c r="I36" s="42" t="s">
        <v>34</v>
      </c>
      <c r="K36" s="44" t="str">
        <f t="shared" si="1"/>
        <v>Date missing </v>
      </c>
    </row>
    <row r="37" ht="15.75" customHeight="1">
      <c r="A37" s="45" t="s">
        <v>155</v>
      </c>
      <c r="B37" s="42" t="s">
        <v>44</v>
      </c>
      <c r="C37" s="42" t="s">
        <v>220</v>
      </c>
      <c r="D37" s="42" t="s">
        <v>46</v>
      </c>
      <c r="E37" s="43" t="str">
        <f t="array" ref="E37">IF($A37="","",IFERROR(IF($D37="TSE",INDEX(Accounts!$G$2:$G$21,MATCH($A37,Accounts!$B$2:$B$21,0))&amp;"",IF($D37="PS",INDEX(Accounts!$F$2:$F$21,MATCH($A37,Accounts!$B$2:$B$21,0))&amp;"",IF($D37="Named engineer",INDEX(Accounts!$I$2:$I$21,MATCH($A37,Accounts!$B$2:$B$21,0))&amp;"",IF($D37="TSE + PS",IF(INDEX(Accounts!$G$2:$G$21,MATCH($A37,Accounts!$B$2:$B$21,0))&amp;""="","(no TSE)",INDEX(Accounts!$G$2:$G$21,MATCH($A37,Accounts!$B$2:$B$21,0))&amp;"")&amp;" / "&amp;IF(INDEX(Accounts!$F$2:$F$21,MATCH($A37,Accounts!$B$2:$B$21,0))&amp;""="","(no PS)",INDEX(Accounts!$F$2:$F$21,MATCH($A37,Accounts!$B$2:$B$21,0))&amp;""),"")))),""))</f>
        <v>OAE - Telecomunicaciones De Guatemala - Tracker</v>
      </c>
      <c r="F37" s="45" t="s">
        <v>104</v>
      </c>
      <c r="I37" s="42" t="s">
        <v>34</v>
      </c>
      <c r="K37" s="44" t="str">
        <f t="shared" si="1"/>
        <v/>
      </c>
    </row>
    <row r="38" ht="15.75" customHeight="1">
      <c r="A38" s="45" t="s">
        <v>155</v>
      </c>
      <c r="B38" s="42" t="s">
        <v>49</v>
      </c>
      <c r="C38" s="42" t="s">
        <v>221</v>
      </c>
      <c r="D38" s="42" t="s">
        <v>32</v>
      </c>
      <c r="E38" s="43" t="str">
        <f t="array" ref="E38">IF($A38="","",IFERROR(IF($D38="TSE",INDEX(Accounts!$G$2:$G$21,MATCH($A38,Accounts!$B$2:$B$21,0))&amp;"",IF($D38="PS",INDEX(Accounts!$F$2:$F$21,MATCH($A38,Accounts!$B$2:$B$21,0))&amp;"",IF($D38="Named engineer",INDEX(Accounts!$I$2:$I$21,MATCH($A38,Accounts!$B$2:$B$21,0))&amp;"",IF($D38="TSE + PS",IF(INDEX(Accounts!$G$2:$G$21,MATCH($A38,Accounts!$B$2:$B$21,0))&amp;""="","(no TSE)",INDEX(Accounts!$G$2:$G$21,MATCH($A38,Accounts!$B$2:$B$21,0))&amp;"")&amp;" / "&amp;IF(INDEX(Accounts!$F$2:$F$21,MATCH($A38,Accounts!$B$2:$B$21,0))&amp;""="","(no PS)",INDEX(Accounts!$F$2:$F$21,MATCH($A38,Accounts!$B$2:$B$21,0))&amp;""),"")))),""))</f>
        <v>Fabio Cezar (DC)</v>
      </c>
      <c r="F38" s="42" t="s">
        <v>104</v>
      </c>
      <c r="I38" s="42" t="s">
        <v>34</v>
      </c>
      <c r="K38" s="44" t="str">
        <f t="shared" si="1"/>
        <v/>
      </c>
    </row>
    <row r="39" ht="15.75" customHeight="1">
      <c r="A39" s="45" t="s">
        <v>155</v>
      </c>
      <c r="B39" s="42" t="s">
        <v>53</v>
      </c>
      <c r="C39" s="42" t="s">
        <v>222</v>
      </c>
      <c r="D39" s="42" t="s">
        <v>32</v>
      </c>
      <c r="E39" s="43" t="str">
        <f t="array" ref="E39">IF($A39="","",IFERROR(IF($D39="TSE",INDEX(Accounts!$G$2:$G$21,MATCH($A39,Accounts!$B$2:$B$21,0))&amp;"",IF($D39="PS",INDEX(Accounts!$F$2:$F$21,MATCH($A39,Accounts!$B$2:$B$21,0))&amp;"",IF($D39="Named engineer",INDEX(Accounts!$I$2:$I$21,MATCH($A39,Accounts!$B$2:$B$21,0))&amp;"",IF($D39="TSE + PS",IF(INDEX(Accounts!$G$2:$G$21,MATCH($A39,Accounts!$B$2:$B$21,0))&amp;""="","(no TSE)",INDEX(Accounts!$G$2:$G$21,MATCH($A39,Accounts!$B$2:$B$21,0))&amp;"")&amp;" / "&amp;IF(INDEX(Accounts!$F$2:$F$21,MATCH($A39,Accounts!$B$2:$B$21,0))&amp;""="","(no PS)",INDEX(Accounts!$F$2:$F$21,MATCH($A39,Accounts!$B$2:$B$21,0))&amp;""),"")))),""))</f>
        <v>Fabio Cezar (DC)</v>
      </c>
      <c r="F39" s="42" t="s">
        <v>104</v>
      </c>
      <c r="I39" s="42" t="s">
        <v>56</v>
      </c>
      <c r="K39" s="44" t="str">
        <f t="shared" si="1"/>
        <v/>
      </c>
    </row>
    <row r="40" ht="15.75" customHeight="1">
      <c r="A40" s="45" t="s">
        <v>155</v>
      </c>
      <c r="B40" s="42" t="s">
        <v>57</v>
      </c>
      <c r="C40" s="42" t="s">
        <v>223</v>
      </c>
      <c r="D40" s="42" t="s">
        <v>68</v>
      </c>
      <c r="E40" s="43" t="str">
        <f t="array" ref="E40">IF($A40="","",IFERROR(IF($D40="TSE",INDEX(Accounts!$G$2:$G$21,MATCH($A40,Accounts!$B$2:$B$21,0))&amp;"",IF($D40="PS",INDEX(Accounts!$F$2:$F$21,MATCH($A40,Accounts!$B$2:$B$21,0))&amp;"",IF($D40="Named engineer",INDEX(Accounts!$I$2:$I$21,MATCH($A40,Accounts!$B$2:$B$21,0))&amp;"",IF($D40="TSE + PS",IF(INDEX(Accounts!$G$2:$G$21,MATCH($A40,Accounts!$B$2:$B$21,0))&amp;""="","(no TSE)",INDEX(Accounts!$G$2:$G$21,MATCH($A40,Accounts!$B$2:$B$21,0))&amp;"")&amp;" / "&amp;IF(INDEX(Accounts!$F$2:$F$21,MATCH($A40,Accounts!$B$2:$B$21,0))&amp;""="","(no PS)",INDEX(Accounts!$F$2:$F$21,MATCH($A40,Accounts!$B$2:$B$21,0))&amp;""),"")))),""))</f>
        <v>Ariel Nin</v>
      </c>
      <c r="F40" s="42" t="s">
        <v>104</v>
      </c>
      <c r="I40" s="42" t="s">
        <v>56</v>
      </c>
      <c r="K40" s="44" t="str">
        <f t="shared" si="1"/>
        <v/>
      </c>
    </row>
    <row r="41" ht="15.75" customHeight="1">
      <c r="A41" s="45" t="s">
        <v>155</v>
      </c>
      <c r="B41" s="42" t="s">
        <v>60</v>
      </c>
      <c r="C41" s="42" t="s">
        <v>224</v>
      </c>
      <c r="D41" s="42" t="s">
        <v>62</v>
      </c>
      <c r="E41" s="43" t="str">
        <f t="array" ref="E41">IF($A41="","",IFERROR(IF($D41="TSE",INDEX(Accounts!$G$2:$G$21,MATCH($A41,Accounts!$B$2:$B$21,0))&amp;"",IF($D41="PS",INDEX(Accounts!$F$2:$F$21,MATCH($A41,Accounts!$B$2:$B$21,0))&amp;"",IF($D41="Named engineer",INDEX(Accounts!$I$2:$I$21,MATCH($A41,Accounts!$B$2:$B$21,0))&amp;"",IF($D41="TSE + PS",IF(INDEX(Accounts!$G$2:$G$21,MATCH($A41,Accounts!$B$2:$B$21,0))&amp;""="","(no TSE)",INDEX(Accounts!$G$2:$G$21,MATCH($A41,Accounts!$B$2:$B$21,0))&amp;"")&amp;" / "&amp;IF(INDEX(Accounts!$F$2:$F$21,MATCH($A41,Accounts!$B$2:$B$21,0))&amp;""="","(no PS)",INDEX(Accounts!$F$2:$F$21,MATCH($A41,Accounts!$B$2:$B$21,0))&amp;""),"")))),""))</f>
        <v>Fabio Cezar (DC) / Ariel Nin</v>
      </c>
      <c r="F41" s="45" t="s">
        <v>108</v>
      </c>
      <c r="G41" s="49">
        <v>46289.0</v>
      </c>
      <c r="H41" s="48" t="s">
        <v>160</v>
      </c>
      <c r="I41" s="42" t="s">
        <v>34</v>
      </c>
      <c r="K41" s="44" t="str">
        <f t="shared" si="1"/>
        <v/>
      </c>
    </row>
    <row r="42" ht="15.75" customHeight="1">
      <c r="A42" s="45" t="s">
        <v>155</v>
      </c>
      <c r="B42" s="42" t="s">
        <v>65</v>
      </c>
      <c r="C42" s="42" t="s">
        <v>225</v>
      </c>
      <c r="D42" s="42" t="s">
        <v>68</v>
      </c>
      <c r="E42" s="43" t="str">
        <f t="array" ref="E42">IF($A42="","",IFERROR(IF($D42="TSE",INDEX(Accounts!$G$2:$G$21,MATCH($A42,Accounts!$B$2:$B$21,0))&amp;"",IF($D42="PS",INDEX(Accounts!$F$2:$F$21,MATCH($A42,Accounts!$B$2:$B$21,0))&amp;"",IF($D42="Named engineer",INDEX(Accounts!$I$2:$I$21,MATCH($A42,Accounts!$B$2:$B$21,0))&amp;"",IF($D42="TSE + PS",IF(INDEX(Accounts!$G$2:$G$21,MATCH($A42,Accounts!$B$2:$B$21,0))&amp;""="","(no TSE)",INDEX(Accounts!$G$2:$G$21,MATCH($A42,Accounts!$B$2:$B$21,0))&amp;"")&amp;" / "&amp;IF(INDEX(Accounts!$F$2:$F$21,MATCH($A42,Accounts!$B$2:$B$21,0))&amp;""="","(no PS)",INDEX(Accounts!$F$2:$F$21,MATCH($A42,Accounts!$B$2:$B$21,0))&amp;""),"")))),""))</f>
        <v>Ariel Nin</v>
      </c>
      <c r="F42" s="45" t="s">
        <v>108</v>
      </c>
      <c r="G42" s="49">
        <v>46295.0</v>
      </c>
      <c r="H42" s="48" t="s">
        <v>160</v>
      </c>
      <c r="I42" s="42" t="s">
        <v>34</v>
      </c>
      <c r="K42" s="44" t="str">
        <f t="shared" si="1"/>
        <v/>
      </c>
    </row>
    <row r="43" ht="15.75" customHeight="1">
      <c r="A43" s="45" t="s">
        <v>155</v>
      </c>
      <c r="B43" s="42" t="s">
        <v>71</v>
      </c>
      <c r="C43" s="42" t="s">
        <v>226</v>
      </c>
      <c r="D43" s="42" t="s">
        <v>46</v>
      </c>
      <c r="E43" s="43" t="str">
        <f t="array" ref="E43">IF($A43="","",IFERROR(IF($D43="TSE",INDEX(Accounts!$G$2:$G$21,MATCH($A43,Accounts!$B$2:$B$21,0))&amp;"",IF($D43="PS",INDEX(Accounts!$F$2:$F$21,MATCH($A43,Accounts!$B$2:$B$21,0))&amp;"",IF($D43="Named engineer",INDEX(Accounts!$I$2:$I$21,MATCH($A43,Accounts!$B$2:$B$21,0))&amp;"",IF($D43="TSE + PS",IF(INDEX(Accounts!$G$2:$G$21,MATCH($A43,Accounts!$B$2:$B$21,0))&amp;""="","(no TSE)",INDEX(Accounts!$G$2:$G$21,MATCH($A43,Accounts!$B$2:$B$21,0))&amp;"")&amp;" / "&amp;IF(INDEX(Accounts!$F$2:$F$21,MATCH($A43,Accounts!$B$2:$B$21,0))&amp;""="","(no PS)",INDEX(Accounts!$F$2:$F$21,MATCH($A43,Accounts!$B$2:$B$21,0))&amp;""),"")))),""))</f>
        <v>OAE - Telecomunicaciones De Guatemala - Tracker</v>
      </c>
      <c r="F43" s="42" t="s">
        <v>104</v>
      </c>
      <c r="I43" s="42" t="s">
        <v>56</v>
      </c>
      <c r="K43" s="44" t="str">
        <f t="shared" si="1"/>
        <v/>
      </c>
    </row>
    <row r="44" ht="15.75" customHeight="1">
      <c r="A44" s="45" t="s">
        <v>155</v>
      </c>
      <c r="B44" s="42" t="s">
        <v>74</v>
      </c>
      <c r="C44" s="42" t="s">
        <v>227</v>
      </c>
      <c r="D44" s="42" t="s">
        <v>68</v>
      </c>
      <c r="E44" s="43" t="str">
        <f t="array" ref="E44">IF($A44="","",IFERROR(IF($D44="TSE",INDEX(Accounts!$G$2:$G$21,MATCH($A44,Accounts!$B$2:$B$21,0))&amp;"",IF($D44="PS",INDEX(Accounts!$F$2:$F$21,MATCH($A44,Accounts!$B$2:$B$21,0))&amp;"",IF($D44="Named engineer",INDEX(Accounts!$I$2:$I$21,MATCH($A44,Accounts!$B$2:$B$21,0))&amp;"",IF($D44="TSE + PS",IF(INDEX(Accounts!$G$2:$G$21,MATCH($A44,Accounts!$B$2:$B$21,0))&amp;""="","(no TSE)",INDEX(Accounts!$G$2:$G$21,MATCH($A44,Accounts!$B$2:$B$21,0))&amp;"")&amp;" / "&amp;IF(INDEX(Accounts!$F$2:$F$21,MATCH($A44,Accounts!$B$2:$B$21,0))&amp;""="","(no PS)",INDEX(Accounts!$F$2:$F$21,MATCH($A44,Accounts!$B$2:$B$21,0))&amp;""),"")))),""))</f>
        <v>Ariel Nin</v>
      </c>
      <c r="F44" s="45" t="s">
        <v>108</v>
      </c>
      <c r="G44" s="49">
        <v>46289.0</v>
      </c>
      <c r="H44" s="48" t="s">
        <v>160</v>
      </c>
      <c r="I44" s="42" t="s">
        <v>56</v>
      </c>
      <c r="K44" s="44" t="str">
        <f t="shared" si="1"/>
        <v/>
      </c>
    </row>
    <row r="45" ht="15.75" customHeight="1">
      <c r="A45" s="45" t="s">
        <v>155</v>
      </c>
      <c r="B45" s="42" t="s">
        <v>77</v>
      </c>
      <c r="C45" s="42" t="s">
        <v>228</v>
      </c>
      <c r="D45" s="42" t="s">
        <v>68</v>
      </c>
      <c r="E45" s="43" t="str">
        <f t="array" ref="E45">IF($A45="","",IFERROR(IF($D45="TSE",INDEX(Accounts!$G$2:$G$21,MATCH($A45,Accounts!$B$2:$B$21,0))&amp;"",IF($D45="PS",INDEX(Accounts!$F$2:$F$21,MATCH($A45,Accounts!$B$2:$B$21,0))&amp;"",IF($D45="Named engineer",INDEX(Accounts!$I$2:$I$21,MATCH($A45,Accounts!$B$2:$B$21,0))&amp;"",IF($D45="TSE + PS",IF(INDEX(Accounts!$G$2:$G$21,MATCH($A45,Accounts!$B$2:$B$21,0))&amp;""="","(no TSE)",INDEX(Accounts!$G$2:$G$21,MATCH($A45,Accounts!$B$2:$B$21,0))&amp;"")&amp;" / "&amp;IF(INDEX(Accounts!$F$2:$F$21,MATCH($A45,Accounts!$B$2:$B$21,0))&amp;""="","(no PS)",INDEX(Accounts!$F$2:$F$21,MATCH($A45,Accounts!$B$2:$B$21,0))&amp;""),"")))),""))</f>
        <v>Ariel Nin</v>
      </c>
      <c r="F45" s="45" t="s">
        <v>108</v>
      </c>
      <c r="G45" s="49">
        <v>46295.0</v>
      </c>
      <c r="H45" s="48" t="s">
        <v>160</v>
      </c>
      <c r="I45" s="42" t="s">
        <v>56</v>
      </c>
      <c r="J45" s="42" t="s">
        <v>233</v>
      </c>
      <c r="K45" s="44" t="str">
        <f t="shared" si="1"/>
        <v/>
      </c>
    </row>
    <row r="46" ht="15.75" customHeight="1">
      <c r="A46" s="45" t="s">
        <v>155</v>
      </c>
      <c r="B46" s="42" t="s">
        <v>80</v>
      </c>
      <c r="C46" s="42" t="s">
        <v>229</v>
      </c>
      <c r="D46" s="42" t="s">
        <v>62</v>
      </c>
      <c r="E46" s="43" t="str">
        <f t="array" ref="E46">IF($A46="","",IFERROR(IF($D46="TSE",INDEX(Accounts!$G$2:$G$21,MATCH($A46,Accounts!$B$2:$B$21,0))&amp;"",IF($D46="PS",INDEX(Accounts!$F$2:$F$21,MATCH($A46,Accounts!$B$2:$B$21,0))&amp;"",IF($D46="Named engineer",INDEX(Accounts!$I$2:$I$21,MATCH($A46,Accounts!$B$2:$B$21,0))&amp;"",IF($D46="TSE + PS",IF(INDEX(Accounts!$G$2:$G$21,MATCH($A46,Accounts!$B$2:$B$21,0))&amp;""="","(no TSE)",INDEX(Accounts!$G$2:$G$21,MATCH($A46,Accounts!$B$2:$B$21,0))&amp;"")&amp;" / "&amp;IF(INDEX(Accounts!$F$2:$F$21,MATCH($A46,Accounts!$B$2:$B$21,0))&amp;""="","(no PS)",INDEX(Accounts!$F$2:$F$21,MATCH($A46,Accounts!$B$2:$B$21,0))&amp;""),"")))),""))</f>
        <v>Fabio Cezar (DC) / Ariel Nin</v>
      </c>
      <c r="F46" s="45" t="s">
        <v>108</v>
      </c>
      <c r="G46" s="49">
        <v>46300.0</v>
      </c>
      <c r="H46" s="48" t="s">
        <v>160</v>
      </c>
      <c r="I46" s="42" t="s">
        <v>34</v>
      </c>
      <c r="K46" s="44" t="str">
        <f t="shared" si="1"/>
        <v/>
      </c>
    </row>
    <row r="47" ht="15.75" customHeight="1">
      <c r="A47" s="45" t="s">
        <v>155</v>
      </c>
      <c r="B47" s="42" t="s">
        <v>85</v>
      </c>
      <c r="C47" s="42" t="s">
        <v>230</v>
      </c>
      <c r="D47" s="42" t="s">
        <v>32</v>
      </c>
      <c r="E47" s="43" t="str">
        <f t="array" ref="E47">IF($A47="","",IFERROR(IF($D47="TSE",INDEX(Accounts!$G$2:$G$21,MATCH($A47,Accounts!$B$2:$B$21,0))&amp;"",IF($D47="PS",INDEX(Accounts!$F$2:$F$21,MATCH($A47,Accounts!$B$2:$B$21,0))&amp;"",IF($D47="Named engineer",INDEX(Accounts!$I$2:$I$21,MATCH($A47,Accounts!$B$2:$B$21,0))&amp;"",IF($D47="TSE + PS",IF(INDEX(Accounts!$G$2:$G$21,MATCH($A47,Accounts!$B$2:$B$21,0))&amp;""="","(no TSE)",INDEX(Accounts!$G$2:$G$21,MATCH($A47,Accounts!$B$2:$B$21,0))&amp;"")&amp;" / "&amp;IF(INDEX(Accounts!$F$2:$F$21,MATCH($A47,Accounts!$B$2:$B$21,0))&amp;""="","(no PS)",INDEX(Accounts!$F$2:$F$21,MATCH($A47,Accounts!$B$2:$B$21,0))&amp;""),"")))),""))</f>
        <v>Fabio Cezar (DC)</v>
      </c>
      <c r="F47" s="45" t="s">
        <v>108</v>
      </c>
      <c r="G47" s="49">
        <v>46300.0</v>
      </c>
      <c r="I47" s="42" t="s">
        <v>56</v>
      </c>
      <c r="K47" s="44" t="str">
        <f t="shared" si="1"/>
        <v/>
      </c>
    </row>
    <row r="48" ht="15.75" customHeight="1">
      <c r="A48" s="45" t="s">
        <v>155</v>
      </c>
      <c r="B48" s="42" t="s">
        <v>88</v>
      </c>
      <c r="C48" s="42" t="s">
        <v>231</v>
      </c>
      <c r="D48" s="42" t="s">
        <v>32</v>
      </c>
      <c r="E48" s="43" t="str">
        <f t="array" ref="E48">IF($A48="","",IFERROR(IF($D48="TSE",INDEX(Accounts!$G$2:$G$21,MATCH($A48,Accounts!$B$2:$B$21,0))&amp;"",IF($D48="PS",INDEX(Accounts!$F$2:$F$21,MATCH($A48,Accounts!$B$2:$B$21,0))&amp;"",IF($D48="Named engineer",INDEX(Accounts!$I$2:$I$21,MATCH($A48,Accounts!$B$2:$B$21,0))&amp;"",IF($D48="TSE + PS",IF(INDEX(Accounts!$G$2:$G$21,MATCH($A48,Accounts!$B$2:$B$21,0))&amp;""="","(no TSE)",INDEX(Accounts!$G$2:$G$21,MATCH($A48,Accounts!$B$2:$B$21,0))&amp;"")&amp;" / "&amp;IF(INDEX(Accounts!$F$2:$F$21,MATCH($A48,Accounts!$B$2:$B$21,0))&amp;""="","(no PS)",INDEX(Accounts!$F$2:$F$21,MATCH($A48,Accounts!$B$2:$B$21,0))&amp;""),"")))),""))</f>
        <v>Fabio Cezar (DC)</v>
      </c>
      <c r="F48" s="45" t="s">
        <v>108</v>
      </c>
      <c r="G48" s="49">
        <v>46302.0</v>
      </c>
      <c r="H48" s="48" t="s">
        <v>160</v>
      </c>
      <c r="I48" s="42" t="s">
        <v>34</v>
      </c>
      <c r="K48" s="44" t="str">
        <f t="shared" si="1"/>
        <v/>
      </c>
    </row>
    <row r="49" ht="15.75" customHeight="1">
      <c r="A49" s="45" t="s">
        <v>155</v>
      </c>
      <c r="B49" s="42" t="s">
        <v>92</v>
      </c>
      <c r="C49" s="42" t="s">
        <v>232</v>
      </c>
      <c r="D49" s="42" t="s">
        <v>32</v>
      </c>
      <c r="E49" s="43" t="str">
        <f t="array" ref="E49">IF($A49="","",IFERROR(IF($D49="TSE",INDEX(Accounts!$G$2:$G$21,MATCH($A49,Accounts!$B$2:$B$21,0))&amp;"",IF($D49="PS",INDEX(Accounts!$F$2:$F$21,MATCH($A49,Accounts!$B$2:$B$21,0))&amp;"",IF($D49="Named engineer",INDEX(Accounts!$I$2:$I$21,MATCH($A49,Accounts!$B$2:$B$21,0))&amp;"",IF($D49="TSE + PS",IF(INDEX(Accounts!$G$2:$G$21,MATCH($A49,Accounts!$B$2:$B$21,0))&amp;""="","(no TSE)",INDEX(Accounts!$G$2:$G$21,MATCH($A49,Accounts!$B$2:$B$21,0))&amp;"")&amp;" / "&amp;IF(INDEX(Accounts!$F$2:$F$21,MATCH($A49,Accounts!$B$2:$B$21,0))&amp;""="","(no PS)",INDEX(Accounts!$F$2:$F$21,MATCH($A49,Accounts!$B$2:$B$21,0))&amp;""),"")))),""))</f>
        <v>Fabio Cezar (DC)</v>
      </c>
      <c r="F49" s="42" t="s">
        <v>104</v>
      </c>
      <c r="I49" s="42" t="s">
        <v>34</v>
      </c>
      <c r="K49" s="44" t="str">
        <f t="shared" si="1"/>
        <v/>
      </c>
    </row>
    <row r="50" ht="15.75" customHeight="1">
      <c r="A50" s="31" t="s">
        <v>166</v>
      </c>
      <c r="B50" s="42" t="s">
        <v>29</v>
      </c>
      <c r="C50" s="42" t="s">
        <v>217</v>
      </c>
      <c r="D50" s="42" t="s">
        <v>32</v>
      </c>
      <c r="E50" s="43" t="str">
        <f t="array" ref="E50">IF($A50="","",IFERROR(IF($D50="TSE",INDEX(Accounts!$G$2:$G$21,MATCH($A50,Accounts!$B$2:$B$21,0))&amp;"",IF($D50="PS",INDEX(Accounts!$F$2:$F$21,MATCH($A50,Accounts!$B$2:$B$21,0))&amp;"",IF($D50="Named engineer",INDEX(Accounts!$I$2:$I$21,MATCH($A50,Accounts!$B$2:$B$21,0))&amp;"",IF($D50="TSE + PS",IF(INDEX(Accounts!$G$2:$G$21,MATCH($A50,Accounts!$B$2:$B$21,0))&amp;""="","(no TSE)",INDEX(Accounts!$G$2:$G$21,MATCH($A50,Accounts!$B$2:$B$21,0))&amp;"")&amp;" / "&amp;IF(INDEX(Accounts!$F$2:$F$21,MATCH($A50,Accounts!$B$2:$B$21,0))&amp;""="","(no PS)",INDEX(Accounts!$F$2:$F$21,MATCH($A50,Accounts!$B$2:$B$21,0))&amp;""),"")))),""))</f>
        <v>Harold Moore (DC)</v>
      </c>
      <c r="F50" s="42" t="s">
        <v>104</v>
      </c>
      <c r="I50" s="42" t="s">
        <v>34</v>
      </c>
      <c r="K50" s="44" t="str">
        <f t="shared" si="1"/>
        <v/>
      </c>
    </row>
    <row r="51" ht="15.75" customHeight="1">
      <c r="A51" s="31" t="s">
        <v>166</v>
      </c>
      <c r="B51" s="42" t="s">
        <v>36</v>
      </c>
      <c r="C51" s="42" t="s">
        <v>218</v>
      </c>
      <c r="D51" s="42" t="s">
        <v>32</v>
      </c>
      <c r="E51" s="43" t="str">
        <f t="array" ref="E51">IF($A51="","",IFERROR(IF($D51="TSE",INDEX(Accounts!$G$2:$G$21,MATCH($A51,Accounts!$B$2:$B$21,0))&amp;"",IF($D51="PS",INDEX(Accounts!$F$2:$F$21,MATCH($A51,Accounts!$B$2:$B$21,0))&amp;"",IF($D51="Named engineer",INDEX(Accounts!$I$2:$I$21,MATCH($A51,Accounts!$B$2:$B$21,0))&amp;"",IF($D51="TSE + PS",IF(INDEX(Accounts!$G$2:$G$21,MATCH($A51,Accounts!$B$2:$B$21,0))&amp;""="","(no TSE)",INDEX(Accounts!$G$2:$G$21,MATCH($A51,Accounts!$B$2:$B$21,0))&amp;"")&amp;" / "&amp;IF(INDEX(Accounts!$F$2:$F$21,MATCH($A51,Accounts!$B$2:$B$21,0))&amp;""="","(no PS)",INDEX(Accounts!$F$2:$F$21,MATCH($A51,Accounts!$B$2:$B$21,0))&amp;""),"")))),""))</f>
        <v>Harold Moore (DC)</v>
      </c>
      <c r="F51" s="42" t="s">
        <v>104</v>
      </c>
      <c r="I51" s="42" t="s">
        <v>34</v>
      </c>
      <c r="K51" s="44" t="str">
        <f t="shared" si="1"/>
        <v/>
      </c>
    </row>
    <row r="52" ht="15.75" customHeight="1">
      <c r="A52" s="31" t="s">
        <v>166</v>
      </c>
      <c r="B52" s="42" t="s">
        <v>40</v>
      </c>
      <c r="C52" s="42" t="s">
        <v>219</v>
      </c>
      <c r="D52" s="42" t="s">
        <v>32</v>
      </c>
      <c r="E52" s="43" t="str">
        <f t="array" ref="E52">IF($A52="","",IFERROR(IF($D52="TSE",INDEX(Accounts!$G$2:$G$21,MATCH($A52,Accounts!$B$2:$B$21,0))&amp;"",IF($D52="PS",INDEX(Accounts!$F$2:$F$21,MATCH($A52,Accounts!$B$2:$B$21,0))&amp;"",IF($D52="Named engineer",INDEX(Accounts!$I$2:$I$21,MATCH($A52,Accounts!$B$2:$B$21,0))&amp;"",IF($D52="TSE + PS",IF(INDEX(Accounts!$G$2:$G$21,MATCH($A52,Accounts!$B$2:$B$21,0))&amp;""="","(no TSE)",INDEX(Accounts!$G$2:$G$21,MATCH($A52,Accounts!$B$2:$B$21,0))&amp;"")&amp;" / "&amp;IF(INDEX(Accounts!$F$2:$F$21,MATCH($A52,Accounts!$B$2:$B$21,0))&amp;""="","(no PS)",INDEX(Accounts!$F$2:$F$21,MATCH($A52,Accounts!$B$2:$B$21,0))&amp;""),"")))),""))</f>
        <v>Harold Moore (DC)</v>
      </c>
      <c r="F52" s="42" t="s">
        <v>104</v>
      </c>
      <c r="I52" s="42" t="s">
        <v>34</v>
      </c>
      <c r="K52" s="44" t="str">
        <f t="shared" si="1"/>
        <v/>
      </c>
    </row>
    <row r="53" ht="15.75" customHeight="1">
      <c r="A53" s="31" t="s">
        <v>166</v>
      </c>
      <c r="B53" s="42" t="s">
        <v>44</v>
      </c>
      <c r="C53" s="42" t="s">
        <v>220</v>
      </c>
      <c r="D53" s="42" t="s">
        <v>46</v>
      </c>
      <c r="E53" s="43" t="str">
        <f t="array" ref="E53">IF($A53="","",IFERROR(IF($D53="TSE",INDEX(Accounts!$G$2:$G$21,MATCH($A53,Accounts!$B$2:$B$21,0))&amp;"",IF($D53="PS",INDEX(Accounts!$F$2:$F$21,MATCH($A53,Accounts!$B$2:$B$21,0))&amp;"",IF($D53="Named engineer",INDEX(Accounts!$I$2:$I$21,MATCH($A53,Accounts!$B$2:$B$21,0))&amp;"",IF($D53="TSE + PS",IF(INDEX(Accounts!$G$2:$G$21,MATCH($A53,Accounts!$B$2:$B$21,0))&amp;""="","(no TSE)",INDEX(Accounts!$G$2:$G$21,MATCH($A53,Accounts!$B$2:$B$21,0))&amp;"")&amp;" / "&amp;IF(INDEX(Accounts!$F$2:$F$21,MATCH($A53,Accounts!$B$2:$B$21,0))&amp;""="","(no PS)",INDEX(Accounts!$F$2:$F$21,MATCH($A53,Accounts!$B$2:$B$21,0))&amp;""),"")))),""))</f>
        <v>OAE - FIS Global - Tracker</v>
      </c>
      <c r="F53" s="42" t="s">
        <v>104</v>
      </c>
      <c r="I53" s="42" t="s">
        <v>34</v>
      </c>
      <c r="K53" s="44" t="str">
        <f t="shared" si="1"/>
        <v/>
      </c>
    </row>
    <row r="54" ht="15.75" customHeight="1">
      <c r="A54" s="31" t="s">
        <v>166</v>
      </c>
      <c r="B54" s="42" t="s">
        <v>49</v>
      </c>
      <c r="C54" s="42" t="s">
        <v>221</v>
      </c>
      <c r="D54" s="42" t="s">
        <v>32</v>
      </c>
      <c r="E54" s="43" t="str">
        <f t="array" ref="E54">IF($A54="","",IFERROR(IF($D54="TSE",INDEX(Accounts!$G$2:$G$21,MATCH($A54,Accounts!$B$2:$B$21,0))&amp;"",IF($D54="PS",INDEX(Accounts!$F$2:$F$21,MATCH($A54,Accounts!$B$2:$B$21,0))&amp;"",IF($D54="Named engineer",INDEX(Accounts!$I$2:$I$21,MATCH($A54,Accounts!$B$2:$B$21,0))&amp;"",IF($D54="TSE + PS",IF(INDEX(Accounts!$G$2:$G$21,MATCH($A54,Accounts!$B$2:$B$21,0))&amp;""="","(no TSE)",INDEX(Accounts!$G$2:$G$21,MATCH($A54,Accounts!$B$2:$B$21,0))&amp;"")&amp;" / "&amp;IF(INDEX(Accounts!$F$2:$F$21,MATCH($A54,Accounts!$B$2:$B$21,0))&amp;""="","(no PS)",INDEX(Accounts!$F$2:$F$21,MATCH($A54,Accounts!$B$2:$B$21,0))&amp;""),"")))),""))</f>
        <v>Harold Moore (DC)</v>
      </c>
      <c r="F54" s="42" t="s">
        <v>104</v>
      </c>
      <c r="I54" s="42" t="s">
        <v>34</v>
      </c>
      <c r="K54" s="44" t="str">
        <f t="shared" si="1"/>
        <v/>
      </c>
    </row>
    <row r="55" ht="15.75" customHeight="1">
      <c r="A55" s="31" t="s">
        <v>166</v>
      </c>
      <c r="B55" s="42" t="s">
        <v>53</v>
      </c>
      <c r="C55" s="42" t="s">
        <v>222</v>
      </c>
      <c r="D55" s="42" t="s">
        <v>32</v>
      </c>
      <c r="E55" s="43" t="str">
        <f t="array" ref="E55">IF($A55="","",IFERROR(IF($D55="TSE",INDEX(Accounts!$G$2:$G$21,MATCH($A55,Accounts!$B$2:$B$21,0))&amp;"",IF($D55="PS",INDEX(Accounts!$F$2:$F$21,MATCH($A55,Accounts!$B$2:$B$21,0))&amp;"",IF($D55="Named engineer",INDEX(Accounts!$I$2:$I$21,MATCH($A55,Accounts!$B$2:$B$21,0))&amp;"",IF($D55="TSE + PS",IF(INDEX(Accounts!$G$2:$G$21,MATCH($A55,Accounts!$B$2:$B$21,0))&amp;""="","(no TSE)",INDEX(Accounts!$G$2:$G$21,MATCH($A55,Accounts!$B$2:$B$21,0))&amp;"")&amp;" / "&amp;IF(INDEX(Accounts!$F$2:$F$21,MATCH($A55,Accounts!$B$2:$B$21,0))&amp;""="","(no PS)",INDEX(Accounts!$F$2:$F$21,MATCH($A55,Accounts!$B$2:$B$21,0))&amp;""),"")))),""))</f>
        <v>Harold Moore (DC)</v>
      </c>
      <c r="F55" s="42" t="s">
        <v>104</v>
      </c>
      <c r="I55" s="42" t="s">
        <v>56</v>
      </c>
      <c r="K55" s="44" t="str">
        <f t="shared" si="1"/>
        <v/>
      </c>
    </row>
    <row r="56" ht="15.75" customHeight="1">
      <c r="A56" s="31" t="s">
        <v>166</v>
      </c>
      <c r="B56" s="42" t="s">
        <v>57</v>
      </c>
      <c r="C56" s="42" t="s">
        <v>223</v>
      </c>
      <c r="D56" s="42" t="s">
        <v>68</v>
      </c>
      <c r="E56" s="43" t="str">
        <f t="array" ref="E56">IF($A56="","",IFERROR(IF($D56="TSE",INDEX(Accounts!$G$2:$G$21,MATCH($A56,Accounts!$B$2:$B$21,0))&amp;"",IF($D56="PS",INDEX(Accounts!$F$2:$F$21,MATCH($A56,Accounts!$B$2:$B$21,0))&amp;"",IF($D56="Named engineer",INDEX(Accounts!$I$2:$I$21,MATCH($A56,Accounts!$B$2:$B$21,0))&amp;"",IF($D56="TSE + PS",IF(INDEX(Accounts!$G$2:$G$21,MATCH($A56,Accounts!$B$2:$B$21,0))&amp;""="","(no TSE)",INDEX(Accounts!$G$2:$G$21,MATCH($A56,Accounts!$B$2:$B$21,0))&amp;"")&amp;" / "&amp;IF(INDEX(Accounts!$F$2:$F$21,MATCH($A56,Accounts!$B$2:$B$21,0))&amp;""="","(no PS)",INDEX(Accounts!$F$2:$F$21,MATCH($A56,Accounts!$B$2:$B$21,0))&amp;""),"")))),""))</f>
        <v>Stephen Lovett</v>
      </c>
      <c r="F56" s="42" t="s">
        <v>104</v>
      </c>
      <c r="I56" s="42" t="s">
        <v>56</v>
      </c>
      <c r="K56" s="44" t="str">
        <f t="shared" si="1"/>
        <v/>
      </c>
    </row>
    <row r="57" ht="15.75" customHeight="1">
      <c r="A57" s="31" t="s">
        <v>166</v>
      </c>
      <c r="B57" s="42" t="s">
        <v>60</v>
      </c>
      <c r="C57" s="42" t="s">
        <v>224</v>
      </c>
      <c r="D57" s="42" t="s">
        <v>62</v>
      </c>
      <c r="E57" s="43" t="str">
        <f t="array" ref="E57">IF($A57="","",IFERROR(IF($D57="TSE",INDEX(Accounts!$G$2:$G$21,MATCH($A57,Accounts!$B$2:$B$21,0))&amp;"",IF($D57="PS",INDEX(Accounts!$F$2:$F$21,MATCH($A57,Accounts!$B$2:$B$21,0))&amp;"",IF($D57="Named engineer",INDEX(Accounts!$I$2:$I$21,MATCH($A57,Accounts!$B$2:$B$21,0))&amp;"",IF($D57="TSE + PS",IF(INDEX(Accounts!$G$2:$G$21,MATCH($A57,Accounts!$B$2:$B$21,0))&amp;""="","(no TSE)",INDEX(Accounts!$G$2:$G$21,MATCH($A57,Accounts!$B$2:$B$21,0))&amp;"")&amp;" / "&amp;IF(INDEX(Accounts!$F$2:$F$21,MATCH($A57,Accounts!$B$2:$B$21,0))&amp;""="","(no PS)",INDEX(Accounts!$F$2:$F$21,MATCH($A57,Accounts!$B$2:$B$21,0))&amp;""),"")))),""))</f>
        <v>Harold Moore (DC) / Stephen Lovett</v>
      </c>
      <c r="F57" s="42" t="s">
        <v>104</v>
      </c>
      <c r="I57" s="42" t="s">
        <v>34</v>
      </c>
      <c r="K57" s="44" t="str">
        <f t="shared" si="1"/>
        <v/>
      </c>
    </row>
    <row r="58" ht="15.75" customHeight="1">
      <c r="A58" s="31" t="s">
        <v>166</v>
      </c>
      <c r="B58" s="42" t="s">
        <v>65</v>
      </c>
      <c r="C58" s="42" t="s">
        <v>225</v>
      </c>
      <c r="D58" s="42" t="s">
        <v>68</v>
      </c>
      <c r="E58" s="43" t="str">
        <f t="array" ref="E58">IF($A58="","",IFERROR(IF($D58="TSE",INDEX(Accounts!$G$2:$G$21,MATCH($A58,Accounts!$B$2:$B$21,0))&amp;"",IF($D58="PS",INDEX(Accounts!$F$2:$F$21,MATCH($A58,Accounts!$B$2:$B$21,0))&amp;"",IF($D58="Named engineer",INDEX(Accounts!$I$2:$I$21,MATCH($A58,Accounts!$B$2:$B$21,0))&amp;"",IF($D58="TSE + PS",IF(INDEX(Accounts!$G$2:$G$21,MATCH($A58,Accounts!$B$2:$B$21,0))&amp;""="","(no TSE)",INDEX(Accounts!$G$2:$G$21,MATCH($A58,Accounts!$B$2:$B$21,0))&amp;"")&amp;" / "&amp;IF(INDEX(Accounts!$F$2:$F$21,MATCH($A58,Accounts!$B$2:$B$21,0))&amp;""="","(no PS)",INDEX(Accounts!$F$2:$F$21,MATCH($A58,Accounts!$B$2:$B$21,0))&amp;""),"")))),""))</f>
        <v>Stephen Lovett</v>
      </c>
      <c r="F58" s="42" t="s">
        <v>104</v>
      </c>
      <c r="I58" s="42" t="s">
        <v>34</v>
      </c>
      <c r="K58" s="44" t="str">
        <f t="shared" si="1"/>
        <v/>
      </c>
    </row>
    <row r="59" ht="15.75" customHeight="1">
      <c r="A59" s="31" t="s">
        <v>166</v>
      </c>
      <c r="B59" s="42" t="s">
        <v>71</v>
      </c>
      <c r="C59" s="42" t="s">
        <v>226</v>
      </c>
      <c r="D59" s="42" t="s">
        <v>46</v>
      </c>
      <c r="E59" s="43" t="str">
        <f t="array" ref="E59">IF($A59="","",IFERROR(IF($D59="TSE",INDEX(Accounts!$G$2:$G$21,MATCH($A59,Accounts!$B$2:$B$21,0))&amp;"",IF($D59="PS",INDEX(Accounts!$F$2:$F$21,MATCH($A59,Accounts!$B$2:$B$21,0))&amp;"",IF($D59="Named engineer",INDEX(Accounts!$I$2:$I$21,MATCH($A59,Accounts!$B$2:$B$21,0))&amp;"",IF($D59="TSE + PS",IF(INDEX(Accounts!$G$2:$G$21,MATCH($A59,Accounts!$B$2:$B$21,0))&amp;""="","(no TSE)",INDEX(Accounts!$G$2:$G$21,MATCH($A59,Accounts!$B$2:$B$21,0))&amp;"")&amp;" / "&amp;IF(INDEX(Accounts!$F$2:$F$21,MATCH($A59,Accounts!$B$2:$B$21,0))&amp;""="","(no PS)",INDEX(Accounts!$F$2:$F$21,MATCH($A59,Accounts!$B$2:$B$21,0))&amp;""),"")))),""))</f>
        <v>OAE - FIS Global - Tracker</v>
      </c>
      <c r="F59" s="42" t="s">
        <v>104</v>
      </c>
      <c r="I59" s="42" t="s">
        <v>56</v>
      </c>
      <c r="K59" s="44" t="str">
        <f t="shared" si="1"/>
        <v/>
      </c>
    </row>
    <row r="60" ht="15.75" customHeight="1">
      <c r="A60" s="31" t="s">
        <v>166</v>
      </c>
      <c r="B60" s="42" t="s">
        <v>74</v>
      </c>
      <c r="C60" s="42" t="s">
        <v>227</v>
      </c>
      <c r="D60" s="42" t="s">
        <v>68</v>
      </c>
      <c r="E60" s="43" t="str">
        <f t="array" ref="E60">IF($A60="","",IFERROR(IF($D60="TSE",INDEX(Accounts!$G$2:$G$21,MATCH($A60,Accounts!$B$2:$B$21,0))&amp;"",IF($D60="PS",INDEX(Accounts!$F$2:$F$21,MATCH($A60,Accounts!$B$2:$B$21,0))&amp;"",IF($D60="Named engineer",INDEX(Accounts!$I$2:$I$21,MATCH($A60,Accounts!$B$2:$B$21,0))&amp;"",IF($D60="TSE + PS",IF(INDEX(Accounts!$G$2:$G$21,MATCH($A60,Accounts!$B$2:$B$21,0))&amp;""="","(no TSE)",INDEX(Accounts!$G$2:$G$21,MATCH($A60,Accounts!$B$2:$B$21,0))&amp;"")&amp;" / "&amp;IF(INDEX(Accounts!$F$2:$F$21,MATCH($A60,Accounts!$B$2:$B$21,0))&amp;""="","(no PS)",INDEX(Accounts!$F$2:$F$21,MATCH($A60,Accounts!$B$2:$B$21,0))&amp;""),"")))),""))</f>
        <v>Stephen Lovett</v>
      </c>
      <c r="F60" s="42" t="s">
        <v>104</v>
      </c>
      <c r="I60" s="42" t="s">
        <v>56</v>
      </c>
      <c r="K60" s="44" t="str">
        <f t="shared" si="1"/>
        <v/>
      </c>
    </row>
    <row r="61" ht="15.75" customHeight="1">
      <c r="A61" s="31" t="s">
        <v>166</v>
      </c>
      <c r="B61" s="42" t="s">
        <v>77</v>
      </c>
      <c r="C61" s="42" t="s">
        <v>228</v>
      </c>
      <c r="D61" s="42" t="s">
        <v>68</v>
      </c>
      <c r="E61" s="43" t="str">
        <f t="array" ref="E61">IF($A61="","",IFERROR(IF($D61="TSE",INDEX(Accounts!$G$2:$G$21,MATCH($A61,Accounts!$B$2:$B$21,0))&amp;"",IF($D61="PS",INDEX(Accounts!$F$2:$F$21,MATCH($A61,Accounts!$B$2:$B$21,0))&amp;"",IF($D61="Named engineer",INDEX(Accounts!$I$2:$I$21,MATCH($A61,Accounts!$B$2:$B$21,0))&amp;"",IF($D61="TSE + PS",IF(INDEX(Accounts!$G$2:$G$21,MATCH($A61,Accounts!$B$2:$B$21,0))&amp;""="","(no TSE)",INDEX(Accounts!$G$2:$G$21,MATCH($A61,Accounts!$B$2:$B$21,0))&amp;"")&amp;" / "&amp;IF(INDEX(Accounts!$F$2:$F$21,MATCH($A61,Accounts!$B$2:$B$21,0))&amp;""="","(no PS)",INDEX(Accounts!$F$2:$F$21,MATCH($A61,Accounts!$B$2:$B$21,0))&amp;""),"")))),""))</f>
        <v>Stephen Lovett</v>
      </c>
      <c r="F61" s="42" t="s">
        <v>104</v>
      </c>
      <c r="I61" s="42" t="s">
        <v>56</v>
      </c>
      <c r="K61" s="44" t="str">
        <f t="shared" si="1"/>
        <v/>
      </c>
    </row>
    <row r="62" ht="15.75" customHeight="1">
      <c r="A62" s="31" t="s">
        <v>166</v>
      </c>
      <c r="B62" s="42" t="s">
        <v>80</v>
      </c>
      <c r="C62" s="42" t="s">
        <v>229</v>
      </c>
      <c r="D62" s="42" t="s">
        <v>62</v>
      </c>
      <c r="E62" s="43" t="str">
        <f t="array" ref="E62">IF($A62="","",IFERROR(IF($D62="TSE",INDEX(Accounts!$G$2:$G$21,MATCH($A62,Accounts!$B$2:$B$21,0))&amp;"",IF($D62="PS",INDEX(Accounts!$F$2:$F$21,MATCH($A62,Accounts!$B$2:$B$21,0))&amp;"",IF($D62="Named engineer",INDEX(Accounts!$I$2:$I$21,MATCH($A62,Accounts!$B$2:$B$21,0))&amp;"",IF($D62="TSE + PS",IF(INDEX(Accounts!$G$2:$G$21,MATCH($A62,Accounts!$B$2:$B$21,0))&amp;""="","(no TSE)",INDEX(Accounts!$G$2:$G$21,MATCH($A62,Accounts!$B$2:$B$21,0))&amp;"")&amp;" / "&amp;IF(INDEX(Accounts!$F$2:$F$21,MATCH($A62,Accounts!$B$2:$B$21,0))&amp;""="","(no PS)",INDEX(Accounts!$F$2:$F$21,MATCH($A62,Accounts!$B$2:$B$21,0))&amp;""),"")))),""))</f>
        <v>Harold Moore (DC) / Stephen Lovett</v>
      </c>
      <c r="F62" s="42" t="s">
        <v>104</v>
      </c>
      <c r="I62" s="42" t="s">
        <v>34</v>
      </c>
      <c r="K62" s="44" t="str">
        <f t="shared" si="1"/>
        <v/>
      </c>
    </row>
    <row r="63" ht="15.75" customHeight="1">
      <c r="A63" s="31" t="s">
        <v>166</v>
      </c>
      <c r="B63" s="42" t="s">
        <v>85</v>
      </c>
      <c r="C63" s="42" t="s">
        <v>230</v>
      </c>
      <c r="D63" s="42" t="s">
        <v>32</v>
      </c>
      <c r="E63" s="43" t="str">
        <f t="array" ref="E63">IF($A63="","",IFERROR(IF($D63="TSE",INDEX(Accounts!$G$2:$G$21,MATCH($A63,Accounts!$B$2:$B$21,0))&amp;"",IF($D63="PS",INDEX(Accounts!$F$2:$F$21,MATCH($A63,Accounts!$B$2:$B$21,0))&amp;"",IF($D63="Named engineer",INDEX(Accounts!$I$2:$I$21,MATCH($A63,Accounts!$B$2:$B$21,0))&amp;"",IF($D63="TSE + PS",IF(INDEX(Accounts!$G$2:$G$21,MATCH($A63,Accounts!$B$2:$B$21,0))&amp;""="","(no TSE)",INDEX(Accounts!$G$2:$G$21,MATCH($A63,Accounts!$B$2:$B$21,0))&amp;"")&amp;" / "&amp;IF(INDEX(Accounts!$F$2:$F$21,MATCH($A63,Accounts!$B$2:$B$21,0))&amp;""="","(no PS)",INDEX(Accounts!$F$2:$F$21,MATCH($A63,Accounts!$B$2:$B$21,0))&amp;""),"")))),""))</f>
        <v>Harold Moore (DC)</v>
      </c>
      <c r="F63" s="42" t="s">
        <v>104</v>
      </c>
      <c r="I63" s="42" t="s">
        <v>56</v>
      </c>
      <c r="K63" s="44" t="str">
        <f t="shared" si="1"/>
        <v/>
      </c>
    </row>
    <row r="64" ht="15.75" customHeight="1">
      <c r="A64" s="31" t="s">
        <v>166</v>
      </c>
      <c r="B64" s="42" t="s">
        <v>88</v>
      </c>
      <c r="C64" s="42" t="s">
        <v>231</v>
      </c>
      <c r="D64" s="42" t="s">
        <v>32</v>
      </c>
      <c r="E64" s="43" t="str">
        <f t="array" ref="E64">IF($A64="","",IFERROR(IF($D64="TSE",INDEX(Accounts!$G$2:$G$21,MATCH($A64,Accounts!$B$2:$B$21,0))&amp;"",IF($D64="PS",INDEX(Accounts!$F$2:$F$21,MATCH($A64,Accounts!$B$2:$B$21,0))&amp;"",IF($D64="Named engineer",INDEX(Accounts!$I$2:$I$21,MATCH($A64,Accounts!$B$2:$B$21,0))&amp;"",IF($D64="TSE + PS",IF(INDEX(Accounts!$G$2:$G$21,MATCH($A64,Accounts!$B$2:$B$21,0))&amp;""="","(no TSE)",INDEX(Accounts!$G$2:$G$21,MATCH($A64,Accounts!$B$2:$B$21,0))&amp;"")&amp;" / "&amp;IF(INDEX(Accounts!$F$2:$F$21,MATCH($A64,Accounts!$B$2:$B$21,0))&amp;""="","(no PS)",INDEX(Accounts!$F$2:$F$21,MATCH($A64,Accounts!$B$2:$B$21,0))&amp;""),"")))),""))</f>
        <v>Harold Moore (DC)</v>
      </c>
      <c r="F64" s="42" t="s">
        <v>104</v>
      </c>
      <c r="I64" s="42" t="s">
        <v>34</v>
      </c>
      <c r="K64" s="44" t="str">
        <f t="shared" si="1"/>
        <v/>
      </c>
    </row>
    <row r="65" ht="15.75" customHeight="1">
      <c r="A65" s="31" t="s">
        <v>166</v>
      </c>
      <c r="B65" s="42" t="s">
        <v>92</v>
      </c>
      <c r="C65" s="42" t="s">
        <v>232</v>
      </c>
      <c r="D65" s="42" t="s">
        <v>32</v>
      </c>
      <c r="E65" s="43" t="str">
        <f t="array" ref="E65">IF($A65="","",IFERROR(IF($D65="TSE",INDEX(Accounts!$G$2:$G$21,MATCH($A65,Accounts!$B$2:$B$21,0))&amp;"",IF($D65="PS",INDEX(Accounts!$F$2:$F$21,MATCH($A65,Accounts!$B$2:$B$21,0))&amp;"",IF($D65="Named engineer",INDEX(Accounts!$I$2:$I$21,MATCH($A65,Accounts!$B$2:$B$21,0))&amp;"",IF($D65="TSE + PS",IF(INDEX(Accounts!$G$2:$G$21,MATCH($A65,Accounts!$B$2:$B$21,0))&amp;""="","(no TSE)",INDEX(Accounts!$G$2:$G$21,MATCH($A65,Accounts!$B$2:$B$21,0))&amp;"")&amp;" / "&amp;IF(INDEX(Accounts!$F$2:$F$21,MATCH($A65,Accounts!$B$2:$B$21,0))&amp;""="","(no PS)",INDEX(Accounts!$F$2:$F$21,MATCH($A65,Accounts!$B$2:$B$21,0))&amp;""),"")))),""))</f>
        <v>Harold Moore (DC)</v>
      </c>
      <c r="F65" s="42" t="s">
        <v>104</v>
      </c>
      <c r="I65" s="42" t="s">
        <v>34</v>
      </c>
      <c r="K65" s="44" t="str">
        <f t="shared" si="1"/>
        <v/>
      </c>
    </row>
    <row r="66" ht="15.75" customHeight="1">
      <c r="A66" s="45" t="s">
        <v>171</v>
      </c>
      <c r="B66" s="42" t="s">
        <v>29</v>
      </c>
      <c r="C66" s="42" t="s">
        <v>217</v>
      </c>
      <c r="D66" s="42" t="s">
        <v>32</v>
      </c>
      <c r="E66" s="43" t="str">
        <f t="array" ref="E66">IF($A66="","",IFERROR(IF($D66="TSE",INDEX(Accounts!$G$2:$G$21,MATCH($A66,Accounts!$B$2:$B$21,0))&amp;"",IF($D66="PS",INDEX(Accounts!$F$2:$F$21,MATCH($A66,Accounts!$B$2:$B$21,0))&amp;"",IF($D66="Named engineer",INDEX(Accounts!$I$2:$I$21,MATCH($A66,Accounts!$B$2:$B$21,0))&amp;"",IF($D66="TSE + PS",IF(INDEX(Accounts!$G$2:$G$21,MATCH($A66,Accounts!$B$2:$B$21,0))&amp;""="","(no TSE)",INDEX(Accounts!$G$2:$G$21,MATCH($A66,Accounts!$B$2:$B$21,0))&amp;"")&amp;" / "&amp;IF(INDEX(Accounts!$F$2:$F$21,MATCH($A66,Accounts!$B$2:$B$21,0))&amp;""="","(no PS)",INDEX(Accounts!$F$2:$F$21,MATCH($A66,Accounts!$B$2:$B$21,0))&amp;""),"")))),""))</f>
        <v>Ravi Badana</v>
      </c>
      <c r="F66" s="42" t="s">
        <v>104</v>
      </c>
      <c r="I66" s="42" t="s">
        <v>34</v>
      </c>
      <c r="K66" s="44" t="str">
        <f t="shared" si="1"/>
        <v/>
      </c>
    </row>
    <row r="67" ht="15.75" customHeight="1">
      <c r="A67" s="45" t="s">
        <v>171</v>
      </c>
      <c r="B67" s="42" t="s">
        <v>36</v>
      </c>
      <c r="C67" s="42" t="s">
        <v>218</v>
      </c>
      <c r="D67" s="42" t="s">
        <v>32</v>
      </c>
      <c r="E67" s="43" t="str">
        <f t="array" ref="E67">IF($A67="","",IFERROR(IF($D67="TSE",INDEX(Accounts!$G$2:$G$21,MATCH($A67,Accounts!$B$2:$B$21,0))&amp;"",IF($D67="PS",INDEX(Accounts!$F$2:$F$21,MATCH($A67,Accounts!$B$2:$B$21,0))&amp;"",IF($D67="Named engineer",INDEX(Accounts!$I$2:$I$21,MATCH($A67,Accounts!$B$2:$B$21,0))&amp;"",IF($D67="TSE + PS",IF(INDEX(Accounts!$G$2:$G$21,MATCH($A67,Accounts!$B$2:$B$21,0))&amp;""="","(no TSE)",INDEX(Accounts!$G$2:$G$21,MATCH($A67,Accounts!$B$2:$B$21,0))&amp;"")&amp;" / "&amp;IF(INDEX(Accounts!$F$2:$F$21,MATCH($A67,Accounts!$B$2:$B$21,0))&amp;""="","(no PS)",INDEX(Accounts!$F$2:$F$21,MATCH($A67,Accounts!$B$2:$B$21,0))&amp;""),"")))),""))</f>
        <v>Ravi Badana</v>
      </c>
      <c r="F67" s="42" t="s">
        <v>104</v>
      </c>
      <c r="I67" s="42" t="s">
        <v>34</v>
      </c>
      <c r="K67" s="44" t="str">
        <f t="shared" si="1"/>
        <v/>
      </c>
    </row>
    <row r="68" ht="15.75" customHeight="1">
      <c r="A68" s="45" t="s">
        <v>171</v>
      </c>
      <c r="B68" s="42" t="s">
        <v>40</v>
      </c>
      <c r="C68" s="42" t="s">
        <v>219</v>
      </c>
      <c r="D68" s="42" t="s">
        <v>32</v>
      </c>
      <c r="E68" s="43" t="str">
        <f t="array" ref="E68">IF($A68="","",IFERROR(IF($D68="TSE",INDEX(Accounts!$G$2:$G$21,MATCH($A68,Accounts!$B$2:$B$21,0))&amp;"",IF($D68="PS",INDEX(Accounts!$F$2:$F$21,MATCH($A68,Accounts!$B$2:$B$21,0))&amp;"",IF($D68="Named engineer",INDEX(Accounts!$I$2:$I$21,MATCH($A68,Accounts!$B$2:$B$21,0))&amp;"",IF($D68="TSE + PS",IF(INDEX(Accounts!$G$2:$G$21,MATCH($A68,Accounts!$B$2:$B$21,0))&amp;""="","(no TSE)",INDEX(Accounts!$G$2:$G$21,MATCH($A68,Accounts!$B$2:$B$21,0))&amp;"")&amp;" / "&amp;IF(INDEX(Accounts!$F$2:$F$21,MATCH($A68,Accounts!$B$2:$B$21,0))&amp;""="","(no PS)",INDEX(Accounts!$F$2:$F$21,MATCH($A68,Accounts!$B$2:$B$21,0))&amp;""),"")))),""))</f>
        <v>Ravi Badana</v>
      </c>
      <c r="F68" s="42" t="s">
        <v>104</v>
      </c>
      <c r="I68" s="42" t="s">
        <v>34</v>
      </c>
      <c r="K68" s="44" t="str">
        <f t="shared" si="1"/>
        <v/>
      </c>
    </row>
    <row r="69" ht="15.75" customHeight="1">
      <c r="A69" s="45" t="s">
        <v>171</v>
      </c>
      <c r="B69" s="42" t="s">
        <v>44</v>
      </c>
      <c r="C69" s="42" t="s">
        <v>220</v>
      </c>
      <c r="D69" s="42" t="s">
        <v>46</v>
      </c>
      <c r="E69" s="43" t="str">
        <f t="array" ref="E69">IF($A69="","",IFERROR(IF($D69="TSE",INDEX(Accounts!$G$2:$G$21,MATCH($A69,Accounts!$B$2:$B$21,0))&amp;"",IF($D69="PS",INDEX(Accounts!$F$2:$F$21,MATCH($A69,Accounts!$B$2:$B$21,0))&amp;"",IF($D69="Named engineer",INDEX(Accounts!$I$2:$I$21,MATCH($A69,Accounts!$B$2:$B$21,0))&amp;"",IF($D69="TSE + PS",IF(INDEX(Accounts!$G$2:$G$21,MATCH($A69,Accounts!$B$2:$B$21,0))&amp;""="","(no TSE)",INDEX(Accounts!$G$2:$G$21,MATCH($A69,Accounts!$B$2:$B$21,0))&amp;"")&amp;" / "&amp;IF(INDEX(Accounts!$F$2:$F$21,MATCH($A69,Accounts!$B$2:$B$21,0))&amp;""="","(no PS)",INDEX(Accounts!$F$2:$F$21,MATCH($A69,Accounts!$B$2:$B$21,0))&amp;""),"")))),""))</f>
        <v>OAE - FnF - Tracker</v>
      </c>
      <c r="F69" s="42" t="s">
        <v>104</v>
      </c>
      <c r="I69" s="42" t="s">
        <v>34</v>
      </c>
      <c r="K69" s="44" t="str">
        <f t="shared" si="1"/>
        <v/>
      </c>
    </row>
    <row r="70" ht="15.75" customHeight="1">
      <c r="A70" s="45" t="s">
        <v>171</v>
      </c>
      <c r="B70" s="42" t="s">
        <v>49</v>
      </c>
      <c r="C70" s="42" t="s">
        <v>221</v>
      </c>
      <c r="D70" s="42" t="s">
        <v>32</v>
      </c>
      <c r="E70" s="43" t="str">
        <f t="array" ref="E70">IF($A70="","",IFERROR(IF($D70="TSE",INDEX(Accounts!$G$2:$G$21,MATCH($A70,Accounts!$B$2:$B$21,0))&amp;"",IF($D70="PS",INDEX(Accounts!$F$2:$F$21,MATCH($A70,Accounts!$B$2:$B$21,0))&amp;"",IF($D70="Named engineer",INDEX(Accounts!$I$2:$I$21,MATCH($A70,Accounts!$B$2:$B$21,0))&amp;"",IF($D70="TSE + PS",IF(INDEX(Accounts!$G$2:$G$21,MATCH($A70,Accounts!$B$2:$B$21,0))&amp;""="","(no TSE)",INDEX(Accounts!$G$2:$G$21,MATCH($A70,Accounts!$B$2:$B$21,0))&amp;"")&amp;" / "&amp;IF(INDEX(Accounts!$F$2:$F$21,MATCH($A70,Accounts!$B$2:$B$21,0))&amp;""="","(no PS)",INDEX(Accounts!$F$2:$F$21,MATCH($A70,Accounts!$B$2:$B$21,0))&amp;""),"")))),""))</f>
        <v>Ravi Badana</v>
      </c>
      <c r="F70" s="42" t="s">
        <v>104</v>
      </c>
      <c r="I70" s="42" t="s">
        <v>34</v>
      </c>
      <c r="K70" s="44" t="str">
        <f t="shared" si="1"/>
        <v/>
      </c>
    </row>
    <row r="71" ht="15.75" customHeight="1">
      <c r="A71" s="45" t="s">
        <v>171</v>
      </c>
      <c r="B71" s="42" t="s">
        <v>53</v>
      </c>
      <c r="C71" s="42" t="s">
        <v>222</v>
      </c>
      <c r="D71" s="42" t="s">
        <v>32</v>
      </c>
      <c r="E71" s="43" t="str">
        <f t="array" ref="E71">IF($A71="","",IFERROR(IF($D71="TSE",INDEX(Accounts!$G$2:$G$21,MATCH($A71,Accounts!$B$2:$B$21,0))&amp;"",IF($D71="PS",INDEX(Accounts!$F$2:$F$21,MATCH($A71,Accounts!$B$2:$B$21,0))&amp;"",IF($D71="Named engineer",INDEX(Accounts!$I$2:$I$21,MATCH($A71,Accounts!$B$2:$B$21,0))&amp;"",IF($D71="TSE + PS",IF(INDEX(Accounts!$G$2:$G$21,MATCH($A71,Accounts!$B$2:$B$21,0))&amp;""="","(no TSE)",INDEX(Accounts!$G$2:$G$21,MATCH($A71,Accounts!$B$2:$B$21,0))&amp;"")&amp;" / "&amp;IF(INDEX(Accounts!$F$2:$F$21,MATCH($A71,Accounts!$B$2:$B$21,0))&amp;""="","(no PS)",INDEX(Accounts!$F$2:$F$21,MATCH($A71,Accounts!$B$2:$B$21,0))&amp;""),"")))),""))</f>
        <v>Ravi Badana</v>
      </c>
      <c r="F71" s="42" t="s">
        <v>104</v>
      </c>
      <c r="I71" s="42" t="s">
        <v>56</v>
      </c>
      <c r="K71" s="44" t="str">
        <f t="shared" si="1"/>
        <v/>
      </c>
    </row>
    <row r="72" ht="15.75" customHeight="1">
      <c r="A72" s="45" t="s">
        <v>171</v>
      </c>
      <c r="B72" s="42" t="s">
        <v>57</v>
      </c>
      <c r="C72" s="42" t="s">
        <v>223</v>
      </c>
      <c r="D72" s="42" t="s">
        <v>68</v>
      </c>
      <c r="E72" s="43" t="str">
        <f t="array" ref="E72">IF($A72="","",IFERROR(IF($D72="TSE",INDEX(Accounts!$G$2:$G$21,MATCH($A72,Accounts!$B$2:$B$21,0))&amp;"",IF($D72="PS",INDEX(Accounts!$F$2:$F$21,MATCH($A72,Accounts!$B$2:$B$21,0))&amp;"",IF($D72="Named engineer",INDEX(Accounts!$I$2:$I$21,MATCH($A72,Accounts!$B$2:$B$21,0))&amp;"",IF($D72="TSE + PS",IF(INDEX(Accounts!$G$2:$G$21,MATCH($A72,Accounts!$B$2:$B$21,0))&amp;""="","(no TSE)",INDEX(Accounts!$G$2:$G$21,MATCH($A72,Accounts!$B$2:$B$21,0))&amp;"")&amp;" / "&amp;IF(INDEX(Accounts!$F$2:$F$21,MATCH($A72,Accounts!$B$2:$B$21,0))&amp;""="","(no PS)",INDEX(Accounts!$F$2:$F$21,MATCH($A72,Accounts!$B$2:$B$21,0))&amp;""),"")))),""))</f>
        <v>Stephen Lovett</v>
      </c>
      <c r="F72" s="42" t="s">
        <v>104</v>
      </c>
      <c r="I72" s="42" t="s">
        <v>56</v>
      </c>
      <c r="K72" s="44" t="str">
        <f t="shared" si="1"/>
        <v/>
      </c>
    </row>
    <row r="73" ht="15.75" customHeight="1">
      <c r="A73" s="45" t="s">
        <v>171</v>
      </c>
      <c r="B73" s="42" t="s">
        <v>60</v>
      </c>
      <c r="C73" s="42" t="s">
        <v>224</v>
      </c>
      <c r="D73" s="42" t="s">
        <v>62</v>
      </c>
      <c r="E73" s="43" t="str">
        <f t="array" ref="E73">IF($A73="","",IFERROR(IF($D73="TSE",INDEX(Accounts!$G$2:$G$21,MATCH($A73,Accounts!$B$2:$B$21,0))&amp;"",IF($D73="PS",INDEX(Accounts!$F$2:$F$21,MATCH($A73,Accounts!$B$2:$B$21,0))&amp;"",IF($D73="Named engineer",INDEX(Accounts!$I$2:$I$21,MATCH($A73,Accounts!$B$2:$B$21,0))&amp;"",IF($D73="TSE + PS",IF(INDEX(Accounts!$G$2:$G$21,MATCH($A73,Accounts!$B$2:$B$21,0))&amp;""="","(no TSE)",INDEX(Accounts!$G$2:$G$21,MATCH($A73,Accounts!$B$2:$B$21,0))&amp;"")&amp;" / "&amp;IF(INDEX(Accounts!$F$2:$F$21,MATCH($A73,Accounts!$B$2:$B$21,0))&amp;""="","(no PS)",INDEX(Accounts!$F$2:$F$21,MATCH($A73,Accounts!$B$2:$B$21,0))&amp;""),"")))),""))</f>
        <v>Ravi Badana / Stephen Lovett</v>
      </c>
      <c r="F73" s="42" t="s">
        <v>104</v>
      </c>
      <c r="I73" s="42" t="s">
        <v>34</v>
      </c>
      <c r="K73" s="44" t="str">
        <f t="shared" si="1"/>
        <v/>
      </c>
    </row>
    <row r="74" ht="15.75" customHeight="1">
      <c r="A74" s="45" t="s">
        <v>171</v>
      </c>
      <c r="B74" s="42" t="s">
        <v>65</v>
      </c>
      <c r="C74" s="42" t="s">
        <v>225</v>
      </c>
      <c r="D74" s="42" t="s">
        <v>68</v>
      </c>
      <c r="E74" s="43" t="str">
        <f t="array" ref="E74">IF($A74="","",IFERROR(IF($D74="TSE",INDEX(Accounts!$G$2:$G$21,MATCH($A74,Accounts!$B$2:$B$21,0))&amp;"",IF($D74="PS",INDEX(Accounts!$F$2:$F$21,MATCH($A74,Accounts!$B$2:$B$21,0))&amp;"",IF($D74="Named engineer",INDEX(Accounts!$I$2:$I$21,MATCH($A74,Accounts!$B$2:$B$21,0))&amp;"",IF($D74="TSE + PS",IF(INDEX(Accounts!$G$2:$G$21,MATCH($A74,Accounts!$B$2:$B$21,0))&amp;""="","(no TSE)",INDEX(Accounts!$G$2:$G$21,MATCH($A74,Accounts!$B$2:$B$21,0))&amp;"")&amp;" / "&amp;IF(INDEX(Accounts!$F$2:$F$21,MATCH($A74,Accounts!$B$2:$B$21,0))&amp;""="","(no PS)",INDEX(Accounts!$F$2:$F$21,MATCH($A74,Accounts!$B$2:$B$21,0))&amp;""),"")))),""))</f>
        <v>Stephen Lovett</v>
      </c>
      <c r="F74" s="42" t="s">
        <v>104</v>
      </c>
      <c r="I74" s="42" t="s">
        <v>34</v>
      </c>
      <c r="K74" s="44" t="str">
        <f t="shared" si="1"/>
        <v/>
      </c>
    </row>
    <row r="75" ht="15.75" customHeight="1">
      <c r="A75" s="45" t="s">
        <v>171</v>
      </c>
      <c r="B75" s="42" t="s">
        <v>71</v>
      </c>
      <c r="C75" s="42" t="s">
        <v>226</v>
      </c>
      <c r="D75" s="42" t="s">
        <v>46</v>
      </c>
      <c r="E75" s="43" t="str">
        <f t="array" ref="E75">IF($A75="","",IFERROR(IF($D75="TSE",INDEX(Accounts!$G$2:$G$21,MATCH($A75,Accounts!$B$2:$B$21,0))&amp;"",IF($D75="PS",INDEX(Accounts!$F$2:$F$21,MATCH($A75,Accounts!$B$2:$B$21,0))&amp;"",IF($D75="Named engineer",INDEX(Accounts!$I$2:$I$21,MATCH($A75,Accounts!$B$2:$B$21,0))&amp;"",IF($D75="TSE + PS",IF(INDEX(Accounts!$G$2:$G$21,MATCH($A75,Accounts!$B$2:$B$21,0))&amp;""="","(no TSE)",INDEX(Accounts!$G$2:$G$21,MATCH($A75,Accounts!$B$2:$B$21,0))&amp;"")&amp;" / "&amp;IF(INDEX(Accounts!$F$2:$F$21,MATCH($A75,Accounts!$B$2:$B$21,0))&amp;""="","(no PS)",INDEX(Accounts!$F$2:$F$21,MATCH($A75,Accounts!$B$2:$B$21,0))&amp;""),"")))),""))</f>
        <v>OAE - FnF - Tracker</v>
      </c>
      <c r="F75" s="42" t="s">
        <v>104</v>
      </c>
      <c r="I75" s="42" t="s">
        <v>56</v>
      </c>
      <c r="K75" s="44" t="str">
        <f t="shared" si="1"/>
        <v/>
      </c>
    </row>
    <row r="76" ht="15.75" customHeight="1">
      <c r="A76" s="45" t="s">
        <v>171</v>
      </c>
      <c r="B76" s="42" t="s">
        <v>74</v>
      </c>
      <c r="C76" s="42" t="s">
        <v>227</v>
      </c>
      <c r="D76" s="42" t="s">
        <v>68</v>
      </c>
      <c r="E76" s="43" t="str">
        <f t="array" ref="E76">IF($A76="","",IFERROR(IF($D76="TSE",INDEX(Accounts!$G$2:$G$21,MATCH($A76,Accounts!$B$2:$B$21,0))&amp;"",IF($D76="PS",INDEX(Accounts!$F$2:$F$21,MATCH($A76,Accounts!$B$2:$B$21,0))&amp;"",IF($D76="Named engineer",INDEX(Accounts!$I$2:$I$21,MATCH($A76,Accounts!$B$2:$B$21,0))&amp;"",IF($D76="TSE + PS",IF(INDEX(Accounts!$G$2:$G$21,MATCH($A76,Accounts!$B$2:$B$21,0))&amp;""="","(no TSE)",INDEX(Accounts!$G$2:$G$21,MATCH($A76,Accounts!$B$2:$B$21,0))&amp;"")&amp;" / "&amp;IF(INDEX(Accounts!$F$2:$F$21,MATCH($A76,Accounts!$B$2:$B$21,0))&amp;""="","(no PS)",INDEX(Accounts!$F$2:$F$21,MATCH($A76,Accounts!$B$2:$B$21,0))&amp;""),"")))),""))</f>
        <v>Stephen Lovett</v>
      </c>
      <c r="F76" s="42" t="s">
        <v>104</v>
      </c>
      <c r="I76" s="42" t="s">
        <v>56</v>
      </c>
      <c r="K76" s="44" t="str">
        <f t="shared" si="1"/>
        <v/>
      </c>
    </row>
    <row r="77" ht="15.75" customHeight="1">
      <c r="A77" s="45" t="s">
        <v>171</v>
      </c>
      <c r="B77" s="42" t="s">
        <v>77</v>
      </c>
      <c r="C77" s="42" t="s">
        <v>228</v>
      </c>
      <c r="D77" s="42" t="s">
        <v>68</v>
      </c>
      <c r="E77" s="43" t="str">
        <f t="array" ref="E77">IF($A77="","",IFERROR(IF($D77="TSE",INDEX(Accounts!$G$2:$G$21,MATCH($A77,Accounts!$B$2:$B$21,0))&amp;"",IF($D77="PS",INDEX(Accounts!$F$2:$F$21,MATCH($A77,Accounts!$B$2:$B$21,0))&amp;"",IF($D77="Named engineer",INDEX(Accounts!$I$2:$I$21,MATCH($A77,Accounts!$B$2:$B$21,0))&amp;"",IF($D77="TSE + PS",IF(INDEX(Accounts!$G$2:$G$21,MATCH($A77,Accounts!$B$2:$B$21,0))&amp;""="","(no TSE)",INDEX(Accounts!$G$2:$G$21,MATCH($A77,Accounts!$B$2:$B$21,0))&amp;"")&amp;" / "&amp;IF(INDEX(Accounts!$F$2:$F$21,MATCH($A77,Accounts!$B$2:$B$21,0))&amp;""="","(no PS)",INDEX(Accounts!$F$2:$F$21,MATCH($A77,Accounts!$B$2:$B$21,0))&amp;""),"")))),""))</f>
        <v>Stephen Lovett</v>
      </c>
      <c r="F77" s="42" t="s">
        <v>104</v>
      </c>
      <c r="I77" s="42" t="s">
        <v>56</v>
      </c>
      <c r="K77" s="44" t="str">
        <f t="shared" si="1"/>
        <v/>
      </c>
    </row>
    <row r="78" ht="15.75" customHeight="1">
      <c r="A78" s="45" t="s">
        <v>171</v>
      </c>
      <c r="B78" s="42" t="s">
        <v>80</v>
      </c>
      <c r="C78" s="42" t="s">
        <v>229</v>
      </c>
      <c r="D78" s="42" t="s">
        <v>62</v>
      </c>
      <c r="E78" s="43" t="str">
        <f t="array" ref="E78">IF($A78="","",IFERROR(IF($D78="TSE",INDEX(Accounts!$G$2:$G$21,MATCH($A78,Accounts!$B$2:$B$21,0))&amp;"",IF($D78="PS",INDEX(Accounts!$F$2:$F$21,MATCH($A78,Accounts!$B$2:$B$21,0))&amp;"",IF($D78="Named engineer",INDEX(Accounts!$I$2:$I$21,MATCH($A78,Accounts!$B$2:$B$21,0))&amp;"",IF($D78="TSE + PS",IF(INDEX(Accounts!$G$2:$G$21,MATCH($A78,Accounts!$B$2:$B$21,0))&amp;""="","(no TSE)",INDEX(Accounts!$G$2:$G$21,MATCH($A78,Accounts!$B$2:$B$21,0))&amp;"")&amp;" / "&amp;IF(INDEX(Accounts!$F$2:$F$21,MATCH($A78,Accounts!$B$2:$B$21,0))&amp;""="","(no PS)",INDEX(Accounts!$F$2:$F$21,MATCH($A78,Accounts!$B$2:$B$21,0))&amp;""),"")))),""))</f>
        <v>Ravi Badana / Stephen Lovett</v>
      </c>
      <c r="F78" s="42" t="s">
        <v>104</v>
      </c>
      <c r="I78" s="42" t="s">
        <v>34</v>
      </c>
      <c r="K78" s="44" t="str">
        <f t="shared" si="1"/>
        <v/>
      </c>
    </row>
    <row r="79" ht="15.75" customHeight="1">
      <c r="A79" s="45" t="s">
        <v>171</v>
      </c>
      <c r="B79" s="42" t="s">
        <v>85</v>
      </c>
      <c r="C79" s="42" t="s">
        <v>230</v>
      </c>
      <c r="D79" s="42" t="s">
        <v>32</v>
      </c>
      <c r="E79" s="43" t="str">
        <f t="array" ref="E79">IF($A79="","",IFERROR(IF($D79="TSE",INDEX(Accounts!$G$2:$G$21,MATCH($A79,Accounts!$B$2:$B$21,0))&amp;"",IF($D79="PS",INDEX(Accounts!$F$2:$F$21,MATCH($A79,Accounts!$B$2:$B$21,0))&amp;"",IF($D79="Named engineer",INDEX(Accounts!$I$2:$I$21,MATCH($A79,Accounts!$B$2:$B$21,0))&amp;"",IF($D79="TSE + PS",IF(INDEX(Accounts!$G$2:$G$21,MATCH($A79,Accounts!$B$2:$B$21,0))&amp;""="","(no TSE)",INDEX(Accounts!$G$2:$G$21,MATCH($A79,Accounts!$B$2:$B$21,0))&amp;"")&amp;" / "&amp;IF(INDEX(Accounts!$F$2:$F$21,MATCH($A79,Accounts!$B$2:$B$21,0))&amp;""="","(no PS)",INDEX(Accounts!$F$2:$F$21,MATCH($A79,Accounts!$B$2:$B$21,0))&amp;""),"")))),""))</f>
        <v>Ravi Badana</v>
      </c>
      <c r="F79" s="42" t="s">
        <v>104</v>
      </c>
      <c r="I79" s="42" t="s">
        <v>56</v>
      </c>
      <c r="K79" s="44" t="str">
        <f t="shared" si="1"/>
        <v/>
      </c>
    </row>
    <row r="80" ht="15.75" customHeight="1">
      <c r="A80" s="45" t="s">
        <v>171</v>
      </c>
      <c r="B80" s="42" t="s">
        <v>88</v>
      </c>
      <c r="C80" s="42" t="s">
        <v>231</v>
      </c>
      <c r="D80" s="42" t="s">
        <v>32</v>
      </c>
      <c r="E80" s="43" t="str">
        <f t="array" ref="E80">IF($A80="","",IFERROR(IF($D80="TSE",INDEX(Accounts!$G$2:$G$21,MATCH($A80,Accounts!$B$2:$B$21,0))&amp;"",IF($D80="PS",INDEX(Accounts!$F$2:$F$21,MATCH($A80,Accounts!$B$2:$B$21,0))&amp;"",IF($D80="Named engineer",INDEX(Accounts!$I$2:$I$21,MATCH($A80,Accounts!$B$2:$B$21,0))&amp;"",IF($D80="TSE + PS",IF(INDEX(Accounts!$G$2:$G$21,MATCH($A80,Accounts!$B$2:$B$21,0))&amp;""="","(no TSE)",INDEX(Accounts!$G$2:$G$21,MATCH($A80,Accounts!$B$2:$B$21,0))&amp;"")&amp;" / "&amp;IF(INDEX(Accounts!$F$2:$F$21,MATCH($A80,Accounts!$B$2:$B$21,0))&amp;""="","(no PS)",INDEX(Accounts!$F$2:$F$21,MATCH($A80,Accounts!$B$2:$B$21,0))&amp;""),"")))),""))</f>
        <v>Ravi Badana</v>
      </c>
      <c r="F80" s="42" t="s">
        <v>104</v>
      </c>
      <c r="I80" s="42" t="s">
        <v>34</v>
      </c>
      <c r="K80" s="44" t="str">
        <f t="shared" si="1"/>
        <v/>
      </c>
    </row>
    <row r="81" ht="15.75" customHeight="1">
      <c r="A81" s="45" t="s">
        <v>171</v>
      </c>
      <c r="B81" s="42" t="s">
        <v>92</v>
      </c>
      <c r="C81" s="42" t="s">
        <v>232</v>
      </c>
      <c r="D81" s="42" t="s">
        <v>32</v>
      </c>
      <c r="E81" s="43" t="str">
        <f t="array" ref="E81">IF($A81="","",IFERROR(IF($D81="TSE",INDEX(Accounts!$G$2:$G$21,MATCH($A81,Accounts!$B$2:$B$21,0))&amp;"",IF($D81="PS",INDEX(Accounts!$F$2:$F$21,MATCH($A81,Accounts!$B$2:$B$21,0))&amp;"",IF($D81="Named engineer",INDEX(Accounts!$I$2:$I$21,MATCH($A81,Accounts!$B$2:$B$21,0))&amp;"",IF($D81="TSE + PS",IF(INDEX(Accounts!$G$2:$G$21,MATCH($A81,Accounts!$B$2:$B$21,0))&amp;""="","(no TSE)",INDEX(Accounts!$G$2:$G$21,MATCH($A81,Accounts!$B$2:$B$21,0))&amp;"")&amp;" / "&amp;IF(INDEX(Accounts!$F$2:$F$21,MATCH($A81,Accounts!$B$2:$B$21,0))&amp;""="","(no PS)",INDEX(Accounts!$F$2:$F$21,MATCH($A81,Accounts!$B$2:$B$21,0))&amp;""),"")))),""))</f>
        <v>Ravi Badana</v>
      </c>
      <c r="F81" s="42" t="s">
        <v>104</v>
      </c>
      <c r="I81" s="42" t="s">
        <v>34</v>
      </c>
      <c r="K81" s="44" t="str">
        <f t="shared" si="1"/>
        <v/>
      </c>
    </row>
    <row r="82" ht="15.75" customHeight="1">
      <c r="A82" s="45" t="s">
        <v>175</v>
      </c>
      <c r="B82" s="42" t="s">
        <v>29</v>
      </c>
      <c r="C82" s="42" t="s">
        <v>217</v>
      </c>
      <c r="D82" s="42" t="s">
        <v>32</v>
      </c>
      <c r="E82" s="43" t="str">
        <f t="array" ref="E82">IF($A82="","",IFERROR(IF($D82="TSE",INDEX(Accounts!$G$2:$G$21,MATCH($A82,Accounts!$B$2:$B$21,0))&amp;"",IF($D82="PS",INDEX(Accounts!$F$2:$F$21,MATCH($A82,Accounts!$B$2:$B$21,0))&amp;"",IF($D82="Named engineer",INDEX(Accounts!$I$2:$I$21,MATCH($A82,Accounts!$B$2:$B$21,0))&amp;"",IF($D82="TSE + PS",IF(INDEX(Accounts!$G$2:$G$21,MATCH($A82,Accounts!$B$2:$B$21,0))&amp;""="","(no TSE)",INDEX(Accounts!$G$2:$G$21,MATCH($A82,Accounts!$B$2:$B$21,0))&amp;"")&amp;" / "&amp;IF(INDEX(Accounts!$F$2:$F$21,MATCH($A82,Accounts!$B$2:$B$21,0))&amp;""="","(no PS)",INDEX(Accounts!$F$2:$F$21,MATCH($A82,Accounts!$B$2:$B$21,0))&amp;""),"")))),""))</f>
        <v/>
      </c>
      <c r="F82" s="42" t="s">
        <v>104</v>
      </c>
      <c r="I82" s="42" t="s">
        <v>34</v>
      </c>
      <c r="K82" s="44" t="str">
        <f t="shared" si="1"/>
        <v>Owner missing </v>
      </c>
    </row>
    <row r="83" ht="15.75" customHeight="1">
      <c r="A83" s="45" t="s">
        <v>175</v>
      </c>
      <c r="B83" s="42" t="s">
        <v>36</v>
      </c>
      <c r="C83" s="42" t="s">
        <v>218</v>
      </c>
      <c r="D83" s="42" t="s">
        <v>32</v>
      </c>
      <c r="E83" s="43" t="str">
        <f t="array" ref="E83">IF($A83="","",IFERROR(IF($D83="TSE",INDEX(Accounts!$G$2:$G$21,MATCH($A83,Accounts!$B$2:$B$21,0))&amp;"",IF($D83="PS",INDEX(Accounts!$F$2:$F$21,MATCH($A83,Accounts!$B$2:$B$21,0))&amp;"",IF($D83="Named engineer",INDEX(Accounts!$I$2:$I$21,MATCH($A83,Accounts!$B$2:$B$21,0))&amp;"",IF($D83="TSE + PS",IF(INDEX(Accounts!$G$2:$G$21,MATCH($A83,Accounts!$B$2:$B$21,0))&amp;""="","(no TSE)",INDEX(Accounts!$G$2:$G$21,MATCH($A83,Accounts!$B$2:$B$21,0))&amp;"")&amp;" / "&amp;IF(INDEX(Accounts!$F$2:$F$21,MATCH($A83,Accounts!$B$2:$B$21,0))&amp;""="","(no PS)",INDEX(Accounts!$F$2:$F$21,MATCH($A83,Accounts!$B$2:$B$21,0))&amp;""),"")))),""))</f>
        <v/>
      </c>
      <c r="F83" s="42" t="s">
        <v>104</v>
      </c>
      <c r="I83" s="42" t="s">
        <v>34</v>
      </c>
      <c r="K83" s="44" t="str">
        <f t="shared" si="1"/>
        <v>Owner missing </v>
      </c>
    </row>
    <row r="84" ht="15.75" customHeight="1">
      <c r="A84" s="45" t="s">
        <v>175</v>
      </c>
      <c r="B84" s="42" t="s">
        <v>40</v>
      </c>
      <c r="C84" s="42" t="s">
        <v>219</v>
      </c>
      <c r="D84" s="42" t="s">
        <v>32</v>
      </c>
      <c r="E84" s="43" t="str">
        <f t="array" ref="E84">IF($A84="","",IFERROR(IF($D84="TSE",INDEX(Accounts!$G$2:$G$21,MATCH($A84,Accounts!$B$2:$B$21,0))&amp;"",IF($D84="PS",INDEX(Accounts!$F$2:$F$21,MATCH($A84,Accounts!$B$2:$B$21,0))&amp;"",IF($D84="Named engineer",INDEX(Accounts!$I$2:$I$21,MATCH($A84,Accounts!$B$2:$B$21,0))&amp;"",IF($D84="TSE + PS",IF(INDEX(Accounts!$G$2:$G$21,MATCH($A84,Accounts!$B$2:$B$21,0))&amp;""="","(no TSE)",INDEX(Accounts!$G$2:$G$21,MATCH($A84,Accounts!$B$2:$B$21,0))&amp;"")&amp;" / "&amp;IF(INDEX(Accounts!$F$2:$F$21,MATCH($A84,Accounts!$B$2:$B$21,0))&amp;""="","(no PS)",INDEX(Accounts!$F$2:$F$21,MATCH($A84,Accounts!$B$2:$B$21,0))&amp;""),"")))),""))</f>
        <v/>
      </c>
      <c r="F84" s="42" t="s">
        <v>104</v>
      </c>
      <c r="I84" s="42" t="s">
        <v>34</v>
      </c>
      <c r="K84" s="44" t="str">
        <f t="shared" si="1"/>
        <v>Owner missing </v>
      </c>
    </row>
    <row r="85" ht="15.75" customHeight="1">
      <c r="A85" s="45" t="s">
        <v>175</v>
      </c>
      <c r="B85" s="42" t="s">
        <v>44</v>
      </c>
      <c r="C85" s="42" t="s">
        <v>220</v>
      </c>
      <c r="D85" s="42" t="s">
        <v>46</v>
      </c>
      <c r="E85" s="43" t="str">
        <f t="array" ref="E85">IF($A85="","",IFERROR(IF($D85="TSE",INDEX(Accounts!$G$2:$G$21,MATCH($A85,Accounts!$B$2:$B$21,0))&amp;"",IF($D85="PS",INDEX(Accounts!$F$2:$F$21,MATCH($A85,Accounts!$B$2:$B$21,0))&amp;"",IF($D85="Named engineer",INDEX(Accounts!$I$2:$I$21,MATCH($A85,Accounts!$B$2:$B$21,0))&amp;"",IF($D85="TSE + PS",IF(INDEX(Accounts!$G$2:$G$21,MATCH($A85,Accounts!$B$2:$B$21,0))&amp;""="","(no TSE)",INDEX(Accounts!$G$2:$G$21,MATCH($A85,Accounts!$B$2:$B$21,0))&amp;"")&amp;" / "&amp;IF(INDEX(Accounts!$F$2:$F$21,MATCH($A85,Accounts!$B$2:$B$21,0))&amp;""="","(no PS)",INDEX(Accounts!$F$2:$F$21,MATCH($A85,Accounts!$B$2:$B$21,0))&amp;""),"")))),""))</f>
        <v> OAE - DOI - Tracker</v>
      </c>
      <c r="F85" s="42" t="s">
        <v>104</v>
      </c>
      <c r="I85" s="42" t="s">
        <v>34</v>
      </c>
      <c r="K85" s="44" t="str">
        <f t="shared" si="1"/>
        <v/>
      </c>
    </row>
    <row r="86" ht="15.75" customHeight="1">
      <c r="A86" s="45" t="s">
        <v>175</v>
      </c>
      <c r="B86" s="42" t="s">
        <v>49</v>
      </c>
      <c r="C86" s="42" t="s">
        <v>221</v>
      </c>
      <c r="D86" s="42" t="s">
        <v>32</v>
      </c>
      <c r="E86" s="43" t="str">
        <f t="array" ref="E86">IF($A86="","",IFERROR(IF($D86="TSE",INDEX(Accounts!$G$2:$G$21,MATCH($A86,Accounts!$B$2:$B$21,0))&amp;"",IF($D86="PS",INDEX(Accounts!$F$2:$F$21,MATCH($A86,Accounts!$B$2:$B$21,0))&amp;"",IF($D86="Named engineer",INDEX(Accounts!$I$2:$I$21,MATCH($A86,Accounts!$B$2:$B$21,0))&amp;"",IF($D86="TSE + PS",IF(INDEX(Accounts!$G$2:$G$21,MATCH($A86,Accounts!$B$2:$B$21,0))&amp;""="","(no TSE)",INDEX(Accounts!$G$2:$G$21,MATCH($A86,Accounts!$B$2:$B$21,0))&amp;"")&amp;" / "&amp;IF(INDEX(Accounts!$F$2:$F$21,MATCH($A86,Accounts!$B$2:$B$21,0))&amp;""="","(no PS)",INDEX(Accounts!$F$2:$F$21,MATCH($A86,Accounts!$B$2:$B$21,0))&amp;""),"")))),""))</f>
        <v/>
      </c>
      <c r="F86" s="42" t="s">
        <v>104</v>
      </c>
      <c r="I86" s="42" t="s">
        <v>34</v>
      </c>
      <c r="K86" s="44" t="str">
        <f t="shared" si="1"/>
        <v>Owner missing </v>
      </c>
    </row>
    <row r="87" ht="15.75" customHeight="1">
      <c r="A87" s="45" t="s">
        <v>175</v>
      </c>
      <c r="B87" s="42" t="s">
        <v>53</v>
      </c>
      <c r="C87" s="42" t="s">
        <v>222</v>
      </c>
      <c r="D87" s="42" t="s">
        <v>32</v>
      </c>
      <c r="E87" s="43" t="str">
        <f t="array" ref="E87">IF($A87="","",IFERROR(IF($D87="TSE",INDEX(Accounts!$G$2:$G$21,MATCH($A87,Accounts!$B$2:$B$21,0))&amp;"",IF($D87="PS",INDEX(Accounts!$F$2:$F$21,MATCH($A87,Accounts!$B$2:$B$21,0))&amp;"",IF($D87="Named engineer",INDEX(Accounts!$I$2:$I$21,MATCH($A87,Accounts!$B$2:$B$21,0))&amp;"",IF($D87="TSE + PS",IF(INDEX(Accounts!$G$2:$G$21,MATCH($A87,Accounts!$B$2:$B$21,0))&amp;""="","(no TSE)",INDEX(Accounts!$G$2:$G$21,MATCH($A87,Accounts!$B$2:$B$21,0))&amp;"")&amp;" / "&amp;IF(INDEX(Accounts!$F$2:$F$21,MATCH($A87,Accounts!$B$2:$B$21,0))&amp;""="","(no PS)",INDEX(Accounts!$F$2:$F$21,MATCH($A87,Accounts!$B$2:$B$21,0))&amp;""),"")))),""))</f>
        <v/>
      </c>
      <c r="F87" s="42" t="s">
        <v>104</v>
      </c>
      <c r="I87" s="42" t="s">
        <v>56</v>
      </c>
      <c r="K87" s="44" t="str">
        <f t="shared" si="1"/>
        <v>Owner missing </v>
      </c>
    </row>
    <row r="88" ht="15.75" customHeight="1">
      <c r="A88" s="45" t="s">
        <v>175</v>
      </c>
      <c r="B88" s="42" t="s">
        <v>57</v>
      </c>
      <c r="C88" s="42" t="s">
        <v>223</v>
      </c>
      <c r="D88" s="42" t="s">
        <v>68</v>
      </c>
      <c r="E88" s="43" t="str">
        <f t="array" ref="E88">IF($A88="","",IFERROR(IF($D88="TSE",INDEX(Accounts!$G$2:$G$21,MATCH($A88,Accounts!$B$2:$B$21,0))&amp;"",IF($D88="PS",INDEX(Accounts!$F$2:$F$21,MATCH($A88,Accounts!$B$2:$B$21,0))&amp;"",IF($D88="Named engineer",INDEX(Accounts!$I$2:$I$21,MATCH($A88,Accounts!$B$2:$B$21,0))&amp;"",IF($D88="TSE + PS",IF(INDEX(Accounts!$G$2:$G$21,MATCH($A88,Accounts!$B$2:$B$21,0))&amp;""="","(no TSE)",INDEX(Accounts!$G$2:$G$21,MATCH($A88,Accounts!$B$2:$B$21,0))&amp;"")&amp;" / "&amp;IF(INDEX(Accounts!$F$2:$F$21,MATCH($A88,Accounts!$B$2:$B$21,0))&amp;""="","(no PS)",INDEX(Accounts!$F$2:$F$21,MATCH($A88,Accounts!$B$2:$B$21,0))&amp;""),"")))),""))</f>
        <v>Stephen Lovett</v>
      </c>
      <c r="F88" s="42" t="s">
        <v>104</v>
      </c>
      <c r="I88" s="42" t="s">
        <v>56</v>
      </c>
      <c r="K88" s="44" t="str">
        <f t="shared" si="1"/>
        <v/>
      </c>
    </row>
    <row r="89" ht="15.75" customHeight="1">
      <c r="A89" s="45" t="s">
        <v>175</v>
      </c>
      <c r="B89" s="42" t="s">
        <v>60</v>
      </c>
      <c r="C89" s="42" t="s">
        <v>224</v>
      </c>
      <c r="D89" s="42" t="s">
        <v>62</v>
      </c>
      <c r="E89" s="43" t="str">
        <f t="array" ref="E89">IF($A89="","",IFERROR(IF($D89="TSE",INDEX(Accounts!$G$2:$G$21,MATCH($A89,Accounts!$B$2:$B$21,0))&amp;"",IF($D89="PS",INDEX(Accounts!$F$2:$F$21,MATCH($A89,Accounts!$B$2:$B$21,0))&amp;"",IF($D89="Named engineer",INDEX(Accounts!$I$2:$I$21,MATCH($A89,Accounts!$B$2:$B$21,0))&amp;"",IF($D89="TSE + PS",IF(INDEX(Accounts!$G$2:$G$21,MATCH($A89,Accounts!$B$2:$B$21,0))&amp;""="","(no TSE)",INDEX(Accounts!$G$2:$G$21,MATCH($A89,Accounts!$B$2:$B$21,0))&amp;"")&amp;" / "&amp;IF(INDEX(Accounts!$F$2:$F$21,MATCH($A89,Accounts!$B$2:$B$21,0))&amp;""="","(no PS)",INDEX(Accounts!$F$2:$F$21,MATCH($A89,Accounts!$B$2:$B$21,0))&amp;""),"")))),""))</f>
        <v>(no TSE) / Stephen Lovett</v>
      </c>
      <c r="F89" s="42" t="s">
        <v>104</v>
      </c>
      <c r="I89" s="42" t="s">
        <v>34</v>
      </c>
      <c r="K89" s="44" t="str">
        <f t="shared" si="1"/>
        <v/>
      </c>
    </row>
    <row r="90" ht="15.75" customHeight="1">
      <c r="A90" s="45" t="s">
        <v>175</v>
      </c>
      <c r="B90" s="42" t="s">
        <v>65</v>
      </c>
      <c r="C90" s="42" t="s">
        <v>225</v>
      </c>
      <c r="D90" s="42" t="s">
        <v>68</v>
      </c>
      <c r="E90" s="43" t="str">
        <f t="array" ref="E90">IF($A90="","",IFERROR(IF($D90="TSE",INDEX(Accounts!$G$2:$G$21,MATCH($A90,Accounts!$B$2:$B$21,0))&amp;"",IF($D90="PS",INDEX(Accounts!$F$2:$F$21,MATCH($A90,Accounts!$B$2:$B$21,0))&amp;"",IF($D90="Named engineer",INDEX(Accounts!$I$2:$I$21,MATCH($A90,Accounts!$B$2:$B$21,0))&amp;"",IF($D90="TSE + PS",IF(INDEX(Accounts!$G$2:$G$21,MATCH($A90,Accounts!$B$2:$B$21,0))&amp;""="","(no TSE)",INDEX(Accounts!$G$2:$G$21,MATCH($A90,Accounts!$B$2:$B$21,0))&amp;"")&amp;" / "&amp;IF(INDEX(Accounts!$F$2:$F$21,MATCH($A90,Accounts!$B$2:$B$21,0))&amp;""="","(no PS)",INDEX(Accounts!$F$2:$F$21,MATCH($A90,Accounts!$B$2:$B$21,0))&amp;""),"")))),""))</f>
        <v>Stephen Lovett</v>
      </c>
      <c r="F90" s="42" t="s">
        <v>104</v>
      </c>
      <c r="I90" s="42" t="s">
        <v>34</v>
      </c>
      <c r="K90" s="44" t="str">
        <f t="shared" si="1"/>
        <v/>
      </c>
    </row>
    <row r="91" ht="15.75" customHeight="1">
      <c r="A91" s="45" t="s">
        <v>175</v>
      </c>
      <c r="B91" s="42" t="s">
        <v>71</v>
      </c>
      <c r="C91" s="42" t="s">
        <v>226</v>
      </c>
      <c r="D91" s="42" t="s">
        <v>46</v>
      </c>
      <c r="E91" s="43" t="str">
        <f t="array" ref="E91">IF($A91="","",IFERROR(IF($D91="TSE",INDEX(Accounts!$G$2:$G$21,MATCH($A91,Accounts!$B$2:$B$21,0))&amp;"",IF($D91="PS",INDEX(Accounts!$F$2:$F$21,MATCH($A91,Accounts!$B$2:$B$21,0))&amp;"",IF($D91="Named engineer",INDEX(Accounts!$I$2:$I$21,MATCH($A91,Accounts!$B$2:$B$21,0))&amp;"",IF($D91="TSE + PS",IF(INDEX(Accounts!$G$2:$G$21,MATCH($A91,Accounts!$B$2:$B$21,0))&amp;""="","(no TSE)",INDEX(Accounts!$G$2:$G$21,MATCH($A91,Accounts!$B$2:$B$21,0))&amp;"")&amp;" / "&amp;IF(INDEX(Accounts!$F$2:$F$21,MATCH($A91,Accounts!$B$2:$B$21,0))&amp;""="","(no PS)",INDEX(Accounts!$F$2:$F$21,MATCH($A91,Accounts!$B$2:$B$21,0))&amp;""),"")))),""))</f>
        <v> OAE - DOI - Tracker</v>
      </c>
      <c r="F91" s="42" t="s">
        <v>104</v>
      </c>
      <c r="I91" s="42" t="s">
        <v>56</v>
      </c>
      <c r="K91" s="44" t="str">
        <f t="shared" si="1"/>
        <v/>
      </c>
    </row>
    <row r="92" ht="15.75" customHeight="1">
      <c r="A92" s="45" t="s">
        <v>175</v>
      </c>
      <c r="B92" s="42" t="s">
        <v>74</v>
      </c>
      <c r="C92" s="42" t="s">
        <v>227</v>
      </c>
      <c r="D92" s="42" t="s">
        <v>68</v>
      </c>
      <c r="E92" s="43" t="str">
        <f t="array" ref="E92">IF($A92="","",IFERROR(IF($D92="TSE",INDEX(Accounts!$G$2:$G$21,MATCH($A92,Accounts!$B$2:$B$21,0))&amp;"",IF($D92="PS",INDEX(Accounts!$F$2:$F$21,MATCH($A92,Accounts!$B$2:$B$21,0))&amp;"",IF($D92="Named engineer",INDEX(Accounts!$I$2:$I$21,MATCH($A92,Accounts!$B$2:$B$21,0))&amp;"",IF($D92="TSE + PS",IF(INDEX(Accounts!$G$2:$G$21,MATCH($A92,Accounts!$B$2:$B$21,0))&amp;""="","(no TSE)",INDEX(Accounts!$G$2:$G$21,MATCH($A92,Accounts!$B$2:$B$21,0))&amp;"")&amp;" / "&amp;IF(INDEX(Accounts!$F$2:$F$21,MATCH($A92,Accounts!$B$2:$B$21,0))&amp;""="","(no PS)",INDEX(Accounts!$F$2:$F$21,MATCH($A92,Accounts!$B$2:$B$21,0))&amp;""),"")))),""))</f>
        <v>Stephen Lovett</v>
      </c>
      <c r="F92" s="42" t="s">
        <v>104</v>
      </c>
      <c r="I92" s="42" t="s">
        <v>56</v>
      </c>
      <c r="K92" s="44" t="str">
        <f t="shared" si="1"/>
        <v/>
      </c>
    </row>
    <row r="93" ht="15.75" customHeight="1">
      <c r="A93" s="45" t="s">
        <v>175</v>
      </c>
      <c r="B93" s="42" t="s">
        <v>77</v>
      </c>
      <c r="C93" s="42" t="s">
        <v>228</v>
      </c>
      <c r="D93" s="42" t="s">
        <v>68</v>
      </c>
      <c r="E93" s="43" t="str">
        <f t="array" ref="E93">IF($A93="","",IFERROR(IF($D93="TSE",INDEX(Accounts!$G$2:$G$21,MATCH($A93,Accounts!$B$2:$B$21,0))&amp;"",IF($D93="PS",INDEX(Accounts!$F$2:$F$21,MATCH($A93,Accounts!$B$2:$B$21,0))&amp;"",IF($D93="Named engineer",INDEX(Accounts!$I$2:$I$21,MATCH($A93,Accounts!$B$2:$B$21,0))&amp;"",IF($D93="TSE + PS",IF(INDEX(Accounts!$G$2:$G$21,MATCH($A93,Accounts!$B$2:$B$21,0))&amp;""="","(no TSE)",INDEX(Accounts!$G$2:$G$21,MATCH($A93,Accounts!$B$2:$B$21,0))&amp;"")&amp;" / "&amp;IF(INDEX(Accounts!$F$2:$F$21,MATCH($A93,Accounts!$B$2:$B$21,0))&amp;""="","(no PS)",INDEX(Accounts!$F$2:$F$21,MATCH($A93,Accounts!$B$2:$B$21,0))&amp;""),"")))),""))</f>
        <v>Stephen Lovett</v>
      </c>
      <c r="F93" s="42" t="s">
        <v>104</v>
      </c>
      <c r="I93" s="42" t="s">
        <v>56</v>
      </c>
      <c r="K93" s="44" t="str">
        <f t="shared" si="1"/>
        <v/>
      </c>
    </row>
    <row r="94" ht="15.75" customHeight="1">
      <c r="A94" s="45" t="s">
        <v>175</v>
      </c>
      <c r="B94" s="42" t="s">
        <v>80</v>
      </c>
      <c r="C94" s="42" t="s">
        <v>229</v>
      </c>
      <c r="D94" s="42" t="s">
        <v>62</v>
      </c>
      <c r="E94" s="43" t="str">
        <f t="array" ref="E94">IF($A94="","",IFERROR(IF($D94="TSE",INDEX(Accounts!$G$2:$G$21,MATCH($A94,Accounts!$B$2:$B$21,0))&amp;"",IF($D94="PS",INDEX(Accounts!$F$2:$F$21,MATCH($A94,Accounts!$B$2:$B$21,0))&amp;"",IF($D94="Named engineer",INDEX(Accounts!$I$2:$I$21,MATCH($A94,Accounts!$B$2:$B$21,0))&amp;"",IF($D94="TSE + PS",IF(INDEX(Accounts!$G$2:$G$21,MATCH($A94,Accounts!$B$2:$B$21,0))&amp;""="","(no TSE)",INDEX(Accounts!$G$2:$G$21,MATCH($A94,Accounts!$B$2:$B$21,0))&amp;"")&amp;" / "&amp;IF(INDEX(Accounts!$F$2:$F$21,MATCH($A94,Accounts!$B$2:$B$21,0))&amp;""="","(no PS)",INDEX(Accounts!$F$2:$F$21,MATCH($A94,Accounts!$B$2:$B$21,0))&amp;""),"")))),""))</f>
        <v>(no TSE) / Stephen Lovett</v>
      </c>
      <c r="F94" s="42" t="s">
        <v>104</v>
      </c>
      <c r="I94" s="42" t="s">
        <v>34</v>
      </c>
      <c r="K94" s="44" t="str">
        <f t="shared" si="1"/>
        <v/>
      </c>
    </row>
    <row r="95" ht="15.75" customHeight="1">
      <c r="A95" s="45" t="s">
        <v>175</v>
      </c>
      <c r="B95" s="42" t="s">
        <v>85</v>
      </c>
      <c r="C95" s="42" t="s">
        <v>230</v>
      </c>
      <c r="D95" s="42" t="s">
        <v>32</v>
      </c>
      <c r="E95" s="43" t="str">
        <f t="array" ref="E95">IF($A95="","",IFERROR(IF($D95="TSE",INDEX(Accounts!$G$2:$G$21,MATCH($A95,Accounts!$B$2:$B$21,0))&amp;"",IF($D95="PS",INDEX(Accounts!$F$2:$F$21,MATCH($A95,Accounts!$B$2:$B$21,0))&amp;"",IF($D95="Named engineer",INDEX(Accounts!$I$2:$I$21,MATCH($A95,Accounts!$B$2:$B$21,0))&amp;"",IF($D95="TSE + PS",IF(INDEX(Accounts!$G$2:$G$21,MATCH($A95,Accounts!$B$2:$B$21,0))&amp;""="","(no TSE)",INDEX(Accounts!$G$2:$G$21,MATCH($A95,Accounts!$B$2:$B$21,0))&amp;"")&amp;" / "&amp;IF(INDEX(Accounts!$F$2:$F$21,MATCH($A95,Accounts!$B$2:$B$21,0))&amp;""="","(no PS)",INDEX(Accounts!$F$2:$F$21,MATCH($A95,Accounts!$B$2:$B$21,0))&amp;""),"")))),""))</f>
        <v/>
      </c>
      <c r="F95" s="42" t="s">
        <v>104</v>
      </c>
      <c r="I95" s="42" t="s">
        <v>56</v>
      </c>
      <c r="K95" s="44" t="str">
        <f t="shared" si="1"/>
        <v>Owner missing </v>
      </c>
    </row>
    <row r="96" ht="15.75" customHeight="1">
      <c r="A96" s="45" t="s">
        <v>175</v>
      </c>
      <c r="B96" s="42" t="s">
        <v>88</v>
      </c>
      <c r="C96" s="42" t="s">
        <v>231</v>
      </c>
      <c r="D96" s="42" t="s">
        <v>32</v>
      </c>
      <c r="E96" s="43" t="str">
        <f t="array" ref="E96">IF($A96="","",IFERROR(IF($D96="TSE",INDEX(Accounts!$G$2:$G$21,MATCH($A96,Accounts!$B$2:$B$21,0))&amp;"",IF($D96="PS",INDEX(Accounts!$F$2:$F$21,MATCH($A96,Accounts!$B$2:$B$21,0))&amp;"",IF($D96="Named engineer",INDEX(Accounts!$I$2:$I$21,MATCH($A96,Accounts!$B$2:$B$21,0))&amp;"",IF($D96="TSE + PS",IF(INDEX(Accounts!$G$2:$G$21,MATCH($A96,Accounts!$B$2:$B$21,0))&amp;""="","(no TSE)",INDEX(Accounts!$G$2:$G$21,MATCH($A96,Accounts!$B$2:$B$21,0))&amp;"")&amp;" / "&amp;IF(INDEX(Accounts!$F$2:$F$21,MATCH($A96,Accounts!$B$2:$B$21,0))&amp;""="","(no PS)",INDEX(Accounts!$F$2:$F$21,MATCH($A96,Accounts!$B$2:$B$21,0))&amp;""),"")))),""))</f>
        <v/>
      </c>
      <c r="F96" s="42" t="s">
        <v>104</v>
      </c>
      <c r="I96" s="42" t="s">
        <v>34</v>
      </c>
      <c r="K96" s="44" t="str">
        <f t="shared" si="1"/>
        <v>Owner missing </v>
      </c>
    </row>
    <row r="97" ht="15.75" customHeight="1">
      <c r="A97" s="45" t="s">
        <v>175</v>
      </c>
      <c r="B97" s="42" t="s">
        <v>92</v>
      </c>
      <c r="C97" s="42" t="s">
        <v>232</v>
      </c>
      <c r="D97" s="42" t="s">
        <v>32</v>
      </c>
      <c r="E97" s="43" t="str">
        <f t="array" ref="E97">IF($A97="","",IFERROR(IF($D97="TSE",INDEX(Accounts!$G$2:$G$21,MATCH($A97,Accounts!$B$2:$B$21,0))&amp;"",IF($D97="PS",INDEX(Accounts!$F$2:$F$21,MATCH($A97,Accounts!$B$2:$B$21,0))&amp;"",IF($D97="Named engineer",INDEX(Accounts!$I$2:$I$21,MATCH($A97,Accounts!$B$2:$B$21,0))&amp;"",IF($D97="TSE + PS",IF(INDEX(Accounts!$G$2:$G$21,MATCH($A97,Accounts!$B$2:$B$21,0))&amp;""="","(no TSE)",INDEX(Accounts!$G$2:$G$21,MATCH($A97,Accounts!$B$2:$B$21,0))&amp;"")&amp;" / "&amp;IF(INDEX(Accounts!$F$2:$F$21,MATCH($A97,Accounts!$B$2:$B$21,0))&amp;""="","(no PS)",INDEX(Accounts!$F$2:$F$21,MATCH($A97,Accounts!$B$2:$B$21,0))&amp;""),"")))),""))</f>
        <v/>
      </c>
      <c r="F97" s="42" t="s">
        <v>104</v>
      </c>
      <c r="I97" s="42" t="s">
        <v>34</v>
      </c>
      <c r="K97" s="44" t="str">
        <f t="shared" si="1"/>
        <v>Owner missing </v>
      </c>
    </row>
    <row r="98" ht="15.75" customHeight="1">
      <c r="A98" s="45" t="s">
        <v>177</v>
      </c>
      <c r="B98" s="42" t="s">
        <v>29</v>
      </c>
      <c r="C98" s="42" t="s">
        <v>217</v>
      </c>
      <c r="D98" s="42" t="s">
        <v>32</v>
      </c>
      <c r="E98" s="43" t="str">
        <f t="array" ref="E98">IF($A98="","",IFERROR(IF($D98="TSE",INDEX(Accounts!$G$2:$G$21,MATCH($A98,Accounts!$B$2:$B$21,0))&amp;"",IF($D98="PS",INDEX(Accounts!$F$2:$F$21,MATCH($A98,Accounts!$B$2:$B$21,0))&amp;"",IF($D98="Named engineer",INDEX(Accounts!$I$2:$I$21,MATCH($A98,Accounts!$B$2:$B$21,0))&amp;"",IF($D98="TSE + PS",IF(INDEX(Accounts!$G$2:$G$21,MATCH($A98,Accounts!$B$2:$B$21,0))&amp;""="","(no TSE)",INDEX(Accounts!$G$2:$G$21,MATCH($A98,Accounts!$B$2:$B$21,0))&amp;"")&amp;" / "&amp;IF(INDEX(Accounts!$F$2:$F$21,MATCH($A98,Accounts!$B$2:$B$21,0))&amp;""="","(no PS)",INDEX(Accounts!$F$2:$F$21,MATCH($A98,Accounts!$B$2:$B$21,0))&amp;""),"")))),""))</f>
        <v>Khizar Karim</v>
      </c>
      <c r="F98" s="42" t="s">
        <v>104</v>
      </c>
      <c r="I98" s="42" t="s">
        <v>34</v>
      </c>
      <c r="K98" s="44" t="str">
        <f t="shared" si="1"/>
        <v/>
      </c>
    </row>
    <row r="99" ht="15.75" customHeight="1">
      <c r="A99" s="45" t="s">
        <v>177</v>
      </c>
      <c r="B99" s="42" t="s">
        <v>36</v>
      </c>
      <c r="C99" s="42" t="s">
        <v>218</v>
      </c>
      <c r="D99" s="42" t="s">
        <v>32</v>
      </c>
      <c r="E99" s="43" t="str">
        <f t="array" ref="E99">IF($A99="","",IFERROR(IF($D99="TSE",INDEX(Accounts!$G$2:$G$21,MATCH($A99,Accounts!$B$2:$B$21,0))&amp;"",IF($D99="PS",INDEX(Accounts!$F$2:$F$21,MATCH($A99,Accounts!$B$2:$B$21,0))&amp;"",IF($D99="Named engineer",INDEX(Accounts!$I$2:$I$21,MATCH($A99,Accounts!$B$2:$B$21,0))&amp;"",IF($D99="TSE + PS",IF(INDEX(Accounts!$G$2:$G$21,MATCH($A99,Accounts!$B$2:$B$21,0))&amp;""="","(no TSE)",INDEX(Accounts!$G$2:$G$21,MATCH($A99,Accounts!$B$2:$B$21,0))&amp;"")&amp;" / "&amp;IF(INDEX(Accounts!$F$2:$F$21,MATCH($A99,Accounts!$B$2:$B$21,0))&amp;""="","(no PS)",INDEX(Accounts!$F$2:$F$21,MATCH($A99,Accounts!$B$2:$B$21,0))&amp;""),"")))),""))</f>
        <v>Khizar Karim</v>
      </c>
      <c r="F99" s="42" t="s">
        <v>104</v>
      </c>
      <c r="I99" s="42" t="s">
        <v>34</v>
      </c>
      <c r="K99" s="44" t="str">
        <f t="shared" si="1"/>
        <v/>
      </c>
    </row>
    <row r="100" ht="15.75" customHeight="1">
      <c r="A100" s="45" t="s">
        <v>177</v>
      </c>
      <c r="B100" s="42" t="s">
        <v>40</v>
      </c>
      <c r="C100" s="42" t="s">
        <v>219</v>
      </c>
      <c r="D100" s="42" t="s">
        <v>32</v>
      </c>
      <c r="E100" s="43" t="str">
        <f t="array" ref="E100">IF($A100="","",IFERROR(IF($D100="TSE",INDEX(Accounts!$G$2:$G$21,MATCH($A100,Accounts!$B$2:$B$21,0))&amp;"",IF($D100="PS",INDEX(Accounts!$F$2:$F$21,MATCH($A100,Accounts!$B$2:$B$21,0))&amp;"",IF($D100="Named engineer",INDEX(Accounts!$I$2:$I$21,MATCH($A100,Accounts!$B$2:$B$21,0))&amp;"",IF($D100="TSE + PS",IF(INDEX(Accounts!$G$2:$G$21,MATCH($A100,Accounts!$B$2:$B$21,0))&amp;""="","(no TSE)",INDEX(Accounts!$G$2:$G$21,MATCH($A100,Accounts!$B$2:$B$21,0))&amp;"")&amp;" / "&amp;IF(INDEX(Accounts!$F$2:$F$21,MATCH($A100,Accounts!$B$2:$B$21,0))&amp;""="","(no PS)",INDEX(Accounts!$F$2:$F$21,MATCH($A100,Accounts!$B$2:$B$21,0))&amp;""),"")))),""))</f>
        <v>Khizar Karim</v>
      </c>
      <c r="F100" s="42" t="s">
        <v>104</v>
      </c>
      <c r="I100" s="42" t="s">
        <v>34</v>
      </c>
      <c r="K100" s="44" t="str">
        <f t="shared" si="1"/>
        <v/>
      </c>
    </row>
    <row r="101" ht="15.75" customHeight="1">
      <c r="A101" s="45" t="s">
        <v>177</v>
      </c>
      <c r="B101" s="42" t="s">
        <v>44</v>
      </c>
      <c r="C101" s="42" t="s">
        <v>220</v>
      </c>
      <c r="D101" s="42" t="s">
        <v>46</v>
      </c>
      <c r="E101" s="43" t="str">
        <f t="array" ref="E101">IF($A101="","",IFERROR(IF($D101="TSE",INDEX(Accounts!$G$2:$G$21,MATCH($A101,Accounts!$B$2:$B$21,0))&amp;"",IF($D101="PS",INDEX(Accounts!$F$2:$F$21,MATCH($A101,Accounts!$B$2:$B$21,0))&amp;"",IF($D101="Named engineer",INDEX(Accounts!$I$2:$I$21,MATCH($A101,Accounts!$B$2:$B$21,0))&amp;"",IF($D101="TSE + PS",IF(INDEX(Accounts!$G$2:$G$21,MATCH($A101,Accounts!$B$2:$B$21,0))&amp;""="","(no TSE)",INDEX(Accounts!$G$2:$G$21,MATCH($A101,Accounts!$B$2:$B$21,0))&amp;"")&amp;" / "&amp;IF(INDEX(Accounts!$F$2:$F$21,MATCH($A101,Accounts!$B$2:$B$21,0))&amp;""="","(no PS)",INDEX(Accounts!$F$2:$F$21,MATCH($A101,Accounts!$B$2:$B$21,0))&amp;""),"")))),""))</f>
        <v>OAE - Marriott - Tracker</v>
      </c>
      <c r="F101" s="42" t="s">
        <v>104</v>
      </c>
      <c r="I101" s="42" t="s">
        <v>34</v>
      </c>
      <c r="K101" s="44" t="str">
        <f t="shared" si="1"/>
        <v/>
      </c>
    </row>
    <row r="102" ht="15.75" customHeight="1">
      <c r="A102" s="45" t="s">
        <v>177</v>
      </c>
      <c r="B102" s="42" t="s">
        <v>49</v>
      </c>
      <c r="C102" s="42" t="s">
        <v>221</v>
      </c>
      <c r="D102" s="42" t="s">
        <v>32</v>
      </c>
      <c r="E102" s="43" t="str">
        <f t="array" ref="E102">IF($A102="","",IFERROR(IF($D102="TSE",INDEX(Accounts!$G$2:$G$21,MATCH($A102,Accounts!$B$2:$B$21,0))&amp;"",IF($D102="PS",INDEX(Accounts!$F$2:$F$21,MATCH($A102,Accounts!$B$2:$B$21,0))&amp;"",IF($D102="Named engineer",INDEX(Accounts!$I$2:$I$21,MATCH($A102,Accounts!$B$2:$B$21,0))&amp;"",IF($D102="TSE + PS",IF(INDEX(Accounts!$G$2:$G$21,MATCH($A102,Accounts!$B$2:$B$21,0))&amp;""="","(no TSE)",INDEX(Accounts!$G$2:$G$21,MATCH($A102,Accounts!$B$2:$B$21,0))&amp;"")&amp;" / "&amp;IF(INDEX(Accounts!$F$2:$F$21,MATCH($A102,Accounts!$B$2:$B$21,0))&amp;""="","(no PS)",INDEX(Accounts!$F$2:$F$21,MATCH($A102,Accounts!$B$2:$B$21,0))&amp;""),"")))),""))</f>
        <v>Khizar Karim</v>
      </c>
      <c r="F102" s="42" t="s">
        <v>104</v>
      </c>
      <c r="I102" s="42" t="s">
        <v>34</v>
      </c>
      <c r="K102" s="44" t="str">
        <f t="shared" si="1"/>
        <v/>
      </c>
    </row>
    <row r="103" ht="15.75" customHeight="1">
      <c r="A103" s="45" t="s">
        <v>177</v>
      </c>
      <c r="B103" s="42" t="s">
        <v>53</v>
      </c>
      <c r="C103" s="42" t="s">
        <v>222</v>
      </c>
      <c r="D103" s="42" t="s">
        <v>32</v>
      </c>
      <c r="E103" s="43" t="str">
        <f t="array" ref="E103">IF($A103="","",IFERROR(IF($D103="TSE",INDEX(Accounts!$G$2:$G$21,MATCH($A103,Accounts!$B$2:$B$21,0))&amp;"",IF($D103="PS",INDEX(Accounts!$F$2:$F$21,MATCH($A103,Accounts!$B$2:$B$21,0))&amp;"",IF($D103="Named engineer",INDEX(Accounts!$I$2:$I$21,MATCH($A103,Accounts!$B$2:$B$21,0))&amp;"",IF($D103="TSE + PS",IF(INDEX(Accounts!$G$2:$G$21,MATCH($A103,Accounts!$B$2:$B$21,0))&amp;""="","(no TSE)",INDEX(Accounts!$G$2:$G$21,MATCH($A103,Accounts!$B$2:$B$21,0))&amp;"")&amp;" / "&amp;IF(INDEX(Accounts!$F$2:$F$21,MATCH($A103,Accounts!$B$2:$B$21,0))&amp;""="","(no PS)",INDEX(Accounts!$F$2:$F$21,MATCH($A103,Accounts!$B$2:$B$21,0))&amp;""),"")))),""))</f>
        <v>Khizar Karim</v>
      </c>
      <c r="F103" s="42" t="s">
        <v>104</v>
      </c>
      <c r="I103" s="42" t="s">
        <v>56</v>
      </c>
      <c r="K103" s="44" t="str">
        <f t="shared" si="1"/>
        <v/>
      </c>
    </row>
    <row r="104" ht="15.75" customHeight="1">
      <c r="A104" s="45" t="s">
        <v>177</v>
      </c>
      <c r="B104" s="42" t="s">
        <v>57</v>
      </c>
      <c r="C104" s="42" t="s">
        <v>223</v>
      </c>
      <c r="D104" s="42" t="s">
        <v>68</v>
      </c>
      <c r="E104" s="43" t="str">
        <f t="array" ref="E104">IF($A104="","",IFERROR(IF($D104="TSE",INDEX(Accounts!$G$2:$G$21,MATCH($A104,Accounts!$B$2:$B$21,0))&amp;"",IF($D104="PS",INDEX(Accounts!$F$2:$F$21,MATCH($A104,Accounts!$B$2:$B$21,0))&amp;"",IF($D104="Named engineer",INDEX(Accounts!$I$2:$I$21,MATCH($A104,Accounts!$B$2:$B$21,0))&amp;"",IF($D104="TSE + PS",IF(INDEX(Accounts!$G$2:$G$21,MATCH($A104,Accounts!$B$2:$B$21,0))&amp;""="","(no TSE)",INDEX(Accounts!$G$2:$G$21,MATCH($A104,Accounts!$B$2:$B$21,0))&amp;"")&amp;" / "&amp;IF(INDEX(Accounts!$F$2:$F$21,MATCH($A104,Accounts!$B$2:$B$21,0))&amp;""="","(no PS)",INDEX(Accounts!$F$2:$F$21,MATCH($A104,Accounts!$B$2:$B$21,0))&amp;""),"")))),""))</f>
        <v>Bliss Jourdan</v>
      </c>
      <c r="F104" s="42" t="s">
        <v>104</v>
      </c>
      <c r="I104" s="42" t="s">
        <v>56</v>
      </c>
      <c r="K104" s="44" t="str">
        <f t="shared" si="1"/>
        <v/>
      </c>
    </row>
    <row r="105" ht="15.75" customHeight="1">
      <c r="A105" s="45" t="s">
        <v>177</v>
      </c>
      <c r="B105" s="42" t="s">
        <v>60</v>
      </c>
      <c r="C105" s="42" t="s">
        <v>224</v>
      </c>
      <c r="D105" s="42" t="s">
        <v>62</v>
      </c>
      <c r="E105" s="43" t="str">
        <f t="array" ref="E105">IF($A105="","",IFERROR(IF($D105="TSE",INDEX(Accounts!$G$2:$G$21,MATCH($A105,Accounts!$B$2:$B$21,0))&amp;"",IF($D105="PS",INDEX(Accounts!$F$2:$F$21,MATCH($A105,Accounts!$B$2:$B$21,0))&amp;"",IF($D105="Named engineer",INDEX(Accounts!$I$2:$I$21,MATCH($A105,Accounts!$B$2:$B$21,0))&amp;"",IF($D105="TSE + PS",IF(INDEX(Accounts!$G$2:$G$21,MATCH($A105,Accounts!$B$2:$B$21,0))&amp;""="","(no TSE)",INDEX(Accounts!$G$2:$G$21,MATCH($A105,Accounts!$B$2:$B$21,0))&amp;"")&amp;" / "&amp;IF(INDEX(Accounts!$F$2:$F$21,MATCH($A105,Accounts!$B$2:$B$21,0))&amp;""="","(no PS)",INDEX(Accounts!$F$2:$F$21,MATCH($A105,Accounts!$B$2:$B$21,0))&amp;""),"")))),""))</f>
        <v>Khizar Karim / Bliss Jourdan</v>
      </c>
      <c r="F105" s="42" t="s">
        <v>104</v>
      </c>
      <c r="I105" s="42" t="s">
        <v>34</v>
      </c>
      <c r="K105" s="44" t="str">
        <f t="shared" si="1"/>
        <v/>
      </c>
    </row>
    <row r="106" ht="15.75" customHeight="1">
      <c r="A106" s="45" t="s">
        <v>177</v>
      </c>
      <c r="B106" s="42" t="s">
        <v>65</v>
      </c>
      <c r="C106" s="42" t="s">
        <v>225</v>
      </c>
      <c r="D106" s="42" t="s">
        <v>68</v>
      </c>
      <c r="E106" s="43" t="str">
        <f t="array" ref="E106">IF($A106="","",IFERROR(IF($D106="TSE",INDEX(Accounts!$G$2:$G$21,MATCH($A106,Accounts!$B$2:$B$21,0))&amp;"",IF($D106="PS",INDEX(Accounts!$F$2:$F$21,MATCH($A106,Accounts!$B$2:$B$21,0))&amp;"",IF($D106="Named engineer",INDEX(Accounts!$I$2:$I$21,MATCH($A106,Accounts!$B$2:$B$21,0))&amp;"",IF($D106="TSE + PS",IF(INDEX(Accounts!$G$2:$G$21,MATCH($A106,Accounts!$B$2:$B$21,0))&amp;""="","(no TSE)",INDEX(Accounts!$G$2:$G$21,MATCH($A106,Accounts!$B$2:$B$21,0))&amp;"")&amp;" / "&amp;IF(INDEX(Accounts!$F$2:$F$21,MATCH($A106,Accounts!$B$2:$B$21,0))&amp;""="","(no PS)",INDEX(Accounts!$F$2:$F$21,MATCH($A106,Accounts!$B$2:$B$21,0))&amp;""),"")))),""))</f>
        <v>Bliss Jourdan</v>
      </c>
      <c r="F106" s="42" t="s">
        <v>104</v>
      </c>
      <c r="I106" s="42" t="s">
        <v>34</v>
      </c>
      <c r="K106" s="44" t="str">
        <f t="shared" si="1"/>
        <v/>
      </c>
    </row>
    <row r="107" ht="15.75" customHeight="1">
      <c r="A107" s="45" t="s">
        <v>177</v>
      </c>
      <c r="B107" s="42" t="s">
        <v>71</v>
      </c>
      <c r="C107" s="42" t="s">
        <v>226</v>
      </c>
      <c r="D107" s="42" t="s">
        <v>46</v>
      </c>
      <c r="E107" s="43" t="str">
        <f t="array" ref="E107">IF($A107="","",IFERROR(IF($D107="TSE",INDEX(Accounts!$G$2:$G$21,MATCH($A107,Accounts!$B$2:$B$21,0))&amp;"",IF($D107="PS",INDEX(Accounts!$F$2:$F$21,MATCH($A107,Accounts!$B$2:$B$21,0))&amp;"",IF($D107="Named engineer",INDEX(Accounts!$I$2:$I$21,MATCH($A107,Accounts!$B$2:$B$21,0))&amp;"",IF($D107="TSE + PS",IF(INDEX(Accounts!$G$2:$G$21,MATCH($A107,Accounts!$B$2:$B$21,0))&amp;""="","(no TSE)",INDEX(Accounts!$G$2:$G$21,MATCH($A107,Accounts!$B$2:$B$21,0))&amp;"")&amp;" / "&amp;IF(INDEX(Accounts!$F$2:$F$21,MATCH($A107,Accounts!$B$2:$B$21,0))&amp;""="","(no PS)",INDEX(Accounts!$F$2:$F$21,MATCH($A107,Accounts!$B$2:$B$21,0))&amp;""),"")))),""))</f>
        <v>OAE - Marriott - Tracker</v>
      </c>
      <c r="F107" s="42" t="s">
        <v>104</v>
      </c>
      <c r="I107" s="42" t="s">
        <v>56</v>
      </c>
      <c r="K107" s="44" t="str">
        <f t="shared" si="1"/>
        <v/>
      </c>
    </row>
    <row r="108" ht="15.75" customHeight="1">
      <c r="A108" s="45" t="s">
        <v>177</v>
      </c>
      <c r="B108" s="42" t="s">
        <v>74</v>
      </c>
      <c r="C108" s="42" t="s">
        <v>227</v>
      </c>
      <c r="D108" s="42" t="s">
        <v>68</v>
      </c>
      <c r="E108" s="43" t="str">
        <f t="array" ref="E108">IF($A108="","",IFERROR(IF($D108="TSE",INDEX(Accounts!$G$2:$G$21,MATCH($A108,Accounts!$B$2:$B$21,0))&amp;"",IF($D108="PS",INDEX(Accounts!$F$2:$F$21,MATCH($A108,Accounts!$B$2:$B$21,0))&amp;"",IF($D108="Named engineer",INDEX(Accounts!$I$2:$I$21,MATCH($A108,Accounts!$B$2:$B$21,0))&amp;"",IF($D108="TSE + PS",IF(INDEX(Accounts!$G$2:$G$21,MATCH($A108,Accounts!$B$2:$B$21,0))&amp;""="","(no TSE)",INDEX(Accounts!$G$2:$G$21,MATCH($A108,Accounts!$B$2:$B$21,0))&amp;"")&amp;" / "&amp;IF(INDEX(Accounts!$F$2:$F$21,MATCH($A108,Accounts!$B$2:$B$21,0))&amp;""="","(no PS)",INDEX(Accounts!$F$2:$F$21,MATCH($A108,Accounts!$B$2:$B$21,0))&amp;""),"")))),""))</f>
        <v>Bliss Jourdan</v>
      </c>
      <c r="F108" s="42" t="s">
        <v>104</v>
      </c>
      <c r="I108" s="42" t="s">
        <v>56</v>
      </c>
      <c r="K108" s="44" t="str">
        <f t="shared" si="1"/>
        <v/>
      </c>
    </row>
    <row r="109" ht="15.75" customHeight="1">
      <c r="A109" s="45" t="s">
        <v>177</v>
      </c>
      <c r="B109" s="42" t="s">
        <v>77</v>
      </c>
      <c r="C109" s="42" t="s">
        <v>228</v>
      </c>
      <c r="D109" s="42" t="s">
        <v>68</v>
      </c>
      <c r="E109" s="43" t="str">
        <f t="array" ref="E109">IF($A109="","",IFERROR(IF($D109="TSE",INDEX(Accounts!$G$2:$G$21,MATCH($A109,Accounts!$B$2:$B$21,0))&amp;"",IF($D109="PS",INDEX(Accounts!$F$2:$F$21,MATCH($A109,Accounts!$B$2:$B$21,0))&amp;"",IF($D109="Named engineer",INDEX(Accounts!$I$2:$I$21,MATCH($A109,Accounts!$B$2:$B$21,0))&amp;"",IF($D109="TSE + PS",IF(INDEX(Accounts!$G$2:$G$21,MATCH($A109,Accounts!$B$2:$B$21,0))&amp;""="","(no TSE)",INDEX(Accounts!$G$2:$G$21,MATCH($A109,Accounts!$B$2:$B$21,0))&amp;"")&amp;" / "&amp;IF(INDEX(Accounts!$F$2:$F$21,MATCH($A109,Accounts!$B$2:$B$21,0))&amp;""="","(no PS)",INDEX(Accounts!$F$2:$F$21,MATCH($A109,Accounts!$B$2:$B$21,0))&amp;""),"")))),""))</f>
        <v>Bliss Jourdan</v>
      </c>
      <c r="F109" s="42" t="s">
        <v>104</v>
      </c>
      <c r="I109" s="42" t="s">
        <v>56</v>
      </c>
      <c r="K109" s="44" t="str">
        <f t="shared" si="1"/>
        <v/>
      </c>
    </row>
    <row r="110" ht="15.75" customHeight="1">
      <c r="A110" s="45" t="s">
        <v>177</v>
      </c>
      <c r="B110" s="42" t="s">
        <v>80</v>
      </c>
      <c r="C110" s="42" t="s">
        <v>229</v>
      </c>
      <c r="D110" s="42" t="s">
        <v>62</v>
      </c>
      <c r="E110" s="43" t="str">
        <f t="array" ref="E110">IF($A110="","",IFERROR(IF($D110="TSE",INDEX(Accounts!$G$2:$G$21,MATCH($A110,Accounts!$B$2:$B$21,0))&amp;"",IF($D110="PS",INDEX(Accounts!$F$2:$F$21,MATCH($A110,Accounts!$B$2:$B$21,0))&amp;"",IF($D110="Named engineer",INDEX(Accounts!$I$2:$I$21,MATCH($A110,Accounts!$B$2:$B$21,0))&amp;"",IF($D110="TSE + PS",IF(INDEX(Accounts!$G$2:$G$21,MATCH($A110,Accounts!$B$2:$B$21,0))&amp;""="","(no TSE)",INDEX(Accounts!$G$2:$G$21,MATCH($A110,Accounts!$B$2:$B$21,0))&amp;"")&amp;" / "&amp;IF(INDEX(Accounts!$F$2:$F$21,MATCH($A110,Accounts!$B$2:$B$21,0))&amp;""="","(no PS)",INDEX(Accounts!$F$2:$F$21,MATCH($A110,Accounts!$B$2:$B$21,0))&amp;""),"")))),""))</f>
        <v>Khizar Karim / Bliss Jourdan</v>
      </c>
      <c r="F110" s="42" t="s">
        <v>104</v>
      </c>
      <c r="I110" s="42" t="s">
        <v>34</v>
      </c>
      <c r="K110" s="44" t="str">
        <f t="shared" si="1"/>
        <v/>
      </c>
    </row>
    <row r="111" ht="15.75" customHeight="1">
      <c r="A111" s="45" t="s">
        <v>177</v>
      </c>
      <c r="B111" s="42" t="s">
        <v>85</v>
      </c>
      <c r="C111" s="42" t="s">
        <v>230</v>
      </c>
      <c r="D111" s="42" t="s">
        <v>32</v>
      </c>
      <c r="E111" s="43" t="str">
        <f t="array" ref="E111">IF($A111="","",IFERROR(IF($D111="TSE",INDEX(Accounts!$G$2:$G$21,MATCH($A111,Accounts!$B$2:$B$21,0))&amp;"",IF($D111="PS",INDEX(Accounts!$F$2:$F$21,MATCH($A111,Accounts!$B$2:$B$21,0))&amp;"",IF($D111="Named engineer",INDEX(Accounts!$I$2:$I$21,MATCH($A111,Accounts!$B$2:$B$21,0))&amp;"",IF($D111="TSE + PS",IF(INDEX(Accounts!$G$2:$G$21,MATCH($A111,Accounts!$B$2:$B$21,0))&amp;""="","(no TSE)",INDEX(Accounts!$G$2:$G$21,MATCH($A111,Accounts!$B$2:$B$21,0))&amp;"")&amp;" / "&amp;IF(INDEX(Accounts!$F$2:$F$21,MATCH($A111,Accounts!$B$2:$B$21,0))&amp;""="","(no PS)",INDEX(Accounts!$F$2:$F$21,MATCH($A111,Accounts!$B$2:$B$21,0))&amp;""),"")))),""))</f>
        <v>Khizar Karim</v>
      </c>
      <c r="F111" s="42" t="s">
        <v>104</v>
      </c>
      <c r="I111" s="42" t="s">
        <v>56</v>
      </c>
      <c r="K111" s="44" t="str">
        <f t="shared" si="1"/>
        <v/>
      </c>
    </row>
    <row r="112" ht="15.75" customHeight="1">
      <c r="A112" s="45" t="s">
        <v>177</v>
      </c>
      <c r="B112" s="42" t="s">
        <v>88</v>
      </c>
      <c r="C112" s="42" t="s">
        <v>231</v>
      </c>
      <c r="D112" s="42" t="s">
        <v>32</v>
      </c>
      <c r="E112" s="43" t="str">
        <f t="array" ref="E112">IF($A112="","",IFERROR(IF($D112="TSE",INDEX(Accounts!$G$2:$G$21,MATCH($A112,Accounts!$B$2:$B$21,0))&amp;"",IF($D112="PS",INDEX(Accounts!$F$2:$F$21,MATCH($A112,Accounts!$B$2:$B$21,0))&amp;"",IF($D112="Named engineer",INDEX(Accounts!$I$2:$I$21,MATCH($A112,Accounts!$B$2:$B$21,0))&amp;"",IF($D112="TSE + PS",IF(INDEX(Accounts!$G$2:$G$21,MATCH($A112,Accounts!$B$2:$B$21,0))&amp;""="","(no TSE)",INDEX(Accounts!$G$2:$G$21,MATCH($A112,Accounts!$B$2:$B$21,0))&amp;"")&amp;" / "&amp;IF(INDEX(Accounts!$F$2:$F$21,MATCH($A112,Accounts!$B$2:$B$21,0))&amp;""="","(no PS)",INDEX(Accounts!$F$2:$F$21,MATCH($A112,Accounts!$B$2:$B$21,0))&amp;""),"")))),""))</f>
        <v>Khizar Karim</v>
      </c>
      <c r="F112" s="42" t="s">
        <v>104</v>
      </c>
      <c r="I112" s="42" t="s">
        <v>34</v>
      </c>
      <c r="K112" s="44" t="str">
        <f t="shared" si="1"/>
        <v/>
      </c>
    </row>
    <row r="113" ht="15.75" customHeight="1">
      <c r="A113" s="45" t="s">
        <v>177</v>
      </c>
      <c r="B113" s="42" t="s">
        <v>92</v>
      </c>
      <c r="C113" s="42" t="s">
        <v>232</v>
      </c>
      <c r="D113" s="42" t="s">
        <v>32</v>
      </c>
      <c r="E113" s="43" t="str">
        <f t="array" ref="E113">IF($A113="","",IFERROR(IF($D113="TSE",INDEX(Accounts!$G$2:$G$21,MATCH($A113,Accounts!$B$2:$B$21,0))&amp;"",IF($D113="PS",INDEX(Accounts!$F$2:$F$21,MATCH($A113,Accounts!$B$2:$B$21,0))&amp;"",IF($D113="Named engineer",INDEX(Accounts!$I$2:$I$21,MATCH($A113,Accounts!$B$2:$B$21,0))&amp;"",IF($D113="TSE + PS",IF(INDEX(Accounts!$G$2:$G$21,MATCH($A113,Accounts!$B$2:$B$21,0))&amp;""="","(no TSE)",INDEX(Accounts!$G$2:$G$21,MATCH($A113,Accounts!$B$2:$B$21,0))&amp;"")&amp;" / "&amp;IF(INDEX(Accounts!$F$2:$F$21,MATCH($A113,Accounts!$B$2:$B$21,0))&amp;""="","(no PS)",INDEX(Accounts!$F$2:$F$21,MATCH($A113,Accounts!$B$2:$B$21,0))&amp;""),"")))),""))</f>
        <v>Khizar Karim</v>
      </c>
      <c r="F113" s="42" t="s">
        <v>104</v>
      </c>
      <c r="I113" s="42" t="s">
        <v>34</v>
      </c>
      <c r="K113" s="44" t="str">
        <f t="shared" si="1"/>
        <v/>
      </c>
    </row>
    <row r="114" ht="15.75" customHeight="1">
      <c r="A114" s="31" t="s">
        <v>234</v>
      </c>
      <c r="B114" s="42" t="s">
        <v>29</v>
      </c>
      <c r="C114" s="42" t="s">
        <v>217</v>
      </c>
      <c r="D114" s="42" t="s">
        <v>32</v>
      </c>
      <c r="E114" s="43" t="str">
        <f t="array" ref="E114">IF($A114="","",IFERROR(IF($D114="TSE",INDEX(Accounts!$G$2:$G$21,MATCH($A114,Accounts!$B$2:$B$21,0))&amp;"",IF($D114="PS",INDEX(Accounts!$F$2:$F$21,MATCH($A114,Accounts!$B$2:$B$21,0))&amp;"",IF($D114="Named engineer",INDEX(Accounts!$I$2:$I$21,MATCH($A114,Accounts!$B$2:$B$21,0))&amp;"",IF($D114="TSE + PS",IF(INDEX(Accounts!$G$2:$G$21,MATCH($A114,Accounts!$B$2:$B$21,0))&amp;""="","(no TSE)",INDEX(Accounts!$G$2:$G$21,MATCH($A114,Accounts!$B$2:$B$21,0))&amp;"")&amp;" / "&amp;IF(INDEX(Accounts!$F$2:$F$21,MATCH($A114,Accounts!$B$2:$B$21,0))&amp;""="","(no PS)",INDEX(Accounts!$F$2:$F$21,MATCH($A114,Accounts!$B$2:$B$21,0))&amp;""),"")))),""))</f>
        <v/>
      </c>
      <c r="F114" s="45" t="s">
        <v>235</v>
      </c>
      <c r="I114" s="42" t="s">
        <v>34</v>
      </c>
      <c r="K114" s="44" t="str">
        <f t="shared" si="1"/>
        <v>Owner missing </v>
      </c>
    </row>
    <row r="115" ht="15.75" customHeight="1">
      <c r="A115" s="31" t="s">
        <v>234</v>
      </c>
      <c r="B115" s="42" t="s">
        <v>36</v>
      </c>
      <c r="C115" s="42" t="s">
        <v>218</v>
      </c>
      <c r="D115" s="42" t="s">
        <v>32</v>
      </c>
      <c r="E115" s="43" t="str">
        <f t="array" ref="E115">IF($A115="","",IFERROR(IF($D115="TSE",INDEX(Accounts!$G$2:$G$21,MATCH($A115,Accounts!$B$2:$B$21,0))&amp;"",IF($D115="PS",INDEX(Accounts!$F$2:$F$21,MATCH($A115,Accounts!$B$2:$B$21,0))&amp;"",IF($D115="Named engineer",INDEX(Accounts!$I$2:$I$21,MATCH($A115,Accounts!$B$2:$B$21,0))&amp;"",IF($D115="TSE + PS",IF(INDEX(Accounts!$G$2:$G$21,MATCH($A115,Accounts!$B$2:$B$21,0))&amp;""="","(no TSE)",INDEX(Accounts!$G$2:$G$21,MATCH($A115,Accounts!$B$2:$B$21,0))&amp;"")&amp;" / "&amp;IF(INDEX(Accounts!$F$2:$F$21,MATCH($A115,Accounts!$B$2:$B$21,0))&amp;""="","(no PS)",INDEX(Accounts!$F$2:$F$21,MATCH($A115,Accounts!$B$2:$B$21,0))&amp;""),"")))),""))</f>
        <v/>
      </c>
      <c r="F115" s="45" t="s">
        <v>108</v>
      </c>
      <c r="G115" s="46">
        <v>46252.0</v>
      </c>
      <c r="H115" s="50" t="s">
        <v>236</v>
      </c>
      <c r="I115" s="42" t="s">
        <v>34</v>
      </c>
      <c r="K115" s="44" t="str">
        <f t="shared" si="1"/>
        <v>Owner missing </v>
      </c>
    </row>
    <row r="116" ht="15.75" customHeight="1">
      <c r="A116" s="31" t="s">
        <v>234</v>
      </c>
      <c r="B116" s="42" t="s">
        <v>40</v>
      </c>
      <c r="C116" s="42" t="s">
        <v>219</v>
      </c>
      <c r="D116" s="42" t="s">
        <v>32</v>
      </c>
      <c r="E116" s="43" t="str">
        <f t="array" ref="E116">IF($A116="","",IFERROR(IF($D116="TSE",INDEX(Accounts!$G$2:$G$21,MATCH($A116,Accounts!$B$2:$B$21,0))&amp;"",IF($D116="PS",INDEX(Accounts!$F$2:$F$21,MATCH($A116,Accounts!$B$2:$B$21,0))&amp;"",IF($D116="Named engineer",INDEX(Accounts!$I$2:$I$21,MATCH($A116,Accounts!$B$2:$B$21,0))&amp;"",IF($D116="TSE + PS",IF(INDEX(Accounts!$G$2:$G$21,MATCH($A116,Accounts!$B$2:$B$21,0))&amp;""="","(no TSE)",INDEX(Accounts!$G$2:$G$21,MATCH($A116,Accounts!$B$2:$B$21,0))&amp;"")&amp;" / "&amp;IF(INDEX(Accounts!$F$2:$F$21,MATCH($A116,Accounts!$B$2:$B$21,0))&amp;""="","(no PS)",INDEX(Accounts!$F$2:$F$21,MATCH($A116,Accounts!$B$2:$B$21,0))&amp;""),"")))),""))</f>
        <v/>
      </c>
      <c r="F116" s="45" t="s">
        <v>235</v>
      </c>
      <c r="I116" s="42" t="s">
        <v>34</v>
      </c>
      <c r="K116" s="44" t="str">
        <f t="shared" si="1"/>
        <v>Owner missing </v>
      </c>
    </row>
    <row r="117" ht="15.75" customHeight="1">
      <c r="A117" s="31" t="s">
        <v>234</v>
      </c>
      <c r="B117" s="42" t="s">
        <v>44</v>
      </c>
      <c r="C117" s="42" t="s">
        <v>220</v>
      </c>
      <c r="D117" s="42" t="s">
        <v>46</v>
      </c>
      <c r="E117" s="43" t="str">
        <f t="array" ref="E117">IF($A117="","",IFERROR(IF($D117="TSE",INDEX(Accounts!$G$2:$G$21,MATCH($A117,Accounts!$B$2:$B$21,0))&amp;"",IF($D117="PS",INDEX(Accounts!$F$2:$F$21,MATCH($A117,Accounts!$B$2:$B$21,0))&amp;"",IF($D117="Named engineer",INDEX(Accounts!$I$2:$I$21,MATCH($A117,Accounts!$B$2:$B$21,0))&amp;"",IF($D117="TSE + PS",IF(INDEX(Accounts!$G$2:$G$21,MATCH($A117,Accounts!$B$2:$B$21,0))&amp;""="","(no TSE)",INDEX(Accounts!$G$2:$G$21,MATCH($A117,Accounts!$B$2:$B$21,0))&amp;"")&amp;" / "&amp;IF(INDEX(Accounts!$F$2:$F$21,MATCH($A117,Accounts!$B$2:$B$21,0))&amp;""="","(no PS)",INDEX(Accounts!$F$2:$F$21,MATCH($A117,Accounts!$B$2:$B$21,0))&amp;""),"")))),""))</f>
        <v/>
      </c>
      <c r="F117" s="42" t="s">
        <v>104</v>
      </c>
      <c r="I117" s="42" t="s">
        <v>34</v>
      </c>
      <c r="K117" s="44" t="str">
        <f t="shared" si="1"/>
        <v>Owner missing </v>
      </c>
    </row>
    <row r="118" ht="15.75" customHeight="1">
      <c r="A118" s="31" t="s">
        <v>234</v>
      </c>
      <c r="B118" s="42" t="s">
        <v>49</v>
      </c>
      <c r="C118" s="42" t="s">
        <v>221</v>
      </c>
      <c r="D118" s="42" t="s">
        <v>32</v>
      </c>
      <c r="E118" s="43" t="str">
        <f t="array" ref="E118">IF($A118="","",IFERROR(IF($D118="TSE",INDEX(Accounts!$G$2:$G$21,MATCH($A118,Accounts!$B$2:$B$21,0))&amp;"",IF($D118="PS",INDEX(Accounts!$F$2:$F$21,MATCH($A118,Accounts!$B$2:$B$21,0))&amp;"",IF($D118="Named engineer",INDEX(Accounts!$I$2:$I$21,MATCH($A118,Accounts!$B$2:$B$21,0))&amp;"",IF($D118="TSE + PS",IF(INDEX(Accounts!$G$2:$G$21,MATCH($A118,Accounts!$B$2:$B$21,0))&amp;""="","(no TSE)",INDEX(Accounts!$G$2:$G$21,MATCH($A118,Accounts!$B$2:$B$21,0))&amp;"")&amp;" / "&amp;IF(INDEX(Accounts!$F$2:$F$21,MATCH($A118,Accounts!$B$2:$B$21,0))&amp;""="","(no PS)",INDEX(Accounts!$F$2:$F$21,MATCH($A118,Accounts!$B$2:$B$21,0))&amp;""),"")))),""))</f>
        <v/>
      </c>
      <c r="F118" s="42" t="s">
        <v>104</v>
      </c>
      <c r="I118" s="42" t="s">
        <v>34</v>
      </c>
      <c r="K118" s="44" t="str">
        <f t="shared" si="1"/>
        <v>Owner missing </v>
      </c>
    </row>
    <row r="119" ht="15.75" customHeight="1">
      <c r="A119" s="31" t="s">
        <v>234</v>
      </c>
      <c r="B119" s="42" t="s">
        <v>53</v>
      </c>
      <c r="C119" s="42" t="s">
        <v>222</v>
      </c>
      <c r="D119" s="42" t="s">
        <v>32</v>
      </c>
      <c r="E119" s="43" t="str">
        <f t="array" ref="E119">IF($A119="","",IFERROR(IF($D119="TSE",INDEX(Accounts!$G$2:$G$21,MATCH($A119,Accounts!$B$2:$B$21,0))&amp;"",IF($D119="PS",INDEX(Accounts!$F$2:$F$21,MATCH($A119,Accounts!$B$2:$B$21,0))&amp;"",IF($D119="Named engineer",INDEX(Accounts!$I$2:$I$21,MATCH($A119,Accounts!$B$2:$B$21,0))&amp;"",IF($D119="TSE + PS",IF(INDEX(Accounts!$G$2:$G$21,MATCH($A119,Accounts!$B$2:$B$21,0))&amp;""="","(no TSE)",INDEX(Accounts!$G$2:$G$21,MATCH($A119,Accounts!$B$2:$B$21,0))&amp;"")&amp;" / "&amp;IF(INDEX(Accounts!$F$2:$F$21,MATCH($A119,Accounts!$B$2:$B$21,0))&amp;""="","(no PS)",INDEX(Accounts!$F$2:$F$21,MATCH($A119,Accounts!$B$2:$B$21,0))&amp;""),"")))),""))</f>
        <v/>
      </c>
      <c r="F119" s="42" t="s">
        <v>104</v>
      </c>
      <c r="I119" s="42" t="s">
        <v>56</v>
      </c>
      <c r="K119" s="44" t="str">
        <f t="shared" si="1"/>
        <v>Owner missing </v>
      </c>
    </row>
    <row r="120" ht="15.75" customHeight="1">
      <c r="A120" s="31" t="s">
        <v>234</v>
      </c>
      <c r="B120" s="42" t="s">
        <v>57</v>
      </c>
      <c r="C120" s="42" t="s">
        <v>223</v>
      </c>
      <c r="D120" s="42" t="s">
        <v>68</v>
      </c>
      <c r="E120" s="43" t="str">
        <f t="array" ref="E120">IF($A120="","",IFERROR(IF($D120="TSE",INDEX(Accounts!$G$2:$G$21,MATCH($A120,Accounts!$B$2:$B$21,0))&amp;"",IF($D120="PS",INDEX(Accounts!$F$2:$F$21,MATCH($A120,Accounts!$B$2:$B$21,0))&amp;"",IF($D120="Named engineer",INDEX(Accounts!$I$2:$I$21,MATCH($A120,Accounts!$B$2:$B$21,0))&amp;"",IF($D120="TSE + PS",IF(INDEX(Accounts!$G$2:$G$21,MATCH($A120,Accounts!$B$2:$B$21,0))&amp;""="","(no TSE)",INDEX(Accounts!$G$2:$G$21,MATCH($A120,Accounts!$B$2:$B$21,0))&amp;"")&amp;" / "&amp;IF(INDEX(Accounts!$F$2:$F$21,MATCH($A120,Accounts!$B$2:$B$21,0))&amp;""="","(no PS)",INDEX(Accounts!$F$2:$F$21,MATCH($A120,Accounts!$B$2:$B$21,0))&amp;""),"")))),""))</f>
        <v/>
      </c>
      <c r="F120" s="45" t="s">
        <v>235</v>
      </c>
      <c r="I120" s="42" t="s">
        <v>56</v>
      </c>
      <c r="K120" s="44" t="str">
        <f t="shared" si="1"/>
        <v>Owner missing </v>
      </c>
    </row>
    <row r="121" ht="15.75" customHeight="1">
      <c r="A121" s="31" t="s">
        <v>234</v>
      </c>
      <c r="B121" s="42" t="s">
        <v>60</v>
      </c>
      <c r="C121" s="42" t="s">
        <v>224</v>
      </c>
      <c r="D121" s="42" t="s">
        <v>62</v>
      </c>
      <c r="E121" s="43" t="str">
        <f t="array" ref="E121">IF($A121="","",IFERROR(IF($D121="TSE",INDEX(Accounts!$G$2:$G$21,MATCH($A121,Accounts!$B$2:$B$21,0))&amp;"",IF($D121="PS",INDEX(Accounts!$F$2:$F$21,MATCH($A121,Accounts!$B$2:$B$21,0))&amp;"",IF($D121="Named engineer",INDEX(Accounts!$I$2:$I$21,MATCH($A121,Accounts!$B$2:$B$21,0))&amp;"",IF($D121="TSE + PS",IF(INDEX(Accounts!$G$2:$G$21,MATCH($A121,Accounts!$B$2:$B$21,0))&amp;""="","(no TSE)",INDEX(Accounts!$G$2:$G$21,MATCH($A121,Accounts!$B$2:$B$21,0))&amp;"")&amp;" / "&amp;IF(INDEX(Accounts!$F$2:$F$21,MATCH($A121,Accounts!$B$2:$B$21,0))&amp;""="","(no PS)",INDEX(Accounts!$F$2:$F$21,MATCH($A121,Accounts!$B$2:$B$21,0))&amp;""),"")))),""))</f>
        <v/>
      </c>
      <c r="F121" s="42" t="s">
        <v>104</v>
      </c>
      <c r="I121" s="42" t="s">
        <v>34</v>
      </c>
      <c r="K121" s="44" t="str">
        <f t="shared" si="1"/>
        <v>Owner missing </v>
      </c>
    </row>
    <row r="122" ht="15.75" customHeight="1">
      <c r="A122" s="31" t="s">
        <v>234</v>
      </c>
      <c r="B122" s="42" t="s">
        <v>65</v>
      </c>
      <c r="C122" s="42" t="s">
        <v>225</v>
      </c>
      <c r="D122" s="42" t="s">
        <v>68</v>
      </c>
      <c r="E122" s="43" t="str">
        <f t="array" ref="E122">IF($A122="","",IFERROR(IF($D122="TSE",INDEX(Accounts!$G$2:$G$21,MATCH($A122,Accounts!$B$2:$B$21,0))&amp;"",IF($D122="PS",INDEX(Accounts!$F$2:$F$21,MATCH($A122,Accounts!$B$2:$B$21,0))&amp;"",IF($D122="Named engineer",INDEX(Accounts!$I$2:$I$21,MATCH($A122,Accounts!$B$2:$B$21,0))&amp;"",IF($D122="TSE + PS",IF(INDEX(Accounts!$G$2:$G$21,MATCH($A122,Accounts!$B$2:$B$21,0))&amp;""="","(no TSE)",INDEX(Accounts!$G$2:$G$21,MATCH($A122,Accounts!$B$2:$B$21,0))&amp;"")&amp;" / "&amp;IF(INDEX(Accounts!$F$2:$F$21,MATCH($A122,Accounts!$B$2:$B$21,0))&amp;""="","(no PS)",INDEX(Accounts!$F$2:$F$21,MATCH($A122,Accounts!$B$2:$B$21,0))&amp;""),"")))),""))</f>
        <v/>
      </c>
      <c r="F122" s="45" t="s">
        <v>108</v>
      </c>
      <c r="G122" s="46">
        <v>46289.0</v>
      </c>
      <c r="H122" s="48" t="s">
        <v>237</v>
      </c>
      <c r="I122" s="42" t="s">
        <v>34</v>
      </c>
      <c r="J122" s="51" t="s">
        <v>238</v>
      </c>
      <c r="K122" s="44" t="str">
        <f t="shared" si="1"/>
        <v>Owner missing </v>
      </c>
    </row>
    <row r="123" ht="15.75" customHeight="1">
      <c r="A123" s="31" t="s">
        <v>234</v>
      </c>
      <c r="B123" s="42" t="s">
        <v>71</v>
      </c>
      <c r="C123" s="42" t="s">
        <v>226</v>
      </c>
      <c r="D123" s="42" t="s">
        <v>46</v>
      </c>
      <c r="E123" s="43" t="str">
        <f t="array" ref="E123">IF($A123="","",IFERROR(IF($D123="TSE",INDEX(Accounts!$G$2:$G$21,MATCH($A123,Accounts!$B$2:$B$21,0))&amp;"",IF($D123="PS",INDEX(Accounts!$F$2:$F$21,MATCH($A123,Accounts!$B$2:$B$21,0))&amp;"",IF($D123="Named engineer",INDEX(Accounts!$I$2:$I$21,MATCH($A123,Accounts!$B$2:$B$21,0))&amp;"",IF($D123="TSE + PS",IF(INDEX(Accounts!$G$2:$G$21,MATCH($A123,Accounts!$B$2:$B$21,0))&amp;""="","(no TSE)",INDEX(Accounts!$G$2:$G$21,MATCH($A123,Accounts!$B$2:$B$21,0))&amp;"")&amp;" / "&amp;IF(INDEX(Accounts!$F$2:$F$21,MATCH($A123,Accounts!$B$2:$B$21,0))&amp;""="","(no PS)",INDEX(Accounts!$F$2:$F$21,MATCH($A123,Accounts!$B$2:$B$21,0))&amp;""),"")))),""))</f>
        <v/>
      </c>
      <c r="F123" s="42" t="s">
        <v>104</v>
      </c>
      <c r="I123" s="42" t="s">
        <v>56</v>
      </c>
      <c r="K123" s="44" t="str">
        <f t="shared" si="1"/>
        <v>Owner missing </v>
      </c>
    </row>
    <row r="124" ht="15.75" customHeight="1">
      <c r="A124" s="31" t="s">
        <v>234</v>
      </c>
      <c r="B124" s="42" t="s">
        <v>74</v>
      </c>
      <c r="C124" s="42" t="s">
        <v>227</v>
      </c>
      <c r="D124" s="42" t="s">
        <v>68</v>
      </c>
      <c r="E124" s="43" t="str">
        <f t="array" ref="E124">IF($A124="","",IFERROR(IF($D124="TSE",INDEX(Accounts!$G$2:$G$21,MATCH($A124,Accounts!$B$2:$B$21,0))&amp;"",IF($D124="PS",INDEX(Accounts!$F$2:$F$21,MATCH($A124,Accounts!$B$2:$B$21,0))&amp;"",IF($D124="Named engineer",INDEX(Accounts!$I$2:$I$21,MATCH($A124,Accounts!$B$2:$B$21,0))&amp;"",IF($D124="TSE + PS",IF(INDEX(Accounts!$G$2:$G$21,MATCH($A124,Accounts!$B$2:$B$21,0))&amp;""="","(no TSE)",INDEX(Accounts!$G$2:$G$21,MATCH($A124,Accounts!$B$2:$B$21,0))&amp;"")&amp;" / "&amp;IF(INDEX(Accounts!$F$2:$F$21,MATCH($A124,Accounts!$B$2:$B$21,0))&amp;""="","(no PS)",INDEX(Accounts!$F$2:$F$21,MATCH($A124,Accounts!$B$2:$B$21,0))&amp;""),"")))),""))</f>
        <v/>
      </c>
      <c r="F124" s="42" t="s">
        <v>104</v>
      </c>
      <c r="I124" s="42" t="s">
        <v>56</v>
      </c>
      <c r="K124" s="44" t="str">
        <f t="shared" si="1"/>
        <v>Owner missing </v>
      </c>
    </row>
    <row r="125" ht="15.75" customHeight="1">
      <c r="A125" s="31" t="s">
        <v>234</v>
      </c>
      <c r="B125" s="42" t="s">
        <v>77</v>
      </c>
      <c r="C125" s="42" t="s">
        <v>228</v>
      </c>
      <c r="D125" s="42" t="s">
        <v>68</v>
      </c>
      <c r="E125" s="43" t="str">
        <f t="array" ref="E125">IF($A125="","",IFERROR(IF($D125="TSE",INDEX(Accounts!$G$2:$G$21,MATCH($A125,Accounts!$B$2:$B$21,0))&amp;"",IF($D125="PS",INDEX(Accounts!$F$2:$F$21,MATCH($A125,Accounts!$B$2:$B$21,0))&amp;"",IF($D125="Named engineer",INDEX(Accounts!$I$2:$I$21,MATCH($A125,Accounts!$B$2:$B$21,0))&amp;"",IF($D125="TSE + PS",IF(INDEX(Accounts!$G$2:$G$21,MATCH($A125,Accounts!$B$2:$B$21,0))&amp;""="","(no TSE)",INDEX(Accounts!$G$2:$G$21,MATCH($A125,Accounts!$B$2:$B$21,0))&amp;"")&amp;" / "&amp;IF(INDEX(Accounts!$F$2:$F$21,MATCH($A125,Accounts!$B$2:$B$21,0))&amp;""="","(no PS)",INDEX(Accounts!$F$2:$F$21,MATCH($A125,Accounts!$B$2:$B$21,0))&amp;""),"")))),""))</f>
        <v/>
      </c>
      <c r="F125" s="45" t="s">
        <v>235</v>
      </c>
      <c r="I125" s="42" t="s">
        <v>56</v>
      </c>
      <c r="K125" s="44" t="str">
        <f t="shared" si="1"/>
        <v>Owner missing </v>
      </c>
    </row>
    <row r="126" ht="15.75" customHeight="1">
      <c r="A126" s="31" t="s">
        <v>234</v>
      </c>
      <c r="B126" s="42" t="s">
        <v>80</v>
      </c>
      <c r="C126" s="42" t="s">
        <v>229</v>
      </c>
      <c r="D126" s="42" t="s">
        <v>62</v>
      </c>
      <c r="E126" s="43" t="str">
        <f t="array" ref="E126">IF($A126="","",IFERROR(IF($D126="TSE",INDEX(Accounts!$G$2:$G$21,MATCH($A126,Accounts!$B$2:$B$21,0))&amp;"",IF($D126="PS",INDEX(Accounts!$F$2:$F$21,MATCH($A126,Accounts!$B$2:$B$21,0))&amp;"",IF($D126="Named engineer",INDEX(Accounts!$I$2:$I$21,MATCH($A126,Accounts!$B$2:$B$21,0))&amp;"",IF($D126="TSE + PS",IF(INDEX(Accounts!$G$2:$G$21,MATCH($A126,Accounts!$B$2:$B$21,0))&amp;""="","(no TSE)",INDEX(Accounts!$G$2:$G$21,MATCH($A126,Accounts!$B$2:$B$21,0))&amp;"")&amp;" / "&amp;IF(INDEX(Accounts!$F$2:$F$21,MATCH($A126,Accounts!$B$2:$B$21,0))&amp;""="","(no PS)",INDEX(Accounts!$F$2:$F$21,MATCH($A126,Accounts!$B$2:$B$21,0))&amp;""),"")))),""))</f>
        <v/>
      </c>
      <c r="F126" s="42" t="s">
        <v>104</v>
      </c>
      <c r="I126" s="42" t="s">
        <v>34</v>
      </c>
      <c r="K126" s="44" t="str">
        <f t="shared" si="1"/>
        <v>Owner missing </v>
      </c>
    </row>
    <row r="127" ht="15.75" customHeight="1">
      <c r="A127" s="31" t="s">
        <v>234</v>
      </c>
      <c r="B127" s="42" t="s">
        <v>85</v>
      </c>
      <c r="C127" s="42" t="s">
        <v>230</v>
      </c>
      <c r="D127" s="42" t="s">
        <v>32</v>
      </c>
      <c r="E127" s="43" t="str">
        <f t="array" ref="E127">IF($A127="","",IFERROR(IF($D127="TSE",INDEX(Accounts!$G$2:$G$21,MATCH($A127,Accounts!$B$2:$B$21,0))&amp;"",IF($D127="PS",INDEX(Accounts!$F$2:$F$21,MATCH($A127,Accounts!$B$2:$B$21,0))&amp;"",IF($D127="Named engineer",INDEX(Accounts!$I$2:$I$21,MATCH($A127,Accounts!$B$2:$B$21,0))&amp;"",IF($D127="TSE + PS",IF(INDEX(Accounts!$G$2:$G$21,MATCH($A127,Accounts!$B$2:$B$21,0))&amp;""="","(no TSE)",INDEX(Accounts!$G$2:$G$21,MATCH($A127,Accounts!$B$2:$B$21,0))&amp;"")&amp;" / "&amp;IF(INDEX(Accounts!$F$2:$F$21,MATCH($A127,Accounts!$B$2:$B$21,0))&amp;""="","(no PS)",INDEX(Accounts!$F$2:$F$21,MATCH($A127,Accounts!$B$2:$B$21,0))&amp;""),"")))),""))</f>
        <v/>
      </c>
      <c r="F127" s="42" t="s">
        <v>104</v>
      </c>
      <c r="I127" s="42" t="s">
        <v>56</v>
      </c>
      <c r="K127" s="44" t="str">
        <f t="shared" si="1"/>
        <v>Owner missing </v>
      </c>
    </row>
    <row r="128" ht="15.75" customHeight="1">
      <c r="A128" s="31" t="s">
        <v>234</v>
      </c>
      <c r="B128" s="42" t="s">
        <v>88</v>
      </c>
      <c r="C128" s="42" t="s">
        <v>231</v>
      </c>
      <c r="D128" s="42" t="s">
        <v>32</v>
      </c>
      <c r="E128" s="43" t="str">
        <f t="array" ref="E128">IF($A128="","",IFERROR(IF($D128="TSE",INDEX(Accounts!$G$2:$G$21,MATCH($A128,Accounts!$B$2:$B$21,0))&amp;"",IF($D128="PS",INDEX(Accounts!$F$2:$F$21,MATCH($A128,Accounts!$B$2:$B$21,0))&amp;"",IF($D128="Named engineer",INDEX(Accounts!$I$2:$I$21,MATCH($A128,Accounts!$B$2:$B$21,0))&amp;"",IF($D128="TSE + PS",IF(INDEX(Accounts!$G$2:$G$21,MATCH($A128,Accounts!$B$2:$B$21,0))&amp;""="","(no TSE)",INDEX(Accounts!$G$2:$G$21,MATCH($A128,Accounts!$B$2:$B$21,0))&amp;"")&amp;" / "&amp;IF(INDEX(Accounts!$F$2:$F$21,MATCH($A128,Accounts!$B$2:$B$21,0))&amp;""="","(no PS)",INDEX(Accounts!$F$2:$F$21,MATCH($A128,Accounts!$B$2:$B$21,0))&amp;""),"")))),""))</f>
        <v/>
      </c>
      <c r="F128" s="42" t="s">
        <v>104</v>
      </c>
      <c r="I128" s="42" t="s">
        <v>34</v>
      </c>
      <c r="K128" s="44" t="str">
        <f t="shared" si="1"/>
        <v>Owner missing </v>
      </c>
    </row>
    <row r="129" ht="15.75" customHeight="1">
      <c r="A129" s="31" t="s">
        <v>234</v>
      </c>
      <c r="B129" s="42" t="s">
        <v>92</v>
      </c>
      <c r="C129" s="42" t="s">
        <v>232</v>
      </c>
      <c r="D129" s="42" t="s">
        <v>32</v>
      </c>
      <c r="E129" s="43" t="str">
        <f t="array" ref="E129">IF($A129="","",IFERROR(IF($D129="TSE",INDEX(Accounts!$G$2:$G$21,MATCH($A129,Accounts!$B$2:$B$21,0))&amp;"",IF($D129="PS",INDEX(Accounts!$F$2:$F$21,MATCH($A129,Accounts!$B$2:$B$21,0))&amp;"",IF($D129="Named engineer",INDEX(Accounts!$I$2:$I$21,MATCH($A129,Accounts!$B$2:$B$21,0))&amp;"",IF($D129="TSE + PS",IF(INDEX(Accounts!$G$2:$G$21,MATCH($A129,Accounts!$B$2:$B$21,0))&amp;""="","(no TSE)",INDEX(Accounts!$G$2:$G$21,MATCH($A129,Accounts!$B$2:$B$21,0))&amp;"")&amp;" / "&amp;IF(INDEX(Accounts!$F$2:$F$21,MATCH($A129,Accounts!$B$2:$B$21,0))&amp;""="","(no PS)",INDEX(Accounts!$F$2:$F$21,MATCH($A129,Accounts!$B$2:$B$21,0))&amp;""),"")))),""))</f>
        <v/>
      </c>
      <c r="F129" s="42" t="s">
        <v>104</v>
      </c>
      <c r="I129" s="42" t="s">
        <v>34</v>
      </c>
      <c r="K129" s="44" t="str">
        <f t="shared" si="1"/>
        <v>Owner missing </v>
      </c>
    </row>
    <row r="130" ht="15.75" customHeight="1">
      <c r="A130" s="45" t="s">
        <v>192</v>
      </c>
      <c r="B130" s="42" t="s">
        <v>29</v>
      </c>
      <c r="C130" s="42" t="s">
        <v>217</v>
      </c>
      <c r="D130" s="42" t="s">
        <v>32</v>
      </c>
      <c r="E130" s="43" t="str">
        <f t="array" ref="E130">IF($A130="","",IFERROR(IF($D130="TSE",INDEX(Accounts!$G$2:$G$21,MATCH($A130,Accounts!$B$2:$B$21,0))&amp;"",IF($D130="PS",INDEX(Accounts!$F$2:$F$21,MATCH($A130,Accounts!$B$2:$B$21,0))&amp;"",IF($D130="Named engineer",INDEX(Accounts!$I$2:$I$21,MATCH($A130,Accounts!$B$2:$B$21,0))&amp;"",IF($D130="TSE + PS",IF(INDEX(Accounts!$G$2:$G$21,MATCH($A130,Accounts!$B$2:$B$21,0))&amp;""="","(no TSE)",INDEX(Accounts!$G$2:$G$21,MATCH($A130,Accounts!$B$2:$B$21,0))&amp;"")&amp;" / "&amp;IF(INDEX(Accounts!$F$2:$F$21,MATCH($A130,Accounts!$B$2:$B$21,0))&amp;""="","(no PS)",INDEX(Accounts!$F$2:$F$21,MATCH($A130,Accounts!$B$2:$B$21,0))&amp;""),"")))),""))</f>
        <v>Khizar Karim</v>
      </c>
      <c r="F130" s="42" t="s">
        <v>104</v>
      </c>
      <c r="I130" s="42" t="s">
        <v>34</v>
      </c>
      <c r="K130" s="44" t="str">
        <f t="shared" si="1"/>
        <v/>
      </c>
    </row>
    <row r="131" ht="15.75" customHeight="1">
      <c r="A131" s="45" t="s">
        <v>192</v>
      </c>
      <c r="B131" s="42" t="s">
        <v>36</v>
      </c>
      <c r="C131" s="42" t="s">
        <v>218</v>
      </c>
      <c r="D131" s="42" t="s">
        <v>32</v>
      </c>
      <c r="E131" s="43" t="str">
        <f t="array" ref="E131">IF($A131="","",IFERROR(IF($D131="TSE",INDEX(Accounts!$G$2:$G$21,MATCH($A131,Accounts!$B$2:$B$21,0))&amp;"",IF($D131="PS",INDEX(Accounts!$F$2:$F$21,MATCH($A131,Accounts!$B$2:$B$21,0))&amp;"",IF($D131="Named engineer",INDEX(Accounts!$I$2:$I$21,MATCH($A131,Accounts!$B$2:$B$21,0))&amp;"",IF($D131="TSE + PS",IF(INDEX(Accounts!$G$2:$G$21,MATCH($A131,Accounts!$B$2:$B$21,0))&amp;""="","(no TSE)",INDEX(Accounts!$G$2:$G$21,MATCH($A131,Accounts!$B$2:$B$21,0))&amp;"")&amp;" / "&amp;IF(INDEX(Accounts!$F$2:$F$21,MATCH($A131,Accounts!$B$2:$B$21,0))&amp;""="","(no PS)",INDEX(Accounts!$F$2:$F$21,MATCH($A131,Accounts!$B$2:$B$21,0))&amp;""),"")))),""))</f>
        <v>Khizar Karim</v>
      </c>
      <c r="F131" s="42" t="s">
        <v>104</v>
      </c>
      <c r="I131" s="42" t="s">
        <v>34</v>
      </c>
      <c r="K131" s="44" t="str">
        <f t="shared" si="1"/>
        <v/>
      </c>
    </row>
    <row r="132" ht="15.75" customHeight="1">
      <c r="A132" s="45" t="s">
        <v>192</v>
      </c>
      <c r="B132" s="42" t="s">
        <v>40</v>
      </c>
      <c r="C132" s="42" t="s">
        <v>219</v>
      </c>
      <c r="D132" s="42" t="s">
        <v>32</v>
      </c>
      <c r="E132" s="43" t="str">
        <f t="array" ref="E132">IF($A132="","",IFERROR(IF($D132="TSE",INDEX(Accounts!$G$2:$G$21,MATCH($A132,Accounts!$B$2:$B$21,0))&amp;"",IF($D132="PS",INDEX(Accounts!$F$2:$F$21,MATCH($A132,Accounts!$B$2:$B$21,0))&amp;"",IF($D132="Named engineer",INDEX(Accounts!$I$2:$I$21,MATCH($A132,Accounts!$B$2:$B$21,0))&amp;"",IF($D132="TSE + PS",IF(INDEX(Accounts!$G$2:$G$21,MATCH($A132,Accounts!$B$2:$B$21,0))&amp;""="","(no TSE)",INDEX(Accounts!$G$2:$G$21,MATCH($A132,Accounts!$B$2:$B$21,0))&amp;"")&amp;" / "&amp;IF(INDEX(Accounts!$F$2:$F$21,MATCH($A132,Accounts!$B$2:$B$21,0))&amp;""="","(no PS)",INDEX(Accounts!$F$2:$F$21,MATCH($A132,Accounts!$B$2:$B$21,0))&amp;""),"")))),""))</f>
        <v>Khizar Karim</v>
      </c>
      <c r="F132" s="42" t="s">
        <v>104</v>
      </c>
      <c r="I132" s="42" t="s">
        <v>34</v>
      </c>
      <c r="K132" s="44" t="str">
        <f t="shared" si="1"/>
        <v/>
      </c>
    </row>
    <row r="133" ht="15.75" customHeight="1">
      <c r="A133" s="45" t="s">
        <v>192</v>
      </c>
      <c r="B133" s="42" t="s">
        <v>44</v>
      </c>
      <c r="C133" s="42" t="s">
        <v>220</v>
      </c>
      <c r="D133" s="42" t="s">
        <v>46</v>
      </c>
      <c r="E133" s="43" t="str">
        <f t="array" ref="E133">IF($A133="","",IFERROR(IF($D133="TSE",INDEX(Accounts!$G$2:$G$21,MATCH($A133,Accounts!$B$2:$B$21,0))&amp;"",IF($D133="PS",INDEX(Accounts!$F$2:$F$21,MATCH($A133,Accounts!$B$2:$B$21,0))&amp;"",IF($D133="Named engineer",INDEX(Accounts!$I$2:$I$21,MATCH($A133,Accounts!$B$2:$B$21,0))&amp;"",IF($D133="TSE + PS",IF(INDEX(Accounts!$G$2:$G$21,MATCH($A133,Accounts!$B$2:$B$21,0))&amp;""="","(no TSE)",INDEX(Accounts!$G$2:$G$21,MATCH($A133,Accounts!$B$2:$B$21,0))&amp;"")&amp;" / "&amp;IF(INDEX(Accounts!$F$2:$F$21,MATCH($A133,Accounts!$B$2:$B$21,0))&amp;""="","(no PS)",INDEX(Accounts!$F$2:$F$21,MATCH($A133,Accounts!$B$2:$B$21,0))&amp;""),"")))),""))</f>
        <v/>
      </c>
      <c r="F133" s="42" t="s">
        <v>104</v>
      </c>
      <c r="I133" s="42" t="s">
        <v>34</v>
      </c>
      <c r="K133" s="44" t="str">
        <f t="shared" si="1"/>
        <v>Owner missing </v>
      </c>
    </row>
    <row r="134" ht="15.75" customHeight="1">
      <c r="A134" s="45" t="s">
        <v>192</v>
      </c>
      <c r="B134" s="42" t="s">
        <v>49</v>
      </c>
      <c r="C134" s="42" t="s">
        <v>221</v>
      </c>
      <c r="D134" s="42" t="s">
        <v>32</v>
      </c>
      <c r="E134" s="43" t="str">
        <f t="array" ref="E134">IF($A134="","",IFERROR(IF($D134="TSE",INDEX(Accounts!$G$2:$G$21,MATCH($A134,Accounts!$B$2:$B$21,0))&amp;"",IF($D134="PS",INDEX(Accounts!$F$2:$F$21,MATCH($A134,Accounts!$B$2:$B$21,0))&amp;"",IF($D134="Named engineer",INDEX(Accounts!$I$2:$I$21,MATCH($A134,Accounts!$B$2:$B$21,0))&amp;"",IF($D134="TSE + PS",IF(INDEX(Accounts!$G$2:$G$21,MATCH($A134,Accounts!$B$2:$B$21,0))&amp;""="","(no TSE)",INDEX(Accounts!$G$2:$G$21,MATCH($A134,Accounts!$B$2:$B$21,0))&amp;"")&amp;" / "&amp;IF(INDEX(Accounts!$F$2:$F$21,MATCH($A134,Accounts!$B$2:$B$21,0))&amp;""="","(no PS)",INDEX(Accounts!$F$2:$F$21,MATCH($A134,Accounts!$B$2:$B$21,0))&amp;""),"")))),""))</f>
        <v>Khizar Karim</v>
      </c>
      <c r="F134" s="42" t="s">
        <v>104</v>
      </c>
      <c r="I134" s="42" t="s">
        <v>34</v>
      </c>
      <c r="K134" s="44" t="str">
        <f t="shared" si="1"/>
        <v/>
      </c>
    </row>
    <row r="135" ht="15.75" customHeight="1">
      <c r="A135" s="45" t="s">
        <v>192</v>
      </c>
      <c r="B135" s="42" t="s">
        <v>53</v>
      </c>
      <c r="C135" s="42" t="s">
        <v>222</v>
      </c>
      <c r="D135" s="42" t="s">
        <v>32</v>
      </c>
      <c r="E135" s="43" t="str">
        <f t="array" ref="E135">IF($A135="","",IFERROR(IF($D135="TSE",INDEX(Accounts!$G$2:$G$21,MATCH($A135,Accounts!$B$2:$B$21,0))&amp;"",IF($D135="PS",INDEX(Accounts!$F$2:$F$21,MATCH($A135,Accounts!$B$2:$B$21,0))&amp;"",IF($D135="Named engineer",INDEX(Accounts!$I$2:$I$21,MATCH($A135,Accounts!$B$2:$B$21,0))&amp;"",IF($D135="TSE + PS",IF(INDEX(Accounts!$G$2:$G$21,MATCH($A135,Accounts!$B$2:$B$21,0))&amp;""="","(no TSE)",INDEX(Accounts!$G$2:$G$21,MATCH($A135,Accounts!$B$2:$B$21,0))&amp;"")&amp;" / "&amp;IF(INDEX(Accounts!$F$2:$F$21,MATCH($A135,Accounts!$B$2:$B$21,0))&amp;""="","(no PS)",INDEX(Accounts!$F$2:$F$21,MATCH($A135,Accounts!$B$2:$B$21,0))&amp;""),"")))),""))</f>
        <v>Khizar Karim</v>
      </c>
      <c r="F135" s="42" t="s">
        <v>104</v>
      </c>
      <c r="I135" s="42" t="s">
        <v>56</v>
      </c>
      <c r="K135" s="44" t="str">
        <f t="shared" si="1"/>
        <v/>
      </c>
    </row>
    <row r="136" ht="15.75" customHeight="1">
      <c r="A136" s="45" t="s">
        <v>192</v>
      </c>
      <c r="B136" s="42" t="s">
        <v>57</v>
      </c>
      <c r="C136" s="42" t="s">
        <v>223</v>
      </c>
      <c r="D136" s="42" t="s">
        <v>68</v>
      </c>
      <c r="E136" s="43" t="str">
        <f t="array" ref="E136">IF($A136="","",IFERROR(IF($D136="TSE",INDEX(Accounts!$G$2:$G$21,MATCH($A136,Accounts!$B$2:$B$21,0))&amp;"",IF($D136="PS",INDEX(Accounts!$F$2:$F$21,MATCH($A136,Accounts!$B$2:$B$21,0))&amp;"",IF($D136="Named engineer",INDEX(Accounts!$I$2:$I$21,MATCH($A136,Accounts!$B$2:$B$21,0))&amp;"",IF($D136="TSE + PS",IF(INDEX(Accounts!$G$2:$G$21,MATCH($A136,Accounts!$B$2:$B$21,0))&amp;""="","(no TSE)",INDEX(Accounts!$G$2:$G$21,MATCH($A136,Accounts!$B$2:$B$21,0))&amp;"")&amp;" / "&amp;IF(INDEX(Accounts!$F$2:$F$21,MATCH($A136,Accounts!$B$2:$B$21,0))&amp;""="","(no PS)",INDEX(Accounts!$F$2:$F$21,MATCH($A136,Accounts!$B$2:$B$21,0))&amp;""),"")))),""))</f>
        <v>Bliss Jourdan</v>
      </c>
      <c r="F136" s="42" t="s">
        <v>104</v>
      </c>
      <c r="I136" s="42" t="s">
        <v>56</v>
      </c>
      <c r="K136" s="44" t="str">
        <f t="shared" si="1"/>
        <v/>
      </c>
    </row>
    <row r="137" ht="15.75" customHeight="1">
      <c r="A137" s="45" t="s">
        <v>192</v>
      </c>
      <c r="B137" s="42" t="s">
        <v>60</v>
      </c>
      <c r="C137" s="42" t="s">
        <v>224</v>
      </c>
      <c r="D137" s="42" t="s">
        <v>62</v>
      </c>
      <c r="E137" s="43" t="str">
        <f t="array" ref="E137">IF($A137="","",IFERROR(IF($D137="TSE",INDEX(Accounts!$G$2:$G$21,MATCH($A137,Accounts!$B$2:$B$21,0))&amp;"",IF($D137="PS",INDEX(Accounts!$F$2:$F$21,MATCH($A137,Accounts!$B$2:$B$21,0))&amp;"",IF($D137="Named engineer",INDEX(Accounts!$I$2:$I$21,MATCH($A137,Accounts!$B$2:$B$21,0))&amp;"",IF($D137="TSE + PS",IF(INDEX(Accounts!$G$2:$G$21,MATCH($A137,Accounts!$B$2:$B$21,0))&amp;""="","(no TSE)",INDEX(Accounts!$G$2:$G$21,MATCH($A137,Accounts!$B$2:$B$21,0))&amp;"")&amp;" / "&amp;IF(INDEX(Accounts!$F$2:$F$21,MATCH($A137,Accounts!$B$2:$B$21,0))&amp;""="","(no PS)",INDEX(Accounts!$F$2:$F$21,MATCH($A137,Accounts!$B$2:$B$21,0))&amp;""),"")))),""))</f>
        <v>Khizar Karim / Bliss Jourdan</v>
      </c>
      <c r="F137" s="42" t="s">
        <v>104</v>
      </c>
      <c r="I137" s="42" t="s">
        <v>34</v>
      </c>
      <c r="K137" s="44" t="str">
        <f t="shared" si="1"/>
        <v/>
      </c>
    </row>
    <row r="138" ht="15.75" customHeight="1">
      <c r="A138" s="45" t="s">
        <v>192</v>
      </c>
      <c r="B138" s="42" t="s">
        <v>65</v>
      </c>
      <c r="C138" s="42" t="s">
        <v>225</v>
      </c>
      <c r="D138" s="42" t="s">
        <v>68</v>
      </c>
      <c r="E138" s="43" t="str">
        <f t="array" ref="E138">IF($A138="","",IFERROR(IF($D138="TSE",INDEX(Accounts!$G$2:$G$21,MATCH($A138,Accounts!$B$2:$B$21,0))&amp;"",IF($D138="PS",INDEX(Accounts!$F$2:$F$21,MATCH($A138,Accounts!$B$2:$B$21,0))&amp;"",IF($D138="Named engineer",INDEX(Accounts!$I$2:$I$21,MATCH($A138,Accounts!$B$2:$B$21,0))&amp;"",IF($D138="TSE + PS",IF(INDEX(Accounts!$G$2:$G$21,MATCH($A138,Accounts!$B$2:$B$21,0))&amp;""="","(no TSE)",INDEX(Accounts!$G$2:$G$21,MATCH($A138,Accounts!$B$2:$B$21,0))&amp;"")&amp;" / "&amp;IF(INDEX(Accounts!$F$2:$F$21,MATCH($A138,Accounts!$B$2:$B$21,0))&amp;""="","(no PS)",INDEX(Accounts!$F$2:$F$21,MATCH($A138,Accounts!$B$2:$B$21,0))&amp;""),"")))),""))</f>
        <v>Bliss Jourdan</v>
      </c>
      <c r="F138" s="42" t="s">
        <v>104</v>
      </c>
      <c r="I138" s="42" t="s">
        <v>34</v>
      </c>
      <c r="K138" s="44" t="str">
        <f t="shared" si="1"/>
        <v/>
      </c>
    </row>
    <row r="139" ht="15.75" customHeight="1">
      <c r="A139" s="45" t="s">
        <v>192</v>
      </c>
      <c r="B139" s="42" t="s">
        <v>71</v>
      </c>
      <c r="C139" s="42" t="s">
        <v>226</v>
      </c>
      <c r="D139" s="42" t="s">
        <v>46</v>
      </c>
      <c r="E139" s="43" t="str">
        <f t="array" ref="E139">IF($A139="","",IFERROR(IF($D139="TSE",INDEX(Accounts!$G$2:$G$21,MATCH($A139,Accounts!$B$2:$B$21,0))&amp;"",IF($D139="PS",INDEX(Accounts!$F$2:$F$21,MATCH($A139,Accounts!$B$2:$B$21,0))&amp;"",IF($D139="Named engineer",INDEX(Accounts!$I$2:$I$21,MATCH($A139,Accounts!$B$2:$B$21,0))&amp;"",IF($D139="TSE + PS",IF(INDEX(Accounts!$G$2:$G$21,MATCH($A139,Accounts!$B$2:$B$21,0))&amp;""="","(no TSE)",INDEX(Accounts!$G$2:$G$21,MATCH($A139,Accounts!$B$2:$B$21,0))&amp;"")&amp;" / "&amp;IF(INDEX(Accounts!$F$2:$F$21,MATCH($A139,Accounts!$B$2:$B$21,0))&amp;""="","(no PS)",INDEX(Accounts!$F$2:$F$21,MATCH($A139,Accounts!$B$2:$B$21,0))&amp;""),"")))),""))</f>
        <v/>
      </c>
      <c r="F139" s="42" t="s">
        <v>104</v>
      </c>
      <c r="I139" s="42" t="s">
        <v>56</v>
      </c>
      <c r="K139" s="44" t="str">
        <f t="shared" si="1"/>
        <v>Owner missing </v>
      </c>
    </row>
    <row r="140" ht="15.75" customHeight="1">
      <c r="A140" s="45" t="s">
        <v>192</v>
      </c>
      <c r="B140" s="42" t="s">
        <v>74</v>
      </c>
      <c r="C140" s="42" t="s">
        <v>227</v>
      </c>
      <c r="D140" s="42" t="s">
        <v>68</v>
      </c>
      <c r="E140" s="43" t="str">
        <f t="array" ref="E140">IF($A140="","",IFERROR(IF($D140="TSE",INDEX(Accounts!$G$2:$G$21,MATCH($A140,Accounts!$B$2:$B$21,0))&amp;"",IF($D140="PS",INDEX(Accounts!$F$2:$F$21,MATCH($A140,Accounts!$B$2:$B$21,0))&amp;"",IF($D140="Named engineer",INDEX(Accounts!$I$2:$I$21,MATCH($A140,Accounts!$B$2:$B$21,0))&amp;"",IF($D140="TSE + PS",IF(INDEX(Accounts!$G$2:$G$21,MATCH($A140,Accounts!$B$2:$B$21,0))&amp;""="","(no TSE)",INDEX(Accounts!$G$2:$G$21,MATCH($A140,Accounts!$B$2:$B$21,0))&amp;"")&amp;" / "&amp;IF(INDEX(Accounts!$F$2:$F$21,MATCH($A140,Accounts!$B$2:$B$21,0))&amp;""="","(no PS)",INDEX(Accounts!$F$2:$F$21,MATCH($A140,Accounts!$B$2:$B$21,0))&amp;""),"")))),""))</f>
        <v>Bliss Jourdan</v>
      </c>
      <c r="F140" s="42" t="s">
        <v>104</v>
      </c>
      <c r="I140" s="42" t="s">
        <v>56</v>
      </c>
      <c r="K140" s="44" t="str">
        <f t="shared" si="1"/>
        <v/>
      </c>
    </row>
    <row r="141" ht="15.75" customHeight="1">
      <c r="A141" s="45" t="s">
        <v>192</v>
      </c>
      <c r="B141" s="42" t="s">
        <v>77</v>
      </c>
      <c r="C141" s="42" t="s">
        <v>228</v>
      </c>
      <c r="D141" s="42" t="s">
        <v>68</v>
      </c>
      <c r="E141" s="43" t="str">
        <f t="array" ref="E141">IF($A141="","",IFERROR(IF($D141="TSE",INDEX(Accounts!$G$2:$G$21,MATCH($A141,Accounts!$B$2:$B$21,0))&amp;"",IF($D141="PS",INDEX(Accounts!$F$2:$F$21,MATCH($A141,Accounts!$B$2:$B$21,0))&amp;"",IF($D141="Named engineer",INDEX(Accounts!$I$2:$I$21,MATCH($A141,Accounts!$B$2:$B$21,0))&amp;"",IF($D141="TSE + PS",IF(INDEX(Accounts!$G$2:$G$21,MATCH($A141,Accounts!$B$2:$B$21,0))&amp;""="","(no TSE)",INDEX(Accounts!$G$2:$G$21,MATCH($A141,Accounts!$B$2:$B$21,0))&amp;"")&amp;" / "&amp;IF(INDEX(Accounts!$F$2:$F$21,MATCH($A141,Accounts!$B$2:$B$21,0))&amp;""="","(no PS)",INDEX(Accounts!$F$2:$F$21,MATCH($A141,Accounts!$B$2:$B$21,0))&amp;""),"")))),""))</f>
        <v>Bliss Jourdan</v>
      </c>
      <c r="F141" s="42" t="s">
        <v>104</v>
      </c>
      <c r="I141" s="42" t="s">
        <v>56</v>
      </c>
      <c r="K141" s="44" t="str">
        <f t="shared" si="1"/>
        <v/>
      </c>
    </row>
    <row r="142" ht="15.75" customHeight="1">
      <c r="A142" s="45" t="s">
        <v>192</v>
      </c>
      <c r="B142" s="42" t="s">
        <v>80</v>
      </c>
      <c r="C142" s="42" t="s">
        <v>229</v>
      </c>
      <c r="D142" s="42" t="s">
        <v>62</v>
      </c>
      <c r="E142" s="43" t="str">
        <f t="array" ref="E142">IF($A142="","",IFERROR(IF($D142="TSE",INDEX(Accounts!$G$2:$G$21,MATCH($A142,Accounts!$B$2:$B$21,0))&amp;"",IF($D142="PS",INDEX(Accounts!$F$2:$F$21,MATCH($A142,Accounts!$B$2:$B$21,0))&amp;"",IF($D142="Named engineer",INDEX(Accounts!$I$2:$I$21,MATCH($A142,Accounts!$B$2:$B$21,0))&amp;"",IF($D142="TSE + PS",IF(INDEX(Accounts!$G$2:$G$21,MATCH($A142,Accounts!$B$2:$B$21,0))&amp;""="","(no TSE)",INDEX(Accounts!$G$2:$G$21,MATCH($A142,Accounts!$B$2:$B$21,0))&amp;"")&amp;" / "&amp;IF(INDEX(Accounts!$F$2:$F$21,MATCH($A142,Accounts!$B$2:$B$21,0))&amp;""="","(no PS)",INDEX(Accounts!$F$2:$F$21,MATCH($A142,Accounts!$B$2:$B$21,0))&amp;""),"")))),""))</f>
        <v>Khizar Karim / Bliss Jourdan</v>
      </c>
      <c r="F142" s="42" t="s">
        <v>104</v>
      </c>
      <c r="I142" s="42" t="s">
        <v>34</v>
      </c>
      <c r="K142" s="44" t="str">
        <f t="shared" si="1"/>
        <v/>
      </c>
    </row>
    <row r="143" ht="15.75" customHeight="1">
      <c r="A143" s="45" t="s">
        <v>192</v>
      </c>
      <c r="B143" s="42" t="s">
        <v>85</v>
      </c>
      <c r="C143" s="42" t="s">
        <v>230</v>
      </c>
      <c r="D143" s="42" t="s">
        <v>32</v>
      </c>
      <c r="E143" s="43" t="str">
        <f t="array" ref="E143">IF($A143="","",IFERROR(IF($D143="TSE",INDEX(Accounts!$G$2:$G$21,MATCH($A143,Accounts!$B$2:$B$21,0))&amp;"",IF($D143="PS",INDEX(Accounts!$F$2:$F$21,MATCH($A143,Accounts!$B$2:$B$21,0))&amp;"",IF($D143="Named engineer",INDEX(Accounts!$I$2:$I$21,MATCH($A143,Accounts!$B$2:$B$21,0))&amp;"",IF($D143="TSE + PS",IF(INDEX(Accounts!$G$2:$G$21,MATCH($A143,Accounts!$B$2:$B$21,0))&amp;""="","(no TSE)",INDEX(Accounts!$G$2:$G$21,MATCH($A143,Accounts!$B$2:$B$21,0))&amp;"")&amp;" / "&amp;IF(INDEX(Accounts!$F$2:$F$21,MATCH($A143,Accounts!$B$2:$B$21,0))&amp;""="","(no PS)",INDEX(Accounts!$F$2:$F$21,MATCH($A143,Accounts!$B$2:$B$21,0))&amp;""),"")))),""))</f>
        <v>Khizar Karim</v>
      </c>
      <c r="F143" s="42" t="s">
        <v>104</v>
      </c>
      <c r="I143" s="42" t="s">
        <v>56</v>
      </c>
      <c r="K143" s="44" t="str">
        <f t="shared" si="1"/>
        <v/>
      </c>
    </row>
    <row r="144" ht="15.75" customHeight="1">
      <c r="A144" s="45" t="s">
        <v>192</v>
      </c>
      <c r="B144" s="42" t="s">
        <v>88</v>
      </c>
      <c r="C144" s="42" t="s">
        <v>231</v>
      </c>
      <c r="D144" s="42" t="s">
        <v>32</v>
      </c>
      <c r="E144" s="43" t="str">
        <f t="array" ref="E144">IF($A144="","",IFERROR(IF($D144="TSE",INDEX(Accounts!$G$2:$G$21,MATCH($A144,Accounts!$B$2:$B$21,0))&amp;"",IF($D144="PS",INDEX(Accounts!$F$2:$F$21,MATCH($A144,Accounts!$B$2:$B$21,0))&amp;"",IF($D144="Named engineer",INDEX(Accounts!$I$2:$I$21,MATCH($A144,Accounts!$B$2:$B$21,0))&amp;"",IF($D144="TSE + PS",IF(INDEX(Accounts!$G$2:$G$21,MATCH($A144,Accounts!$B$2:$B$21,0))&amp;""="","(no TSE)",INDEX(Accounts!$G$2:$G$21,MATCH($A144,Accounts!$B$2:$B$21,0))&amp;"")&amp;" / "&amp;IF(INDEX(Accounts!$F$2:$F$21,MATCH($A144,Accounts!$B$2:$B$21,0))&amp;""="","(no PS)",INDEX(Accounts!$F$2:$F$21,MATCH($A144,Accounts!$B$2:$B$21,0))&amp;""),"")))),""))</f>
        <v>Khizar Karim</v>
      </c>
      <c r="F144" s="42" t="s">
        <v>104</v>
      </c>
      <c r="I144" s="42" t="s">
        <v>34</v>
      </c>
      <c r="K144" s="44" t="str">
        <f t="shared" si="1"/>
        <v/>
      </c>
    </row>
    <row r="145" ht="15.75" customHeight="1">
      <c r="A145" s="45" t="s">
        <v>192</v>
      </c>
      <c r="B145" s="42" t="s">
        <v>92</v>
      </c>
      <c r="C145" s="42" t="s">
        <v>232</v>
      </c>
      <c r="D145" s="42" t="s">
        <v>32</v>
      </c>
      <c r="E145" s="43" t="str">
        <f t="array" ref="E145">IF($A145="","",IFERROR(IF($D145="TSE",INDEX(Accounts!$G$2:$G$21,MATCH($A145,Accounts!$B$2:$B$21,0))&amp;"",IF($D145="PS",INDEX(Accounts!$F$2:$F$21,MATCH($A145,Accounts!$B$2:$B$21,0))&amp;"",IF($D145="Named engineer",INDEX(Accounts!$I$2:$I$21,MATCH($A145,Accounts!$B$2:$B$21,0))&amp;"",IF($D145="TSE + PS",IF(INDEX(Accounts!$G$2:$G$21,MATCH($A145,Accounts!$B$2:$B$21,0))&amp;""="","(no TSE)",INDEX(Accounts!$G$2:$G$21,MATCH($A145,Accounts!$B$2:$B$21,0))&amp;"")&amp;" / "&amp;IF(INDEX(Accounts!$F$2:$F$21,MATCH($A145,Accounts!$B$2:$B$21,0))&amp;""="","(no PS)",INDEX(Accounts!$F$2:$F$21,MATCH($A145,Accounts!$B$2:$B$21,0))&amp;""),"")))),""))</f>
        <v>Khizar Karim</v>
      </c>
      <c r="F145" s="42" t="s">
        <v>104</v>
      </c>
      <c r="I145" s="42" t="s">
        <v>34</v>
      </c>
      <c r="K145" s="44" t="str">
        <f t="shared" si="1"/>
        <v/>
      </c>
    </row>
    <row r="146" ht="15.75" customHeight="1">
      <c r="A146" s="31" t="s">
        <v>239</v>
      </c>
      <c r="B146" s="42" t="s">
        <v>29</v>
      </c>
      <c r="C146" s="42" t="s">
        <v>217</v>
      </c>
      <c r="D146" s="42" t="s">
        <v>32</v>
      </c>
      <c r="E146" s="43" t="str">
        <f t="array" ref="E146">IF($A146="","",IFERROR(IF($D146="TSE",INDEX(Accounts!$G$2:$G$21,MATCH($A146,Accounts!$B$2:$B$21,0))&amp;"",IF($D146="PS",INDEX(Accounts!$F$2:$F$21,MATCH($A146,Accounts!$B$2:$B$21,0))&amp;"",IF($D146="Named engineer",INDEX(Accounts!$I$2:$I$21,MATCH($A146,Accounts!$B$2:$B$21,0))&amp;"",IF($D146="TSE + PS",IF(INDEX(Accounts!$G$2:$G$21,MATCH($A146,Accounts!$B$2:$B$21,0))&amp;""="","(no TSE)",INDEX(Accounts!$G$2:$G$21,MATCH($A146,Accounts!$B$2:$B$21,0))&amp;"")&amp;" / "&amp;IF(INDEX(Accounts!$F$2:$F$21,MATCH($A146,Accounts!$B$2:$B$21,0))&amp;""="","(no PS)",INDEX(Accounts!$F$2:$F$21,MATCH($A146,Accounts!$B$2:$B$21,0))&amp;""),"")))),""))</f>
        <v/>
      </c>
      <c r="F146" s="42" t="s">
        <v>104</v>
      </c>
      <c r="I146" s="42" t="s">
        <v>34</v>
      </c>
      <c r="K146" s="44" t="str">
        <f t="shared" si="1"/>
        <v>Owner missing </v>
      </c>
    </row>
    <row r="147" ht="15.75" customHeight="1">
      <c r="A147" s="31" t="s">
        <v>239</v>
      </c>
      <c r="B147" s="42" t="s">
        <v>36</v>
      </c>
      <c r="C147" s="42" t="s">
        <v>218</v>
      </c>
      <c r="D147" s="42" t="s">
        <v>32</v>
      </c>
      <c r="E147" s="43" t="str">
        <f t="array" ref="E147">IF($A147="","",IFERROR(IF($D147="TSE",INDEX(Accounts!$G$2:$G$21,MATCH($A147,Accounts!$B$2:$B$21,0))&amp;"",IF($D147="PS",INDEX(Accounts!$F$2:$F$21,MATCH($A147,Accounts!$B$2:$B$21,0))&amp;"",IF($D147="Named engineer",INDEX(Accounts!$I$2:$I$21,MATCH($A147,Accounts!$B$2:$B$21,0))&amp;"",IF($D147="TSE + PS",IF(INDEX(Accounts!$G$2:$G$21,MATCH($A147,Accounts!$B$2:$B$21,0))&amp;""="","(no TSE)",INDEX(Accounts!$G$2:$G$21,MATCH($A147,Accounts!$B$2:$B$21,0))&amp;"")&amp;" / "&amp;IF(INDEX(Accounts!$F$2:$F$21,MATCH($A147,Accounts!$B$2:$B$21,0))&amp;""="","(no PS)",INDEX(Accounts!$F$2:$F$21,MATCH($A147,Accounts!$B$2:$B$21,0))&amp;""),"")))),""))</f>
        <v/>
      </c>
      <c r="F147" s="42" t="s">
        <v>104</v>
      </c>
      <c r="I147" s="42" t="s">
        <v>34</v>
      </c>
      <c r="K147" s="44" t="str">
        <f t="shared" si="1"/>
        <v>Owner missing </v>
      </c>
    </row>
    <row r="148" ht="15.75" customHeight="1">
      <c r="A148" s="31" t="s">
        <v>239</v>
      </c>
      <c r="B148" s="42" t="s">
        <v>40</v>
      </c>
      <c r="C148" s="42" t="s">
        <v>219</v>
      </c>
      <c r="D148" s="42" t="s">
        <v>32</v>
      </c>
      <c r="E148" s="43" t="str">
        <f t="array" ref="E148">IF($A148="","",IFERROR(IF($D148="TSE",INDEX(Accounts!$G$2:$G$21,MATCH($A148,Accounts!$B$2:$B$21,0))&amp;"",IF($D148="PS",INDEX(Accounts!$F$2:$F$21,MATCH($A148,Accounts!$B$2:$B$21,0))&amp;"",IF($D148="Named engineer",INDEX(Accounts!$I$2:$I$21,MATCH($A148,Accounts!$B$2:$B$21,0))&amp;"",IF($D148="TSE + PS",IF(INDEX(Accounts!$G$2:$G$21,MATCH($A148,Accounts!$B$2:$B$21,0))&amp;""="","(no TSE)",INDEX(Accounts!$G$2:$G$21,MATCH($A148,Accounts!$B$2:$B$21,0))&amp;"")&amp;" / "&amp;IF(INDEX(Accounts!$F$2:$F$21,MATCH($A148,Accounts!$B$2:$B$21,0))&amp;""="","(no PS)",INDEX(Accounts!$F$2:$F$21,MATCH($A148,Accounts!$B$2:$B$21,0))&amp;""),"")))),""))</f>
        <v/>
      </c>
      <c r="F148" s="42" t="s">
        <v>104</v>
      </c>
      <c r="I148" s="42" t="s">
        <v>34</v>
      </c>
      <c r="K148" s="44" t="str">
        <f t="shared" si="1"/>
        <v>Owner missing </v>
      </c>
    </row>
    <row r="149" ht="15.75" customHeight="1">
      <c r="A149" s="31" t="s">
        <v>239</v>
      </c>
      <c r="B149" s="42" t="s">
        <v>44</v>
      </c>
      <c r="C149" s="42" t="s">
        <v>220</v>
      </c>
      <c r="D149" s="42" t="s">
        <v>46</v>
      </c>
      <c r="E149" s="43" t="str">
        <f t="array" ref="E149">IF($A149="","",IFERROR(IF($D149="TSE",INDEX(Accounts!$G$2:$G$21,MATCH($A149,Accounts!$B$2:$B$21,0))&amp;"",IF($D149="PS",INDEX(Accounts!$F$2:$F$21,MATCH($A149,Accounts!$B$2:$B$21,0))&amp;"",IF($D149="Named engineer",INDEX(Accounts!$I$2:$I$21,MATCH($A149,Accounts!$B$2:$B$21,0))&amp;"",IF($D149="TSE + PS",IF(INDEX(Accounts!$G$2:$G$21,MATCH($A149,Accounts!$B$2:$B$21,0))&amp;""="","(no TSE)",INDEX(Accounts!$G$2:$G$21,MATCH($A149,Accounts!$B$2:$B$21,0))&amp;"")&amp;" / "&amp;IF(INDEX(Accounts!$F$2:$F$21,MATCH($A149,Accounts!$B$2:$B$21,0))&amp;""="","(no PS)",INDEX(Accounts!$F$2:$F$21,MATCH($A149,Accounts!$B$2:$B$21,0))&amp;""),"")))),""))</f>
        <v/>
      </c>
      <c r="F149" s="42" t="s">
        <v>104</v>
      </c>
      <c r="I149" s="42" t="s">
        <v>34</v>
      </c>
      <c r="K149" s="44" t="str">
        <f t="shared" si="1"/>
        <v>Owner missing </v>
      </c>
    </row>
    <row r="150" ht="15.75" customHeight="1">
      <c r="A150" s="31" t="s">
        <v>239</v>
      </c>
      <c r="B150" s="42" t="s">
        <v>49</v>
      </c>
      <c r="C150" s="42" t="s">
        <v>221</v>
      </c>
      <c r="D150" s="42" t="s">
        <v>32</v>
      </c>
      <c r="E150" s="43" t="str">
        <f t="array" ref="E150">IF($A150="","",IFERROR(IF($D150="TSE",INDEX(Accounts!$G$2:$G$21,MATCH($A150,Accounts!$B$2:$B$21,0))&amp;"",IF($D150="PS",INDEX(Accounts!$F$2:$F$21,MATCH($A150,Accounts!$B$2:$B$21,0))&amp;"",IF($D150="Named engineer",INDEX(Accounts!$I$2:$I$21,MATCH($A150,Accounts!$B$2:$B$21,0))&amp;"",IF($D150="TSE + PS",IF(INDEX(Accounts!$G$2:$G$21,MATCH($A150,Accounts!$B$2:$B$21,0))&amp;""="","(no TSE)",INDEX(Accounts!$G$2:$G$21,MATCH($A150,Accounts!$B$2:$B$21,0))&amp;"")&amp;" / "&amp;IF(INDEX(Accounts!$F$2:$F$21,MATCH($A150,Accounts!$B$2:$B$21,0))&amp;""="","(no PS)",INDEX(Accounts!$F$2:$F$21,MATCH($A150,Accounts!$B$2:$B$21,0))&amp;""),"")))),""))</f>
        <v/>
      </c>
      <c r="F150" s="42" t="s">
        <v>104</v>
      </c>
      <c r="I150" s="42" t="s">
        <v>34</v>
      </c>
      <c r="K150" s="44" t="str">
        <f t="shared" si="1"/>
        <v>Owner missing </v>
      </c>
    </row>
    <row r="151" ht="15.75" customHeight="1">
      <c r="A151" s="31" t="s">
        <v>239</v>
      </c>
      <c r="B151" s="42" t="s">
        <v>53</v>
      </c>
      <c r="C151" s="42" t="s">
        <v>222</v>
      </c>
      <c r="D151" s="42" t="s">
        <v>32</v>
      </c>
      <c r="E151" s="43" t="str">
        <f t="array" ref="E151">IF($A151="","",IFERROR(IF($D151="TSE",INDEX(Accounts!$G$2:$G$21,MATCH($A151,Accounts!$B$2:$B$21,0))&amp;"",IF($D151="PS",INDEX(Accounts!$F$2:$F$21,MATCH($A151,Accounts!$B$2:$B$21,0))&amp;"",IF($D151="Named engineer",INDEX(Accounts!$I$2:$I$21,MATCH($A151,Accounts!$B$2:$B$21,0))&amp;"",IF($D151="TSE + PS",IF(INDEX(Accounts!$G$2:$G$21,MATCH($A151,Accounts!$B$2:$B$21,0))&amp;""="","(no TSE)",INDEX(Accounts!$G$2:$G$21,MATCH($A151,Accounts!$B$2:$B$21,0))&amp;"")&amp;" / "&amp;IF(INDEX(Accounts!$F$2:$F$21,MATCH($A151,Accounts!$B$2:$B$21,0))&amp;""="","(no PS)",INDEX(Accounts!$F$2:$F$21,MATCH($A151,Accounts!$B$2:$B$21,0))&amp;""),"")))),""))</f>
        <v/>
      </c>
      <c r="F151" s="42" t="s">
        <v>104</v>
      </c>
      <c r="I151" s="42" t="s">
        <v>56</v>
      </c>
      <c r="K151" s="44" t="str">
        <f t="shared" si="1"/>
        <v>Owner missing </v>
      </c>
    </row>
    <row r="152" ht="15.75" customHeight="1">
      <c r="A152" s="31" t="s">
        <v>239</v>
      </c>
      <c r="B152" s="42" t="s">
        <v>57</v>
      </c>
      <c r="C152" s="42" t="s">
        <v>223</v>
      </c>
      <c r="D152" s="42" t="s">
        <v>68</v>
      </c>
      <c r="E152" s="43" t="str">
        <f t="array" ref="E152">IF($A152="","",IFERROR(IF($D152="TSE",INDEX(Accounts!$G$2:$G$21,MATCH($A152,Accounts!$B$2:$B$21,0))&amp;"",IF($D152="PS",INDEX(Accounts!$F$2:$F$21,MATCH($A152,Accounts!$B$2:$B$21,0))&amp;"",IF($D152="Named engineer",INDEX(Accounts!$I$2:$I$21,MATCH($A152,Accounts!$B$2:$B$21,0))&amp;"",IF($D152="TSE + PS",IF(INDEX(Accounts!$G$2:$G$21,MATCH($A152,Accounts!$B$2:$B$21,0))&amp;""="","(no TSE)",INDEX(Accounts!$G$2:$G$21,MATCH($A152,Accounts!$B$2:$B$21,0))&amp;"")&amp;" / "&amp;IF(INDEX(Accounts!$F$2:$F$21,MATCH($A152,Accounts!$B$2:$B$21,0))&amp;""="","(no PS)",INDEX(Accounts!$F$2:$F$21,MATCH($A152,Accounts!$B$2:$B$21,0))&amp;""),"")))),""))</f>
        <v/>
      </c>
      <c r="F152" s="42" t="s">
        <v>104</v>
      </c>
      <c r="I152" s="42" t="s">
        <v>56</v>
      </c>
      <c r="K152" s="44" t="str">
        <f t="shared" si="1"/>
        <v>Owner missing </v>
      </c>
    </row>
    <row r="153" ht="15.75" customHeight="1">
      <c r="A153" s="31" t="s">
        <v>239</v>
      </c>
      <c r="B153" s="42" t="s">
        <v>60</v>
      </c>
      <c r="C153" s="42" t="s">
        <v>224</v>
      </c>
      <c r="D153" s="42" t="s">
        <v>62</v>
      </c>
      <c r="E153" s="43" t="str">
        <f t="array" ref="E153">IF($A153="","",IFERROR(IF($D153="TSE",INDEX(Accounts!$G$2:$G$21,MATCH($A153,Accounts!$B$2:$B$21,0))&amp;"",IF($D153="PS",INDEX(Accounts!$F$2:$F$21,MATCH($A153,Accounts!$B$2:$B$21,0))&amp;"",IF($D153="Named engineer",INDEX(Accounts!$I$2:$I$21,MATCH($A153,Accounts!$B$2:$B$21,0))&amp;"",IF($D153="TSE + PS",IF(INDEX(Accounts!$G$2:$G$21,MATCH($A153,Accounts!$B$2:$B$21,0))&amp;""="","(no TSE)",INDEX(Accounts!$G$2:$G$21,MATCH($A153,Accounts!$B$2:$B$21,0))&amp;"")&amp;" / "&amp;IF(INDEX(Accounts!$F$2:$F$21,MATCH($A153,Accounts!$B$2:$B$21,0))&amp;""="","(no PS)",INDEX(Accounts!$F$2:$F$21,MATCH($A153,Accounts!$B$2:$B$21,0))&amp;""),"")))),""))</f>
        <v/>
      </c>
      <c r="F153" s="42" t="s">
        <v>104</v>
      </c>
      <c r="I153" s="42" t="s">
        <v>34</v>
      </c>
      <c r="K153" s="44" t="str">
        <f t="shared" si="1"/>
        <v>Owner missing </v>
      </c>
    </row>
    <row r="154" ht="15.75" customHeight="1">
      <c r="A154" s="31" t="s">
        <v>239</v>
      </c>
      <c r="B154" s="42" t="s">
        <v>65</v>
      </c>
      <c r="C154" s="42" t="s">
        <v>225</v>
      </c>
      <c r="D154" s="42" t="s">
        <v>68</v>
      </c>
      <c r="E154" s="43" t="str">
        <f t="array" ref="E154">IF($A154="","",IFERROR(IF($D154="TSE",INDEX(Accounts!$G$2:$G$21,MATCH($A154,Accounts!$B$2:$B$21,0))&amp;"",IF($D154="PS",INDEX(Accounts!$F$2:$F$21,MATCH($A154,Accounts!$B$2:$B$21,0))&amp;"",IF($D154="Named engineer",INDEX(Accounts!$I$2:$I$21,MATCH($A154,Accounts!$B$2:$B$21,0))&amp;"",IF($D154="TSE + PS",IF(INDEX(Accounts!$G$2:$G$21,MATCH($A154,Accounts!$B$2:$B$21,0))&amp;""="","(no TSE)",INDEX(Accounts!$G$2:$G$21,MATCH($A154,Accounts!$B$2:$B$21,0))&amp;"")&amp;" / "&amp;IF(INDEX(Accounts!$F$2:$F$21,MATCH($A154,Accounts!$B$2:$B$21,0))&amp;""="","(no PS)",INDEX(Accounts!$F$2:$F$21,MATCH($A154,Accounts!$B$2:$B$21,0))&amp;""),"")))),""))</f>
        <v/>
      </c>
      <c r="F154" s="42" t="s">
        <v>104</v>
      </c>
      <c r="I154" s="42" t="s">
        <v>34</v>
      </c>
      <c r="K154" s="44" t="str">
        <f t="shared" si="1"/>
        <v>Owner missing </v>
      </c>
    </row>
    <row r="155" ht="15.75" customHeight="1">
      <c r="A155" s="31" t="s">
        <v>239</v>
      </c>
      <c r="B155" s="42" t="s">
        <v>71</v>
      </c>
      <c r="C155" s="42" t="s">
        <v>226</v>
      </c>
      <c r="D155" s="42" t="s">
        <v>46</v>
      </c>
      <c r="E155" s="43" t="str">
        <f t="array" ref="E155">IF($A155="","",IFERROR(IF($D155="TSE",INDEX(Accounts!$G$2:$G$21,MATCH($A155,Accounts!$B$2:$B$21,0))&amp;"",IF($D155="PS",INDEX(Accounts!$F$2:$F$21,MATCH($A155,Accounts!$B$2:$B$21,0))&amp;"",IF($D155="Named engineer",INDEX(Accounts!$I$2:$I$21,MATCH($A155,Accounts!$B$2:$B$21,0))&amp;"",IF($D155="TSE + PS",IF(INDEX(Accounts!$G$2:$G$21,MATCH($A155,Accounts!$B$2:$B$21,0))&amp;""="","(no TSE)",INDEX(Accounts!$G$2:$G$21,MATCH($A155,Accounts!$B$2:$B$21,0))&amp;"")&amp;" / "&amp;IF(INDEX(Accounts!$F$2:$F$21,MATCH($A155,Accounts!$B$2:$B$21,0))&amp;""="","(no PS)",INDEX(Accounts!$F$2:$F$21,MATCH($A155,Accounts!$B$2:$B$21,0))&amp;""),"")))),""))</f>
        <v/>
      </c>
      <c r="F155" s="42" t="s">
        <v>104</v>
      </c>
      <c r="I155" s="42" t="s">
        <v>56</v>
      </c>
      <c r="K155" s="44" t="str">
        <f t="shared" si="1"/>
        <v>Owner missing </v>
      </c>
    </row>
    <row r="156" ht="15.75" customHeight="1">
      <c r="A156" s="31" t="s">
        <v>239</v>
      </c>
      <c r="B156" s="42" t="s">
        <v>74</v>
      </c>
      <c r="C156" s="42" t="s">
        <v>227</v>
      </c>
      <c r="D156" s="42" t="s">
        <v>68</v>
      </c>
      <c r="E156" s="43" t="str">
        <f t="array" ref="E156">IF($A156="","",IFERROR(IF($D156="TSE",INDEX(Accounts!$G$2:$G$21,MATCH($A156,Accounts!$B$2:$B$21,0))&amp;"",IF($D156="PS",INDEX(Accounts!$F$2:$F$21,MATCH($A156,Accounts!$B$2:$B$21,0))&amp;"",IF($D156="Named engineer",INDEX(Accounts!$I$2:$I$21,MATCH($A156,Accounts!$B$2:$B$21,0))&amp;"",IF($D156="TSE + PS",IF(INDEX(Accounts!$G$2:$G$21,MATCH($A156,Accounts!$B$2:$B$21,0))&amp;""="","(no TSE)",INDEX(Accounts!$G$2:$G$21,MATCH($A156,Accounts!$B$2:$B$21,0))&amp;"")&amp;" / "&amp;IF(INDEX(Accounts!$F$2:$F$21,MATCH($A156,Accounts!$B$2:$B$21,0))&amp;""="","(no PS)",INDEX(Accounts!$F$2:$F$21,MATCH($A156,Accounts!$B$2:$B$21,0))&amp;""),"")))),""))</f>
        <v/>
      </c>
      <c r="F156" s="42" t="s">
        <v>104</v>
      </c>
      <c r="I156" s="42" t="s">
        <v>56</v>
      </c>
      <c r="K156" s="44" t="str">
        <f t="shared" si="1"/>
        <v>Owner missing </v>
      </c>
    </row>
    <row r="157" ht="15.75" customHeight="1">
      <c r="A157" s="31" t="s">
        <v>239</v>
      </c>
      <c r="B157" s="42" t="s">
        <v>77</v>
      </c>
      <c r="C157" s="42" t="s">
        <v>228</v>
      </c>
      <c r="D157" s="42" t="s">
        <v>68</v>
      </c>
      <c r="E157" s="43" t="str">
        <f t="array" ref="E157">IF($A157="","",IFERROR(IF($D157="TSE",INDEX(Accounts!$G$2:$G$21,MATCH($A157,Accounts!$B$2:$B$21,0))&amp;"",IF($D157="PS",INDEX(Accounts!$F$2:$F$21,MATCH($A157,Accounts!$B$2:$B$21,0))&amp;"",IF($D157="Named engineer",INDEX(Accounts!$I$2:$I$21,MATCH($A157,Accounts!$B$2:$B$21,0))&amp;"",IF($D157="TSE + PS",IF(INDEX(Accounts!$G$2:$G$21,MATCH($A157,Accounts!$B$2:$B$21,0))&amp;""="","(no TSE)",INDEX(Accounts!$G$2:$G$21,MATCH($A157,Accounts!$B$2:$B$21,0))&amp;"")&amp;" / "&amp;IF(INDEX(Accounts!$F$2:$F$21,MATCH($A157,Accounts!$B$2:$B$21,0))&amp;""="","(no PS)",INDEX(Accounts!$F$2:$F$21,MATCH($A157,Accounts!$B$2:$B$21,0))&amp;""),"")))),""))</f>
        <v/>
      </c>
      <c r="F157" s="42" t="s">
        <v>104</v>
      </c>
      <c r="I157" s="42" t="s">
        <v>56</v>
      </c>
      <c r="K157" s="44" t="str">
        <f t="shared" si="1"/>
        <v>Owner missing </v>
      </c>
    </row>
    <row r="158" ht="15.75" customHeight="1">
      <c r="A158" s="31" t="s">
        <v>239</v>
      </c>
      <c r="B158" s="42" t="s">
        <v>80</v>
      </c>
      <c r="C158" s="42" t="s">
        <v>229</v>
      </c>
      <c r="D158" s="42" t="s">
        <v>62</v>
      </c>
      <c r="E158" s="43" t="str">
        <f t="array" ref="E158">IF($A158="","",IFERROR(IF($D158="TSE",INDEX(Accounts!$G$2:$G$21,MATCH($A158,Accounts!$B$2:$B$21,0))&amp;"",IF($D158="PS",INDEX(Accounts!$F$2:$F$21,MATCH($A158,Accounts!$B$2:$B$21,0))&amp;"",IF($D158="Named engineer",INDEX(Accounts!$I$2:$I$21,MATCH($A158,Accounts!$B$2:$B$21,0))&amp;"",IF($D158="TSE + PS",IF(INDEX(Accounts!$G$2:$G$21,MATCH($A158,Accounts!$B$2:$B$21,0))&amp;""="","(no TSE)",INDEX(Accounts!$G$2:$G$21,MATCH($A158,Accounts!$B$2:$B$21,0))&amp;"")&amp;" / "&amp;IF(INDEX(Accounts!$F$2:$F$21,MATCH($A158,Accounts!$B$2:$B$21,0))&amp;""="","(no PS)",INDEX(Accounts!$F$2:$F$21,MATCH($A158,Accounts!$B$2:$B$21,0))&amp;""),"")))),""))</f>
        <v/>
      </c>
      <c r="F158" s="42" t="s">
        <v>104</v>
      </c>
      <c r="I158" s="42" t="s">
        <v>34</v>
      </c>
      <c r="K158" s="44" t="str">
        <f t="shared" si="1"/>
        <v>Owner missing </v>
      </c>
    </row>
    <row r="159" ht="15.75" customHeight="1">
      <c r="A159" s="31" t="s">
        <v>239</v>
      </c>
      <c r="B159" s="42" t="s">
        <v>85</v>
      </c>
      <c r="C159" s="42" t="s">
        <v>230</v>
      </c>
      <c r="D159" s="42" t="s">
        <v>32</v>
      </c>
      <c r="E159" s="43" t="str">
        <f t="array" ref="E159">IF($A159="","",IFERROR(IF($D159="TSE",INDEX(Accounts!$G$2:$G$21,MATCH($A159,Accounts!$B$2:$B$21,0))&amp;"",IF($D159="PS",INDEX(Accounts!$F$2:$F$21,MATCH($A159,Accounts!$B$2:$B$21,0))&amp;"",IF($D159="Named engineer",INDEX(Accounts!$I$2:$I$21,MATCH($A159,Accounts!$B$2:$B$21,0))&amp;"",IF($D159="TSE + PS",IF(INDEX(Accounts!$G$2:$G$21,MATCH($A159,Accounts!$B$2:$B$21,0))&amp;""="","(no TSE)",INDEX(Accounts!$G$2:$G$21,MATCH($A159,Accounts!$B$2:$B$21,0))&amp;"")&amp;" / "&amp;IF(INDEX(Accounts!$F$2:$F$21,MATCH($A159,Accounts!$B$2:$B$21,0))&amp;""="","(no PS)",INDEX(Accounts!$F$2:$F$21,MATCH($A159,Accounts!$B$2:$B$21,0))&amp;""),"")))),""))</f>
        <v/>
      </c>
      <c r="F159" s="42" t="s">
        <v>104</v>
      </c>
      <c r="I159" s="42" t="s">
        <v>56</v>
      </c>
      <c r="K159" s="44" t="str">
        <f t="shared" si="1"/>
        <v>Owner missing </v>
      </c>
    </row>
    <row r="160" ht="15.75" customHeight="1">
      <c r="A160" s="31" t="s">
        <v>239</v>
      </c>
      <c r="B160" s="42" t="s">
        <v>88</v>
      </c>
      <c r="C160" s="42" t="s">
        <v>231</v>
      </c>
      <c r="D160" s="42" t="s">
        <v>32</v>
      </c>
      <c r="E160" s="43" t="str">
        <f t="array" ref="E160">IF($A160="","",IFERROR(IF($D160="TSE",INDEX(Accounts!$G$2:$G$21,MATCH($A160,Accounts!$B$2:$B$21,0))&amp;"",IF($D160="PS",INDEX(Accounts!$F$2:$F$21,MATCH($A160,Accounts!$B$2:$B$21,0))&amp;"",IF($D160="Named engineer",INDEX(Accounts!$I$2:$I$21,MATCH($A160,Accounts!$B$2:$B$21,0))&amp;"",IF($D160="TSE + PS",IF(INDEX(Accounts!$G$2:$G$21,MATCH($A160,Accounts!$B$2:$B$21,0))&amp;""="","(no TSE)",INDEX(Accounts!$G$2:$G$21,MATCH($A160,Accounts!$B$2:$B$21,0))&amp;"")&amp;" / "&amp;IF(INDEX(Accounts!$F$2:$F$21,MATCH($A160,Accounts!$B$2:$B$21,0))&amp;""="","(no PS)",INDEX(Accounts!$F$2:$F$21,MATCH($A160,Accounts!$B$2:$B$21,0))&amp;""),"")))),""))</f>
        <v/>
      </c>
      <c r="F160" s="42" t="s">
        <v>104</v>
      </c>
      <c r="I160" s="42" t="s">
        <v>34</v>
      </c>
      <c r="K160" s="44" t="str">
        <f t="shared" si="1"/>
        <v>Owner missing </v>
      </c>
    </row>
    <row r="161" ht="15.75" customHeight="1">
      <c r="A161" s="31" t="s">
        <v>239</v>
      </c>
      <c r="B161" s="42" t="s">
        <v>92</v>
      </c>
      <c r="C161" s="42" t="s">
        <v>232</v>
      </c>
      <c r="D161" s="42" t="s">
        <v>32</v>
      </c>
      <c r="E161" s="43" t="str">
        <f t="array" ref="E161">IF($A161="","",IFERROR(IF($D161="TSE",INDEX(Accounts!$G$2:$G$21,MATCH($A161,Accounts!$B$2:$B$21,0))&amp;"",IF($D161="PS",INDEX(Accounts!$F$2:$F$21,MATCH($A161,Accounts!$B$2:$B$21,0))&amp;"",IF($D161="Named engineer",INDEX(Accounts!$I$2:$I$21,MATCH($A161,Accounts!$B$2:$B$21,0))&amp;"",IF($D161="TSE + PS",IF(INDEX(Accounts!$G$2:$G$21,MATCH($A161,Accounts!$B$2:$B$21,0))&amp;""="","(no TSE)",INDEX(Accounts!$G$2:$G$21,MATCH($A161,Accounts!$B$2:$B$21,0))&amp;"")&amp;" / "&amp;IF(INDEX(Accounts!$F$2:$F$21,MATCH($A161,Accounts!$B$2:$B$21,0))&amp;""="","(no PS)",INDEX(Accounts!$F$2:$F$21,MATCH($A161,Accounts!$B$2:$B$21,0))&amp;""),"")))),""))</f>
        <v/>
      </c>
      <c r="F161" s="42" t="s">
        <v>104</v>
      </c>
      <c r="I161" s="42" t="s">
        <v>34</v>
      </c>
      <c r="K161" s="44" t="str">
        <f t="shared" si="1"/>
        <v>Owner missing </v>
      </c>
    </row>
    <row r="162" ht="15.75" customHeight="1">
      <c r="A162" s="31" t="s">
        <v>195</v>
      </c>
      <c r="B162" s="42" t="s">
        <v>29</v>
      </c>
      <c r="C162" s="42" t="s">
        <v>217</v>
      </c>
      <c r="D162" s="42" t="s">
        <v>32</v>
      </c>
      <c r="E162" s="43" t="str">
        <f t="array" ref="E162">IF($A162="","",IFERROR(IF($D162="TSE",INDEX(Accounts!$G$2:$G$21,MATCH($A162,Accounts!$B$2:$B$21,0))&amp;"",IF($D162="PS",INDEX(Accounts!$F$2:$F$21,MATCH($A162,Accounts!$B$2:$B$21,0))&amp;"",IF($D162="Named engineer",INDEX(Accounts!$I$2:$I$21,MATCH($A162,Accounts!$B$2:$B$21,0))&amp;"",IF($D162="TSE + PS",IF(INDEX(Accounts!$G$2:$G$21,MATCH($A162,Accounts!$B$2:$B$21,0))&amp;""="","(no TSE)",INDEX(Accounts!$G$2:$G$21,MATCH($A162,Accounts!$B$2:$B$21,0))&amp;"")&amp;" / "&amp;IF(INDEX(Accounts!$F$2:$F$21,MATCH($A162,Accounts!$B$2:$B$21,0))&amp;""="","(no PS)",INDEX(Accounts!$F$2:$F$21,MATCH($A162,Accounts!$B$2:$B$21,0))&amp;""),"")))),""))</f>
        <v>Steve Briand</v>
      </c>
      <c r="F162" s="42" t="s">
        <v>104</v>
      </c>
      <c r="I162" s="42" t="s">
        <v>34</v>
      </c>
      <c r="K162" s="44" t="str">
        <f t="shared" si="1"/>
        <v/>
      </c>
    </row>
    <row r="163" ht="15.75" customHeight="1">
      <c r="A163" s="31" t="s">
        <v>195</v>
      </c>
      <c r="B163" s="42" t="s">
        <v>36</v>
      </c>
      <c r="C163" s="42" t="s">
        <v>218</v>
      </c>
      <c r="D163" s="42" t="s">
        <v>32</v>
      </c>
      <c r="E163" s="43" t="str">
        <f t="array" ref="E163">IF($A163="","",IFERROR(IF($D163="TSE",INDEX(Accounts!$G$2:$G$21,MATCH($A163,Accounts!$B$2:$B$21,0))&amp;"",IF($D163="PS",INDEX(Accounts!$F$2:$F$21,MATCH($A163,Accounts!$B$2:$B$21,0))&amp;"",IF($D163="Named engineer",INDEX(Accounts!$I$2:$I$21,MATCH($A163,Accounts!$B$2:$B$21,0))&amp;"",IF($D163="TSE + PS",IF(INDEX(Accounts!$G$2:$G$21,MATCH($A163,Accounts!$B$2:$B$21,0))&amp;""="","(no TSE)",INDEX(Accounts!$G$2:$G$21,MATCH($A163,Accounts!$B$2:$B$21,0))&amp;"")&amp;" / "&amp;IF(INDEX(Accounts!$F$2:$F$21,MATCH($A163,Accounts!$B$2:$B$21,0))&amp;""="","(no PS)",INDEX(Accounts!$F$2:$F$21,MATCH($A163,Accounts!$B$2:$B$21,0))&amp;""),"")))),""))</f>
        <v>Steve Briand</v>
      </c>
      <c r="F163" s="42" t="s">
        <v>104</v>
      </c>
      <c r="I163" s="42" t="s">
        <v>34</v>
      </c>
      <c r="K163" s="44" t="str">
        <f t="shared" si="1"/>
        <v/>
      </c>
    </row>
    <row r="164" ht="15.75" customHeight="1">
      <c r="A164" s="31" t="s">
        <v>195</v>
      </c>
      <c r="B164" s="42" t="s">
        <v>40</v>
      </c>
      <c r="C164" s="42" t="s">
        <v>219</v>
      </c>
      <c r="D164" s="42" t="s">
        <v>32</v>
      </c>
      <c r="E164" s="43" t="str">
        <f t="array" ref="E164">IF($A164="","",IFERROR(IF($D164="TSE",INDEX(Accounts!$G$2:$G$21,MATCH($A164,Accounts!$B$2:$B$21,0))&amp;"",IF($D164="PS",INDEX(Accounts!$F$2:$F$21,MATCH($A164,Accounts!$B$2:$B$21,0))&amp;"",IF($D164="Named engineer",INDEX(Accounts!$I$2:$I$21,MATCH($A164,Accounts!$B$2:$B$21,0))&amp;"",IF($D164="TSE + PS",IF(INDEX(Accounts!$G$2:$G$21,MATCH($A164,Accounts!$B$2:$B$21,0))&amp;""="","(no TSE)",INDEX(Accounts!$G$2:$G$21,MATCH($A164,Accounts!$B$2:$B$21,0))&amp;"")&amp;" / "&amp;IF(INDEX(Accounts!$F$2:$F$21,MATCH($A164,Accounts!$B$2:$B$21,0))&amp;""="","(no PS)",INDEX(Accounts!$F$2:$F$21,MATCH($A164,Accounts!$B$2:$B$21,0))&amp;""),"")))),""))</f>
        <v>Steve Briand</v>
      </c>
      <c r="F164" s="42" t="s">
        <v>104</v>
      </c>
      <c r="I164" s="42" t="s">
        <v>34</v>
      </c>
      <c r="K164" s="44" t="str">
        <f t="shared" si="1"/>
        <v/>
      </c>
    </row>
    <row r="165" ht="15.75" customHeight="1">
      <c r="A165" s="31" t="s">
        <v>195</v>
      </c>
      <c r="B165" s="42" t="s">
        <v>44</v>
      </c>
      <c r="C165" s="42" t="s">
        <v>220</v>
      </c>
      <c r="D165" s="42" t="s">
        <v>46</v>
      </c>
      <c r="E165" s="43" t="str">
        <f t="array" ref="E165">IF($A165="","",IFERROR(IF($D165="TSE",INDEX(Accounts!$G$2:$G$21,MATCH($A165,Accounts!$B$2:$B$21,0))&amp;"",IF($D165="PS",INDEX(Accounts!$F$2:$F$21,MATCH($A165,Accounts!$B$2:$B$21,0))&amp;"",IF($D165="Named engineer",INDEX(Accounts!$I$2:$I$21,MATCH($A165,Accounts!$B$2:$B$21,0))&amp;"",IF($D165="TSE + PS",IF(INDEX(Accounts!$G$2:$G$21,MATCH($A165,Accounts!$B$2:$B$21,0))&amp;""="","(no TSE)",INDEX(Accounts!$G$2:$G$21,MATCH($A165,Accounts!$B$2:$B$21,0))&amp;"")&amp;" / "&amp;IF(INDEX(Accounts!$F$2:$F$21,MATCH($A165,Accounts!$B$2:$B$21,0))&amp;""="","(no PS)",INDEX(Accounts!$F$2:$F$21,MATCH($A165,Accounts!$B$2:$B$21,0))&amp;""),"")))),""))</f>
        <v/>
      </c>
      <c r="F165" s="42" t="s">
        <v>104</v>
      </c>
      <c r="I165" s="42" t="s">
        <v>34</v>
      </c>
      <c r="K165" s="44" t="str">
        <f t="shared" si="1"/>
        <v>Owner missing </v>
      </c>
    </row>
    <row r="166" ht="15.75" customHeight="1">
      <c r="A166" s="31" t="s">
        <v>195</v>
      </c>
      <c r="B166" s="42" t="s">
        <v>49</v>
      </c>
      <c r="C166" s="42" t="s">
        <v>221</v>
      </c>
      <c r="D166" s="42" t="s">
        <v>32</v>
      </c>
      <c r="E166" s="43" t="str">
        <f t="array" ref="E166">IF($A166="","",IFERROR(IF($D166="TSE",INDEX(Accounts!$G$2:$G$21,MATCH($A166,Accounts!$B$2:$B$21,0))&amp;"",IF($D166="PS",INDEX(Accounts!$F$2:$F$21,MATCH($A166,Accounts!$B$2:$B$21,0))&amp;"",IF($D166="Named engineer",INDEX(Accounts!$I$2:$I$21,MATCH($A166,Accounts!$B$2:$B$21,0))&amp;"",IF($D166="TSE + PS",IF(INDEX(Accounts!$G$2:$G$21,MATCH($A166,Accounts!$B$2:$B$21,0))&amp;""="","(no TSE)",INDEX(Accounts!$G$2:$G$21,MATCH($A166,Accounts!$B$2:$B$21,0))&amp;"")&amp;" / "&amp;IF(INDEX(Accounts!$F$2:$F$21,MATCH($A166,Accounts!$B$2:$B$21,0))&amp;""="","(no PS)",INDEX(Accounts!$F$2:$F$21,MATCH($A166,Accounts!$B$2:$B$21,0))&amp;""),"")))),""))</f>
        <v>Steve Briand</v>
      </c>
      <c r="F166" s="42" t="s">
        <v>104</v>
      </c>
      <c r="I166" s="42" t="s">
        <v>34</v>
      </c>
      <c r="K166" s="44" t="str">
        <f t="shared" si="1"/>
        <v/>
      </c>
    </row>
    <row r="167" ht="15.75" customHeight="1">
      <c r="A167" s="31" t="s">
        <v>195</v>
      </c>
      <c r="B167" s="42" t="s">
        <v>53</v>
      </c>
      <c r="C167" s="42" t="s">
        <v>222</v>
      </c>
      <c r="D167" s="42" t="s">
        <v>32</v>
      </c>
      <c r="E167" s="43" t="str">
        <f t="array" ref="E167">IF($A167="","",IFERROR(IF($D167="TSE",INDEX(Accounts!$G$2:$G$21,MATCH($A167,Accounts!$B$2:$B$21,0))&amp;"",IF($D167="PS",INDEX(Accounts!$F$2:$F$21,MATCH($A167,Accounts!$B$2:$B$21,0))&amp;"",IF($D167="Named engineer",INDEX(Accounts!$I$2:$I$21,MATCH($A167,Accounts!$B$2:$B$21,0))&amp;"",IF($D167="TSE + PS",IF(INDEX(Accounts!$G$2:$G$21,MATCH($A167,Accounts!$B$2:$B$21,0))&amp;""="","(no TSE)",INDEX(Accounts!$G$2:$G$21,MATCH($A167,Accounts!$B$2:$B$21,0))&amp;"")&amp;" / "&amp;IF(INDEX(Accounts!$F$2:$F$21,MATCH($A167,Accounts!$B$2:$B$21,0))&amp;""="","(no PS)",INDEX(Accounts!$F$2:$F$21,MATCH($A167,Accounts!$B$2:$B$21,0))&amp;""),"")))),""))</f>
        <v>Steve Briand</v>
      </c>
      <c r="F167" s="42" t="s">
        <v>104</v>
      </c>
      <c r="I167" s="42" t="s">
        <v>56</v>
      </c>
      <c r="K167" s="44" t="str">
        <f t="shared" si="1"/>
        <v/>
      </c>
    </row>
    <row r="168" ht="15.75" customHeight="1">
      <c r="A168" s="31" t="s">
        <v>195</v>
      </c>
      <c r="B168" s="42" t="s">
        <v>57</v>
      </c>
      <c r="C168" s="42" t="s">
        <v>223</v>
      </c>
      <c r="D168" s="42" t="s">
        <v>68</v>
      </c>
      <c r="E168" s="43" t="str">
        <f t="array" ref="E168">IF($A168="","",IFERROR(IF($D168="TSE",INDEX(Accounts!$G$2:$G$21,MATCH($A168,Accounts!$B$2:$B$21,0))&amp;"",IF($D168="PS",INDEX(Accounts!$F$2:$F$21,MATCH($A168,Accounts!$B$2:$B$21,0))&amp;"",IF($D168="Named engineer",INDEX(Accounts!$I$2:$I$21,MATCH($A168,Accounts!$B$2:$B$21,0))&amp;"",IF($D168="TSE + PS",IF(INDEX(Accounts!$G$2:$G$21,MATCH($A168,Accounts!$B$2:$B$21,0))&amp;""="","(no TSE)",INDEX(Accounts!$G$2:$G$21,MATCH($A168,Accounts!$B$2:$B$21,0))&amp;"")&amp;" / "&amp;IF(INDEX(Accounts!$F$2:$F$21,MATCH($A168,Accounts!$B$2:$B$21,0))&amp;""="","(no PS)",INDEX(Accounts!$F$2:$F$21,MATCH($A168,Accounts!$B$2:$B$21,0))&amp;""),"")))),""))</f>
        <v>Ariel Nin</v>
      </c>
      <c r="F168" s="42" t="s">
        <v>104</v>
      </c>
      <c r="I168" s="42" t="s">
        <v>56</v>
      </c>
      <c r="K168" s="44" t="str">
        <f t="shared" si="1"/>
        <v/>
      </c>
    </row>
    <row r="169" ht="15.75" customHeight="1">
      <c r="A169" s="31" t="s">
        <v>195</v>
      </c>
      <c r="B169" s="42" t="s">
        <v>60</v>
      </c>
      <c r="C169" s="42" t="s">
        <v>224</v>
      </c>
      <c r="D169" s="42" t="s">
        <v>62</v>
      </c>
      <c r="E169" s="43" t="str">
        <f t="array" ref="E169">IF($A169="","",IFERROR(IF($D169="TSE",INDEX(Accounts!$G$2:$G$21,MATCH($A169,Accounts!$B$2:$B$21,0))&amp;"",IF($D169="PS",INDEX(Accounts!$F$2:$F$21,MATCH($A169,Accounts!$B$2:$B$21,0))&amp;"",IF($D169="Named engineer",INDEX(Accounts!$I$2:$I$21,MATCH($A169,Accounts!$B$2:$B$21,0))&amp;"",IF($D169="TSE + PS",IF(INDEX(Accounts!$G$2:$G$21,MATCH($A169,Accounts!$B$2:$B$21,0))&amp;""="","(no TSE)",INDEX(Accounts!$G$2:$G$21,MATCH($A169,Accounts!$B$2:$B$21,0))&amp;"")&amp;" / "&amp;IF(INDEX(Accounts!$F$2:$F$21,MATCH($A169,Accounts!$B$2:$B$21,0))&amp;""="","(no PS)",INDEX(Accounts!$F$2:$F$21,MATCH($A169,Accounts!$B$2:$B$21,0))&amp;""),"")))),""))</f>
        <v>Steve Briand / Ariel Nin</v>
      </c>
      <c r="F169" s="42" t="s">
        <v>104</v>
      </c>
      <c r="I169" s="42" t="s">
        <v>34</v>
      </c>
      <c r="K169" s="44" t="str">
        <f t="shared" si="1"/>
        <v/>
      </c>
    </row>
    <row r="170" ht="15.75" customHeight="1">
      <c r="A170" s="31" t="s">
        <v>195</v>
      </c>
      <c r="B170" s="42" t="s">
        <v>65</v>
      </c>
      <c r="C170" s="42" t="s">
        <v>225</v>
      </c>
      <c r="D170" s="42" t="s">
        <v>68</v>
      </c>
      <c r="E170" s="43" t="str">
        <f t="array" ref="E170">IF($A170="","",IFERROR(IF($D170="TSE",INDEX(Accounts!$G$2:$G$21,MATCH($A170,Accounts!$B$2:$B$21,0))&amp;"",IF($D170="PS",INDEX(Accounts!$F$2:$F$21,MATCH($A170,Accounts!$B$2:$B$21,0))&amp;"",IF($D170="Named engineer",INDEX(Accounts!$I$2:$I$21,MATCH($A170,Accounts!$B$2:$B$21,0))&amp;"",IF($D170="TSE + PS",IF(INDEX(Accounts!$G$2:$G$21,MATCH($A170,Accounts!$B$2:$B$21,0))&amp;""="","(no TSE)",INDEX(Accounts!$G$2:$G$21,MATCH($A170,Accounts!$B$2:$B$21,0))&amp;"")&amp;" / "&amp;IF(INDEX(Accounts!$F$2:$F$21,MATCH($A170,Accounts!$B$2:$B$21,0))&amp;""="","(no PS)",INDEX(Accounts!$F$2:$F$21,MATCH($A170,Accounts!$B$2:$B$21,0))&amp;""),"")))),""))</f>
        <v>Ariel Nin</v>
      </c>
      <c r="F170" s="42" t="s">
        <v>104</v>
      </c>
      <c r="I170" s="42" t="s">
        <v>34</v>
      </c>
      <c r="K170" s="44" t="str">
        <f t="shared" si="1"/>
        <v/>
      </c>
    </row>
    <row r="171" ht="15.75" customHeight="1">
      <c r="A171" s="31" t="s">
        <v>195</v>
      </c>
      <c r="B171" s="42" t="s">
        <v>71</v>
      </c>
      <c r="C171" s="42" t="s">
        <v>226</v>
      </c>
      <c r="D171" s="42" t="s">
        <v>46</v>
      </c>
      <c r="E171" s="43" t="str">
        <f t="array" ref="E171">IF($A171="","",IFERROR(IF($D171="TSE",INDEX(Accounts!$G$2:$G$21,MATCH($A171,Accounts!$B$2:$B$21,0))&amp;"",IF($D171="PS",INDEX(Accounts!$F$2:$F$21,MATCH($A171,Accounts!$B$2:$B$21,0))&amp;"",IF($D171="Named engineer",INDEX(Accounts!$I$2:$I$21,MATCH($A171,Accounts!$B$2:$B$21,0))&amp;"",IF($D171="TSE + PS",IF(INDEX(Accounts!$G$2:$G$21,MATCH($A171,Accounts!$B$2:$B$21,0))&amp;""="","(no TSE)",INDEX(Accounts!$G$2:$G$21,MATCH($A171,Accounts!$B$2:$B$21,0))&amp;"")&amp;" / "&amp;IF(INDEX(Accounts!$F$2:$F$21,MATCH($A171,Accounts!$B$2:$B$21,0))&amp;""="","(no PS)",INDEX(Accounts!$F$2:$F$21,MATCH($A171,Accounts!$B$2:$B$21,0))&amp;""),"")))),""))</f>
        <v/>
      </c>
      <c r="F171" s="42" t="s">
        <v>104</v>
      </c>
      <c r="I171" s="42" t="s">
        <v>56</v>
      </c>
      <c r="K171" s="44" t="str">
        <f t="shared" si="1"/>
        <v>Owner missing </v>
      </c>
    </row>
    <row r="172" ht="15.75" customHeight="1">
      <c r="A172" s="31" t="s">
        <v>195</v>
      </c>
      <c r="B172" s="42" t="s">
        <v>74</v>
      </c>
      <c r="C172" s="42" t="s">
        <v>227</v>
      </c>
      <c r="D172" s="42" t="s">
        <v>68</v>
      </c>
      <c r="E172" s="43" t="str">
        <f t="array" ref="E172">IF($A172="","",IFERROR(IF($D172="TSE",INDEX(Accounts!$G$2:$G$21,MATCH($A172,Accounts!$B$2:$B$21,0))&amp;"",IF($D172="PS",INDEX(Accounts!$F$2:$F$21,MATCH($A172,Accounts!$B$2:$B$21,0))&amp;"",IF($D172="Named engineer",INDEX(Accounts!$I$2:$I$21,MATCH($A172,Accounts!$B$2:$B$21,0))&amp;"",IF($D172="TSE + PS",IF(INDEX(Accounts!$G$2:$G$21,MATCH($A172,Accounts!$B$2:$B$21,0))&amp;""="","(no TSE)",INDEX(Accounts!$G$2:$G$21,MATCH($A172,Accounts!$B$2:$B$21,0))&amp;"")&amp;" / "&amp;IF(INDEX(Accounts!$F$2:$F$21,MATCH($A172,Accounts!$B$2:$B$21,0))&amp;""="","(no PS)",INDEX(Accounts!$F$2:$F$21,MATCH($A172,Accounts!$B$2:$B$21,0))&amp;""),"")))),""))</f>
        <v>Ariel Nin</v>
      </c>
      <c r="F172" s="42" t="s">
        <v>104</v>
      </c>
      <c r="I172" s="42" t="s">
        <v>56</v>
      </c>
      <c r="K172" s="44" t="str">
        <f t="shared" si="1"/>
        <v/>
      </c>
    </row>
    <row r="173" ht="15.75" customHeight="1">
      <c r="A173" s="31" t="s">
        <v>195</v>
      </c>
      <c r="B173" s="42" t="s">
        <v>77</v>
      </c>
      <c r="C173" s="42" t="s">
        <v>228</v>
      </c>
      <c r="D173" s="42" t="s">
        <v>68</v>
      </c>
      <c r="E173" s="43" t="str">
        <f t="array" ref="E173">IF($A173="","",IFERROR(IF($D173="TSE",INDEX(Accounts!$G$2:$G$21,MATCH($A173,Accounts!$B$2:$B$21,0))&amp;"",IF($D173="PS",INDEX(Accounts!$F$2:$F$21,MATCH($A173,Accounts!$B$2:$B$21,0))&amp;"",IF($D173="Named engineer",INDEX(Accounts!$I$2:$I$21,MATCH($A173,Accounts!$B$2:$B$21,0))&amp;"",IF($D173="TSE + PS",IF(INDEX(Accounts!$G$2:$G$21,MATCH($A173,Accounts!$B$2:$B$21,0))&amp;""="","(no TSE)",INDEX(Accounts!$G$2:$G$21,MATCH($A173,Accounts!$B$2:$B$21,0))&amp;"")&amp;" / "&amp;IF(INDEX(Accounts!$F$2:$F$21,MATCH($A173,Accounts!$B$2:$B$21,0))&amp;""="","(no PS)",INDEX(Accounts!$F$2:$F$21,MATCH($A173,Accounts!$B$2:$B$21,0))&amp;""),"")))),""))</f>
        <v>Ariel Nin</v>
      </c>
      <c r="F173" s="42" t="s">
        <v>104</v>
      </c>
      <c r="I173" s="42" t="s">
        <v>56</v>
      </c>
      <c r="K173" s="44" t="str">
        <f t="shared" si="1"/>
        <v/>
      </c>
    </row>
    <row r="174" ht="15.75" customHeight="1">
      <c r="A174" s="31" t="s">
        <v>195</v>
      </c>
      <c r="B174" s="42" t="s">
        <v>80</v>
      </c>
      <c r="C174" s="42" t="s">
        <v>229</v>
      </c>
      <c r="D174" s="42" t="s">
        <v>62</v>
      </c>
      <c r="E174" s="43" t="str">
        <f t="array" ref="E174">IF($A174="","",IFERROR(IF($D174="TSE",INDEX(Accounts!$G$2:$G$21,MATCH($A174,Accounts!$B$2:$B$21,0))&amp;"",IF($D174="PS",INDEX(Accounts!$F$2:$F$21,MATCH($A174,Accounts!$B$2:$B$21,0))&amp;"",IF($D174="Named engineer",INDEX(Accounts!$I$2:$I$21,MATCH($A174,Accounts!$B$2:$B$21,0))&amp;"",IF($D174="TSE + PS",IF(INDEX(Accounts!$G$2:$G$21,MATCH($A174,Accounts!$B$2:$B$21,0))&amp;""="","(no TSE)",INDEX(Accounts!$G$2:$G$21,MATCH($A174,Accounts!$B$2:$B$21,0))&amp;"")&amp;" / "&amp;IF(INDEX(Accounts!$F$2:$F$21,MATCH($A174,Accounts!$B$2:$B$21,0))&amp;""="","(no PS)",INDEX(Accounts!$F$2:$F$21,MATCH($A174,Accounts!$B$2:$B$21,0))&amp;""),"")))),""))</f>
        <v>Steve Briand / Ariel Nin</v>
      </c>
      <c r="F174" s="42" t="s">
        <v>104</v>
      </c>
      <c r="I174" s="42" t="s">
        <v>34</v>
      </c>
      <c r="K174" s="44" t="str">
        <f t="shared" si="1"/>
        <v/>
      </c>
    </row>
    <row r="175" ht="15.75" customHeight="1">
      <c r="A175" s="31" t="s">
        <v>195</v>
      </c>
      <c r="B175" s="42" t="s">
        <v>85</v>
      </c>
      <c r="C175" s="42" t="s">
        <v>230</v>
      </c>
      <c r="D175" s="42" t="s">
        <v>32</v>
      </c>
      <c r="E175" s="43" t="str">
        <f t="array" ref="E175">IF($A175="","",IFERROR(IF($D175="TSE",INDEX(Accounts!$G$2:$G$21,MATCH($A175,Accounts!$B$2:$B$21,0))&amp;"",IF($D175="PS",INDEX(Accounts!$F$2:$F$21,MATCH($A175,Accounts!$B$2:$B$21,0))&amp;"",IF($D175="Named engineer",INDEX(Accounts!$I$2:$I$21,MATCH($A175,Accounts!$B$2:$B$21,0))&amp;"",IF($D175="TSE + PS",IF(INDEX(Accounts!$G$2:$G$21,MATCH($A175,Accounts!$B$2:$B$21,0))&amp;""="","(no TSE)",INDEX(Accounts!$G$2:$G$21,MATCH($A175,Accounts!$B$2:$B$21,0))&amp;"")&amp;" / "&amp;IF(INDEX(Accounts!$F$2:$F$21,MATCH($A175,Accounts!$B$2:$B$21,0))&amp;""="","(no PS)",INDEX(Accounts!$F$2:$F$21,MATCH($A175,Accounts!$B$2:$B$21,0))&amp;""),"")))),""))</f>
        <v>Steve Briand</v>
      </c>
      <c r="F175" s="42" t="s">
        <v>104</v>
      </c>
      <c r="I175" s="42" t="s">
        <v>56</v>
      </c>
      <c r="K175" s="44" t="str">
        <f t="shared" si="1"/>
        <v/>
      </c>
    </row>
    <row r="176" ht="15.75" customHeight="1">
      <c r="A176" s="31" t="s">
        <v>195</v>
      </c>
      <c r="B176" s="42" t="s">
        <v>88</v>
      </c>
      <c r="C176" s="42" t="s">
        <v>231</v>
      </c>
      <c r="D176" s="42" t="s">
        <v>32</v>
      </c>
      <c r="E176" s="43" t="str">
        <f t="array" ref="E176">IF($A176="","",IFERROR(IF($D176="TSE",INDEX(Accounts!$G$2:$G$21,MATCH($A176,Accounts!$B$2:$B$21,0))&amp;"",IF($D176="PS",INDEX(Accounts!$F$2:$F$21,MATCH($A176,Accounts!$B$2:$B$21,0))&amp;"",IF($D176="Named engineer",INDEX(Accounts!$I$2:$I$21,MATCH($A176,Accounts!$B$2:$B$21,0))&amp;"",IF($D176="TSE + PS",IF(INDEX(Accounts!$G$2:$G$21,MATCH($A176,Accounts!$B$2:$B$21,0))&amp;""="","(no TSE)",INDEX(Accounts!$G$2:$G$21,MATCH($A176,Accounts!$B$2:$B$21,0))&amp;"")&amp;" / "&amp;IF(INDEX(Accounts!$F$2:$F$21,MATCH($A176,Accounts!$B$2:$B$21,0))&amp;""="","(no PS)",INDEX(Accounts!$F$2:$F$21,MATCH($A176,Accounts!$B$2:$B$21,0))&amp;""),"")))),""))</f>
        <v>Steve Briand</v>
      </c>
      <c r="F176" s="42" t="s">
        <v>104</v>
      </c>
      <c r="I176" s="42" t="s">
        <v>34</v>
      </c>
      <c r="K176" s="44" t="str">
        <f t="shared" si="1"/>
        <v/>
      </c>
    </row>
    <row r="177" ht="15.75" customHeight="1">
      <c r="A177" s="31" t="s">
        <v>195</v>
      </c>
      <c r="B177" s="42" t="s">
        <v>92</v>
      </c>
      <c r="C177" s="42" t="s">
        <v>232</v>
      </c>
      <c r="D177" s="42" t="s">
        <v>32</v>
      </c>
      <c r="E177" s="43" t="str">
        <f t="array" ref="E177">IF($A177="","",IFERROR(IF($D177="TSE",INDEX(Accounts!$G$2:$G$21,MATCH($A177,Accounts!$B$2:$B$21,0))&amp;"",IF($D177="PS",INDEX(Accounts!$F$2:$F$21,MATCH($A177,Accounts!$B$2:$B$21,0))&amp;"",IF($D177="Named engineer",INDEX(Accounts!$I$2:$I$21,MATCH($A177,Accounts!$B$2:$B$21,0))&amp;"",IF($D177="TSE + PS",IF(INDEX(Accounts!$G$2:$G$21,MATCH($A177,Accounts!$B$2:$B$21,0))&amp;""="","(no TSE)",INDEX(Accounts!$G$2:$G$21,MATCH($A177,Accounts!$B$2:$B$21,0))&amp;"")&amp;" / "&amp;IF(INDEX(Accounts!$F$2:$F$21,MATCH($A177,Accounts!$B$2:$B$21,0))&amp;""="","(no PS)",INDEX(Accounts!$F$2:$F$21,MATCH($A177,Accounts!$B$2:$B$21,0))&amp;""),"")))),""))</f>
        <v>Steve Briand</v>
      </c>
      <c r="F177" s="42" t="s">
        <v>104</v>
      </c>
      <c r="I177" s="42" t="s">
        <v>34</v>
      </c>
      <c r="K177" s="44" t="str">
        <f t="shared" si="1"/>
        <v/>
      </c>
    </row>
    <row r="178">
      <c r="A178" s="31" t="s">
        <v>240</v>
      </c>
      <c r="B178" s="42" t="s">
        <v>29</v>
      </c>
      <c r="C178" s="42" t="s">
        <v>217</v>
      </c>
      <c r="D178" s="42" t="s">
        <v>32</v>
      </c>
      <c r="E178" s="52" t="s">
        <v>144</v>
      </c>
      <c r="F178" s="42" t="s">
        <v>104</v>
      </c>
      <c r="I178" s="42" t="s">
        <v>34</v>
      </c>
      <c r="K178" s="44" t="str">
        <f t="shared" si="1"/>
        <v/>
      </c>
    </row>
    <row r="179">
      <c r="A179" s="31" t="s">
        <v>240</v>
      </c>
      <c r="B179" s="42" t="s">
        <v>36</v>
      </c>
      <c r="C179" s="42" t="s">
        <v>218</v>
      </c>
      <c r="D179" s="42" t="s">
        <v>32</v>
      </c>
      <c r="E179" s="52" t="s">
        <v>144</v>
      </c>
      <c r="F179" s="42" t="s">
        <v>104</v>
      </c>
      <c r="I179" s="42" t="s">
        <v>34</v>
      </c>
      <c r="K179" s="44" t="str">
        <f t="shared" si="1"/>
        <v/>
      </c>
    </row>
    <row r="180">
      <c r="A180" s="31" t="s">
        <v>240</v>
      </c>
      <c r="B180" s="42" t="s">
        <v>40</v>
      </c>
      <c r="C180" s="42" t="s">
        <v>219</v>
      </c>
      <c r="D180" s="42" t="s">
        <v>32</v>
      </c>
      <c r="E180" s="52" t="s">
        <v>144</v>
      </c>
      <c r="F180" s="42" t="s">
        <v>104</v>
      </c>
      <c r="I180" s="42" t="s">
        <v>34</v>
      </c>
      <c r="K180" s="44" t="str">
        <f t="shared" si="1"/>
        <v/>
      </c>
    </row>
    <row r="181">
      <c r="A181" s="31" t="s">
        <v>240</v>
      </c>
      <c r="B181" s="42" t="s">
        <v>44</v>
      </c>
      <c r="C181" s="42" t="s">
        <v>220</v>
      </c>
      <c r="D181" s="42" t="s">
        <v>46</v>
      </c>
      <c r="E181" s="52" t="s">
        <v>144</v>
      </c>
      <c r="F181" s="42" t="s">
        <v>104</v>
      </c>
      <c r="I181" s="42" t="s">
        <v>34</v>
      </c>
      <c r="K181" s="44" t="str">
        <f t="shared" si="1"/>
        <v/>
      </c>
    </row>
    <row r="182">
      <c r="A182" s="31" t="s">
        <v>240</v>
      </c>
      <c r="B182" s="42" t="s">
        <v>49</v>
      </c>
      <c r="C182" s="42" t="s">
        <v>221</v>
      </c>
      <c r="D182" s="42" t="s">
        <v>32</v>
      </c>
      <c r="E182" s="52" t="s">
        <v>144</v>
      </c>
      <c r="F182" s="42" t="s">
        <v>104</v>
      </c>
      <c r="I182" s="42" t="s">
        <v>34</v>
      </c>
      <c r="K182" s="44" t="str">
        <f t="shared" si="1"/>
        <v/>
      </c>
    </row>
    <row r="183">
      <c r="A183" s="31" t="s">
        <v>240</v>
      </c>
      <c r="B183" s="42" t="s">
        <v>53</v>
      </c>
      <c r="C183" s="42" t="s">
        <v>222</v>
      </c>
      <c r="D183" s="42" t="s">
        <v>32</v>
      </c>
      <c r="E183" s="52" t="s">
        <v>144</v>
      </c>
      <c r="F183" s="42" t="s">
        <v>104</v>
      </c>
      <c r="I183" s="42" t="s">
        <v>56</v>
      </c>
      <c r="K183" s="44" t="str">
        <f t="shared" si="1"/>
        <v/>
      </c>
    </row>
    <row r="184">
      <c r="A184" s="31" t="s">
        <v>240</v>
      </c>
      <c r="B184" s="42" t="s">
        <v>57</v>
      </c>
      <c r="C184" s="42" t="s">
        <v>223</v>
      </c>
      <c r="D184" s="42" t="s">
        <v>68</v>
      </c>
      <c r="E184" s="52" t="s">
        <v>144</v>
      </c>
      <c r="F184" s="42" t="s">
        <v>104</v>
      </c>
      <c r="I184" s="42" t="s">
        <v>56</v>
      </c>
      <c r="K184" s="44" t="str">
        <f t="shared" si="1"/>
        <v/>
      </c>
    </row>
    <row r="185">
      <c r="A185" s="31" t="s">
        <v>240</v>
      </c>
      <c r="B185" s="42" t="s">
        <v>60</v>
      </c>
      <c r="C185" s="42" t="s">
        <v>224</v>
      </c>
      <c r="D185" s="42" t="s">
        <v>62</v>
      </c>
      <c r="E185" s="52" t="s">
        <v>144</v>
      </c>
      <c r="F185" s="42" t="s">
        <v>104</v>
      </c>
      <c r="I185" s="42" t="s">
        <v>34</v>
      </c>
      <c r="K185" s="44" t="str">
        <f t="shared" si="1"/>
        <v/>
      </c>
    </row>
    <row r="186">
      <c r="A186" s="31" t="s">
        <v>240</v>
      </c>
      <c r="B186" s="42" t="s">
        <v>65</v>
      </c>
      <c r="C186" s="42" t="s">
        <v>225</v>
      </c>
      <c r="D186" s="42" t="s">
        <v>68</v>
      </c>
      <c r="E186" s="52" t="s">
        <v>144</v>
      </c>
      <c r="F186" s="42" t="s">
        <v>104</v>
      </c>
      <c r="I186" s="42" t="s">
        <v>34</v>
      </c>
      <c r="K186" s="44" t="str">
        <f t="shared" si="1"/>
        <v/>
      </c>
    </row>
    <row r="187">
      <c r="A187" s="31" t="s">
        <v>240</v>
      </c>
      <c r="B187" s="42" t="s">
        <v>71</v>
      </c>
      <c r="C187" s="42" t="s">
        <v>226</v>
      </c>
      <c r="D187" s="42" t="s">
        <v>46</v>
      </c>
      <c r="E187" s="52" t="s">
        <v>144</v>
      </c>
      <c r="F187" s="42" t="s">
        <v>104</v>
      </c>
      <c r="I187" s="42" t="s">
        <v>56</v>
      </c>
      <c r="K187" s="44" t="str">
        <f t="shared" si="1"/>
        <v/>
      </c>
    </row>
    <row r="188">
      <c r="A188" s="31" t="s">
        <v>240</v>
      </c>
      <c r="B188" s="42" t="s">
        <v>74</v>
      </c>
      <c r="C188" s="42" t="s">
        <v>227</v>
      </c>
      <c r="D188" s="42" t="s">
        <v>68</v>
      </c>
      <c r="E188" s="52" t="s">
        <v>144</v>
      </c>
      <c r="F188" s="42" t="s">
        <v>104</v>
      </c>
      <c r="I188" s="42" t="s">
        <v>56</v>
      </c>
      <c r="K188" s="44" t="str">
        <f t="shared" si="1"/>
        <v/>
      </c>
    </row>
    <row r="189">
      <c r="A189" s="31" t="s">
        <v>240</v>
      </c>
      <c r="B189" s="42" t="s">
        <v>77</v>
      </c>
      <c r="C189" s="42" t="s">
        <v>228</v>
      </c>
      <c r="D189" s="42" t="s">
        <v>68</v>
      </c>
      <c r="E189" s="52" t="s">
        <v>144</v>
      </c>
      <c r="F189" s="42" t="s">
        <v>104</v>
      </c>
      <c r="I189" s="42" t="s">
        <v>56</v>
      </c>
      <c r="K189" s="44" t="str">
        <f t="shared" si="1"/>
        <v/>
      </c>
    </row>
    <row r="190">
      <c r="A190" s="31" t="s">
        <v>240</v>
      </c>
      <c r="B190" s="42" t="s">
        <v>80</v>
      </c>
      <c r="C190" s="42" t="s">
        <v>229</v>
      </c>
      <c r="D190" s="42" t="s">
        <v>62</v>
      </c>
      <c r="E190" s="52" t="s">
        <v>144</v>
      </c>
      <c r="F190" s="42" t="s">
        <v>104</v>
      </c>
      <c r="I190" s="42" t="s">
        <v>34</v>
      </c>
      <c r="K190" s="44" t="str">
        <f t="shared" si="1"/>
        <v/>
      </c>
    </row>
    <row r="191">
      <c r="A191" s="31" t="s">
        <v>240</v>
      </c>
      <c r="B191" s="42" t="s">
        <v>85</v>
      </c>
      <c r="C191" s="42" t="s">
        <v>230</v>
      </c>
      <c r="D191" s="42" t="s">
        <v>32</v>
      </c>
      <c r="E191" s="52" t="s">
        <v>144</v>
      </c>
      <c r="F191" s="42" t="s">
        <v>104</v>
      </c>
      <c r="I191" s="42" t="s">
        <v>56</v>
      </c>
      <c r="K191" s="44" t="str">
        <f t="shared" si="1"/>
        <v/>
      </c>
    </row>
    <row r="192">
      <c r="A192" s="31" t="s">
        <v>240</v>
      </c>
      <c r="B192" s="42" t="s">
        <v>88</v>
      </c>
      <c r="C192" s="42" t="s">
        <v>231</v>
      </c>
      <c r="D192" s="42" t="s">
        <v>32</v>
      </c>
      <c r="E192" s="52" t="s">
        <v>144</v>
      </c>
      <c r="F192" s="42" t="s">
        <v>104</v>
      </c>
      <c r="I192" s="42" t="s">
        <v>34</v>
      </c>
      <c r="K192" s="44" t="str">
        <f t="shared" si="1"/>
        <v/>
      </c>
    </row>
    <row r="193">
      <c r="A193" s="31" t="s">
        <v>240</v>
      </c>
      <c r="B193" s="42" t="s">
        <v>92</v>
      </c>
      <c r="C193" s="42" t="s">
        <v>232</v>
      </c>
      <c r="D193" s="42" t="s">
        <v>32</v>
      </c>
      <c r="E193" s="52" t="s">
        <v>144</v>
      </c>
      <c r="F193" s="42" t="s">
        <v>104</v>
      </c>
      <c r="I193" s="42" t="s">
        <v>34</v>
      </c>
      <c r="K193" s="44" t="str">
        <f t="shared" si="1"/>
        <v/>
      </c>
    </row>
    <row r="194" ht="15.75" customHeight="1">
      <c r="A194" s="31" t="s">
        <v>204</v>
      </c>
      <c r="B194" s="42" t="s">
        <v>29</v>
      </c>
      <c r="C194" s="42" t="s">
        <v>217</v>
      </c>
      <c r="D194" s="42" t="s">
        <v>32</v>
      </c>
      <c r="E194" s="43" t="str">
        <f t="array" ref="E194">IF($A194="","",IFERROR(IF($D194="TSE",INDEX(Accounts!$G$2:$G$21,MATCH($A194,Accounts!$B$2:$B$21,0))&amp;"",IF($D194="PS",INDEX(Accounts!$F$2:$F$21,MATCH($A194,Accounts!$B$2:$B$21,0))&amp;"",IF($D194="Named engineer",INDEX(Accounts!$I$2:$I$21,MATCH($A194,Accounts!$B$2:$B$21,0))&amp;"",IF($D194="TSE + PS",IF(INDEX(Accounts!$G$2:$G$21,MATCH($A194,Accounts!$B$2:$B$21,0))&amp;""="","(no TSE)",INDEX(Accounts!$G$2:$G$21,MATCH($A194,Accounts!$B$2:$B$21,0))&amp;"")&amp;" / "&amp;IF(INDEX(Accounts!$F$2:$F$21,MATCH($A194,Accounts!$B$2:$B$21,0))&amp;""="","(no PS)",INDEX(Accounts!$F$2:$F$21,MATCH($A194,Accounts!$B$2:$B$21,0))&amp;""),"")))),""))</f>
        <v>Lindsey Smith</v>
      </c>
      <c r="F194" s="42" t="s">
        <v>104</v>
      </c>
      <c r="I194" s="42" t="s">
        <v>34</v>
      </c>
      <c r="K194" s="44" t="str">
        <f t="shared" si="1"/>
        <v/>
      </c>
    </row>
    <row r="195" ht="15.75" customHeight="1">
      <c r="A195" s="31" t="s">
        <v>204</v>
      </c>
      <c r="B195" s="42" t="s">
        <v>36</v>
      </c>
      <c r="C195" s="42" t="s">
        <v>218</v>
      </c>
      <c r="D195" s="42" t="s">
        <v>32</v>
      </c>
      <c r="E195" s="43" t="str">
        <f t="array" ref="E195">IF($A195="","",IFERROR(IF($D195="TSE",INDEX(Accounts!$G$2:$G$21,MATCH($A195,Accounts!$B$2:$B$21,0))&amp;"",IF($D195="PS",INDEX(Accounts!$F$2:$F$21,MATCH($A195,Accounts!$B$2:$B$21,0))&amp;"",IF($D195="Named engineer",INDEX(Accounts!$I$2:$I$21,MATCH($A195,Accounts!$B$2:$B$21,0))&amp;"",IF($D195="TSE + PS",IF(INDEX(Accounts!$G$2:$G$21,MATCH($A195,Accounts!$B$2:$B$21,0))&amp;""="","(no TSE)",INDEX(Accounts!$G$2:$G$21,MATCH($A195,Accounts!$B$2:$B$21,0))&amp;"")&amp;" / "&amp;IF(INDEX(Accounts!$F$2:$F$21,MATCH($A195,Accounts!$B$2:$B$21,0))&amp;""="","(no PS)",INDEX(Accounts!$F$2:$F$21,MATCH($A195,Accounts!$B$2:$B$21,0))&amp;""),"")))),""))</f>
        <v>Lindsey Smith</v>
      </c>
      <c r="F195" s="42" t="s">
        <v>104</v>
      </c>
      <c r="I195" s="42" t="s">
        <v>34</v>
      </c>
      <c r="K195" s="44" t="str">
        <f t="shared" si="1"/>
        <v/>
      </c>
    </row>
    <row r="196" ht="15.75" customHeight="1">
      <c r="A196" s="31" t="s">
        <v>204</v>
      </c>
      <c r="B196" s="42" t="s">
        <v>40</v>
      </c>
      <c r="C196" s="42" t="s">
        <v>219</v>
      </c>
      <c r="D196" s="42" t="s">
        <v>32</v>
      </c>
      <c r="E196" s="43" t="str">
        <f t="array" ref="E196">IF($A196="","",IFERROR(IF($D196="TSE",INDEX(Accounts!$G$2:$G$21,MATCH($A196,Accounts!$B$2:$B$21,0))&amp;"",IF($D196="PS",INDEX(Accounts!$F$2:$F$21,MATCH($A196,Accounts!$B$2:$B$21,0))&amp;"",IF($D196="Named engineer",INDEX(Accounts!$I$2:$I$21,MATCH($A196,Accounts!$B$2:$B$21,0))&amp;"",IF($D196="TSE + PS",IF(INDEX(Accounts!$G$2:$G$21,MATCH($A196,Accounts!$B$2:$B$21,0))&amp;""="","(no TSE)",INDEX(Accounts!$G$2:$G$21,MATCH($A196,Accounts!$B$2:$B$21,0))&amp;"")&amp;" / "&amp;IF(INDEX(Accounts!$F$2:$F$21,MATCH($A196,Accounts!$B$2:$B$21,0))&amp;""="","(no PS)",INDEX(Accounts!$F$2:$F$21,MATCH($A196,Accounts!$B$2:$B$21,0))&amp;""),"")))),""))</f>
        <v>Lindsey Smith</v>
      </c>
      <c r="F196" s="42" t="s">
        <v>104</v>
      </c>
      <c r="I196" s="42" t="s">
        <v>34</v>
      </c>
      <c r="K196" s="44" t="str">
        <f t="shared" si="1"/>
        <v/>
      </c>
    </row>
    <row r="197" ht="15.75" customHeight="1">
      <c r="A197" s="31" t="s">
        <v>204</v>
      </c>
      <c r="B197" s="42" t="s">
        <v>44</v>
      </c>
      <c r="C197" s="42" t="s">
        <v>220</v>
      </c>
      <c r="D197" s="42" t="s">
        <v>46</v>
      </c>
      <c r="E197" s="43" t="str">
        <f t="array" ref="E197">IF($A197="","",IFERROR(IF($D197="TSE",INDEX(Accounts!$G$2:$G$21,MATCH($A197,Accounts!$B$2:$B$21,0))&amp;"",IF($D197="PS",INDEX(Accounts!$F$2:$F$21,MATCH($A197,Accounts!$B$2:$B$21,0))&amp;"",IF($D197="Named engineer",INDEX(Accounts!$I$2:$I$21,MATCH($A197,Accounts!$B$2:$B$21,0))&amp;"",IF($D197="TSE + PS",IF(INDEX(Accounts!$G$2:$G$21,MATCH($A197,Accounts!$B$2:$B$21,0))&amp;""="","(no TSE)",INDEX(Accounts!$G$2:$G$21,MATCH($A197,Accounts!$B$2:$B$21,0))&amp;"")&amp;" / "&amp;IF(INDEX(Accounts!$F$2:$F$21,MATCH($A197,Accounts!$B$2:$B$21,0))&amp;""="","(no PS)",INDEX(Accounts!$F$2:$F$21,MATCH($A197,Accounts!$B$2:$B$21,0))&amp;""),"")))),""))</f>
        <v/>
      </c>
      <c r="F197" s="42" t="s">
        <v>104</v>
      </c>
      <c r="I197" s="42" t="s">
        <v>34</v>
      </c>
      <c r="K197" s="44" t="str">
        <f t="shared" si="1"/>
        <v>Owner missing </v>
      </c>
    </row>
    <row r="198" ht="15.75" customHeight="1">
      <c r="A198" s="31" t="s">
        <v>204</v>
      </c>
      <c r="B198" s="42" t="s">
        <v>49</v>
      </c>
      <c r="C198" s="42" t="s">
        <v>221</v>
      </c>
      <c r="D198" s="42" t="s">
        <v>32</v>
      </c>
      <c r="E198" s="43" t="str">
        <f t="array" ref="E198">IF($A198="","",IFERROR(IF($D198="TSE",INDEX(Accounts!$G$2:$G$21,MATCH($A198,Accounts!$B$2:$B$21,0))&amp;"",IF($D198="PS",INDEX(Accounts!$F$2:$F$21,MATCH($A198,Accounts!$B$2:$B$21,0))&amp;"",IF($D198="Named engineer",INDEX(Accounts!$I$2:$I$21,MATCH($A198,Accounts!$B$2:$B$21,0))&amp;"",IF($D198="TSE + PS",IF(INDEX(Accounts!$G$2:$G$21,MATCH($A198,Accounts!$B$2:$B$21,0))&amp;""="","(no TSE)",INDEX(Accounts!$G$2:$G$21,MATCH($A198,Accounts!$B$2:$B$21,0))&amp;"")&amp;" / "&amp;IF(INDEX(Accounts!$F$2:$F$21,MATCH($A198,Accounts!$B$2:$B$21,0))&amp;""="","(no PS)",INDEX(Accounts!$F$2:$F$21,MATCH($A198,Accounts!$B$2:$B$21,0))&amp;""),"")))),""))</f>
        <v>Lindsey Smith</v>
      </c>
      <c r="F198" s="42" t="s">
        <v>104</v>
      </c>
      <c r="I198" s="42" t="s">
        <v>34</v>
      </c>
      <c r="K198" s="44" t="str">
        <f t="shared" si="1"/>
        <v/>
      </c>
    </row>
    <row r="199" ht="15.75" customHeight="1">
      <c r="A199" s="31" t="s">
        <v>204</v>
      </c>
      <c r="B199" s="42" t="s">
        <v>53</v>
      </c>
      <c r="C199" s="42" t="s">
        <v>222</v>
      </c>
      <c r="D199" s="42" t="s">
        <v>32</v>
      </c>
      <c r="E199" s="43" t="str">
        <f t="array" ref="E199">IF($A199="","",IFERROR(IF($D199="TSE",INDEX(Accounts!$G$2:$G$21,MATCH($A199,Accounts!$B$2:$B$21,0))&amp;"",IF($D199="PS",INDEX(Accounts!$F$2:$F$21,MATCH($A199,Accounts!$B$2:$B$21,0))&amp;"",IF($D199="Named engineer",INDEX(Accounts!$I$2:$I$21,MATCH($A199,Accounts!$B$2:$B$21,0))&amp;"",IF($D199="TSE + PS",IF(INDEX(Accounts!$G$2:$G$21,MATCH($A199,Accounts!$B$2:$B$21,0))&amp;""="","(no TSE)",INDEX(Accounts!$G$2:$G$21,MATCH($A199,Accounts!$B$2:$B$21,0))&amp;"")&amp;" / "&amp;IF(INDEX(Accounts!$F$2:$F$21,MATCH($A199,Accounts!$B$2:$B$21,0))&amp;""="","(no PS)",INDEX(Accounts!$F$2:$F$21,MATCH($A199,Accounts!$B$2:$B$21,0))&amp;""),"")))),""))</f>
        <v>Lindsey Smith</v>
      </c>
      <c r="F199" s="42" t="s">
        <v>104</v>
      </c>
      <c r="I199" s="42" t="s">
        <v>34</v>
      </c>
      <c r="K199" s="44" t="str">
        <f t="shared" si="1"/>
        <v/>
      </c>
    </row>
    <row r="200" ht="15.75" customHeight="1">
      <c r="A200" s="31" t="s">
        <v>204</v>
      </c>
      <c r="B200" s="42" t="s">
        <v>57</v>
      </c>
      <c r="C200" s="42" t="s">
        <v>223</v>
      </c>
      <c r="D200" s="42" t="s">
        <v>68</v>
      </c>
      <c r="E200" s="43" t="str">
        <f t="array" ref="E200">IF($A200="","",IFERROR(IF($D200="TSE",INDEX(Accounts!$G$2:$G$21,MATCH($A200,Accounts!$B$2:$B$21,0))&amp;"",IF($D200="PS",INDEX(Accounts!$F$2:$F$21,MATCH($A200,Accounts!$B$2:$B$21,0))&amp;"",IF($D200="Named engineer",INDEX(Accounts!$I$2:$I$21,MATCH($A200,Accounts!$B$2:$B$21,0))&amp;"",IF($D200="TSE + PS",IF(INDEX(Accounts!$G$2:$G$21,MATCH($A200,Accounts!$B$2:$B$21,0))&amp;""="","(no TSE)",INDEX(Accounts!$G$2:$G$21,MATCH($A200,Accounts!$B$2:$B$21,0))&amp;"")&amp;" / "&amp;IF(INDEX(Accounts!$F$2:$F$21,MATCH($A200,Accounts!$B$2:$B$21,0))&amp;""="","(no PS)",INDEX(Accounts!$F$2:$F$21,MATCH($A200,Accounts!$B$2:$B$21,0))&amp;""),"")))),""))</f>
        <v/>
      </c>
      <c r="F200" s="42" t="s">
        <v>104</v>
      </c>
      <c r="I200" s="42" t="s">
        <v>34</v>
      </c>
      <c r="K200" s="44" t="str">
        <f t="shared" si="1"/>
        <v>Owner missing </v>
      </c>
    </row>
    <row r="201" ht="15.75" customHeight="1">
      <c r="A201" s="31" t="s">
        <v>204</v>
      </c>
      <c r="B201" s="42" t="s">
        <v>60</v>
      </c>
      <c r="C201" s="42" t="s">
        <v>224</v>
      </c>
      <c r="D201" s="42" t="s">
        <v>62</v>
      </c>
      <c r="E201" s="43" t="str">
        <f t="array" ref="E201">IF($A201="","",IFERROR(IF($D201="TSE",INDEX(Accounts!$G$2:$G$21,MATCH($A201,Accounts!$B$2:$B$21,0))&amp;"",IF($D201="PS",INDEX(Accounts!$F$2:$F$21,MATCH($A201,Accounts!$B$2:$B$21,0))&amp;"",IF($D201="Named engineer",INDEX(Accounts!$I$2:$I$21,MATCH($A201,Accounts!$B$2:$B$21,0))&amp;"",IF($D201="TSE + PS",IF(INDEX(Accounts!$G$2:$G$21,MATCH($A201,Accounts!$B$2:$B$21,0))&amp;""="","(no TSE)",INDEX(Accounts!$G$2:$G$21,MATCH($A201,Accounts!$B$2:$B$21,0))&amp;"")&amp;" / "&amp;IF(INDEX(Accounts!$F$2:$F$21,MATCH($A201,Accounts!$B$2:$B$21,0))&amp;""="","(no PS)",INDEX(Accounts!$F$2:$F$21,MATCH($A201,Accounts!$B$2:$B$21,0))&amp;""),"")))),""))</f>
        <v>Lindsey Smith / (no PS)</v>
      </c>
      <c r="F201" s="42" t="s">
        <v>104</v>
      </c>
      <c r="I201" s="42" t="s">
        <v>34</v>
      </c>
      <c r="K201" s="44" t="str">
        <f t="shared" si="1"/>
        <v/>
      </c>
    </row>
    <row r="202" ht="15.75" customHeight="1">
      <c r="A202" s="31" t="s">
        <v>204</v>
      </c>
      <c r="B202" s="42" t="s">
        <v>65</v>
      </c>
      <c r="C202" s="42" t="s">
        <v>225</v>
      </c>
      <c r="D202" s="42" t="s">
        <v>68</v>
      </c>
      <c r="E202" s="43" t="str">
        <f t="array" ref="E202">IF($A202="","",IFERROR(IF($D202="TSE",INDEX(Accounts!$G$2:$G$21,MATCH($A202,Accounts!$B$2:$B$21,0))&amp;"",IF($D202="PS",INDEX(Accounts!$F$2:$F$21,MATCH($A202,Accounts!$B$2:$B$21,0))&amp;"",IF($D202="Named engineer",INDEX(Accounts!$I$2:$I$21,MATCH($A202,Accounts!$B$2:$B$21,0))&amp;"",IF($D202="TSE + PS",IF(INDEX(Accounts!$G$2:$G$21,MATCH($A202,Accounts!$B$2:$B$21,0))&amp;""="","(no TSE)",INDEX(Accounts!$G$2:$G$21,MATCH($A202,Accounts!$B$2:$B$21,0))&amp;"")&amp;" / "&amp;IF(INDEX(Accounts!$F$2:$F$21,MATCH($A202,Accounts!$B$2:$B$21,0))&amp;""="","(no PS)",INDEX(Accounts!$F$2:$F$21,MATCH($A202,Accounts!$B$2:$B$21,0))&amp;""),"")))),""))</f>
        <v/>
      </c>
      <c r="F202" s="42" t="s">
        <v>104</v>
      </c>
      <c r="I202" s="42" t="s">
        <v>34</v>
      </c>
      <c r="K202" s="44" t="str">
        <f t="shared" si="1"/>
        <v>Owner missing </v>
      </c>
    </row>
    <row r="203" ht="15.75" customHeight="1">
      <c r="A203" s="31" t="s">
        <v>204</v>
      </c>
      <c r="B203" s="42" t="s">
        <v>71</v>
      </c>
      <c r="C203" s="42" t="s">
        <v>226</v>
      </c>
      <c r="D203" s="42" t="s">
        <v>46</v>
      </c>
      <c r="E203" s="43" t="str">
        <f t="array" ref="E203">IF($A203="","",IFERROR(IF($D203="TSE",INDEX(Accounts!$G$2:$G$21,MATCH($A203,Accounts!$B$2:$B$21,0))&amp;"",IF($D203="PS",INDEX(Accounts!$F$2:$F$21,MATCH($A203,Accounts!$B$2:$B$21,0))&amp;"",IF($D203="Named engineer",INDEX(Accounts!$I$2:$I$21,MATCH($A203,Accounts!$B$2:$B$21,0))&amp;"",IF($D203="TSE + PS",IF(INDEX(Accounts!$G$2:$G$21,MATCH($A203,Accounts!$B$2:$B$21,0))&amp;""="","(no TSE)",INDEX(Accounts!$G$2:$G$21,MATCH($A203,Accounts!$B$2:$B$21,0))&amp;"")&amp;" / "&amp;IF(INDEX(Accounts!$F$2:$F$21,MATCH($A203,Accounts!$B$2:$B$21,0))&amp;""="","(no PS)",INDEX(Accounts!$F$2:$F$21,MATCH($A203,Accounts!$B$2:$B$21,0))&amp;""),"")))),""))</f>
        <v/>
      </c>
      <c r="F203" s="42" t="s">
        <v>104</v>
      </c>
      <c r="I203" s="42" t="s">
        <v>34</v>
      </c>
      <c r="K203" s="44" t="str">
        <f t="shared" si="1"/>
        <v>Owner missing </v>
      </c>
    </row>
    <row r="204" ht="15.75" customHeight="1">
      <c r="A204" s="31" t="s">
        <v>204</v>
      </c>
      <c r="B204" s="42" t="s">
        <v>74</v>
      </c>
      <c r="C204" s="42" t="s">
        <v>227</v>
      </c>
      <c r="D204" s="42" t="s">
        <v>68</v>
      </c>
      <c r="E204" s="43" t="str">
        <f t="array" ref="E204">IF($A204="","",IFERROR(IF($D204="TSE",INDEX(Accounts!$G$2:$G$21,MATCH($A204,Accounts!$B$2:$B$21,0))&amp;"",IF($D204="PS",INDEX(Accounts!$F$2:$F$21,MATCH($A204,Accounts!$B$2:$B$21,0))&amp;"",IF($D204="Named engineer",INDEX(Accounts!$I$2:$I$21,MATCH($A204,Accounts!$B$2:$B$21,0))&amp;"",IF($D204="TSE + PS",IF(INDEX(Accounts!$G$2:$G$21,MATCH($A204,Accounts!$B$2:$B$21,0))&amp;""="","(no TSE)",INDEX(Accounts!$G$2:$G$21,MATCH($A204,Accounts!$B$2:$B$21,0))&amp;"")&amp;" / "&amp;IF(INDEX(Accounts!$F$2:$F$21,MATCH($A204,Accounts!$B$2:$B$21,0))&amp;""="","(no PS)",INDEX(Accounts!$F$2:$F$21,MATCH($A204,Accounts!$B$2:$B$21,0))&amp;""),"")))),""))</f>
        <v/>
      </c>
      <c r="F204" s="42" t="s">
        <v>104</v>
      </c>
      <c r="I204" s="42" t="s">
        <v>34</v>
      </c>
      <c r="K204" s="44" t="str">
        <f t="shared" si="1"/>
        <v>Owner missing </v>
      </c>
    </row>
    <row r="205" ht="15.75" customHeight="1">
      <c r="A205" s="31" t="s">
        <v>204</v>
      </c>
      <c r="B205" s="42" t="s">
        <v>77</v>
      </c>
      <c r="C205" s="42" t="s">
        <v>228</v>
      </c>
      <c r="D205" s="42" t="s">
        <v>68</v>
      </c>
      <c r="E205" s="43" t="str">
        <f t="array" ref="E205">IF($A205="","",IFERROR(IF($D205="TSE",INDEX(Accounts!$G$2:$G$21,MATCH($A205,Accounts!$B$2:$B$21,0))&amp;"",IF($D205="PS",INDEX(Accounts!$F$2:$F$21,MATCH($A205,Accounts!$B$2:$B$21,0))&amp;"",IF($D205="Named engineer",INDEX(Accounts!$I$2:$I$21,MATCH($A205,Accounts!$B$2:$B$21,0))&amp;"",IF($D205="TSE + PS",IF(INDEX(Accounts!$G$2:$G$21,MATCH($A205,Accounts!$B$2:$B$21,0))&amp;""="","(no TSE)",INDEX(Accounts!$G$2:$G$21,MATCH($A205,Accounts!$B$2:$B$21,0))&amp;"")&amp;" / "&amp;IF(INDEX(Accounts!$F$2:$F$21,MATCH($A205,Accounts!$B$2:$B$21,0))&amp;""="","(no PS)",INDEX(Accounts!$F$2:$F$21,MATCH($A205,Accounts!$B$2:$B$21,0))&amp;""),"")))),""))</f>
        <v/>
      </c>
      <c r="F205" s="42" t="s">
        <v>104</v>
      </c>
      <c r="I205" s="42" t="s">
        <v>34</v>
      </c>
      <c r="K205" s="44" t="str">
        <f t="shared" si="1"/>
        <v>Owner missing </v>
      </c>
    </row>
    <row r="206" ht="15.75" customHeight="1">
      <c r="A206" s="31" t="s">
        <v>204</v>
      </c>
      <c r="B206" s="42" t="s">
        <v>80</v>
      </c>
      <c r="C206" s="42" t="s">
        <v>229</v>
      </c>
      <c r="D206" s="42" t="s">
        <v>62</v>
      </c>
      <c r="E206" s="43" t="str">
        <f t="array" ref="E206">IF($A206="","",IFERROR(IF($D206="TSE",INDEX(Accounts!$G$2:$G$21,MATCH($A206,Accounts!$B$2:$B$21,0))&amp;"",IF($D206="PS",INDEX(Accounts!$F$2:$F$21,MATCH($A206,Accounts!$B$2:$B$21,0))&amp;"",IF($D206="Named engineer",INDEX(Accounts!$I$2:$I$21,MATCH($A206,Accounts!$B$2:$B$21,0))&amp;"",IF($D206="TSE + PS",IF(INDEX(Accounts!$G$2:$G$21,MATCH($A206,Accounts!$B$2:$B$21,0))&amp;""="","(no TSE)",INDEX(Accounts!$G$2:$G$21,MATCH($A206,Accounts!$B$2:$B$21,0))&amp;"")&amp;" / "&amp;IF(INDEX(Accounts!$F$2:$F$21,MATCH($A206,Accounts!$B$2:$B$21,0))&amp;""="","(no PS)",INDEX(Accounts!$F$2:$F$21,MATCH($A206,Accounts!$B$2:$B$21,0))&amp;""),"")))),""))</f>
        <v>Lindsey Smith / (no PS)</v>
      </c>
      <c r="F206" s="42" t="s">
        <v>104</v>
      </c>
      <c r="I206" s="42" t="s">
        <v>34</v>
      </c>
      <c r="K206" s="44" t="str">
        <f t="shared" si="1"/>
        <v/>
      </c>
    </row>
    <row r="207" ht="15.75" customHeight="1">
      <c r="A207" s="31" t="s">
        <v>204</v>
      </c>
      <c r="B207" s="42" t="s">
        <v>85</v>
      </c>
      <c r="C207" s="42" t="s">
        <v>230</v>
      </c>
      <c r="D207" s="42" t="s">
        <v>32</v>
      </c>
      <c r="E207" s="43" t="str">
        <f t="array" ref="E207">IF($A207="","",IFERROR(IF($D207="TSE",INDEX(Accounts!$G$2:$G$21,MATCH($A207,Accounts!$B$2:$B$21,0))&amp;"",IF($D207="PS",INDEX(Accounts!$F$2:$F$21,MATCH($A207,Accounts!$B$2:$B$21,0))&amp;"",IF($D207="Named engineer",INDEX(Accounts!$I$2:$I$21,MATCH($A207,Accounts!$B$2:$B$21,0))&amp;"",IF($D207="TSE + PS",IF(INDEX(Accounts!$G$2:$G$21,MATCH($A207,Accounts!$B$2:$B$21,0))&amp;""="","(no TSE)",INDEX(Accounts!$G$2:$G$21,MATCH($A207,Accounts!$B$2:$B$21,0))&amp;"")&amp;" / "&amp;IF(INDEX(Accounts!$F$2:$F$21,MATCH($A207,Accounts!$B$2:$B$21,0))&amp;""="","(no PS)",INDEX(Accounts!$F$2:$F$21,MATCH($A207,Accounts!$B$2:$B$21,0))&amp;""),"")))),""))</f>
        <v>Lindsey Smith</v>
      </c>
      <c r="F207" s="42" t="s">
        <v>104</v>
      </c>
      <c r="I207" s="42" t="s">
        <v>34</v>
      </c>
      <c r="K207" s="44" t="str">
        <f t="shared" si="1"/>
        <v/>
      </c>
    </row>
    <row r="208" ht="15.75" customHeight="1">
      <c r="A208" s="31" t="s">
        <v>204</v>
      </c>
      <c r="B208" s="42" t="s">
        <v>88</v>
      </c>
      <c r="C208" s="42" t="s">
        <v>231</v>
      </c>
      <c r="D208" s="42" t="s">
        <v>32</v>
      </c>
      <c r="E208" s="43" t="str">
        <f t="array" ref="E208">IF($A208="","",IFERROR(IF($D208="TSE",INDEX(Accounts!$G$2:$G$21,MATCH($A208,Accounts!$B$2:$B$21,0))&amp;"",IF($D208="PS",INDEX(Accounts!$F$2:$F$21,MATCH($A208,Accounts!$B$2:$B$21,0))&amp;"",IF($D208="Named engineer",INDEX(Accounts!$I$2:$I$21,MATCH($A208,Accounts!$B$2:$B$21,0))&amp;"",IF($D208="TSE + PS",IF(INDEX(Accounts!$G$2:$G$21,MATCH($A208,Accounts!$B$2:$B$21,0))&amp;""="","(no TSE)",INDEX(Accounts!$G$2:$G$21,MATCH($A208,Accounts!$B$2:$B$21,0))&amp;"")&amp;" / "&amp;IF(INDEX(Accounts!$F$2:$F$21,MATCH($A208,Accounts!$B$2:$B$21,0))&amp;""="","(no PS)",INDEX(Accounts!$F$2:$F$21,MATCH($A208,Accounts!$B$2:$B$21,0))&amp;""),"")))),""))</f>
        <v>Lindsey Smith</v>
      </c>
      <c r="F208" s="42" t="s">
        <v>104</v>
      </c>
      <c r="I208" s="42" t="s">
        <v>34</v>
      </c>
      <c r="K208" s="44" t="str">
        <f t="shared" si="1"/>
        <v/>
      </c>
    </row>
    <row r="209" ht="15.75" customHeight="1">
      <c r="A209" s="31" t="s">
        <v>204</v>
      </c>
      <c r="B209" s="42" t="s">
        <v>92</v>
      </c>
      <c r="C209" s="42" t="s">
        <v>232</v>
      </c>
      <c r="D209" s="42" t="s">
        <v>32</v>
      </c>
      <c r="E209" s="43" t="str">
        <f t="array" ref="E209">IF($A209="","",IFERROR(IF($D209="TSE",INDEX(Accounts!$G$2:$G$21,MATCH($A209,Accounts!$B$2:$B$21,0))&amp;"",IF($D209="PS",INDEX(Accounts!$F$2:$F$21,MATCH($A209,Accounts!$B$2:$B$21,0))&amp;"",IF($D209="Named engineer",INDEX(Accounts!$I$2:$I$21,MATCH($A209,Accounts!$B$2:$B$21,0))&amp;"",IF($D209="TSE + PS",IF(INDEX(Accounts!$G$2:$G$21,MATCH($A209,Accounts!$B$2:$B$21,0))&amp;""="","(no TSE)",INDEX(Accounts!$G$2:$G$21,MATCH($A209,Accounts!$B$2:$B$21,0))&amp;"")&amp;" / "&amp;IF(INDEX(Accounts!$F$2:$F$21,MATCH($A209,Accounts!$B$2:$B$21,0))&amp;""="","(no PS)",INDEX(Accounts!$F$2:$F$21,MATCH($A209,Accounts!$B$2:$B$21,0))&amp;""),"")))),""))</f>
        <v>Lindsey Smith</v>
      </c>
      <c r="F209" s="42" t="s">
        <v>104</v>
      </c>
      <c r="I209" s="42" t="s">
        <v>34</v>
      </c>
      <c r="K209" s="44" t="str">
        <f t="shared" si="1"/>
        <v/>
      </c>
    </row>
    <row r="210" ht="15.75" customHeight="1">
      <c r="E210" s="43" t="str">
        <f t="array" ref="E210">IF($A210="","",IFERROR(IF($D210="TSE",INDEX(Accounts!$G$2:$G$21,MATCH($A210,Accounts!$B$2:$B$21,0))&amp;"",IF($D210="PS",INDEX(Accounts!$F$2:$F$21,MATCH($A210,Accounts!$B$2:$B$21,0))&amp;"",IF($D210="Named engineer",INDEX(Accounts!$I$2:$I$21,MATCH($A210,Accounts!$B$2:$B$21,0))&amp;"",IF($D210="TSE + PS",IF(INDEX(Accounts!$G$2:$G$21,MATCH($A210,Accounts!$B$2:$B$21,0))&amp;""="","(no TSE)",INDEX(Accounts!$G$2:$G$21,MATCH($A210,Accounts!$B$2:$B$21,0))&amp;"")&amp;" / "&amp;IF(INDEX(Accounts!$F$2:$F$21,MATCH($A210,Accounts!$B$2:$B$21,0))&amp;""="","(no PS)",INDEX(Accounts!$F$2:$F$21,MATCH($A210,Accounts!$B$2:$B$21,0))&amp;""),"")))),""))</f>
        <v/>
      </c>
      <c r="F210" s="42" t="s">
        <v>104</v>
      </c>
      <c r="I210" s="42" t="s">
        <v>34</v>
      </c>
      <c r="K210" s="44" t="str">
        <f t="shared" si="1"/>
        <v>Owner missing </v>
      </c>
    </row>
    <row r="211" ht="15.75" customHeight="1">
      <c r="E211" s="43" t="str">
        <f t="array" ref="E211">IF($A211="","",IFERROR(IF($D211="TSE",INDEX(Accounts!$G$2:$G$21,MATCH($A211,Accounts!$B$2:$B$21,0))&amp;"",IF($D211="PS",INDEX(Accounts!$F$2:$F$21,MATCH($A211,Accounts!$B$2:$B$21,0))&amp;"",IF($D211="Named engineer",INDEX(Accounts!$I$2:$I$21,MATCH($A211,Accounts!$B$2:$B$21,0))&amp;"",IF($D211="TSE + PS",IF(INDEX(Accounts!$G$2:$G$21,MATCH($A211,Accounts!$B$2:$B$21,0))&amp;""="","(no TSE)",INDEX(Accounts!$G$2:$G$21,MATCH($A211,Accounts!$B$2:$B$21,0))&amp;"")&amp;" / "&amp;IF(INDEX(Accounts!$F$2:$F$21,MATCH($A211,Accounts!$B$2:$B$21,0))&amp;""="","(no PS)",INDEX(Accounts!$F$2:$F$21,MATCH($A211,Accounts!$B$2:$B$21,0))&amp;""),"")))),""))</f>
        <v/>
      </c>
      <c r="F211" s="42" t="s">
        <v>104</v>
      </c>
      <c r="I211" s="42" t="s">
        <v>34</v>
      </c>
      <c r="K211" s="44" t="str">
        <f t="shared" si="1"/>
        <v>Owner missing </v>
      </c>
    </row>
    <row r="212" ht="15.75" customHeight="1">
      <c r="E212" s="43" t="str">
        <f t="array" ref="E212">IF($A212="","",IFERROR(IF($D212="TSE",INDEX(Accounts!$G$2:$G$21,MATCH($A212,Accounts!$B$2:$B$21,0))&amp;"",IF($D212="PS",INDEX(Accounts!$F$2:$F$21,MATCH($A212,Accounts!$B$2:$B$21,0))&amp;"",IF($D212="Named engineer",INDEX(Accounts!$I$2:$I$21,MATCH($A212,Accounts!$B$2:$B$21,0))&amp;"",IF($D212="TSE + PS",IF(INDEX(Accounts!$G$2:$G$21,MATCH($A212,Accounts!$B$2:$B$21,0))&amp;""="","(no TSE)",INDEX(Accounts!$G$2:$G$21,MATCH($A212,Accounts!$B$2:$B$21,0))&amp;"")&amp;" / "&amp;IF(INDEX(Accounts!$F$2:$F$21,MATCH($A212,Accounts!$B$2:$B$21,0))&amp;""="","(no PS)",INDEX(Accounts!$F$2:$F$21,MATCH($A212,Accounts!$B$2:$B$21,0))&amp;""),"")))),""))</f>
        <v/>
      </c>
      <c r="F212" s="42" t="s">
        <v>104</v>
      </c>
      <c r="I212" s="42" t="s">
        <v>34</v>
      </c>
      <c r="K212" s="44" t="str">
        <f t="shared" si="1"/>
        <v>Owner missing </v>
      </c>
    </row>
    <row r="213" ht="15.75" customHeight="1">
      <c r="E213" s="43" t="str">
        <f t="array" ref="E213">IF($A213="","",IFERROR(IF($D213="TSE",INDEX(Accounts!$G$2:$G$21,MATCH($A213,Accounts!$B$2:$B$21,0))&amp;"",IF($D213="PS",INDEX(Accounts!$F$2:$F$21,MATCH($A213,Accounts!$B$2:$B$21,0))&amp;"",IF($D213="Named engineer",INDEX(Accounts!$I$2:$I$21,MATCH($A213,Accounts!$B$2:$B$21,0))&amp;"",IF($D213="TSE + PS",IF(INDEX(Accounts!$G$2:$G$21,MATCH($A213,Accounts!$B$2:$B$21,0))&amp;""="","(no TSE)",INDEX(Accounts!$G$2:$G$21,MATCH($A213,Accounts!$B$2:$B$21,0))&amp;"")&amp;" / "&amp;IF(INDEX(Accounts!$F$2:$F$21,MATCH($A213,Accounts!$B$2:$B$21,0))&amp;""="","(no PS)",INDEX(Accounts!$F$2:$F$21,MATCH($A213,Accounts!$B$2:$B$21,0))&amp;""),"")))),""))</f>
        <v/>
      </c>
      <c r="F213" s="42" t="s">
        <v>104</v>
      </c>
      <c r="I213" s="42" t="s">
        <v>34</v>
      </c>
      <c r="K213" s="44" t="str">
        <f t="shared" si="1"/>
        <v>Owner missing </v>
      </c>
    </row>
    <row r="214" ht="15.75" customHeight="1">
      <c r="E214" s="43" t="str">
        <f t="array" ref="E214">IF($A214="","",IFERROR(IF($D214="TSE",INDEX(Accounts!$G$2:$G$21,MATCH($A214,Accounts!$B$2:$B$21,0))&amp;"",IF($D214="PS",INDEX(Accounts!$F$2:$F$21,MATCH($A214,Accounts!$B$2:$B$21,0))&amp;"",IF($D214="Named engineer",INDEX(Accounts!$I$2:$I$21,MATCH($A214,Accounts!$B$2:$B$21,0))&amp;"",IF($D214="TSE + PS",IF(INDEX(Accounts!$G$2:$G$21,MATCH($A214,Accounts!$B$2:$B$21,0))&amp;""="","(no TSE)",INDEX(Accounts!$G$2:$G$21,MATCH($A214,Accounts!$B$2:$B$21,0))&amp;"")&amp;" / "&amp;IF(INDEX(Accounts!$F$2:$F$21,MATCH($A214,Accounts!$B$2:$B$21,0))&amp;""="","(no PS)",INDEX(Accounts!$F$2:$F$21,MATCH($A214,Accounts!$B$2:$B$21,0))&amp;""),"")))),""))</f>
        <v/>
      </c>
      <c r="F214" s="42" t="s">
        <v>104</v>
      </c>
      <c r="I214" s="42" t="s">
        <v>34</v>
      </c>
      <c r="K214" s="44" t="str">
        <f t="shared" si="1"/>
        <v>Owner missing </v>
      </c>
    </row>
    <row r="215" ht="15.75" customHeight="1">
      <c r="E215" s="43" t="str">
        <f t="array" ref="E215">IF($A215="","",IFERROR(IF($D215="TSE",INDEX(Accounts!$G$2:$G$21,MATCH($A215,Accounts!$B$2:$B$21,0))&amp;"",IF($D215="PS",INDEX(Accounts!$F$2:$F$21,MATCH($A215,Accounts!$B$2:$B$21,0))&amp;"",IF($D215="Named engineer",INDEX(Accounts!$I$2:$I$21,MATCH($A215,Accounts!$B$2:$B$21,0))&amp;"",IF($D215="TSE + PS",IF(INDEX(Accounts!$G$2:$G$21,MATCH($A215,Accounts!$B$2:$B$21,0))&amp;""="","(no TSE)",INDEX(Accounts!$G$2:$G$21,MATCH($A215,Accounts!$B$2:$B$21,0))&amp;"")&amp;" / "&amp;IF(INDEX(Accounts!$F$2:$F$21,MATCH($A215,Accounts!$B$2:$B$21,0))&amp;""="","(no PS)",INDEX(Accounts!$F$2:$F$21,MATCH($A215,Accounts!$B$2:$B$21,0))&amp;""),"")))),""))</f>
        <v/>
      </c>
      <c r="F215" s="42" t="s">
        <v>104</v>
      </c>
      <c r="I215" s="42" t="s">
        <v>34</v>
      </c>
      <c r="K215" s="44" t="str">
        <f t="shared" si="1"/>
        <v>Owner missing </v>
      </c>
    </row>
    <row r="216" ht="15.75" customHeight="1">
      <c r="E216" s="43" t="str">
        <f t="array" ref="E216">IF($A216="","",IFERROR(IF($D216="TSE",INDEX(Accounts!$G$2:$G$21,MATCH($A216,Accounts!$B$2:$B$21,0))&amp;"",IF($D216="PS",INDEX(Accounts!$F$2:$F$21,MATCH($A216,Accounts!$B$2:$B$21,0))&amp;"",IF($D216="Named engineer",INDEX(Accounts!$I$2:$I$21,MATCH($A216,Accounts!$B$2:$B$21,0))&amp;"",IF($D216="TSE + PS",IF(INDEX(Accounts!$G$2:$G$21,MATCH($A216,Accounts!$B$2:$B$21,0))&amp;""="","(no TSE)",INDEX(Accounts!$G$2:$G$21,MATCH($A216,Accounts!$B$2:$B$21,0))&amp;"")&amp;" / "&amp;IF(INDEX(Accounts!$F$2:$F$21,MATCH($A216,Accounts!$B$2:$B$21,0))&amp;""="","(no PS)",INDEX(Accounts!$F$2:$F$21,MATCH($A216,Accounts!$B$2:$B$21,0))&amp;""),"")))),""))</f>
        <v/>
      </c>
      <c r="F216" s="42" t="s">
        <v>104</v>
      </c>
      <c r="I216" s="42" t="s">
        <v>34</v>
      </c>
      <c r="K216" s="44" t="str">
        <f t="shared" si="1"/>
        <v>Owner missing </v>
      </c>
    </row>
    <row r="217" ht="15.75" customHeight="1">
      <c r="E217" s="43" t="str">
        <f t="array" ref="E217">IF($A217="","",IFERROR(IF($D217="TSE",INDEX(Accounts!$G$2:$G$21,MATCH($A217,Accounts!$B$2:$B$21,0))&amp;"",IF($D217="PS",INDEX(Accounts!$F$2:$F$21,MATCH($A217,Accounts!$B$2:$B$21,0))&amp;"",IF($D217="Named engineer",INDEX(Accounts!$I$2:$I$21,MATCH($A217,Accounts!$B$2:$B$21,0))&amp;"",IF($D217="TSE + PS",IF(INDEX(Accounts!$G$2:$G$21,MATCH($A217,Accounts!$B$2:$B$21,0))&amp;""="","(no TSE)",INDEX(Accounts!$G$2:$G$21,MATCH($A217,Accounts!$B$2:$B$21,0))&amp;"")&amp;" / "&amp;IF(INDEX(Accounts!$F$2:$F$21,MATCH($A217,Accounts!$B$2:$B$21,0))&amp;""="","(no PS)",INDEX(Accounts!$F$2:$F$21,MATCH($A217,Accounts!$B$2:$B$21,0))&amp;""),"")))),""))</f>
        <v/>
      </c>
      <c r="F217" s="42" t="s">
        <v>104</v>
      </c>
      <c r="I217" s="42" t="s">
        <v>34</v>
      </c>
      <c r="K217" s="44" t="str">
        <f t="shared" si="1"/>
        <v>Owner missing </v>
      </c>
    </row>
    <row r="218" ht="15.75" customHeight="1">
      <c r="E218" s="43" t="str">
        <f t="array" ref="E218">IF($A218="","",IFERROR(IF($D218="TSE",INDEX(Accounts!$G$2:$G$21,MATCH($A218,Accounts!$B$2:$B$21,0))&amp;"",IF($D218="PS",INDEX(Accounts!$F$2:$F$21,MATCH($A218,Accounts!$B$2:$B$21,0))&amp;"",IF($D218="Named engineer",INDEX(Accounts!$I$2:$I$21,MATCH($A218,Accounts!$B$2:$B$21,0))&amp;"",IF($D218="TSE + PS",IF(INDEX(Accounts!$G$2:$G$21,MATCH($A218,Accounts!$B$2:$B$21,0))&amp;""="","(no TSE)",INDEX(Accounts!$G$2:$G$21,MATCH($A218,Accounts!$B$2:$B$21,0))&amp;"")&amp;" / "&amp;IF(INDEX(Accounts!$F$2:$F$21,MATCH($A218,Accounts!$B$2:$B$21,0))&amp;""="","(no PS)",INDEX(Accounts!$F$2:$F$21,MATCH($A218,Accounts!$B$2:$B$21,0))&amp;""),"")))),""))</f>
        <v/>
      </c>
      <c r="F218" s="42" t="s">
        <v>104</v>
      </c>
      <c r="I218" s="42" t="s">
        <v>34</v>
      </c>
      <c r="K218" s="44" t="str">
        <f t="shared" si="1"/>
        <v>Owner missing </v>
      </c>
    </row>
    <row r="219" ht="15.75" customHeight="1">
      <c r="E219" s="43" t="str">
        <f t="array" ref="E219">IF($A219="","",IFERROR(IF($D219="TSE",INDEX(Accounts!$G$2:$G$21,MATCH($A219,Accounts!$B$2:$B$21,0))&amp;"",IF($D219="PS",INDEX(Accounts!$F$2:$F$21,MATCH($A219,Accounts!$B$2:$B$21,0))&amp;"",IF($D219="Named engineer",INDEX(Accounts!$I$2:$I$21,MATCH($A219,Accounts!$B$2:$B$21,0))&amp;"",IF($D219="TSE + PS",IF(INDEX(Accounts!$G$2:$G$21,MATCH($A219,Accounts!$B$2:$B$21,0))&amp;""="","(no TSE)",INDEX(Accounts!$G$2:$G$21,MATCH($A219,Accounts!$B$2:$B$21,0))&amp;"")&amp;" / "&amp;IF(INDEX(Accounts!$F$2:$F$21,MATCH($A219,Accounts!$B$2:$B$21,0))&amp;""="","(no PS)",INDEX(Accounts!$F$2:$F$21,MATCH($A219,Accounts!$B$2:$B$21,0))&amp;""),"")))),""))</f>
        <v/>
      </c>
      <c r="F219" s="42" t="s">
        <v>104</v>
      </c>
      <c r="I219" s="42" t="s">
        <v>34</v>
      </c>
      <c r="K219" s="44" t="str">
        <f t="shared" si="1"/>
        <v>Owner missing </v>
      </c>
    </row>
    <row r="220" ht="15.75" customHeight="1">
      <c r="E220" s="43" t="str">
        <f t="array" ref="E220">IF($A220="","",IFERROR(IF($D220="TSE",INDEX(Accounts!$G$2:$G$21,MATCH($A220,Accounts!$B$2:$B$21,0))&amp;"",IF($D220="PS",INDEX(Accounts!$F$2:$F$21,MATCH($A220,Accounts!$B$2:$B$21,0))&amp;"",IF($D220="Named engineer",INDEX(Accounts!$I$2:$I$21,MATCH($A220,Accounts!$B$2:$B$21,0))&amp;"",IF($D220="TSE + PS",IF(INDEX(Accounts!$G$2:$G$21,MATCH($A220,Accounts!$B$2:$B$21,0))&amp;""="","(no TSE)",INDEX(Accounts!$G$2:$G$21,MATCH($A220,Accounts!$B$2:$B$21,0))&amp;"")&amp;" / "&amp;IF(INDEX(Accounts!$F$2:$F$21,MATCH($A220,Accounts!$B$2:$B$21,0))&amp;""="","(no PS)",INDEX(Accounts!$F$2:$F$21,MATCH($A220,Accounts!$B$2:$B$21,0))&amp;""),"")))),""))</f>
        <v/>
      </c>
      <c r="F220" s="42" t="s">
        <v>104</v>
      </c>
      <c r="I220" s="42" t="s">
        <v>34</v>
      </c>
      <c r="K220" s="44" t="str">
        <f t="shared" si="1"/>
        <v>Owner missing </v>
      </c>
    </row>
    <row r="221" ht="15.75" customHeight="1">
      <c r="E221" s="43" t="str">
        <f t="array" ref="E221">IF($A221="","",IFERROR(IF($D221="TSE",INDEX(Accounts!$G$2:$G$21,MATCH($A221,Accounts!$B$2:$B$21,0))&amp;"",IF($D221="PS",INDEX(Accounts!$F$2:$F$21,MATCH($A221,Accounts!$B$2:$B$21,0))&amp;"",IF($D221="Named engineer",INDEX(Accounts!$I$2:$I$21,MATCH($A221,Accounts!$B$2:$B$21,0))&amp;"",IF($D221="TSE + PS",IF(INDEX(Accounts!$G$2:$G$21,MATCH($A221,Accounts!$B$2:$B$21,0))&amp;""="","(no TSE)",INDEX(Accounts!$G$2:$G$21,MATCH($A221,Accounts!$B$2:$B$21,0))&amp;"")&amp;" / "&amp;IF(INDEX(Accounts!$F$2:$F$21,MATCH($A221,Accounts!$B$2:$B$21,0))&amp;""="","(no PS)",INDEX(Accounts!$F$2:$F$21,MATCH($A221,Accounts!$B$2:$B$21,0))&amp;""),"")))),""))</f>
        <v/>
      </c>
      <c r="F221" s="42" t="s">
        <v>104</v>
      </c>
      <c r="I221" s="42" t="s">
        <v>34</v>
      </c>
      <c r="K221" s="44" t="str">
        <f t="shared" si="1"/>
        <v>Owner missing </v>
      </c>
    </row>
    <row r="222" ht="15.75" customHeight="1">
      <c r="E222" s="43" t="str">
        <f t="array" ref="E222">IF($A222="","",IFERROR(IF($D222="TSE",INDEX(Accounts!$G$2:$G$21,MATCH($A222,Accounts!$B$2:$B$21,0))&amp;"",IF($D222="PS",INDEX(Accounts!$F$2:$F$21,MATCH($A222,Accounts!$B$2:$B$21,0))&amp;"",IF($D222="Named engineer",INDEX(Accounts!$I$2:$I$21,MATCH($A222,Accounts!$B$2:$B$21,0))&amp;"",IF($D222="TSE + PS",IF(INDEX(Accounts!$G$2:$G$21,MATCH($A222,Accounts!$B$2:$B$21,0))&amp;""="","(no TSE)",INDEX(Accounts!$G$2:$G$21,MATCH($A222,Accounts!$B$2:$B$21,0))&amp;"")&amp;" / "&amp;IF(INDEX(Accounts!$F$2:$F$21,MATCH($A222,Accounts!$B$2:$B$21,0))&amp;""="","(no PS)",INDEX(Accounts!$F$2:$F$21,MATCH($A222,Accounts!$B$2:$B$21,0))&amp;""),"")))),""))</f>
        <v/>
      </c>
      <c r="F222" s="42" t="s">
        <v>104</v>
      </c>
      <c r="I222" s="42" t="s">
        <v>34</v>
      </c>
      <c r="K222" s="44" t="str">
        <f t="shared" si="1"/>
        <v>Owner missing </v>
      </c>
    </row>
    <row r="223" ht="15.75" customHeight="1">
      <c r="E223" s="43" t="str">
        <f t="array" ref="E223">IF($A223="","",IFERROR(IF($D223="TSE",INDEX(Accounts!$G$2:$G$21,MATCH($A223,Accounts!$B$2:$B$21,0))&amp;"",IF($D223="PS",INDEX(Accounts!$F$2:$F$21,MATCH($A223,Accounts!$B$2:$B$21,0))&amp;"",IF($D223="Named engineer",INDEX(Accounts!$I$2:$I$21,MATCH($A223,Accounts!$B$2:$B$21,0))&amp;"",IF($D223="TSE + PS",IF(INDEX(Accounts!$G$2:$G$21,MATCH($A223,Accounts!$B$2:$B$21,0))&amp;""="","(no TSE)",INDEX(Accounts!$G$2:$G$21,MATCH($A223,Accounts!$B$2:$B$21,0))&amp;"")&amp;" / "&amp;IF(INDEX(Accounts!$F$2:$F$21,MATCH($A223,Accounts!$B$2:$B$21,0))&amp;""="","(no PS)",INDEX(Accounts!$F$2:$F$21,MATCH($A223,Accounts!$B$2:$B$21,0))&amp;""),"")))),""))</f>
        <v/>
      </c>
      <c r="F223" s="42" t="s">
        <v>104</v>
      </c>
      <c r="I223" s="42" t="s">
        <v>34</v>
      </c>
      <c r="K223" s="44" t="str">
        <f t="shared" si="1"/>
        <v>Owner missing </v>
      </c>
    </row>
    <row r="224" ht="15.75" customHeight="1">
      <c r="E224" s="43" t="str">
        <f t="array" ref="E224">IF($A224="","",IFERROR(IF($D224="TSE",INDEX(Accounts!$G$2:$G$21,MATCH($A224,Accounts!$B$2:$B$21,0))&amp;"",IF($D224="PS",INDEX(Accounts!$F$2:$F$21,MATCH($A224,Accounts!$B$2:$B$21,0))&amp;"",IF($D224="Named engineer",INDEX(Accounts!$I$2:$I$21,MATCH($A224,Accounts!$B$2:$B$21,0))&amp;"",IF($D224="TSE + PS",IF(INDEX(Accounts!$G$2:$G$21,MATCH($A224,Accounts!$B$2:$B$21,0))&amp;""="","(no TSE)",INDEX(Accounts!$G$2:$G$21,MATCH($A224,Accounts!$B$2:$B$21,0))&amp;"")&amp;" / "&amp;IF(INDEX(Accounts!$F$2:$F$21,MATCH($A224,Accounts!$B$2:$B$21,0))&amp;""="","(no PS)",INDEX(Accounts!$F$2:$F$21,MATCH($A224,Accounts!$B$2:$B$21,0))&amp;""),"")))),""))</f>
        <v/>
      </c>
      <c r="F224" s="42" t="s">
        <v>104</v>
      </c>
      <c r="I224" s="42" t="s">
        <v>34</v>
      </c>
      <c r="K224" s="44" t="str">
        <f t="shared" si="1"/>
        <v>Owner missing </v>
      </c>
    </row>
    <row r="225" ht="15.75" customHeight="1">
      <c r="E225" s="43" t="str">
        <f t="array" ref="E225">IF($A225="","",IFERROR(IF($D225="TSE",INDEX(Accounts!$G$2:$G$21,MATCH($A225,Accounts!$B$2:$B$21,0))&amp;"",IF($D225="PS",INDEX(Accounts!$F$2:$F$21,MATCH($A225,Accounts!$B$2:$B$21,0))&amp;"",IF($D225="Named engineer",INDEX(Accounts!$I$2:$I$21,MATCH($A225,Accounts!$B$2:$B$21,0))&amp;"",IF($D225="TSE + PS",IF(INDEX(Accounts!$G$2:$G$21,MATCH($A225,Accounts!$B$2:$B$21,0))&amp;""="","(no TSE)",INDEX(Accounts!$G$2:$G$21,MATCH($A225,Accounts!$B$2:$B$21,0))&amp;"")&amp;" / "&amp;IF(INDEX(Accounts!$F$2:$F$21,MATCH($A225,Accounts!$B$2:$B$21,0))&amp;""="","(no PS)",INDEX(Accounts!$F$2:$F$21,MATCH($A225,Accounts!$B$2:$B$21,0))&amp;""),"")))),""))</f>
        <v/>
      </c>
      <c r="F225" s="42" t="s">
        <v>104</v>
      </c>
      <c r="I225" s="42" t="s">
        <v>34</v>
      </c>
      <c r="K225" s="44" t="str">
        <f t="shared" si="1"/>
        <v>Owner missing </v>
      </c>
    </row>
    <row r="226" ht="15.75" customHeight="1">
      <c r="E226" s="43" t="str">
        <f t="array" ref="E226">IF($A226="","",IFERROR(IF($D226="TSE",INDEX(Accounts!$G$2:$G$21,MATCH($A226,Accounts!$B$2:$B$21,0))&amp;"",IF($D226="PS",INDEX(Accounts!$F$2:$F$21,MATCH($A226,Accounts!$B$2:$B$21,0))&amp;"",IF($D226="Named engineer",INDEX(Accounts!$I$2:$I$21,MATCH($A226,Accounts!$B$2:$B$21,0))&amp;"",IF($D226="TSE + PS",IF(INDEX(Accounts!$G$2:$G$21,MATCH($A226,Accounts!$B$2:$B$21,0))&amp;""="","(no TSE)",INDEX(Accounts!$G$2:$G$21,MATCH($A226,Accounts!$B$2:$B$21,0))&amp;"")&amp;" / "&amp;IF(INDEX(Accounts!$F$2:$F$21,MATCH($A226,Accounts!$B$2:$B$21,0))&amp;""="","(no PS)",INDEX(Accounts!$F$2:$F$21,MATCH($A226,Accounts!$B$2:$B$21,0))&amp;""),"")))),""))</f>
        <v/>
      </c>
      <c r="F226" s="42" t="s">
        <v>104</v>
      </c>
      <c r="I226" s="42" t="s">
        <v>34</v>
      </c>
      <c r="K226" s="44" t="str">
        <f t="shared" si="1"/>
        <v>Owner missing </v>
      </c>
    </row>
    <row r="227" ht="15.75" customHeight="1">
      <c r="E227" s="43" t="str">
        <f t="array" ref="E227">IF($A227="","",IFERROR(IF($D227="TSE",INDEX(Accounts!$G$2:$G$21,MATCH($A227,Accounts!$B$2:$B$21,0))&amp;"",IF($D227="PS",INDEX(Accounts!$F$2:$F$21,MATCH($A227,Accounts!$B$2:$B$21,0))&amp;"",IF($D227="Named engineer",INDEX(Accounts!$I$2:$I$21,MATCH($A227,Accounts!$B$2:$B$21,0))&amp;"",IF($D227="TSE + PS",IF(INDEX(Accounts!$G$2:$G$21,MATCH($A227,Accounts!$B$2:$B$21,0))&amp;""="","(no TSE)",INDEX(Accounts!$G$2:$G$21,MATCH($A227,Accounts!$B$2:$B$21,0))&amp;"")&amp;" / "&amp;IF(INDEX(Accounts!$F$2:$F$21,MATCH($A227,Accounts!$B$2:$B$21,0))&amp;""="","(no PS)",INDEX(Accounts!$F$2:$F$21,MATCH($A227,Accounts!$B$2:$B$21,0))&amp;""),"")))),""))</f>
        <v/>
      </c>
      <c r="F227" s="42" t="s">
        <v>104</v>
      </c>
      <c r="I227" s="42" t="s">
        <v>34</v>
      </c>
      <c r="K227" s="44" t="str">
        <f t="shared" si="1"/>
        <v>Owner missing </v>
      </c>
    </row>
    <row r="228" ht="15.75" customHeight="1">
      <c r="E228" s="43" t="str">
        <f t="array" ref="E228">IF($A228="","",IFERROR(IF($D228="TSE",INDEX(Accounts!$G$2:$G$21,MATCH($A228,Accounts!$B$2:$B$21,0))&amp;"",IF($D228="PS",INDEX(Accounts!$F$2:$F$21,MATCH($A228,Accounts!$B$2:$B$21,0))&amp;"",IF($D228="Named engineer",INDEX(Accounts!$I$2:$I$21,MATCH($A228,Accounts!$B$2:$B$21,0))&amp;"",IF($D228="TSE + PS",IF(INDEX(Accounts!$G$2:$G$21,MATCH($A228,Accounts!$B$2:$B$21,0))&amp;""="","(no TSE)",INDEX(Accounts!$G$2:$G$21,MATCH($A228,Accounts!$B$2:$B$21,0))&amp;"")&amp;" / "&amp;IF(INDEX(Accounts!$F$2:$F$21,MATCH($A228,Accounts!$B$2:$B$21,0))&amp;""="","(no PS)",INDEX(Accounts!$F$2:$F$21,MATCH($A228,Accounts!$B$2:$B$21,0))&amp;""),"")))),""))</f>
        <v/>
      </c>
      <c r="F228" s="42" t="s">
        <v>104</v>
      </c>
      <c r="I228" s="42" t="s">
        <v>34</v>
      </c>
      <c r="K228" s="44" t="str">
        <f t="shared" si="1"/>
        <v>Owner missing </v>
      </c>
    </row>
    <row r="229" ht="15.75" customHeight="1">
      <c r="E229" s="43" t="str">
        <f t="array" ref="E229">IF($A229="","",IFERROR(IF($D229="TSE",INDEX(Accounts!$G$2:$G$21,MATCH($A229,Accounts!$B$2:$B$21,0))&amp;"",IF($D229="PS",INDEX(Accounts!$F$2:$F$21,MATCH($A229,Accounts!$B$2:$B$21,0))&amp;"",IF($D229="Named engineer",INDEX(Accounts!$I$2:$I$21,MATCH($A229,Accounts!$B$2:$B$21,0))&amp;"",IF($D229="TSE + PS",IF(INDEX(Accounts!$G$2:$G$21,MATCH($A229,Accounts!$B$2:$B$21,0))&amp;""="","(no TSE)",INDEX(Accounts!$G$2:$G$21,MATCH($A229,Accounts!$B$2:$B$21,0))&amp;"")&amp;" / "&amp;IF(INDEX(Accounts!$F$2:$F$21,MATCH($A229,Accounts!$B$2:$B$21,0))&amp;""="","(no PS)",INDEX(Accounts!$F$2:$F$21,MATCH($A229,Accounts!$B$2:$B$21,0))&amp;""),"")))),""))</f>
        <v/>
      </c>
      <c r="F229" s="42" t="s">
        <v>104</v>
      </c>
      <c r="I229" s="42" t="s">
        <v>34</v>
      </c>
      <c r="K229" s="44" t="str">
        <f t="shared" si="1"/>
        <v>Owner missing </v>
      </c>
    </row>
    <row r="230" ht="15.75" customHeight="1">
      <c r="E230" s="43" t="str">
        <f t="array" ref="E230">IF($A230="","",IFERROR(IF($D230="TSE",INDEX(Accounts!$G$2:$G$21,MATCH($A230,Accounts!$B$2:$B$21,0))&amp;"",IF($D230="PS",INDEX(Accounts!$F$2:$F$21,MATCH($A230,Accounts!$B$2:$B$21,0))&amp;"",IF($D230="Named engineer",INDEX(Accounts!$I$2:$I$21,MATCH($A230,Accounts!$B$2:$B$21,0))&amp;"",IF($D230="TSE + PS",IF(INDEX(Accounts!$G$2:$G$21,MATCH($A230,Accounts!$B$2:$B$21,0))&amp;""="","(no TSE)",INDEX(Accounts!$G$2:$G$21,MATCH($A230,Accounts!$B$2:$B$21,0))&amp;"")&amp;" / "&amp;IF(INDEX(Accounts!$F$2:$F$21,MATCH($A230,Accounts!$B$2:$B$21,0))&amp;""="","(no PS)",INDEX(Accounts!$F$2:$F$21,MATCH($A230,Accounts!$B$2:$B$21,0))&amp;""),"")))),""))</f>
        <v/>
      </c>
      <c r="F230" s="42" t="s">
        <v>104</v>
      </c>
      <c r="I230" s="42" t="s">
        <v>34</v>
      </c>
      <c r="K230" s="44" t="str">
        <f t="shared" si="1"/>
        <v>Owner missing </v>
      </c>
    </row>
    <row r="231" ht="15.75" customHeight="1">
      <c r="E231" s="43" t="str">
        <f t="array" ref="E231">IF($A231="","",IFERROR(IF($D231="TSE",INDEX(Accounts!$G$2:$G$21,MATCH($A231,Accounts!$B$2:$B$21,0))&amp;"",IF($D231="PS",INDEX(Accounts!$F$2:$F$21,MATCH($A231,Accounts!$B$2:$B$21,0))&amp;"",IF($D231="Named engineer",INDEX(Accounts!$I$2:$I$21,MATCH($A231,Accounts!$B$2:$B$21,0))&amp;"",IF($D231="TSE + PS",IF(INDEX(Accounts!$G$2:$G$21,MATCH($A231,Accounts!$B$2:$B$21,0))&amp;""="","(no TSE)",INDEX(Accounts!$G$2:$G$21,MATCH($A231,Accounts!$B$2:$B$21,0))&amp;"")&amp;" / "&amp;IF(INDEX(Accounts!$F$2:$F$21,MATCH($A231,Accounts!$B$2:$B$21,0))&amp;""="","(no PS)",INDEX(Accounts!$F$2:$F$21,MATCH($A231,Accounts!$B$2:$B$21,0))&amp;""),"")))),""))</f>
        <v/>
      </c>
      <c r="F231" s="42" t="s">
        <v>104</v>
      </c>
      <c r="I231" s="42" t="s">
        <v>34</v>
      </c>
      <c r="K231" s="44" t="str">
        <f t="shared" si="1"/>
        <v>Owner missing </v>
      </c>
    </row>
    <row r="232" ht="15.75" customHeight="1">
      <c r="E232" s="43" t="str">
        <f t="array" ref="E232">IF($A232="","",IFERROR(IF($D232="TSE",INDEX(Accounts!$G$2:$G$21,MATCH($A232,Accounts!$B$2:$B$21,0))&amp;"",IF($D232="PS",INDEX(Accounts!$F$2:$F$21,MATCH($A232,Accounts!$B$2:$B$21,0))&amp;"",IF($D232="Named engineer",INDEX(Accounts!$I$2:$I$21,MATCH($A232,Accounts!$B$2:$B$21,0))&amp;"",IF($D232="TSE + PS",IF(INDEX(Accounts!$G$2:$G$21,MATCH($A232,Accounts!$B$2:$B$21,0))&amp;""="","(no TSE)",INDEX(Accounts!$G$2:$G$21,MATCH($A232,Accounts!$B$2:$B$21,0))&amp;"")&amp;" / "&amp;IF(INDEX(Accounts!$F$2:$F$21,MATCH($A232,Accounts!$B$2:$B$21,0))&amp;""="","(no PS)",INDEX(Accounts!$F$2:$F$21,MATCH($A232,Accounts!$B$2:$B$21,0))&amp;""),"")))),""))</f>
        <v/>
      </c>
      <c r="F232" s="42" t="s">
        <v>104</v>
      </c>
      <c r="I232" s="42" t="s">
        <v>34</v>
      </c>
      <c r="K232" s="44" t="str">
        <f t="shared" si="1"/>
        <v>Owner missing </v>
      </c>
    </row>
    <row r="233" ht="15.75" customHeight="1">
      <c r="E233" s="43" t="str">
        <f t="array" ref="E233">IF($A233="","",IFERROR(IF($D233="TSE",INDEX(Accounts!$G$2:$G$21,MATCH($A233,Accounts!$B$2:$B$21,0))&amp;"",IF($D233="PS",INDEX(Accounts!$F$2:$F$21,MATCH($A233,Accounts!$B$2:$B$21,0))&amp;"",IF($D233="Named engineer",INDEX(Accounts!$I$2:$I$21,MATCH($A233,Accounts!$B$2:$B$21,0))&amp;"",IF($D233="TSE + PS",IF(INDEX(Accounts!$G$2:$G$21,MATCH($A233,Accounts!$B$2:$B$21,0))&amp;""="","(no TSE)",INDEX(Accounts!$G$2:$G$21,MATCH($A233,Accounts!$B$2:$B$21,0))&amp;"")&amp;" / "&amp;IF(INDEX(Accounts!$F$2:$F$21,MATCH($A233,Accounts!$B$2:$B$21,0))&amp;""="","(no PS)",INDEX(Accounts!$F$2:$F$21,MATCH($A233,Accounts!$B$2:$B$21,0))&amp;""),"")))),""))</f>
        <v/>
      </c>
      <c r="F233" s="42" t="s">
        <v>104</v>
      </c>
      <c r="I233" s="42" t="s">
        <v>34</v>
      </c>
      <c r="K233" s="44" t="str">
        <f t="shared" si="1"/>
        <v>Owner missing </v>
      </c>
    </row>
    <row r="234" ht="15.75" customHeight="1">
      <c r="E234" s="43" t="str">
        <f t="array" ref="E234">IF($A234="","",IFERROR(IF($D234="TSE",INDEX(Accounts!$G$2:$G$21,MATCH($A234,Accounts!$B$2:$B$21,0))&amp;"",IF($D234="PS",INDEX(Accounts!$F$2:$F$21,MATCH($A234,Accounts!$B$2:$B$21,0))&amp;"",IF($D234="Named engineer",INDEX(Accounts!$I$2:$I$21,MATCH($A234,Accounts!$B$2:$B$21,0))&amp;"",IF($D234="TSE + PS",IF(INDEX(Accounts!$G$2:$G$21,MATCH($A234,Accounts!$B$2:$B$21,0))&amp;""="","(no TSE)",INDEX(Accounts!$G$2:$G$21,MATCH($A234,Accounts!$B$2:$B$21,0))&amp;"")&amp;" / "&amp;IF(INDEX(Accounts!$F$2:$F$21,MATCH($A234,Accounts!$B$2:$B$21,0))&amp;""="","(no PS)",INDEX(Accounts!$F$2:$F$21,MATCH($A234,Accounts!$B$2:$B$21,0))&amp;""),"")))),""))</f>
        <v/>
      </c>
      <c r="F234" s="42" t="s">
        <v>104</v>
      </c>
      <c r="I234" s="42" t="s">
        <v>34</v>
      </c>
      <c r="K234" s="44" t="str">
        <f t="shared" si="1"/>
        <v>Owner missing </v>
      </c>
    </row>
    <row r="235" ht="15.75" customHeight="1">
      <c r="E235" s="43" t="str">
        <f t="array" ref="E235">IF($A235="","",IFERROR(IF($D235="TSE",INDEX(Accounts!$G$2:$G$21,MATCH($A235,Accounts!$B$2:$B$21,0))&amp;"",IF($D235="PS",INDEX(Accounts!$F$2:$F$21,MATCH($A235,Accounts!$B$2:$B$21,0))&amp;"",IF($D235="Named engineer",INDEX(Accounts!$I$2:$I$21,MATCH($A235,Accounts!$B$2:$B$21,0))&amp;"",IF($D235="TSE + PS",IF(INDEX(Accounts!$G$2:$G$21,MATCH($A235,Accounts!$B$2:$B$21,0))&amp;""="","(no TSE)",INDEX(Accounts!$G$2:$G$21,MATCH($A235,Accounts!$B$2:$B$21,0))&amp;"")&amp;" / "&amp;IF(INDEX(Accounts!$F$2:$F$21,MATCH($A235,Accounts!$B$2:$B$21,0))&amp;""="","(no PS)",INDEX(Accounts!$F$2:$F$21,MATCH($A235,Accounts!$B$2:$B$21,0))&amp;""),"")))),""))</f>
        <v/>
      </c>
      <c r="F235" s="42" t="s">
        <v>104</v>
      </c>
      <c r="I235" s="42" t="s">
        <v>34</v>
      </c>
      <c r="K235" s="44" t="str">
        <f t="shared" si="1"/>
        <v>Owner missing </v>
      </c>
    </row>
    <row r="236" ht="15.75" customHeight="1">
      <c r="E236" s="43" t="str">
        <f t="array" ref="E236">IF($A236="","",IFERROR(IF($D236="TSE",INDEX(Accounts!$G$2:$G$21,MATCH($A236,Accounts!$B$2:$B$21,0))&amp;"",IF($D236="PS",INDEX(Accounts!$F$2:$F$21,MATCH($A236,Accounts!$B$2:$B$21,0))&amp;"",IF($D236="Named engineer",INDEX(Accounts!$I$2:$I$21,MATCH($A236,Accounts!$B$2:$B$21,0))&amp;"",IF($D236="TSE + PS",IF(INDEX(Accounts!$G$2:$G$21,MATCH($A236,Accounts!$B$2:$B$21,0))&amp;""="","(no TSE)",INDEX(Accounts!$G$2:$G$21,MATCH($A236,Accounts!$B$2:$B$21,0))&amp;"")&amp;" / "&amp;IF(INDEX(Accounts!$F$2:$F$21,MATCH($A236,Accounts!$B$2:$B$21,0))&amp;""="","(no PS)",INDEX(Accounts!$F$2:$F$21,MATCH($A236,Accounts!$B$2:$B$21,0))&amp;""),"")))),""))</f>
        <v/>
      </c>
      <c r="F236" s="42" t="s">
        <v>104</v>
      </c>
      <c r="I236" s="42" t="s">
        <v>34</v>
      </c>
      <c r="K236" s="44" t="str">
        <f t="shared" si="1"/>
        <v>Owner missing </v>
      </c>
    </row>
    <row r="237" ht="15.75" customHeight="1">
      <c r="E237" s="43" t="str">
        <f t="array" ref="E237">IF($A237="","",IFERROR(IF($D237="TSE",INDEX(Accounts!$G$2:$G$21,MATCH($A237,Accounts!$B$2:$B$21,0))&amp;"",IF($D237="PS",INDEX(Accounts!$F$2:$F$21,MATCH($A237,Accounts!$B$2:$B$21,0))&amp;"",IF($D237="Named engineer",INDEX(Accounts!$I$2:$I$21,MATCH($A237,Accounts!$B$2:$B$21,0))&amp;"",IF($D237="TSE + PS",IF(INDEX(Accounts!$G$2:$G$21,MATCH($A237,Accounts!$B$2:$B$21,0))&amp;""="","(no TSE)",INDEX(Accounts!$G$2:$G$21,MATCH($A237,Accounts!$B$2:$B$21,0))&amp;"")&amp;" / "&amp;IF(INDEX(Accounts!$F$2:$F$21,MATCH($A237,Accounts!$B$2:$B$21,0))&amp;""="","(no PS)",INDEX(Accounts!$F$2:$F$21,MATCH($A237,Accounts!$B$2:$B$21,0))&amp;""),"")))),""))</f>
        <v/>
      </c>
      <c r="F237" s="42" t="s">
        <v>104</v>
      </c>
      <c r="I237" s="42" t="s">
        <v>34</v>
      </c>
      <c r="K237" s="44" t="str">
        <f t="shared" si="1"/>
        <v>Owner missing </v>
      </c>
    </row>
    <row r="238" ht="15.75" customHeight="1">
      <c r="E238" s="43" t="str">
        <f t="array" ref="E238">IF($A238="","",IFERROR(IF($D238="TSE",INDEX(Accounts!$G$2:$G$21,MATCH($A238,Accounts!$B$2:$B$21,0))&amp;"",IF($D238="PS",INDEX(Accounts!$F$2:$F$21,MATCH($A238,Accounts!$B$2:$B$21,0))&amp;"",IF($D238="Named engineer",INDEX(Accounts!$I$2:$I$21,MATCH($A238,Accounts!$B$2:$B$21,0))&amp;"",IF($D238="TSE + PS",IF(INDEX(Accounts!$G$2:$G$21,MATCH($A238,Accounts!$B$2:$B$21,0))&amp;""="","(no TSE)",INDEX(Accounts!$G$2:$G$21,MATCH($A238,Accounts!$B$2:$B$21,0))&amp;"")&amp;" / "&amp;IF(INDEX(Accounts!$F$2:$F$21,MATCH($A238,Accounts!$B$2:$B$21,0))&amp;""="","(no PS)",INDEX(Accounts!$F$2:$F$21,MATCH($A238,Accounts!$B$2:$B$21,0))&amp;""),"")))),""))</f>
        <v/>
      </c>
      <c r="F238" s="42" t="s">
        <v>104</v>
      </c>
      <c r="I238" s="42" t="s">
        <v>34</v>
      </c>
      <c r="K238" s="44" t="str">
        <f t="shared" si="1"/>
        <v>Owner missing </v>
      </c>
    </row>
    <row r="239" ht="15.75" customHeight="1">
      <c r="E239" s="43" t="str">
        <f t="array" ref="E239">IF($A239="","",IFERROR(IF($D239="TSE",INDEX(Accounts!$G$2:$G$21,MATCH($A239,Accounts!$B$2:$B$21,0))&amp;"",IF($D239="PS",INDEX(Accounts!$F$2:$F$21,MATCH($A239,Accounts!$B$2:$B$21,0))&amp;"",IF($D239="Named engineer",INDEX(Accounts!$I$2:$I$21,MATCH($A239,Accounts!$B$2:$B$21,0))&amp;"",IF($D239="TSE + PS",IF(INDEX(Accounts!$G$2:$G$21,MATCH($A239,Accounts!$B$2:$B$21,0))&amp;""="","(no TSE)",INDEX(Accounts!$G$2:$G$21,MATCH($A239,Accounts!$B$2:$B$21,0))&amp;"")&amp;" / "&amp;IF(INDEX(Accounts!$F$2:$F$21,MATCH($A239,Accounts!$B$2:$B$21,0))&amp;""="","(no PS)",INDEX(Accounts!$F$2:$F$21,MATCH($A239,Accounts!$B$2:$B$21,0))&amp;""),"")))),""))</f>
        <v/>
      </c>
      <c r="F239" s="42" t="s">
        <v>104</v>
      </c>
      <c r="I239" s="42" t="s">
        <v>34</v>
      </c>
      <c r="K239" s="44" t="str">
        <f t="shared" si="1"/>
        <v>Owner missing </v>
      </c>
    </row>
    <row r="240" ht="15.75" customHeight="1">
      <c r="E240" s="43" t="str">
        <f t="array" ref="E240">IF($A240="","",IFERROR(IF($D240="TSE",INDEX(Accounts!$G$2:$G$21,MATCH($A240,Accounts!$B$2:$B$21,0))&amp;"",IF($D240="PS",INDEX(Accounts!$F$2:$F$21,MATCH($A240,Accounts!$B$2:$B$21,0))&amp;"",IF($D240="Named engineer",INDEX(Accounts!$I$2:$I$21,MATCH($A240,Accounts!$B$2:$B$21,0))&amp;"",IF($D240="TSE + PS",IF(INDEX(Accounts!$G$2:$G$21,MATCH($A240,Accounts!$B$2:$B$21,0))&amp;""="","(no TSE)",INDEX(Accounts!$G$2:$G$21,MATCH($A240,Accounts!$B$2:$B$21,0))&amp;"")&amp;" / "&amp;IF(INDEX(Accounts!$F$2:$F$21,MATCH($A240,Accounts!$B$2:$B$21,0))&amp;""="","(no PS)",INDEX(Accounts!$F$2:$F$21,MATCH($A240,Accounts!$B$2:$B$21,0))&amp;""),"")))),""))</f>
        <v/>
      </c>
      <c r="F240" s="42" t="s">
        <v>104</v>
      </c>
      <c r="I240" s="42" t="s">
        <v>34</v>
      </c>
      <c r="K240" s="44" t="str">
        <f t="shared" si="1"/>
        <v>Owner missing </v>
      </c>
    </row>
    <row r="241" ht="15.75" customHeight="1">
      <c r="E241" s="43" t="str">
        <f t="array" ref="E241">IF($A241="","",IFERROR(IF($D241="TSE",INDEX(Accounts!$G$2:$G$21,MATCH($A241,Accounts!$B$2:$B$21,0))&amp;"",IF($D241="PS",INDEX(Accounts!$F$2:$F$21,MATCH($A241,Accounts!$B$2:$B$21,0))&amp;"",IF($D241="Named engineer",INDEX(Accounts!$I$2:$I$21,MATCH($A241,Accounts!$B$2:$B$21,0))&amp;"",IF($D241="TSE + PS",IF(INDEX(Accounts!$G$2:$G$21,MATCH($A241,Accounts!$B$2:$B$21,0))&amp;""="","(no TSE)",INDEX(Accounts!$G$2:$G$21,MATCH($A241,Accounts!$B$2:$B$21,0))&amp;"")&amp;" / "&amp;IF(INDEX(Accounts!$F$2:$F$21,MATCH($A241,Accounts!$B$2:$B$21,0))&amp;""="","(no PS)",INDEX(Accounts!$F$2:$F$21,MATCH($A241,Accounts!$B$2:$B$21,0))&amp;""),"")))),""))</f>
        <v/>
      </c>
      <c r="F241" s="42" t="s">
        <v>104</v>
      </c>
      <c r="I241" s="42" t="s">
        <v>34</v>
      </c>
      <c r="K241" s="44" t="str">
        <f t="shared" si="1"/>
        <v>Owner missing </v>
      </c>
    </row>
    <row r="242" ht="15.75" customHeight="1">
      <c r="E242" s="43" t="str">
        <f t="array" ref="E242">IF($A242="","",IFERROR(IF($D242="TSE",INDEX(Accounts!$G$2:$G$21,MATCH($A242,Accounts!$B$2:$B$21,0))&amp;"",IF($D242="PS",INDEX(Accounts!$F$2:$F$21,MATCH($A242,Accounts!$B$2:$B$21,0))&amp;"",IF($D242="Named engineer",INDEX(Accounts!$I$2:$I$21,MATCH($A242,Accounts!$B$2:$B$21,0))&amp;"",IF($D242="TSE + PS",IF(INDEX(Accounts!$G$2:$G$21,MATCH($A242,Accounts!$B$2:$B$21,0))&amp;""="","(no TSE)",INDEX(Accounts!$G$2:$G$21,MATCH($A242,Accounts!$B$2:$B$21,0))&amp;"")&amp;" / "&amp;IF(INDEX(Accounts!$F$2:$F$21,MATCH($A242,Accounts!$B$2:$B$21,0))&amp;""="","(no PS)",INDEX(Accounts!$F$2:$F$21,MATCH($A242,Accounts!$B$2:$B$21,0))&amp;""),"")))),""))</f>
        <v/>
      </c>
      <c r="F242" s="42" t="s">
        <v>104</v>
      </c>
      <c r="I242" s="42" t="s">
        <v>34</v>
      </c>
      <c r="K242" s="44" t="str">
        <f t="shared" si="1"/>
        <v>Owner missing </v>
      </c>
    </row>
    <row r="243" ht="15.75" customHeight="1">
      <c r="E243" s="43" t="str">
        <f t="array" ref="E243">IF($A243="","",IFERROR(IF($D243="TSE",INDEX(Accounts!$G$2:$G$21,MATCH($A243,Accounts!$B$2:$B$21,0))&amp;"",IF($D243="PS",INDEX(Accounts!$F$2:$F$21,MATCH($A243,Accounts!$B$2:$B$21,0))&amp;"",IF($D243="Named engineer",INDEX(Accounts!$I$2:$I$21,MATCH($A243,Accounts!$B$2:$B$21,0))&amp;"",IF($D243="TSE + PS",IF(INDEX(Accounts!$G$2:$G$21,MATCH($A243,Accounts!$B$2:$B$21,0))&amp;""="","(no TSE)",INDEX(Accounts!$G$2:$G$21,MATCH($A243,Accounts!$B$2:$B$21,0))&amp;"")&amp;" / "&amp;IF(INDEX(Accounts!$F$2:$F$21,MATCH($A243,Accounts!$B$2:$B$21,0))&amp;""="","(no PS)",INDEX(Accounts!$F$2:$F$21,MATCH($A243,Accounts!$B$2:$B$21,0))&amp;""),"")))),""))</f>
        <v/>
      </c>
      <c r="F243" s="42" t="s">
        <v>104</v>
      </c>
      <c r="I243" s="42" t="s">
        <v>34</v>
      </c>
      <c r="K243" s="44" t="str">
        <f t="shared" si="1"/>
        <v>Owner missing </v>
      </c>
    </row>
    <row r="244" ht="15.75" customHeight="1">
      <c r="E244" s="43" t="str">
        <f t="array" ref="E244">IF($A244="","",IFERROR(IF($D244="TSE",INDEX(Accounts!$G$2:$G$21,MATCH($A244,Accounts!$B$2:$B$21,0))&amp;"",IF($D244="PS",INDEX(Accounts!$F$2:$F$21,MATCH($A244,Accounts!$B$2:$B$21,0))&amp;"",IF($D244="Named engineer",INDEX(Accounts!$I$2:$I$21,MATCH($A244,Accounts!$B$2:$B$21,0))&amp;"",IF($D244="TSE + PS",IF(INDEX(Accounts!$G$2:$G$21,MATCH($A244,Accounts!$B$2:$B$21,0))&amp;""="","(no TSE)",INDEX(Accounts!$G$2:$G$21,MATCH($A244,Accounts!$B$2:$B$21,0))&amp;"")&amp;" / "&amp;IF(INDEX(Accounts!$F$2:$F$21,MATCH($A244,Accounts!$B$2:$B$21,0))&amp;""="","(no PS)",INDEX(Accounts!$F$2:$F$21,MATCH($A244,Accounts!$B$2:$B$21,0))&amp;""),"")))),""))</f>
        <v/>
      </c>
      <c r="F244" s="42" t="s">
        <v>104</v>
      </c>
      <c r="I244" s="42" t="s">
        <v>34</v>
      </c>
      <c r="K244" s="44" t="str">
        <f t="shared" si="1"/>
        <v>Owner missing </v>
      </c>
    </row>
    <row r="245" ht="15.75" customHeight="1">
      <c r="E245" s="43" t="str">
        <f t="array" ref="E245">IF($A245="","",IFERROR(IF($D245="TSE",INDEX(Accounts!$G$2:$G$21,MATCH($A245,Accounts!$B$2:$B$21,0))&amp;"",IF($D245="PS",INDEX(Accounts!$F$2:$F$21,MATCH($A245,Accounts!$B$2:$B$21,0))&amp;"",IF($D245="Named engineer",INDEX(Accounts!$I$2:$I$21,MATCH($A245,Accounts!$B$2:$B$21,0))&amp;"",IF($D245="TSE + PS",IF(INDEX(Accounts!$G$2:$G$21,MATCH($A245,Accounts!$B$2:$B$21,0))&amp;""="","(no TSE)",INDEX(Accounts!$G$2:$G$21,MATCH($A245,Accounts!$B$2:$B$21,0))&amp;"")&amp;" / "&amp;IF(INDEX(Accounts!$F$2:$F$21,MATCH($A245,Accounts!$B$2:$B$21,0))&amp;""="","(no PS)",INDEX(Accounts!$F$2:$F$21,MATCH($A245,Accounts!$B$2:$B$21,0))&amp;""),"")))),""))</f>
        <v/>
      </c>
      <c r="F245" s="42" t="s">
        <v>104</v>
      </c>
      <c r="I245" s="42" t="s">
        <v>34</v>
      </c>
      <c r="K245" s="44" t="str">
        <f t="shared" si="1"/>
        <v>Owner missing </v>
      </c>
    </row>
    <row r="246" ht="15.75" customHeight="1">
      <c r="E246" s="43" t="str">
        <f t="array" ref="E246">IF($A246="","",IFERROR(IF($D246="TSE",INDEX(Accounts!$G$2:$G$21,MATCH($A246,Accounts!$B$2:$B$21,0))&amp;"",IF($D246="PS",INDEX(Accounts!$F$2:$F$21,MATCH($A246,Accounts!$B$2:$B$21,0))&amp;"",IF($D246="Named engineer",INDEX(Accounts!$I$2:$I$21,MATCH($A246,Accounts!$B$2:$B$21,0))&amp;"",IF($D246="TSE + PS",IF(INDEX(Accounts!$G$2:$G$21,MATCH($A246,Accounts!$B$2:$B$21,0))&amp;""="","(no TSE)",INDEX(Accounts!$G$2:$G$21,MATCH($A246,Accounts!$B$2:$B$21,0))&amp;"")&amp;" / "&amp;IF(INDEX(Accounts!$F$2:$F$21,MATCH($A246,Accounts!$B$2:$B$21,0))&amp;""="","(no PS)",INDEX(Accounts!$F$2:$F$21,MATCH($A246,Accounts!$B$2:$B$21,0))&amp;""),"")))),""))</f>
        <v/>
      </c>
      <c r="F246" s="42" t="s">
        <v>104</v>
      </c>
      <c r="I246" s="42" t="s">
        <v>34</v>
      </c>
      <c r="K246" s="44" t="str">
        <f t="shared" si="1"/>
        <v>Owner missing </v>
      </c>
    </row>
    <row r="247" ht="15.75" customHeight="1">
      <c r="E247" s="43" t="str">
        <f t="array" ref="E247">IF($A247="","",IFERROR(IF($D247="TSE",INDEX(Accounts!$G$2:$G$21,MATCH($A247,Accounts!$B$2:$B$21,0))&amp;"",IF($D247="PS",INDEX(Accounts!$F$2:$F$21,MATCH($A247,Accounts!$B$2:$B$21,0))&amp;"",IF($D247="Named engineer",INDEX(Accounts!$I$2:$I$21,MATCH($A247,Accounts!$B$2:$B$21,0))&amp;"",IF($D247="TSE + PS",IF(INDEX(Accounts!$G$2:$G$21,MATCH($A247,Accounts!$B$2:$B$21,0))&amp;""="","(no TSE)",INDEX(Accounts!$G$2:$G$21,MATCH($A247,Accounts!$B$2:$B$21,0))&amp;"")&amp;" / "&amp;IF(INDEX(Accounts!$F$2:$F$21,MATCH($A247,Accounts!$B$2:$B$21,0))&amp;""="","(no PS)",INDEX(Accounts!$F$2:$F$21,MATCH($A247,Accounts!$B$2:$B$21,0))&amp;""),"")))),""))</f>
        <v/>
      </c>
      <c r="F247" s="42" t="s">
        <v>104</v>
      </c>
      <c r="I247" s="42" t="s">
        <v>34</v>
      </c>
      <c r="K247" s="44" t="str">
        <f t="shared" si="1"/>
        <v>Owner missing </v>
      </c>
    </row>
    <row r="248" ht="15.75" customHeight="1">
      <c r="E248" s="43" t="str">
        <f t="array" ref="E248">IF($A248="","",IFERROR(IF($D248="TSE",INDEX(Accounts!$G$2:$G$21,MATCH($A248,Accounts!$B$2:$B$21,0))&amp;"",IF($D248="PS",INDEX(Accounts!$F$2:$F$21,MATCH($A248,Accounts!$B$2:$B$21,0))&amp;"",IF($D248="Named engineer",INDEX(Accounts!$I$2:$I$21,MATCH($A248,Accounts!$B$2:$B$21,0))&amp;"",IF($D248="TSE + PS",IF(INDEX(Accounts!$G$2:$G$21,MATCH($A248,Accounts!$B$2:$B$21,0))&amp;""="","(no TSE)",INDEX(Accounts!$G$2:$G$21,MATCH($A248,Accounts!$B$2:$B$21,0))&amp;"")&amp;" / "&amp;IF(INDEX(Accounts!$F$2:$F$21,MATCH($A248,Accounts!$B$2:$B$21,0))&amp;""="","(no PS)",INDEX(Accounts!$F$2:$F$21,MATCH($A248,Accounts!$B$2:$B$21,0))&amp;""),"")))),""))</f>
        <v/>
      </c>
      <c r="F248" s="42" t="s">
        <v>104</v>
      </c>
      <c r="I248" s="42" t="s">
        <v>34</v>
      </c>
      <c r="K248" s="44" t="str">
        <f t="shared" si="1"/>
        <v>Owner missing </v>
      </c>
    </row>
    <row r="249" ht="15.75" customHeight="1">
      <c r="E249" s="43" t="str">
        <f t="array" ref="E249">IF($A249="","",IFERROR(IF($D249="TSE",INDEX(Accounts!$G$2:$G$21,MATCH($A249,Accounts!$B$2:$B$21,0))&amp;"",IF($D249="PS",INDEX(Accounts!$F$2:$F$21,MATCH($A249,Accounts!$B$2:$B$21,0))&amp;"",IF($D249="Named engineer",INDEX(Accounts!$I$2:$I$21,MATCH($A249,Accounts!$B$2:$B$21,0))&amp;"",IF($D249="TSE + PS",IF(INDEX(Accounts!$G$2:$G$21,MATCH($A249,Accounts!$B$2:$B$21,0))&amp;""="","(no TSE)",INDEX(Accounts!$G$2:$G$21,MATCH($A249,Accounts!$B$2:$B$21,0))&amp;"")&amp;" / "&amp;IF(INDEX(Accounts!$F$2:$F$21,MATCH($A249,Accounts!$B$2:$B$21,0))&amp;""="","(no PS)",INDEX(Accounts!$F$2:$F$21,MATCH($A249,Accounts!$B$2:$B$21,0))&amp;""),"")))),""))</f>
        <v/>
      </c>
      <c r="F249" s="42" t="s">
        <v>104</v>
      </c>
      <c r="I249" s="42" t="s">
        <v>34</v>
      </c>
      <c r="K249" s="44" t="str">
        <f t="shared" si="1"/>
        <v>Owner missing </v>
      </c>
    </row>
    <row r="250" ht="15.75" customHeight="1">
      <c r="E250" s="43" t="str">
        <f t="array" ref="E250">IF($A250="","",IFERROR(IF($D250="TSE",INDEX(Accounts!$G$2:$G$21,MATCH($A250,Accounts!$B$2:$B$21,0))&amp;"",IF($D250="PS",INDEX(Accounts!$F$2:$F$21,MATCH($A250,Accounts!$B$2:$B$21,0))&amp;"",IF($D250="Named engineer",INDEX(Accounts!$I$2:$I$21,MATCH($A250,Accounts!$B$2:$B$21,0))&amp;"",IF($D250="TSE + PS",IF(INDEX(Accounts!$G$2:$G$21,MATCH($A250,Accounts!$B$2:$B$21,0))&amp;""="","(no TSE)",INDEX(Accounts!$G$2:$G$21,MATCH($A250,Accounts!$B$2:$B$21,0))&amp;"")&amp;" / "&amp;IF(INDEX(Accounts!$F$2:$F$21,MATCH($A250,Accounts!$B$2:$B$21,0))&amp;""="","(no PS)",INDEX(Accounts!$F$2:$F$21,MATCH($A250,Accounts!$B$2:$B$21,0))&amp;""),"")))),""))</f>
        <v/>
      </c>
      <c r="F250" s="42" t="s">
        <v>104</v>
      </c>
      <c r="I250" s="42" t="s">
        <v>34</v>
      </c>
      <c r="K250" s="44" t="str">
        <f t="shared" si="1"/>
        <v>Owner missing </v>
      </c>
    </row>
    <row r="251" ht="15.75" customHeight="1">
      <c r="E251" s="43" t="str">
        <f t="array" ref="E251">IF($A251="","",IFERROR(IF($D251="TSE",INDEX(Accounts!$G$2:$G$21,MATCH($A251,Accounts!$B$2:$B$21,0))&amp;"",IF($D251="PS",INDEX(Accounts!$F$2:$F$21,MATCH($A251,Accounts!$B$2:$B$21,0))&amp;"",IF($D251="Named engineer",INDEX(Accounts!$I$2:$I$21,MATCH($A251,Accounts!$B$2:$B$21,0))&amp;"",IF($D251="TSE + PS",IF(INDEX(Accounts!$G$2:$G$21,MATCH($A251,Accounts!$B$2:$B$21,0))&amp;""="","(no TSE)",INDEX(Accounts!$G$2:$G$21,MATCH($A251,Accounts!$B$2:$B$21,0))&amp;"")&amp;" / "&amp;IF(INDEX(Accounts!$F$2:$F$21,MATCH($A251,Accounts!$B$2:$B$21,0))&amp;""="","(no PS)",INDEX(Accounts!$F$2:$F$21,MATCH($A251,Accounts!$B$2:$B$21,0))&amp;""),"")))),""))</f>
        <v/>
      </c>
      <c r="F251" s="42" t="s">
        <v>104</v>
      </c>
      <c r="I251" s="42" t="s">
        <v>34</v>
      </c>
      <c r="K251" s="44" t="str">
        <f t="shared" si="1"/>
        <v>Owner missing </v>
      </c>
    </row>
    <row r="252" ht="15.75" customHeight="1">
      <c r="E252" s="43" t="str">
        <f t="array" ref="E252">IF($A252="","",IFERROR(IF($D252="TSE",INDEX(Accounts!$G$2:$G$21,MATCH($A252,Accounts!$B$2:$B$21,0))&amp;"",IF($D252="PS",INDEX(Accounts!$F$2:$F$21,MATCH($A252,Accounts!$B$2:$B$21,0))&amp;"",IF($D252="Named engineer",INDEX(Accounts!$I$2:$I$21,MATCH($A252,Accounts!$B$2:$B$21,0))&amp;"",IF($D252="TSE + PS",IF(INDEX(Accounts!$G$2:$G$21,MATCH($A252,Accounts!$B$2:$B$21,0))&amp;""="","(no TSE)",INDEX(Accounts!$G$2:$G$21,MATCH($A252,Accounts!$B$2:$B$21,0))&amp;"")&amp;" / "&amp;IF(INDEX(Accounts!$F$2:$F$21,MATCH($A252,Accounts!$B$2:$B$21,0))&amp;""="","(no PS)",INDEX(Accounts!$F$2:$F$21,MATCH($A252,Accounts!$B$2:$B$21,0))&amp;""),"")))),""))</f>
        <v/>
      </c>
      <c r="F252" s="42" t="s">
        <v>104</v>
      </c>
      <c r="I252" s="42" t="s">
        <v>34</v>
      </c>
      <c r="K252" s="44" t="str">
        <f t="shared" si="1"/>
        <v>Owner missing </v>
      </c>
    </row>
    <row r="253" ht="15.75" customHeight="1">
      <c r="E253" s="43" t="str">
        <f t="array" ref="E253">IF($A253="","",IFERROR(IF($D253="TSE",INDEX(Accounts!$G$2:$G$21,MATCH($A253,Accounts!$B$2:$B$21,0))&amp;"",IF($D253="PS",INDEX(Accounts!$F$2:$F$21,MATCH($A253,Accounts!$B$2:$B$21,0))&amp;"",IF($D253="Named engineer",INDEX(Accounts!$I$2:$I$21,MATCH($A253,Accounts!$B$2:$B$21,0))&amp;"",IF($D253="TSE + PS",IF(INDEX(Accounts!$G$2:$G$21,MATCH($A253,Accounts!$B$2:$B$21,0))&amp;""="","(no TSE)",INDEX(Accounts!$G$2:$G$21,MATCH($A253,Accounts!$B$2:$B$21,0))&amp;"")&amp;" / "&amp;IF(INDEX(Accounts!$F$2:$F$21,MATCH($A253,Accounts!$B$2:$B$21,0))&amp;""="","(no PS)",INDEX(Accounts!$F$2:$F$21,MATCH($A253,Accounts!$B$2:$B$21,0))&amp;""),"")))),""))</f>
        <v/>
      </c>
      <c r="F253" s="42" t="s">
        <v>104</v>
      </c>
      <c r="I253" s="42" t="s">
        <v>34</v>
      </c>
      <c r="K253" s="44" t="str">
        <f t="shared" si="1"/>
        <v>Owner missing </v>
      </c>
    </row>
    <row r="254" ht="15.75" customHeight="1">
      <c r="E254" s="43" t="str">
        <f t="array" ref="E254">IF($A254="","",IFERROR(IF($D254="TSE",INDEX(Accounts!$G$2:$G$21,MATCH($A254,Accounts!$B$2:$B$21,0))&amp;"",IF($D254="PS",INDEX(Accounts!$F$2:$F$21,MATCH($A254,Accounts!$B$2:$B$21,0))&amp;"",IF($D254="Named engineer",INDEX(Accounts!$I$2:$I$21,MATCH($A254,Accounts!$B$2:$B$21,0))&amp;"",IF($D254="TSE + PS",IF(INDEX(Accounts!$G$2:$G$21,MATCH($A254,Accounts!$B$2:$B$21,0))&amp;""="","(no TSE)",INDEX(Accounts!$G$2:$G$21,MATCH($A254,Accounts!$B$2:$B$21,0))&amp;"")&amp;" / "&amp;IF(INDEX(Accounts!$F$2:$F$21,MATCH($A254,Accounts!$B$2:$B$21,0))&amp;""="","(no PS)",INDEX(Accounts!$F$2:$F$21,MATCH($A254,Accounts!$B$2:$B$21,0))&amp;""),"")))),""))</f>
        <v/>
      </c>
      <c r="F254" s="42" t="s">
        <v>104</v>
      </c>
      <c r="I254" s="42" t="s">
        <v>34</v>
      </c>
      <c r="K254" s="44" t="str">
        <f t="shared" si="1"/>
        <v>Owner missing </v>
      </c>
    </row>
    <row r="255" ht="15.75" customHeight="1">
      <c r="E255" s="43" t="str">
        <f t="array" ref="E255">IF($A255="","",IFERROR(IF($D255="TSE",INDEX(Accounts!$G$2:$G$21,MATCH($A255,Accounts!$B$2:$B$21,0))&amp;"",IF($D255="PS",INDEX(Accounts!$F$2:$F$21,MATCH($A255,Accounts!$B$2:$B$21,0))&amp;"",IF($D255="Named engineer",INDEX(Accounts!$I$2:$I$21,MATCH($A255,Accounts!$B$2:$B$21,0))&amp;"",IF($D255="TSE + PS",IF(INDEX(Accounts!$G$2:$G$21,MATCH($A255,Accounts!$B$2:$B$21,0))&amp;""="","(no TSE)",INDEX(Accounts!$G$2:$G$21,MATCH($A255,Accounts!$B$2:$B$21,0))&amp;"")&amp;" / "&amp;IF(INDEX(Accounts!$F$2:$F$21,MATCH($A255,Accounts!$B$2:$B$21,0))&amp;""="","(no PS)",INDEX(Accounts!$F$2:$F$21,MATCH($A255,Accounts!$B$2:$B$21,0))&amp;""),"")))),""))</f>
        <v/>
      </c>
      <c r="F255" s="42" t="s">
        <v>104</v>
      </c>
      <c r="I255" s="42" t="s">
        <v>34</v>
      </c>
      <c r="K255" s="44" t="str">
        <f t="shared" si="1"/>
        <v>Owner missing </v>
      </c>
    </row>
    <row r="256" ht="15.75" customHeight="1">
      <c r="E256" s="43" t="str">
        <f t="array" ref="E256">IF($A256="","",IFERROR(IF($D256="TSE",INDEX(Accounts!$G$2:$G$21,MATCH($A256,Accounts!$B$2:$B$21,0))&amp;"",IF($D256="PS",INDEX(Accounts!$F$2:$F$21,MATCH($A256,Accounts!$B$2:$B$21,0))&amp;"",IF($D256="Named engineer",INDEX(Accounts!$I$2:$I$21,MATCH($A256,Accounts!$B$2:$B$21,0))&amp;"",IF($D256="TSE + PS",IF(INDEX(Accounts!$G$2:$G$21,MATCH($A256,Accounts!$B$2:$B$21,0))&amp;""="","(no TSE)",INDEX(Accounts!$G$2:$G$21,MATCH($A256,Accounts!$B$2:$B$21,0))&amp;"")&amp;" / "&amp;IF(INDEX(Accounts!$F$2:$F$21,MATCH($A256,Accounts!$B$2:$B$21,0))&amp;""="","(no PS)",INDEX(Accounts!$F$2:$F$21,MATCH($A256,Accounts!$B$2:$B$21,0))&amp;""),"")))),""))</f>
        <v/>
      </c>
      <c r="F256" s="42" t="s">
        <v>104</v>
      </c>
      <c r="I256" s="42" t="s">
        <v>34</v>
      </c>
      <c r="K256" s="44" t="str">
        <f t="shared" si="1"/>
        <v>Owner missing </v>
      </c>
    </row>
    <row r="257" ht="15.75" customHeight="1">
      <c r="E257" s="43" t="str">
        <f t="array" ref="E257">IF($A257="","",IFERROR(IF($D257="TSE",INDEX(Accounts!$G$2:$G$21,MATCH($A257,Accounts!$B$2:$B$21,0))&amp;"",IF($D257="PS",INDEX(Accounts!$F$2:$F$21,MATCH($A257,Accounts!$B$2:$B$21,0))&amp;"",IF($D257="Named engineer",INDEX(Accounts!$I$2:$I$21,MATCH($A257,Accounts!$B$2:$B$21,0))&amp;"",IF($D257="TSE + PS",IF(INDEX(Accounts!$G$2:$G$21,MATCH($A257,Accounts!$B$2:$B$21,0))&amp;""="","(no TSE)",INDEX(Accounts!$G$2:$G$21,MATCH($A257,Accounts!$B$2:$B$21,0))&amp;"")&amp;" / "&amp;IF(INDEX(Accounts!$F$2:$F$21,MATCH($A257,Accounts!$B$2:$B$21,0))&amp;""="","(no PS)",INDEX(Accounts!$F$2:$F$21,MATCH($A257,Accounts!$B$2:$B$21,0))&amp;""),"")))),""))</f>
        <v/>
      </c>
      <c r="F257" s="42" t="s">
        <v>104</v>
      </c>
      <c r="I257" s="42" t="s">
        <v>34</v>
      </c>
      <c r="K257" s="44" t="str">
        <f t="shared" si="1"/>
        <v>Owner missing </v>
      </c>
    </row>
    <row r="258" ht="15.75" customHeight="1">
      <c r="E258" s="43" t="str">
        <f t="array" ref="E258">IF($A258="","",IFERROR(IF($D258="TSE",INDEX(Accounts!$G$2:$G$21,MATCH($A258,Accounts!$B$2:$B$21,0))&amp;"",IF($D258="PS",INDEX(Accounts!$F$2:$F$21,MATCH($A258,Accounts!$B$2:$B$21,0))&amp;"",IF($D258="Named engineer",INDEX(Accounts!$I$2:$I$21,MATCH($A258,Accounts!$B$2:$B$21,0))&amp;"",IF($D258="TSE + PS",IF(INDEX(Accounts!$G$2:$G$21,MATCH($A258,Accounts!$B$2:$B$21,0))&amp;""="","(no TSE)",INDEX(Accounts!$G$2:$G$21,MATCH($A258,Accounts!$B$2:$B$21,0))&amp;"")&amp;" / "&amp;IF(INDEX(Accounts!$F$2:$F$21,MATCH($A258,Accounts!$B$2:$B$21,0))&amp;""="","(no PS)",INDEX(Accounts!$F$2:$F$21,MATCH($A258,Accounts!$B$2:$B$21,0))&amp;""),"")))),""))</f>
        <v/>
      </c>
      <c r="F258" s="42" t="s">
        <v>104</v>
      </c>
      <c r="I258" s="42" t="s">
        <v>34</v>
      </c>
      <c r="K258" s="44" t="str">
        <f t="shared" si="1"/>
        <v>Owner missing </v>
      </c>
    </row>
    <row r="259" ht="15.75" customHeight="1">
      <c r="E259" s="43" t="str">
        <f t="array" ref="E259">IF($A259="","",IFERROR(IF($D259="TSE",INDEX(Accounts!$G$2:$G$21,MATCH($A259,Accounts!$B$2:$B$21,0))&amp;"",IF($D259="PS",INDEX(Accounts!$F$2:$F$21,MATCH($A259,Accounts!$B$2:$B$21,0))&amp;"",IF($D259="Named engineer",INDEX(Accounts!$I$2:$I$21,MATCH($A259,Accounts!$B$2:$B$21,0))&amp;"",IF($D259="TSE + PS",IF(INDEX(Accounts!$G$2:$G$21,MATCH($A259,Accounts!$B$2:$B$21,0))&amp;""="","(no TSE)",INDEX(Accounts!$G$2:$G$21,MATCH($A259,Accounts!$B$2:$B$21,0))&amp;"")&amp;" / "&amp;IF(INDEX(Accounts!$F$2:$F$21,MATCH($A259,Accounts!$B$2:$B$21,0))&amp;""="","(no PS)",INDEX(Accounts!$F$2:$F$21,MATCH($A259,Accounts!$B$2:$B$21,0))&amp;""),"")))),""))</f>
        <v/>
      </c>
      <c r="F259" s="42" t="s">
        <v>104</v>
      </c>
      <c r="I259" s="42" t="s">
        <v>34</v>
      </c>
      <c r="K259" s="44" t="str">
        <f t="shared" si="1"/>
        <v>Owner missing </v>
      </c>
    </row>
    <row r="260" ht="15.75" customHeight="1">
      <c r="E260" s="43" t="str">
        <f t="array" ref="E260">IF($A260="","",IFERROR(IF($D260="TSE",INDEX(Accounts!$G$2:$G$21,MATCH($A260,Accounts!$B$2:$B$21,0))&amp;"",IF($D260="PS",INDEX(Accounts!$F$2:$F$21,MATCH($A260,Accounts!$B$2:$B$21,0))&amp;"",IF($D260="Named engineer",INDEX(Accounts!$I$2:$I$21,MATCH($A260,Accounts!$B$2:$B$21,0))&amp;"",IF($D260="TSE + PS",IF(INDEX(Accounts!$G$2:$G$21,MATCH($A260,Accounts!$B$2:$B$21,0))&amp;""="","(no TSE)",INDEX(Accounts!$G$2:$G$21,MATCH($A260,Accounts!$B$2:$B$21,0))&amp;"")&amp;" / "&amp;IF(INDEX(Accounts!$F$2:$F$21,MATCH($A260,Accounts!$B$2:$B$21,0))&amp;""="","(no PS)",INDEX(Accounts!$F$2:$F$21,MATCH($A260,Accounts!$B$2:$B$21,0))&amp;""),"")))),""))</f>
        <v/>
      </c>
      <c r="F260" s="42" t="s">
        <v>104</v>
      </c>
      <c r="I260" s="42" t="s">
        <v>34</v>
      </c>
      <c r="K260" s="44" t="str">
        <f t="shared" si="1"/>
        <v>Owner missing </v>
      </c>
    </row>
    <row r="261" ht="15.75" customHeight="1">
      <c r="E261" s="43" t="str">
        <f t="array" ref="E261">IF($A261="","",IFERROR(IF($D261="TSE",INDEX(Accounts!$G$2:$G$21,MATCH($A261,Accounts!$B$2:$B$21,0))&amp;"",IF($D261="PS",INDEX(Accounts!$F$2:$F$21,MATCH($A261,Accounts!$B$2:$B$21,0))&amp;"",IF($D261="Named engineer",INDEX(Accounts!$I$2:$I$21,MATCH($A261,Accounts!$B$2:$B$21,0))&amp;"",IF($D261="TSE + PS",IF(INDEX(Accounts!$G$2:$G$21,MATCH($A261,Accounts!$B$2:$B$21,0))&amp;""="","(no TSE)",INDEX(Accounts!$G$2:$G$21,MATCH($A261,Accounts!$B$2:$B$21,0))&amp;"")&amp;" / "&amp;IF(INDEX(Accounts!$F$2:$F$21,MATCH($A261,Accounts!$B$2:$B$21,0))&amp;""="","(no PS)",INDEX(Accounts!$F$2:$F$21,MATCH($A261,Accounts!$B$2:$B$21,0))&amp;""),"")))),""))</f>
        <v/>
      </c>
      <c r="F261" s="42" t="s">
        <v>104</v>
      </c>
      <c r="I261" s="42" t="s">
        <v>34</v>
      </c>
      <c r="K261" s="44" t="str">
        <f t="shared" si="1"/>
        <v>Owner missing </v>
      </c>
    </row>
    <row r="262" ht="15.75" customHeight="1">
      <c r="E262" s="43" t="str">
        <f t="array" ref="E262">IF($A262="","",IFERROR(IF($D262="TSE",INDEX(Accounts!$G$2:$G$21,MATCH($A262,Accounts!$B$2:$B$21,0))&amp;"",IF($D262="PS",INDEX(Accounts!$F$2:$F$21,MATCH($A262,Accounts!$B$2:$B$21,0))&amp;"",IF($D262="Named engineer",INDEX(Accounts!$I$2:$I$21,MATCH($A262,Accounts!$B$2:$B$21,0))&amp;"",IF($D262="TSE + PS",IF(INDEX(Accounts!$G$2:$G$21,MATCH($A262,Accounts!$B$2:$B$21,0))&amp;""="","(no TSE)",INDEX(Accounts!$G$2:$G$21,MATCH($A262,Accounts!$B$2:$B$21,0))&amp;"")&amp;" / "&amp;IF(INDEX(Accounts!$F$2:$F$21,MATCH($A262,Accounts!$B$2:$B$21,0))&amp;""="","(no PS)",INDEX(Accounts!$F$2:$F$21,MATCH($A262,Accounts!$B$2:$B$21,0))&amp;""),"")))),""))</f>
        <v/>
      </c>
      <c r="F262" s="42" t="s">
        <v>104</v>
      </c>
      <c r="I262" s="42" t="s">
        <v>34</v>
      </c>
      <c r="K262" s="44" t="str">
        <f t="shared" si="1"/>
        <v>Owner missing </v>
      </c>
    </row>
    <row r="263" ht="15.75" customHeight="1">
      <c r="E263" s="43" t="str">
        <f t="array" ref="E263">IF($A263="","",IFERROR(IF($D263="TSE",INDEX(Accounts!$G$2:$G$21,MATCH($A263,Accounts!$B$2:$B$21,0))&amp;"",IF($D263="PS",INDEX(Accounts!$F$2:$F$21,MATCH($A263,Accounts!$B$2:$B$21,0))&amp;"",IF($D263="Named engineer",INDEX(Accounts!$I$2:$I$21,MATCH($A263,Accounts!$B$2:$B$21,0))&amp;"",IF($D263="TSE + PS",IF(INDEX(Accounts!$G$2:$G$21,MATCH($A263,Accounts!$B$2:$B$21,0))&amp;""="","(no TSE)",INDEX(Accounts!$G$2:$G$21,MATCH($A263,Accounts!$B$2:$B$21,0))&amp;"")&amp;" / "&amp;IF(INDEX(Accounts!$F$2:$F$21,MATCH($A263,Accounts!$B$2:$B$21,0))&amp;""="","(no PS)",INDEX(Accounts!$F$2:$F$21,MATCH($A263,Accounts!$B$2:$B$21,0))&amp;""),"")))),""))</f>
        <v/>
      </c>
      <c r="F263" s="42" t="s">
        <v>104</v>
      </c>
      <c r="I263" s="42" t="s">
        <v>34</v>
      </c>
      <c r="K263" s="44" t="str">
        <f t="shared" si="1"/>
        <v>Owner missing </v>
      </c>
    </row>
    <row r="264" ht="15.75" customHeight="1">
      <c r="E264" s="43" t="str">
        <f t="array" ref="E264">IF($A264="","",IFERROR(IF($D264="TSE",INDEX(Accounts!$G$2:$G$21,MATCH($A264,Accounts!$B$2:$B$21,0))&amp;"",IF($D264="PS",INDEX(Accounts!$F$2:$F$21,MATCH($A264,Accounts!$B$2:$B$21,0))&amp;"",IF($D264="Named engineer",INDEX(Accounts!$I$2:$I$21,MATCH($A264,Accounts!$B$2:$B$21,0))&amp;"",IF($D264="TSE + PS",IF(INDEX(Accounts!$G$2:$G$21,MATCH($A264,Accounts!$B$2:$B$21,0))&amp;""="","(no TSE)",INDEX(Accounts!$G$2:$G$21,MATCH($A264,Accounts!$B$2:$B$21,0))&amp;"")&amp;" / "&amp;IF(INDEX(Accounts!$F$2:$F$21,MATCH($A264,Accounts!$B$2:$B$21,0))&amp;""="","(no PS)",INDEX(Accounts!$F$2:$F$21,MATCH($A264,Accounts!$B$2:$B$21,0))&amp;""),"")))),""))</f>
        <v/>
      </c>
      <c r="F264" s="42" t="s">
        <v>104</v>
      </c>
      <c r="I264" s="42" t="s">
        <v>34</v>
      </c>
      <c r="K264" s="44" t="str">
        <f t="shared" si="1"/>
        <v>Owner missing </v>
      </c>
    </row>
    <row r="265" ht="15.75" customHeight="1">
      <c r="E265" s="43" t="str">
        <f t="array" ref="E265">IF($A265="","",IFERROR(IF($D265="TSE",INDEX(Accounts!$G$2:$G$21,MATCH($A265,Accounts!$B$2:$B$21,0))&amp;"",IF($D265="PS",INDEX(Accounts!$F$2:$F$21,MATCH($A265,Accounts!$B$2:$B$21,0))&amp;"",IF($D265="Named engineer",INDEX(Accounts!$I$2:$I$21,MATCH($A265,Accounts!$B$2:$B$21,0))&amp;"",IF($D265="TSE + PS",IF(INDEX(Accounts!$G$2:$G$21,MATCH($A265,Accounts!$B$2:$B$21,0))&amp;""="","(no TSE)",INDEX(Accounts!$G$2:$G$21,MATCH($A265,Accounts!$B$2:$B$21,0))&amp;"")&amp;" / "&amp;IF(INDEX(Accounts!$F$2:$F$21,MATCH($A265,Accounts!$B$2:$B$21,0))&amp;""="","(no PS)",INDEX(Accounts!$F$2:$F$21,MATCH($A265,Accounts!$B$2:$B$21,0))&amp;""),"")))),""))</f>
        <v/>
      </c>
      <c r="F265" s="42" t="s">
        <v>104</v>
      </c>
      <c r="I265" s="42" t="s">
        <v>34</v>
      </c>
      <c r="K265" s="44" t="str">
        <f t="shared" si="1"/>
        <v>Owner missing </v>
      </c>
    </row>
    <row r="266" ht="15.75" customHeight="1">
      <c r="E266" s="43" t="str">
        <f t="array" ref="E266">IF($A266="","",IFERROR(IF($D266="TSE",INDEX(Accounts!$G$2:$G$21,MATCH($A266,Accounts!$B$2:$B$21,0))&amp;"",IF($D266="PS",INDEX(Accounts!$F$2:$F$21,MATCH($A266,Accounts!$B$2:$B$21,0))&amp;"",IF($D266="Named engineer",INDEX(Accounts!$I$2:$I$21,MATCH($A266,Accounts!$B$2:$B$21,0))&amp;"",IF($D266="TSE + PS",IF(INDEX(Accounts!$G$2:$G$21,MATCH($A266,Accounts!$B$2:$B$21,0))&amp;""="","(no TSE)",INDEX(Accounts!$G$2:$G$21,MATCH($A266,Accounts!$B$2:$B$21,0))&amp;"")&amp;" / "&amp;IF(INDEX(Accounts!$F$2:$F$21,MATCH($A266,Accounts!$B$2:$B$21,0))&amp;""="","(no PS)",INDEX(Accounts!$F$2:$F$21,MATCH($A266,Accounts!$B$2:$B$21,0))&amp;""),"")))),""))</f>
        <v/>
      </c>
      <c r="F266" s="42" t="s">
        <v>104</v>
      </c>
      <c r="I266" s="42" t="s">
        <v>34</v>
      </c>
      <c r="K266" s="44" t="str">
        <f t="shared" si="1"/>
        <v>Owner missing </v>
      </c>
    </row>
    <row r="267" ht="15.75" customHeight="1">
      <c r="E267" s="43" t="str">
        <f t="array" ref="E267">IF($A267="","",IFERROR(IF($D267="TSE",INDEX(Accounts!$G$2:$G$21,MATCH($A267,Accounts!$B$2:$B$21,0))&amp;"",IF($D267="PS",INDEX(Accounts!$F$2:$F$21,MATCH($A267,Accounts!$B$2:$B$21,0))&amp;"",IF($D267="Named engineer",INDEX(Accounts!$I$2:$I$21,MATCH($A267,Accounts!$B$2:$B$21,0))&amp;"",IF($D267="TSE + PS",IF(INDEX(Accounts!$G$2:$G$21,MATCH($A267,Accounts!$B$2:$B$21,0))&amp;""="","(no TSE)",INDEX(Accounts!$G$2:$G$21,MATCH($A267,Accounts!$B$2:$B$21,0))&amp;"")&amp;" / "&amp;IF(INDEX(Accounts!$F$2:$F$21,MATCH($A267,Accounts!$B$2:$B$21,0))&amp;""="","(no PS)",INDEX(Accounts!$F$2:$F$21,MATCH($A267,Accounts!$B$2:$B$21,0))&amp;""),"")))),""))</f>
        <v/>
      </c>
      <c r="F267" s="42" t="s">
        <v>104</v>
      </c>
      <c r="I267" s="42" t="s">
        <v>34</v>
      </c>
      <c r="K267" s="44" t="str">
        <f t="shared" si="1"/>
        <v>Owner missing </v>
      </c>
    </row>
    <row r="268" ht="15.75" customHeight="1">
      <c r="E268" s="43" t="str">
        <f t="array" ref="E268">IF($A268="","",IFERROR(IF($D268="TSE",INDEX(Accounts!$G$2:$G$21,MATCH($A268,Accounts!$B$2:$B$21,0))&amp;"",IF($D268="PS",INDEX(Accounts!$F$2:$F$21,MATCH($A268,Accounts!$B$2:$B$21,0))&amp;"",IF($D268="Named engineer",INDEX(Accounts!$I$2:$I$21,MATCH($A268,Accounts!$B$2:$B$21,0))&amp;"",IF($D268="TSE + PS",IF(INDEX(Accounts!$G$2:$G$21,MATCH($A268,Accounts!$B$2:$B$21,0))&amp;""="","(no TSE)",INDEX(Accounts!$G$2:$G$21,MATCH($A268,Accounts!$B$2:$B$21,0))&amp;"")&amp;" / "&amp;IF(INDEX(Accounts!$F$2:$F$21,MATCH($A268,Accounts!$B$2:$B$21,0))&amp;""="","(no PS)",INDEX(Accounts!$F$2:$F$21,MATCH($A268,Accounts!$B$2:$B$21,0))&amp;""),"")))),""))</f>
        <v/>
      </c>
      <c r="F268" s="42" t="s">
        <v>104</v>
      </c>
      <c r="I268" s="42" t="s">
        <v>34</v>
      </c>
      <c r="K268" s="44" t="str">
        <f t="shared" si="1"/>
        <v>Owner missing </v>
      </c>
    </row>
    <row r="269" ht="15.75" customHeight="1">
      <c r="E269" s="43" t="str">
        <f t="array" ref="E269">IF($A269="","",IFERROR(IF($D269="TSE",INDEX(Accounts!$G$2:$G$21,MATCH($A269,Accounts!$B$2:$B$21,0))&amp;"",IF($D269="PS",INDEX(Accounts!$F$2:$F$21,MATCH($A269,Accounts!$B$2:$B$21,0))&amp;"",IF($D269="Named engineer",INDEX(Accounts!$I$2:$I$21,MATCH($A269,Accounts!$B$2:$B$21,0))&amp;"",IF($D269="TSE + PS",IF(INDEX(Accounts!$G$2:$G$21,MATCH($A269,Accounts!$B$2:$B$21,0))&amp;""="","(no TSE)",INDEX(Accounts!$G$2:$G$21,MATCH($A269,Accounts!$B$2:$B$21,0))&amp;"")&amp;" / "&amp;IF(INDEX(Accounts!$F$2:$F$21,MATCH($A269,Accounts!$B$2:$B$21,0))&amp;""="","(no PS)",INDEX(Accounts!$F$2:$F$21,MATCH($A269,Accounts!$B$2:$B$21,0))&amp;""),"")))),""))</f>
        <v/>
      </c>
      <c r="F269" s="42" t="s">
        <v>104</v>
      </c>
      <c r="I269" s="42" t="s">
        <v>34</v>
      </c>
      <c r="K269" s="44" t="str">
        <f t="shared" si="1"/>
        <v>Owner missing </v>
      </c>
    </row>
    <row r="270" ht="15.75" customHeight="1">
      <c r="E270" s="43" t="str">
        <f t="array" ref="E270">IF($A270="","",IFERROR(IF($D270="TSE",INDEX(Accounts!$G$2:$G$21,MATCH($A270,Accounts!$B$2:$B$21,0))&amp;"",IF($D270="PS",INDEX(Accounts!$F$2:$F$21,MATCH($A270,Accounts!$B$2:$B$21,0))&amp;"",IF($D270="Named engineer",INDEX(Accounts!$I$2:$I$21,MATCH($A270,Accounts!$B$2:$B$21,0))&amp;"",IF($D270="TSE + PS",IF(INDEX(Accounts!$G$2:$G$21,MATCH($A270,Accounts!$B$2:$B$21,0))&amp;""="","(no TSE)",INDEX(Accounts!$G$2:$G$21,MATCH($A270,Accounts!$B$2:$B$21,0))&amp;"")&amp;" / "&amp;IF(INDEX(Accounts!$F$2:$F$21,MATCH($A270,Accounts!$B$2:$B$21,0))&amp;""="","(no PS)",INDEX(Accounts!$F$2:$F$21,MATCH($A270,Accounts!$B$2:$B$21,0))&amp;""),"")))),""))</f>
        <v/>
      </c>
      <c r="F270" s="42" t="s">
        <v>104</v>
      </c>
      <c r="I270" s="42" t="s">
        <v>34</v>
      </c>
      <c r="K270" s="44" t="str">
        <f t="shared" si="1"/>
        <v>Owner missing </v>
      </c>
    </row>
    <row r="271" ht="15.75" customHeight="1">
      <c r="E271" s="43" t="str">
        <f t="array" ref="E271">IF($A271="","",IFERROR(IF($D271="TSE",INDEX(Accounts!$G$2:$G$21,MATCH($A271,Accounts!$B$2:$B$21,0))&amp;"",IF($D271="PS",INDEX(Accounts!$F$2:$F$21,MATCH($A271,Accounts!$B$2:$B$21,0))&amp;"",IF($D271="Named engineer",INDEX(Accounts!$I$2:$I$21,MATCH($A271,Accounts!$B$2:$B$21,0))&amp;"",IF($D271="TSE + PS",IF(INDEX(Accounts!$G$2:$G$21,MATCH($A271,Accounts!$B$2:$B$21,0))&amp;""="","(no TSE)",INDEX(Accounts!$G$2:$G$21,MATCH($A271,Accounts!$B$2:$B$21,0))&amp;"")&amp;" / "&amp;IF(INDEX(Accounts!$F$2:$F$21,MATCH($A271,Accounts!$B$2:$B$21,0))&amp;""="","(no PS)",INDEX(Accounts!$F$2:$F$21,MATCH($A271,Accounts!$B$2:$B$21,0))&amp;""),"")))),""))</f>
        <v/>
      </c>
      <c r="F271" s="42" t="s">
        <v>104</v>
      </c>
      <c r="I271" s="42" t="s">
        <v>34</v>
      </c>
      <c r="K271" s="44" t="str">
        <f t="shared" si="1"/>
        <v>Owner missing </v>
      </c>
    </row>
    <row r="272" ht="15.75" customHeight="1">
      <c r="E272" s="43" t="str">
        <f t="array" ref="E272">IF($A272="","",IFERROR(IF($D272="TSE",INDEX(Accounts!$G$2:$G$21,MATCH($A272,Accounts!$B$2:$B$21,0))&amp;"",IF($D272="PS",INDEX(Accounts!$F$2:$F$21,MATCH($A272,Accounts!$B$2:$B$21,0))&amp;"",IF($D272="Named engineer",INDEX(Accounts!$I$2:$I$21,MATCH($A272,Accounts!$B$2:$B$21,0))&amp;"",IF($D272="TSE + PS",IF(INDEX(Accounts!$G$2:$G$21,MATCH($A272,Accounts!$B$2:$B$21,0))&amp;""="","(no TSE)",INDEX(Accounts!$G$2:$G$21,MATCH($A272,Accounts!$B$2:$B$21,0))&amp;"")&amp;" / "&amp;IF(INDEX(Accounts!$F$2:$F$21,MATCH($A272,Accounts!$B$2:$B$21,0))&amp;""="","(no PS)",INDEX(Accounts!$F$2:$F$21,MATCH($A272,Accounts!$B$2:$B$21,0))&amp;""),"")))),""))</f>
        <v/>
      </c>
      <c r="F272" s="42" t="s">
        <v>104</v>
      </c>
      <c r="I272" s="42" t="s">
        <v>34</v>
      </c>
      <c r="K272" s="44" t="str">
        <f t="shared" si="1"/>
        <v>Owner missing </v>
      </c>
    </row>
    <row r="273" ht="15.75" customHeight="1">
      <c r="E273" s="43" t="str">
        <f t="array" ref="E273">IF($A273="","",IFERROR(IF($D273="TSE",INDEX(Accounts!$G$2:$G$21,MATCH($A273,Accounts!$B$2:$B$21,0))&amp;"",IF($D273="PS",INDEX(Accounts!$F$2:$F$21,MATCH($A273,Accounts!$B$2:$B$21,0))&amp;"",IF($D273="Named engineer",INDEX(Accounts!$I$2:$I$21,MATCH($A273,Accounts!$B$2:$B$21,0))&amp;"",IF($D273="TSE + PS",IF(INDEX(Accounts!$G$2:$G$21,MATCH($A273,Accounts!$B$2:$B$21,0))&amp;""="","(no TSE)",INDEX(Accounts!$G$2:$G$21,MATCH($A273,Accounts!$B$2:$B$21,0))&amp;"")&amp;" / "&amp;IF(INDEX(Accounts!$F$2:$F$21,MATCH($A273,Accounts!$B$2:$B$21,0))&amp;""="","(no PS)",INDEX(Accounts!$F$2:$F$21,MATCH($A273,Accounts!$B$2:$B$21,0))&amp;""),"")))),""))</f>
        <v/>
      </c>
      <c r="F273" s="42" t="s">
        <v>104</v>
      </c>
      <c r="I273" s="42" t="s">
        <v>34</v>
      </c>
      <c r="K273" s="44" t="str">
        <f t="shared" si="1"/>
        <v>Owner missing </v>
      </c>
    </row>
    <row r="274" ht="15.75" customHeight="1">
      <c r="E274" s="43" t="str">
        <f t="array" ref="E274">IF($A274="","",IFERROR(IF($D274="TSE",INDEX(Accounts!$G$2:$G$21,MATCH($A274,Accounts!$B$2:$B$21,0))&amp;"",IF($D274="PS",INDEX(Accounts!$F$2:$F$21,MATCH($A274,Accounts!$B$2:$B$21,0))&amp;"",IF($D274="Named engineer",INDEX(Accounts!$I$2:$I$21,MATCH($A274,Accounts!$B$2:$B$21,0))&amp;"",IF($D274="TSE + PS",IF(INDEX(Accounts!$G$2:$G$21,MATCH($A274,Accounts!$B$2:$B$21,0))&amp;""="","(no TSE)",INDEX(Accounts!$G$2:$G$21,MATCH($A274,Accounts!$B$2:$B$21,0))&amp;"")&amp;" / "&amp;IF(INDEX(Accounts!$F$2:$F$21,MATCH($A274,Accounts!$B$2:$B$21,0))&amp;""="","(no PS)",INDEX(Accounts!$F$2:$F$21,MATCH($A274,Accounts!$B$2:$B$21,0))&amp;""),"")))),""))</f>
        <v/>
      </c>
      <c r="F274" s="42" t="s">
        <v>104</v>
      </c>
      <c r="I274" s="42" t="s">
        <v>34</v>
      </c>
      <c r="K274" s="44" t="str">
        <f t="shared" si="1"/>
        <v>Owner missing </v>
      </c>
    </row>
    <row r="275" ht="15.75" customHeight="1">
      <c r="E275" s="43" t="str">
        <f t="array" ref="E275">IF($A275="","",IFERROR(IF($D275="TSE",INDEX(Accounts!$G$2:$G$21,MATCH($A275,Accounts!$B$2:$B$21,0))&amp;"",IF($D275="PS",INDEX(Accounts!$F$2:$F$21,MATCH($A275,Accounts!$B$2:$B$21,0))&amp;"",IF($D275="Named engineer",INDEX(Accounts!$I$2:$I$21,MATCH($A275,Accounts!$B$2:$B$21,0))&amp;"",IF($D275="TSE + PS",IF(INDEX(Accounts!$G$2:$G$21,MATCH($A275,Accounts!$B$2:$B$21,0))&amp;""="","(no TSE)",INDEX(Accounts!$G$2:$G$21,MATCH($A275,Accounts!$B$2:$B$21,0))&amp;"")&amp;" / "&amp;IF(INDEX(Accounts!$F$2:$F$21,MATCH($A275,Accounts!$B$2:$B$21,0))&amp;""="","(no PS)",INDEX(Accounts!$F$2:$F$21,MATCH($A275,Accounts!$B$2:$B$21,0))&amp;""),"")))),""))</f>
        <v/>
      </c>
      <c r="F275" s="42" t="s">
        <v>104</v>
      </c>
      <c r="I275" s="42" t="s">
        <v>34</v>
      </c>
      <c r="K275" s="44" t="str">
        <f t="shared" si="1"/>
        <v>Owner missing </v>
      </c>
    </row>
    <row r="276" ht="15.75" customHeight="1">
      <c r="E276" s="43" t="str">
        <f t="array" ref="E276">IF($A276="","",IFERROR(IF($D276="TSE",INDEX(Accounts!$G$2:$G$21,MATCH($A276,Accounts!$B$2:$B$21,0))&amp;"",IF($D276="PS",INDEX(Accounts!$F$2:$F$21,MATCH($A276,Accounts!$B$2:$B$21,0))&amp;"",IF($D276="Named engineer",INDEX(Accounts!$I$2:$I$21,MATCH($A276,Accounts!$B$2:$B$21,0))&amp;"",IF($D276="TSE + PS",IF(INDEX(Accounts!$G$2:$G$21,MATCH($A276,Accounts!$B$2:$B$21,0))&amp;""="","(no TSE)",INDEX(Accounts!$G$2:$G$21,MATCH($A276,Accounts!$B$2:$B$21,0))&amp;"")&amp;" / "&amp;IF(INDEX(Accounts!$F$2:$F$21,MATCH($A276,Accounts!$B$2:$B$21,0))&amp;""="","(no PS)",INDEX(Accounts!$F$2:$F$21,MATCH($A276,Accounts!$B$2:$B$21,0))&amp;""),"")))),""))</f>
        <v/>
      </c>
      <c r="F276" s="42" t="s">
        <v>104</v>
      </c>
      <c r="I276" s="42" t="s">
        <v>34</v>
      </c>
      <c r="K276" s="44" t="str">
        <f t="shared" si="1"/>
        <v>Owner missing </v>
      </c>
    </row>
    <row r="277" ht="15.75" customHeight="1">
      <c r="E277" s="43" t="str">
        <f t="array" ref="E277">IF($A277="","",IFERROR(IF($D277="TSE",INDEX(Accounts!$G$2:$G$21,MATCH($A277,Accounts!$B$2:$B$21,0))&amp;"",IF($D277="PS",INDEX(Accounts!$F$2:$F$21,MATCH($A277,Accounts!$B$2:$B$21,0))&amp;"",IF($D277="Named engineer",INDEX(Accounts!$I$2:$I$21,MATCH($A277,Accounts!$B$2:$B$21,0))&amp;"",IF($D277="TSE + PS",IF(INDEX(Accounts!$G$2:$G$21,MATCH($A277,Accounts!$B$2:$B$21,0))&amp;""="","(no TSE)",INDEX(Accounts!$G$2:$G$21,MATCH($A277,Accounts!$B$2:$B$21,0))&amp;"")&amp;" / "&amp;IF(INDEX(Accounts!$F$2:$F$21,MATCH($A277,Accounts!$B$2:$B$21,0))&amp;""="","(no PS)",INDEX(Accounts!$F$2:$F$21,MATCH($A277,Accounts!$B$2:$B$21,0))&amp;""),"")))),""))</f>
        <v/>
      </c>
      <c r="F277" s="42" t="s">
        <v>104</v>
      </c>
      <c r="I277" s="42" t="s">
        <v>34</v>
      </c>
      <c r="K277" s="44" t="str">
        <f t="shared" si="1"/>
        <v>Owner missing </v>
      </c>
    </row>
    <row r="278" ht="15.75" customHeight="1">
      <c r="E278" s="43" t="str">
        <f t="array" ref="E278">IF($A278="","",IFERROR(IF($D278="TSE",INDEX(Accounts!$G$2:$G$21,MATCH($A278,Accounts!$B$2:$B$21,0))&amp;"",IF($D278="PS",INDEX(Accounts!$F$2:$F$21,MATCH($A278,Accounts!$B$2:$B$21,0))&amp;"",IF($D278="Named engineer",INDEX(Accounts!$I$2:$I$21,MATCH($A278,Accounts!$B$2:$B$21,0))&amp;"",IF($D278="TSE + PS",IF(INDEX(Accounts!$G$2:$G$21,MATCH($A278,Accounts!$B$2:$B$21,0))&amp;""="","(no TSE)",INDEX(Accounts!$G$2:$G$21,MATCH($A278,Accounts!$B$2:$B$21,0))&amp;"")&amp;" / "&amp;IF(INDEX(Accounts!$F$2:$F$21,MATCH($A278,Accounts!$B$2:$B$21,0))&amp;""="","(no PS)",INDEX(Accounts!$F$2:$F$21,MATCH($A278,Accounts!$B$2:$B$21,0))&amp;""),"")))),""))</f>
        <v/>
      </c>
      <c r="F278" s="42" t="s">
        <v>104</v>
      </c>
      <c r="I278" s="42" t="s">
        <v>34</v>
      </c>
      <c r="K278" s="44" t="str">
        <f t="shared" si="1"/>
        <v>Owner missing </v>
      </c>
    </row>
    <row r="279" ht="15.75" customHeight="1">
      <c r="E279" s="43" t="str">
        <f t="array" ref="E279">IF($A279="","",IFERROR(IF($D279="TSE",INDEX(Accounts!$G$2:$G$21,MATCH($A279,Accounts!$B$2:$B$21,0))&amp;"",IF($D279="PS",INDEX(Accounts!$F$2:$F$21,MATCH($A279,Accounts!$B$2:$B$21,0))&amp;"",IF($D279="Named engineer",INDEX(Accounts!$I$2:$I$21,MATCH($A279,Accounts!$B$2:$B$21,0))&amp;"",IF($D279="TSE + PS",IF(INDEX(Accounts!$G$2:$G$21,MATCH($A279,Accounts!$B$2:$B$21,0))&amp;""="","(no TSE)",INDEX(Accounts!$G$2:$G$21,MATCH($A279,Accounts!$B$2:$B$21,0))&amp;"")&amp;" / "&amp;IF(INDEX(Accounts!$F$2:$F$21,MATCH($A279,Accounts!$B$2:$B$21,0))&amp;""="","(no PS)",INDEX(Accounts!$F$2:$F$21,MATCH($A279,Accounts!$B$2:$B$21,0))&amp;""),"")))),""))</f>
        <v/>
      </c>
      <c r="F279" s="42" t="s">
        <v>104</v>
      </c>
      <c r="I279" s="42" t="s">
        <v>34</v>
      </c>
      <c r="K279" s="44" t="str">
        <f t="shared" si="1"/>
        <v>Owner missing </v>
      </c>
    </row>
    <row r="280" ht="15.75" customHeight="1">
      <c r="E280" s="43" t="str">
        <f t="array" ref="E280">IF($A280="","",IFERROR(IF($D280="TSE",INDEX(Accounts!$G$2:$G$21,MATCH($A280,Accounts!$B$2:$B$21,0))&amp;"",IF($D280="PS",INDEX(Accounts!$F$2:$F$21,MATCH($A280,Accounts!$B$2:$B$21,0))&amp;"",IF($D280="Named engineer",INDEX(Accounts!$I$2:$I$21,MATCH($A280,Accounts!$B$2:$B$21,0))&amp;"",IF($D280="TSE + PS",IF(INDEX(Accounts!$G$2:$G$21,MATCH($A280,Accounts!$B$2:$B$21,0))&amp;""="","(no TSE)",INDEX(Accounts!$G$2:$G$21,MATCH($A280,Accounts!$B$2:$B$21,0))&amp;"")&amp;" / "&amp;IF(INDEX(Accounts!$F$2:$F$21,MATCH($A280,Accounts!$B$2:$B$21,0))&amp;""="","(no PS)",INDEX(Accounts!$F$2:$F$21,MATCH($A280,Accounts!$B$2:$B$21,0))&amp;""),"")))),""))</f>
        <v/>
      </c>
      <c r="F280" s="42" t="s">
        <v>104</v>
      </c>
      <c r="I280" s="42" t="s">
        <v>34</v>
      </c>
      <c r="K280" s="44" t="str">
        <f t="shared" si="1"/>
        <v>Owner missing </v>
      </c>
    </row>
    <row r="281" ht="15.75" customHeight="1">
      <c r="E281" s="43" t="str">
        <f t="array" ref="E281">IF($A281="","",IFERROR(IF($D281="TSE",INDEX(Accounts!$G$2:$G$21,MATCH($A281,Accounts!$B$2:$B$21,0))&amp;"",IF($D281="PS",INDEX(Accounts!$F$2:$F$21,MATCH($A281,Accounts!$B$2:$B$21,0))&amp;"",IF($D281="Named engineer",INDEX(Accounts!$I$2:$I$21,MATCH($A281,Accounts!$B$2:$B$21,0))&amp;"",IF($D281="TSE + PS",IF(INDEX(Accounts!$G$2:$G$21,MATCH($A281,Accounts!$B$2:$B$21,0))&amp;""="","(no TSE)",INDEX(Accounts!$G$2:$G$21,MATCH($A281,Accounts!$B$2:$B$21,0))&amp;"")&amp;" / "&amp;IF(INDEX(Accounts!$F$2:$F$21,MATCH($A281,Accounts!$B$2:$B$21,0))&amp;""="","(no PS)",INDEX(Accounts!$F$2:$F$21,MATCH($A281,Accounts!$B$2:$B$21,0))&amp;""),"")))),""))</f>
        <v/>
      </c>
      <c r="F281" s="42" t="s">
        <v>104</v>
      </c>
      <c r="I281" s="42" t="s">
        <v>34</v>
      </c>
      <c r="K281" s="44" t="str">
        <f t="shared" si="1"/>
        <v>Owner missing </v>
      </c>
    </row>
    <row r="282" ht="15.75" customHeight="1">
      <c r="E282" s="43" t="str">
        <f t="array" ref="E282">IF($A282="","",IFERROR(IF($D282="TSE",INDEX(Accounts!$G$2:$G$21,MATCH($A282,Accounts!$B$2:$B$21,0))&amp;"",IF($D282="PS",INDEX(Accounts!$F$2:$F$21,MATCH($A282,Accounts!$B$2:$B$21,0))&amp;"",IF($D282="Named engineer",INDEX(Accounts!$I$2:$I$21,MATCH($A282,Accounts!$B$2:$B$21,0))&amp;"",IF($D282="TSE + PS",IF(INDEX(Accounts!$G$2:$G$21,MATCH($A282,Accounts!$B$2:$B$21,0))&amp;""="","(no TSE)",INDEX(Accounts!$G$2:$G$21,MATCH($A282,Accounts!$B$2:$B$21,0))&amp;"")&amp;" / "&amp;IF(INDEX(Accounts!$F$2:$F$21,MATCH($A282,Accounts!$B$2:$B$21,0))&amp;""="","(no PS)",INDEX(Accounts!$F$2:$F$21,MATCH($A282,Accounts!$B$2:$B$21,0))&amp;""),"")))),""))</f>
        <v/>
      </c>
      <c r="F282" s="42" t="s">
        <v>104</v>
      </c>
      <c r="I282" s="42" t="s">
        <v>34</v>
      </c>
      <c r="K282" s="44" t="str">
        <f t="shared" si="1"/>
        <v>Owner missing </v>
      </c>
    </row>
    <row r="283" ht="15.75" customHeight="1">
      <c r="E283" s="43" t="str">
        <f t="array" ref="E283">IF($A283="","",IFERROR(IF($D283="TSE",INDEX(Accounts!$G$2:$G$21,MATCH($A283,Accounts!$B$2:$B$21,0))&amp;"",IF($D283="PS",INDEX(Accounts!$F$2:$F$21,MATCH($A283,Accounts!$B$2:$B$21,0))&amp;"",IF($D283="Named engineer",INDEX(Accounts!$I$2:$I$21,MATCH($A283,Accounts!$B$2:$B$21,0))&amp;"",IF($D283="TSE + PS",IF(INDEX(Accounts!$G$2:$G$21,MATCH($A283,Accounts!$B$2:$B$21,0))&amp;""="","(no TSE)",INDEX(Accounts!$G$2:$G$21,MATCH($A283,Accounts!$B$2:$B$21,0))&amp;"")&amp;" / "&amp;IF(INDEX(Accounts!$F$2:$F$21,MATCH($A283,Accounts!$B$2:$B$21,0))&amp;""="","(no PS)",INDEX(Accounts!$F$2:$F$21,MATCH($A283,Accounts!$B$2:$B$21,0))&amp;""),"")))),""))</f>
        <v/>
      </c>
      <c r="F283" s="42" t="s">
        <v>104</v>
      </c>
      <c r="I283" s="42" t="s">
        <v>34</v>
      </c>
      <c r="K283" s="44" t="str">
        <f t="shared" si="1"/>
        <v>Owner missing </v>
      </c>
    </row>
    <row r="284" ht="15.75" customHeight="1">
      <c r="E284" s="43" t="str">
        <f t="array" ref="E284">IF($A284="","",IFERROR(IF($D284="TSE",INDEX(Accounts!$G$2:$G$21,MATCH($A284,Accounts!$B$2:$B$21,0))&amp;"",IF($D284="PS",INDEX(Accounts!$F$2:$F$21,MATCH($A284,Accounts!$B$2:$B$21,0))&amp;"",IF($D284="Named engineer",INDEX(Accounts!$I$2:$I$21,MATCH($A284,Accounts!$B$2:$B$21,0))&amp;"",IF($D284="TSE + PS",IF(INDEX(Accounts!$G$2:$G$21,MATCH($A284,Accounts!$B$2:$B$21,0))&amp;""="","(no TSE)",INDEX(Accounts!$G$2:$G$21,MATCH($A284,Accounts!$B$2:$B$21,0))&amp;"")&amp;" / "&amp;IF(INDEX(Accounts!$F$2:$F$21,MATCH($A284,Accounts!$B$2:$B$21,0))&amp;""="","(no PS)",INDEX(Accounts!$F$2:$F$21,MATCH($A284,Accounts!$B$2:$B$21,0))&amp;""),"")))),""))</f>
        <v/>
      </c>
      <c r="F284" s="42" t="s">
        <v>104</v>
      </c>
      <c r="I284" s="42" t="s">
        <v>34</v>
      </c>
      <c r="K284" s="44" t="str">
        <f t="shared" si="1"/>
        <v>Owner missing </v>
      </c>
    </row>
    <row r="285" ht="15.75" customHeight="1">
      <c r="E285" s="43" t="str">
        <f t="array" ref="E285">IF($A285="","",IFERROR(IF($D285="TSE",INDEX(Accounts!$G$2:$G$21,MATCH($A285,Accounts!$B$2:$B$21,0))&amp;"",IF($D285="PS",INDEX(Accounts!$F$2:$F$21,MATCH($A285,Accounts!$B$2:$B$21,0))&amp;"",IF($D285="Named engineer",INDEX(Accounts!$I$2:$I$21,MATCH($A285,Accounts!$B$2:$B$21,0))&amp;"",IF($D285="TSE + PS",IF(INDEX(Accounts!$G$2:$G$21,MATCH($A285,Accounts!$B$2:$B$21,0))&amp;""="","(no TSE)",INDEX(Accounts!$G$2:$G$21,MATCH($A285,Accounts!$B$2:$B$21,0))&amp;"")&amp;" / "&amp;IF(INDEX(Accounts!$F$2:$F$21,MATCH($A285,Accounts!$B$2:$B$21,0))&amp;""="","(no PS)",INDEX(Accounts!$F$2:$F$21,MATCH($A285,Accounts!$B$2:$B$21,0))&amp;""),"")))),""))</f>
        <v/>
      </c>
      <c r="F285" s="42" t="s">
        <v>104</v>
      </c>
      <c r="I285" s="42" t="s">
        <v>34</v>
      </c>
      <c r="K285" s="44" t="str">
        <f t="shared" si="1"/>
        <v>Owner missing </v>
      </c>
    </row>
    <row r="286" ht="15.75" customHeight="1">
      <c r="E286" s="43" t="str">
        <f t="array" ref="E286">IF($A286="","",IFERROR(IF($D286="TSE",INDEX(Accounts!$G$2:$G$21,MATCH($A286,Accounts!$B$2:$B$21,0))&amp;"",IF($D286="PS",INDEX(Accounts!$F$2:$F$21,MATCH($A286,Accounts!$B$2:$B$21,0))&amp;"",IF($D286="Named engineer",INDEX(Accounts!$I$2:$I$21,MATCH($A286,Accounts!$B$2:$B$21,0))&amp;"",IF($D286="TSE + PS",IF(INDEX(Accounts!$G$2:$G$21,MATCH($A286,Accounts!$B$2:$B$21,0))&amp;""="","(no TSE)",INDEX(Accounts!$G$2:$G$21,MATCH($A286,Accounts!$B$2:$B$21,0))&amp;"")&amp;" / "&amp;IF(INDEX(Accounts!$F$2:$F$21,MATCH($A286,Accounts!$B$2:$B$21,0))&amp;""="","(no PS)",INDEX(Accounts!$F$2:$F$21,MATCH($A286,Accounts!$B$2:$B$21,0))&amp;""),"")))),""))</f>
        <v/>
      </c>
      <c r="F286" s="42" t="s">
        <v>104</v>
      </c>
      <c r="I286" s="42" t="s">
        <v>34</v>
      </c>
      <c r="K286" s="44" t="str">
        <f t="shared" si="1"/>
        <v>Owner missing </v>
      </c>
    </row>
    <row r="287" ht="15.75" customHeight="1">
      <c r="E287" s="43" t="str">
        <f t="array" ref="E287">IF($A287="","",IFERROR(IF($D287="TSE",INDEX(Accounts!$G$2:$G$21,MATCH($A287,Accounts!$B$2:$B$21,0))&amp;"",IF($D287="PS",INDEX(Accounts!$F$2:$F$21,MATCH($A287,Accounts!$B$2:$B$21,0))&amp;"",IF($D287="Named engineer",INDEX(Accounts!$I$2:$I$21,MATCH($A287,Accounts!$B$2:$B$21,0))&amp;"",IF($D287="TSE + PS",IF(INDEX(Accounts!$G$2:$G$21,MATCH($A287,Accounts!$B$2:$B$21,0))&amp;""="","(no TSE)",INDEX(Accounts!$G$2:$G$21,MATCH($A287,Accounts!$B$2:$B$21,0))&amp;"")&amp;" / "&amp;IF(INDEX(Accounts!$F$2:$F$21,MATCH($A287,Accounts!$B$2:$B$21,0))&amp;""="","(no PS)",INDEX(Accounts!$F$2:$F$21,MATCH($A287,Accounts!$B$2:$B$21,0))&amp;""),"")))),""))</f>
        <v/>
      </c>
      <c r="F287" s="42" t="s">
        <v>104</v>
      </c>
      <c r="I287" s="42" t="s">
        <v>34</v>
      </c>
      <c r="K287" s="44" t="str">
        <f t="shared" si="1"/>
        <v>Owner missing </v>
      </c>
    </row>
    <row r="288" ht="15.75" customHeight="1">
      <c r="E288" s="43" t="str">
        <f t="array" ref="E288">IF($A288="","",IFERROR(IF($D288="TSE",INDEX(Accounts!$G$2:$G$21,MATCH($A288,Accounts!$B$2:$B$21,0))&amp;"",IF($D288="PS",INDEX(Accounts!$F$2:$F$21,MATCH($A288,Accounts!$B$2:$B$21,0))&amp;"",IF($D288="Named engineer",INDEX(Accounts!$I$2:$I$21,MATCH($A288,Accounts!$B$2:$B$21,0))&amp;"",IF($D288="TSE + PS",IF(INDEX(Accounts!$G$2:$G$21,MATCH($A288,Accounts!$B$2:$B$21,0))&amp;""="","(no TSE)",INDEX(Accounts!$G$2:$G$21,MATCH($A288,Accounts!$B$2:$B$21,0))&amp;"")&amp;" / "&amp;IF(INDEX(Accounts!$F$2:$F$21,MATCH($A288,Accounts!$B$2:$B$21,0))&amp;""="","(no PS)",INDEX(Accounts!$F$2:$F$21,MATCH($A288,Accounts!$B$2:$B$21,0))&amp;""),"")))),""))</f>
        <v/>
      </c>
      <c r="F288" s="42" t="s">
        <v>104</v>
      </c>
      <c r="I288" s="42" t="s">
        <v>34</v>
      </c>
      <c r="K288" s="44" t="str">
        <f t="shared" si="1"/>
        <v>Owner missing </v>
      </c>
    </row>
    <row r="289" ht="15.75" customHeight="1">
      <c r="E289" s="43" t="str">
        <f t="array" ref="E289">IF($A289="","",IFERROR(IF($D289="TSE",INDEX(Accounts!$G$2:$G$21,MATCH($A289,Accounts!$B$2:$B$21,0))&amp;"",IF($D289="PS",INDEX(Accounts!$F$2:$F$21,MATCH($A289,Accounts!$B$2:$B$21,0))&amp;"",IF($D289="Named engineer",INDEX(Accounts!$I$2:$I$21,MATCH($A289,Accounts!$B$2:$B$21,0))&amp;"",IF($D289="TSE + PS",IF(INDEX(Accounts!$G$2:$G$21,MATCH($A289,Accounts!$B$2:$B$21,0))&amp;""="","(no TSE)",INDEX(Accounts!$G$2:$G$21,MATCH($A289,Accounts!$B$2:$B$21,0))&amp;"")&amp;" / "&amp;IF(INDEX(Accounts!$F$2:$F$21,MATCH($A289,Accounts!$B$2:$B$21,0))&amp;""="","(no PS)",INDEX(Accounts!$F$2:$F$21,MATCH($A289,Accounts!$B$2:$B$21,0))&amp;""),"")))),""))</f>
        <v/>
      </c>
      <c r="F289" s="42" t="s">
        <v>104</v>
      </c>
      <c r="I289" s="42" t="s">
        <v>34</v>
      </c>
      <c r="K289" s="44" t="str">
        <f t="shared" si="1"/>
        <v>Owner missing </v>
      </c>
    </row>
    <row r="290" ht="15.75" customHeight="1">
      <c r="E290" s="43" t="str">
        <f t="array" ref="E290">IF($A290="","",IFERROR(IF($D290="TSE",INDEX(Accounts!$G$2:$G$21,MATCH($A290,Accounts!$B$2:$B$21,0))&amp;"",IF($D290="PS",INDEX(Accounts!$F$2:$F$21,MATCH($A290,Accounts!$B$2:$B$21,0))&amp;"",IF($D290="Named engineer",INDEX(Accounts!$I$2:$I$21,MATCH($A290,Accounts!$B$2:$B$21,0))&amp;"",IF($D290="TSE + PS",IF(INDEX(Accounts!$G$2:$G$21,MATCH($A290,Accounts!$B$2:$B$21,0))&amp;""="","(no TSE)",INDEX(Accounts!$G$2:$G$21,MATCH($A290,Accounts!$B$2:$B$21,0))&amp;"")&amp;" / "&amp;IF(INDEX(Accounts!$F$2:$F$21,MATCH($A290,Accounts!$B$2:$B$21,0))&amp;""="","(no PS)",INDEX(Accounts!$F$2:$F$21,MATCH($A290,Accounts!$B$2:$B$21,0))&amp;""),"")))),""))</f>
        <v/>
      </c>
      <c r="F290" s="42" t="s">
        <v>104</v>
      </c>
      <c r="I290" s="42" t="s">
        <v>34</v>
      </c>
      <c r="K290" s="44" t="str">
        <f t="shared" si="1"/>
        <v>Owner missing </v>
      </c>
    </row>
    <row r="291" ht="15.75" customHeight="1">
      <c r="E291" s="43" t="str">
        <f t="array" ref="E291">IF($A291="","",IFERROR(IF($D291="TSE",INDEX(Accounts!$G$2:$G$21,MATCH($A291,Accounts!$B$2:$B$21,0))&amp;"",IF($D291="PS",INDEX(Accounts!$F$2:$F$21,MATCH($A291,Accounts!$B$2:$B$21,0))&amp;"",IF($D291="Named engineer",INDEX(Accounts!$I$2:$I$21,MATCH($A291,Accounts!$B$2:$B$21,0))&amp;"",IF($D291="TSE + PS",IF(INDEX(Accounts!$G$2:$G$21,MATCH($A291,Accounts!$B$2:$B$21,0))&amp;""="","(no TSE)",INDEX(Accounts!$G$2:$G$21,MATCH($A291,Accounts!$B$2:$B$21,0))&amp;"")&amp;" / "&amp;IF(INDEX(Accounts!$F$2:$F$21,MATCH($A291,Accounts!$B$2:$B$21,0))&amp;""="","(no PS)",INDEX(Accounts!$F$2:$F$21,MATCH($A291,Accounts!$B$2:$B$21,0))&amp;""),"")))),""))</f>
        <v/>
      </c>
      <c r="F291" s="42" t="s">
        <v>104</v>
      </c>
      <c r="I291" s="42" t="s">
        <v>34</v>
      </c>
      <c r="K291" s="44" t="str">
        <f t="shared" si="1"/>
        <v>Owner missing </v>
      </c>
    </row>
    <row r="292" ht="15.75" customHeight="1">
      <c r="E292" s="43" t="str">
        <f t="array" ref="E292">IF($A292="","",IFERROR(IF($D292="TSE",INDEX(Accounts!$G$2:$G$21,MATCH($A292,Accounts!$B$2:$B$21,0))&amp;"",IF($D292="PS",INDEX(Accounts!$F$2:$F$21,MATCH($A292,Accounts!$B$2:$B$21,0))&amp;"",IF($D292="Named engineer",INDEX(Accounts!$I$2:$I$21,MATCH($A292,Accounts!$B$2:$B$21,0))&amp;"",IF($D292="TSE + PS",IF(INDEX(Accounts!$G$2:$G$21,MATCH($A292,Accounts!$B$2:$B$21,0))&amp;""="","(no TSE)",INDEX(Accounts!$G$2:$G$21,MATCH($A292,Accounts!$B$2:$B$21,0))&amp;"")&amp;" / "&amp;IF(INDEX(Accounts!$F$2:$F$21,MATCH($A292,Accounts!$B$2:$B$21,0))&amp;""="","(no PS)",INDEX(Accounts!$F$2:$F$21,MATCH($A292,Accounts!$B$2:$B$21,0))&amp;""),"")))),""))</f>
        <v/>
      </c>
      <c r="F292" s="42" t="s">
        <v>104</v>
      </c>
      <c r="I292" s="42" t="s">
        <v>34</v>
      </c>
      <c r="K292" s="44" t="str">
        <f t="shared" si="1"/>
        <v>Owner missing </v>
      </c>
    </row>
    <row r="293" ht="15.75" customHeight="1">
      <c r="E293" s="43" t="str">
        <f t="array" ref="E293">IF($A293="","",IFERROR(IF($D293="TSE",INDEX(Accounts!$G$2:$G$21,MATCH($A293,Accounts!$B$2:$B$21,0))&amp;"",IF($D293="PS",INDEX(Accounts!$F$2:$F$21,MATCH($A293,Accounts!$B$2:$B$21,0))&amp;"",IF($D293="Named engineer",INDEX(Accounts!$I$2:$I$21,MATCH($A293,Accounts!$B$2:$B$21,0))&amp;"",IF($D293="TSE + PS",IF(INDEX(Accounts!$G$2:$G$21,MATCH($A293,Accounts!$B$2:$B$21,0))&amp;""="","(no TSE)",INDEX(Accounts!$G$2:$G$21,MATCH($A293,Accounts!$B$2:$B$21,0))&amp;"")&amp;" / "&amp;IF(INDEX(Accounts!$F$2:$F$21,MATCH($A293,Accounts!$B$2:$B$21,0))&amp;""="","(no PS)",INDEX(Accounts!$F$2:$F$21,MATCH($A293,Accounts!$B$2:$B$21,0))&amp;""),"")))),""))</f>
        <v/>
      </c>
      <c r="F293" s="42" t="s">
        <v>104</v>
      </c>
      <c r="I293" s="42" t="s">
        <v>34</v>
      </c>
      <c r="K293" s="44" t="str">
        <f t="shared" si="1"/>
        <v>Owner missing </v>
      </c>
    </row>
    <row r="294" ht="15.75" customHeight="1">
      <c r="E294" s="43" t="str">
        <f t="array" ref="E294">IF($A294="","",IFERROR(IF($D294="TSE",INDEX(Accounts!$G$2:$G$21,MATCH($A294,Accounts!$B$2:$B$21,0))&amp;"",IF($D294="PS",INDEX(Accounts!$F$2:$F$21,MATCH($A294,Accounts!$B$2:$B$21,0))&amp;"",IF($D294="Named engineer",INDEX(Accounts!$I$2:$I$21,MATCH($A294,Accounts!$B$2:$B$21,0))&amp;"",IF($D294="TSE + PS",IF(INDEX(Accounts!$G$2:$G$21,MATCH($A294,Accounts!$B$2:$B$21,0))&amp;""="","(no TSE)",INDEX(Accounts!$G$2:$G$21,MATCH($A294,Accounts!$B$2:$B$21,0))&amp;"")&amp;" / "&amp;IF(INDEX(Accounts!$F$2:$F$21,MATCH($A294,Accounts!$B$2:$B$21,0))&amp;""="","(no PS)",INDEX(Accounts!$F$2:$F$21,MATCH($A294,Accounts!$B$2:$B$21,0))&amp;""),"")))),""))</f>
        <v/>
      </c>
      <c r="F294" s="42" t="s">
        <v>104</v>
      </c>
      <c r="I294" s="42" t="s">
        <v>34</v>
      </c>
      <c r="K294" s="44" t="str">
        <f t="shared" si="1"/>
        <v>Owner missing </v>
      </c>
    </row>
    <row r="295" ht="15.75" customHeight="1">
      <c r="E295" s="43" t="str">
        <f t="array" ref="E295">IF($A295="","",IFERROR(IF($D295="TSE",INDEX(Accounts!$G$2:$G$21,MATCH($A295,Accounts!$B$2:$B$21,0))&amp;"",IF($D295="PS",INDEX(Accounts!$F$2:$F$21,MATCH($A295,Accounts!$B$2:$B$21,0))&amp;"",IF($D295="Named engineer",INDEX(Accounts!$I$2:$I$21,MATCH($A295,Accounts!$B$2:$B$21,0))&amp;"",IF($D295="TSE + PS",IF(INDEX(Accounts!$G$2:$G$21,MATCH($A295,Accounts!$B$2:$B$21,0))&amp;""="","(no TSE)",INDEX(Accounts!$G$2:$G$21,MATCH($A295,Accounts!$B$2:$B$21,0))&amp;"")&amp;" / "&amp;IF(INDEX(Accounts!$F$2:$F$21,MATCH($A295,Accounts!$B$2:$B$21,0))&amp;""="","(no PS)",INDEX(Accounts!$F$2:$F$21,MATCH($A295,Accounts!$B$2:$B$21,0))&amp;""),"")))),""))</f>
        <v/>
      </c>
      <c r="F295" s="42" t="s">
        <v>104</v>
      </c>
      <c r="I295" s="42" t="s">
        <v>34</v>
      </c>
      <c r="K295" s="44" t="str">
        <f t="shared" si="1"/>
        <v>Owner missing </v>
      </c>
    </row>
    <row r="296" ht="15.75" customHeight="1">
      <c r="E296" s="43" t="str">
        <f t="array" ref="E296">IF($A296="","",IFERROR(IF($D296="TSE",INDEX(Accounts!$G$2:$G$21,MATCH($A296,Accounts!$B$2:$B$21,0))&amp;"",IF($D296="PS",INDEX(Accounts!$F$2:$F$21,MATCH($A296,Accounts!$B$2:$B$21,0))&amp;"",IF($D296="Named engineer",INDEX(Accounts!$I$2:$I$21,MATCH($A296,Accounts!$B$2:$B$21,0))&amp;"",IF($D296="TSE + PS",IF(INDEX(Accounts!$G$2:$G$21,MATCH($A296,Accounts!$B$2:$B$21,0))&amp;""="","(no TSE)",INDEX(Accounts!$G$2:$G$21,MATCH($A296,Accounts!$B$2:$B$21,0))&amp;"")&amp;" / "&amp;IF(INDEX(Accounts!$F$2:$F$21,MATCH($A296,Accounts!$B$2:$B$21,0))&amp;""="","(no PS)",INDEX(Accounts!$F$2:$F$21,MATCH($A296,Accounts!$B$2:$B$21,0))&amp;""),"")))),""))</f>
        <v/>
      </c>
      <c r="F296" s="42" t="s">
        <v>104</v>
      </c>
      <c r="I296" s="42" t="s">
        <v>34</v>
      </c>
      <c r="K296" s="44" t="str">
        <f t="shared" si="1"/>
        <v>Owner missing </v>
      </c>
    </row>
    <row r="297" ht="15.75" customHeight="1">
      <c r="E297" s="43" t="str">
        <f t="array" ref="E297">IF($A297="","",IFERROR(IF($D297="TSE",INDEX(Accounts!$G$2:$G$21,MATCH($A297,Accounts!$B$2:$B$21,0))&amp;"",IF($D297="PS",INDEX(Accounts!$F$2:$F$21,MATCH($A297,Accounts!$B$2:$B$21,0))&amp;"",IF($D297="Named engineer",INDEX(Accounts!$I$2:$I$21,MATCH($A297,Accounts!$B$2:$B$21,0))&amp;"",IF($D297="TSE + PS",IF(INDEX(Accounts!$G$2:$G$21,MATCH($A297,Accounts!$B$2:$B$21,0))&amp;""="","(no TSE)",INDEX(Accounts!$G$2:$G$21,MATCH($A297,Accounts!$B$2:$B$21,0))&amp;"")&amp;" / "&amp;IF(INDEX(Accounts!$F$2:$F$21,MATCH($A297,Accounts!$B$2:$B$21,0))&amp;""="","(no PS)",INDEX(Accounts!$F$2:$F$21,MATCH($A297,Accounts!$B$2:$B$21,0))&amp;""),"")))),""))</f>
        <v/>
      </c>
      <c r="F297" s="42" t="s">
        <v>104</v>
      </c>
      <c r="I297" s="42" t="s">
        <v>34</v>
      </c>
      <c r="K297" s="44" t="str">
        <f t="shared" si="1"/>
        <v>Owner missing </v>
      </c>
    </row>
    <row r="298" ht="15.75" customHeight="1">
      <c r="E298" s="43" t="str">
        <f t="array" ref="E298">IF($A298="","",IFERROR(IF($D298="TSE",INDEX(Accounts!$G$2:$G$21,MATCH($A298,Accounts!$B$2:$B$21,0))&amp;"",IF($D298="PS",INDEX(Accounts!$F$2:$F$21,MATCH($A298,Accounts!$B$2:$B$21,0))&amp;"",IF($D298="Named engineer",INDEX(Accounts!$I$2:$I$21,MATCH($A298,Accounts!$B$2:$B$21,0))&amp;"",IF($D298="TSE + PS",IF(INDEX(Accounts!$G$2:$G$21,MATCH($A298,Accounts!$B$2:$B$21,0))&amp;""="","(no TSE)",INDEX(Accounts!$G$2:$G$21,MATCH($A298,Accounts!$B$2:$B$21,0))&amp;"")&amp;" / "&amp;IF(INDEX(Accounts!$F$2:$F$21,MATCH($A298,Accounts!$B$2:$B$21,0))&amp;""="","(no PS)",INDEX(Accounts!$F$2:$F$21,MATCH($A298,Accounts!$B$2:$B$21,0))&amp;""),"")))),""))</f>
        <v/>
      </c>
      <c r="F298" s="42" t="s">
        <v>104</v>
      </c>
      <c r="I298" s="42" t="s">
        <v>34</v>
      </c>
      <c r="K298" s="44" t="str">
        <f t="shared" si="1"/>
        <v>Owner missing </v>
      </c>
    </row>
    <row r="299" ht="15.75" customHeight="1">
      <c r="E299" s="43" t="str">
        <f t="array" ref="E299">IF($A299="","",IFERROR(IF($D299="TSE",INDEX(Accounts!$G$2:$G$21,MATCH($A299,Accounts!$B$2:$B$21,0))&amp;"",IF($D299="PS",INDEX(Accounts!$F$2:$F$21,MATCH($A299,Accounts!$B$2:$B$21,0))&amp;"",IF($D299="Named engineer",INDEX(Accounts!$I$2:$I$21,MATCH($A299,Accounts!$B$2:$B$21,0))&amp;"",IF($D299="TSE + PS",IF(INDEX(Accounts!$G$2:$G$21,MATCH($A299,Accounts!$B$2:$B$21,0))&amp;""="","(no TSE)",INDEX(Accounts!$G$2:$G$21,MATCH($A299,Accounts!$B$2:$B$21,0))&amp;"")&amp;" / "&amp;IF(INDEX(Accounts!$F$2:$F$21,MATCH($A299,Accounts!$B$2:$B$21,0))&amp;""="","(no PS)",INDEX(Accounts!$F$2:$F$21,MATCH($A299,Accounts!$B$2:$B$21,0))&amp;""),"")))),""))</f>
        <v/>
      </c>
      <c r="F299" s="42" t="s">
        <v>104</v>
      </c>
      <c r="I299" s="42" t="s">
        <v>34</v>
      </c>
      <c r="K299" s="44" t="str">
        <f t="shared" si="1"/>
        <v>Owner missing </v>
      </c>
    </row>
    <row r="300" ht="15.75" customHeight="1">
      <c r="E300" s="43" t="str">
        <f t="array" ref="E300">IF($A300="","",IFERROR(IF($D300="TSE",INDEX(Accounts!$G$2:$G$21,MATCH($A300,Accounts!$B$2:$B$21,0))&amp;"",IF($D300="PS",INDEX(Accounts!$F$2:$F$21,MATCH($A300,Accounts!$B$2:$B$21,0))&amp;"",IF($D300="Named engineer",INDEX(Accounts!$I$2:$I$21,MATCH($A300,Accounts!$B$2:$B$21,0))&amp;"",IF($D300="TSE + PS",IF(INDEX(Accounts!$G$2:$G$21,MATCH($A300,Accounts!$B$2:$B$21,0))&amp;""="","(no TSE)",INDEX(Accounts!$G$2:$G$21,MATCH($A300,Accounts!$B$2:$B$21,0))&amp;"")&amp;" / "&amp;IF(INDEX(Accounts!$F$2:$F$21,MATCH($A300,Accounts!$B$2:$B$21,0))&amp;""="","(no PS)",INDEX(Accounts!$F$2:$F$21,MATCH($A300,Accounts!$B$2:$B$21,0))&amp;""),"")))),""))</f>
        <v/>
      </c>
      <c r="F300" s="42" t="s">
        <v>104</v>
      </c>
      <c r="I300" s="42" t="s">
        <v>34</v>
      </c>
      <c r="K300" s="44" t="str">
        <f t="shared" si="1"/>
        <v>Owner missing </v>
      </c>
    </row>
    <row r="301" ht="15.75" customHeight="1">
      <c r="E301" s="43" t="str">
        <f t="array" ref="E301">IF($A301="","",IFERROR(IF($D301="TSE",INDEX(Accounts!$G$2:$G$21,MATCH($A301,Accounts!$B$2:$B$21,0))&amp;"",IF($D301="PS",INDEX(Accounts!$F$2:$F$21,MATCH($A301,Accounts!$B$2:$B$21,0))&amp;"",IF($D301="Named engineer",INDEX(Accounts!$I$2:$I$21,MATCH($A301,Accounts!$B$2:$B$21,0))&amp;"",IF($D301="TSE + PS",IF(INDEX(Accounts!$G$2:$G$21,MATCH($A301,Accounts!$B$2:$B$21,0))&amp;""="","(no TSE)",INDEX(Accounts!$G$2:$G$21,MATCH($A301,Accounts!$B$2:$B$21,0))&amp;"")&amp;" / "&amp;IF(INDEX(Accounts!$F$2:$F$21,MATCH($A301,Accounts!$B$2:$B$21,0))&amp;""="","(no PS)",INDEX(Accounts!$F$2:$F$21,MATCH($A301,Accounts!$B$2:$B$21,0))&amp;""),"")))),""))</f>
        <v/>
      </c>
      <c r="F301" s="42" t="s">
        <v>104</v>
      </c>
      <c r="I301" s="42" t="s">
        <v>34</v>
      </c>
      <c r="K301" s="44" t="str">
        <f t="shared" si="1"/>
        <v>Owner missing </v>
      </c>
    </row>
    <row r="302" ht="15.75" customHeight="1">
      <c r="E302" s="43" t="str">
        <f t="array" ref="E302">IF($A302="","",IFERROR(IF($D302="TSE",INDEX(Accounts!$G$2:$G$21,MATCH($A302,Accounts!$B$2:$B$21,0))&amp;"",IF($D302="PS",INDEX(Accounts!$F$2:$F$21,MATCH($A302,Accounts!$B$2:$B$21,0))&amp;"",IF($D302="Named engineer",INDEX(Accounts!$I$2:$I$21,MATCH($A302,Accounts!$B$2:$B$21,0))&amp;"",IF($D302="TSE + PS",IF(INDEX(Accounts!$G$2:$G$21,MATCH($A302,Accounts!$B$2:$B$21,0))&amp;""="","(no TSE)",INDEX(Accounts!$G$2:$G$21,MATCH($A302,Accounts!$B$2:$B$21,0))&amp;"")&amp;" / "&amp;IF(INDEX(Accounts!$F$2:$F$21,MATCH($A302,Accounts!$B$2:$B$21,0))&amp;""="","(no PS)",INDEX(Accounts!$F$2:$F$21,MATCH($A302,Accounts!$B$2:$B$21,0))&amp;""),"")))),""))</f>
        <v/>
      </c>
      <c r="F302" s="42" t="s">
        <v>104</v>
      </c>
      <c r="I302" s="42" t="s">
        <v>34</v>
      </c>
      <c r="K302" s="44" t="str">
        <f t="shared" si="1"/>
        <v>Owner missing </v>
      </c>
    </row>
    <row r="303" ht="15.75" customHeight="1">
      <c r="E303" s="43" t="str">
        <f t="array" ref="E303">IF($A303="","",IFERROR(IF($D303="TSE",INDEX(Accounts!$G$2:$G$21,MATCH($A303,Accounts!$B$2:$B$21,0))&amp;"",IF($D303="PS",INDEX(Accounts!$F$2:$F$21,MATCH($A303,Accounts!$B$2:$B$21,0))&amp;"",IF($D303="Named engineer",INDEX(Accounts!$I$2:$I$21,MATCH($A303,Accounts!$B$2:$B$21,0))&amp;"",IF($D303="TSE + PS",IF(INDEX(Accounts!$G$2:$G$21,MATCH($A303,Accounts!$B$2:$B$21,0))&amp;""="","(no TSE)",INDEX(Accounts!$G$2:$G$21,MATCH($A303,Accounts!$B$2:$B$21,0))&amp;"")&amp;" / "&amp;IF(INDEX(Accounts!$F$2:$F$21,MATCH($A303,Accounts!$B$2:$B$21,0))&amp;""="","(no PS)",INDEX(Accounts!$F$2:$F$21,MATCH($A303,Accounts!$B$2:$B$21,0))&amp;""),"")))),""))</f>
        <v/>
      </c>
      <c r="F303" s="42" t="s">
        <v>104</v>
      </c>
      <c r="I303" s="42" t="s">
        <v>34</v>
      </c>
      <c r="K303" s="44" t="str">
        <f t="shared" si="1"/>
        <v>Owner missing </v>
      </c>
    </row>
    <row r="304" ht="15.75" customHeight="1">
      <c r="E304" s="43" t="str">
        <f t="array" ref="E304">IF($A304="","",IFERROR(IF($D304="TSE",INDEX(Accounts!$G$2:$G$21,MATCH($A304,Accounts!$B$2:$B$21,0))&amp;"",IF($D304="PS",INDEX(Accounts!$F$2:$F$21,MATCH($A304,Accounts!$B$2:$B$21,0))&amp;"",IF($D304="Named engineer",INDEX(Accounts!$I$2:$I$21,MATCH($A304,Accounts!$B$2:$B$21,0))&amp;"",IF($D304="TSE + PS",IF(INDEX(Accounts!$G$2:$G$21,MATCH($A304,Accounts!$B$2:$B$21,0))&amp;""="","(no TSE)",INDEX(Accounts!$G$2:$G$21,MATCH($A304,Accounts!$B$2:$B$21,0))&amp;"")&amp;" / "&amp;IF(INDEX(Accounts!$F$2:$F$21,MATCH($A304,Accounts!$B$2:$B$21,0))&amp;""="","(no PS)",INDEX(Accounts!$F$2:$F$21,MATCH($A304,Accounts!$B$2:$B$21,0))&amp;""),"")))),""))</f>
        <v/>
      </c>
      <c r="F304" s="42" t="s">
        <v>104</v>
      </c>
      <c r="I304" s="42" t="s">
        <v>34</v>
      </c>
      <c r="K304" s="44" t="str">
        <f t="shared" si="1"/>
        <v>Owner missing </v>
      </c>
    </row>
    <row r="305" ht="15.75" customHeight="1">
      <c r="E305" s="43" t="str">
        <f t="array" ref="E305">IF($A305="","",IFERROR(IF($D305="TSE",INDEX(Accounts!$G$2:$G$21,MATCH($A305,Accounts!$B$2:$B$21,0))&amp;"",IF($D305="PS",INDEX(Accounts!$F$2:$F$21,MATCH($A305,Accounts!$B$2:$B$21,0))&amp;"",IF($D305="Named engineer",INDEX(Accounts!$I$2:$I$21,MATCH($A305,Accounts!$B$2:$B$21,0))&amp;"",IF($D305="TSE + PS",IF(INDEX(Accounts!$G$2:$G$21,MATCH($A305,Accounts!$B$2:$B$21,0))&amp;""="","(no TSE)",INDEX(Accounts!$G$2:$G$21,MATCH($A305,Accounts!$B$2:$B$21,0))&amp;"")&amp;" / "&amp;IF(INDEX(Accounts!$F$2:$F$21,MATCH($A305,Accounts!$B$2:$B$21,0))&amp;""="","(no PS)",INDEX(Accounts!$F$2:$F$21,MATCH($A305,Accounts!$B$2:$B$21,0))&amp;""),"")))),""))</f>
        <v/>
      </c>
      <c r="F305" s="42" t="s">
        <v>104</v>
      </c>
      <c r="I305" s="42" t="s">
        <v>34</v>
      </c>
      <c r="K305" s="44" t="str">
        <f t="shared" si="1"/>
        <v>Owner missing </v>
      </c>
    </row>
    <row r="306" ht="15.75" customHeight="1">
      <c r="E306" s="43" t="str">
        <f t="array" ref="E306">IF($A306="","",IFERROR(IF($D306="TSE",INDEX(Accounts!$G$2:$G$21,MATCH($A306,Accounts!$B$2:$B$21,0))&amp;"",IF($D306="PS",INDEX(Accounts!$F$2:$F$21,MATCH($A306,Accounts!$B$2:$B$21,0))&amp;"",IF($D306="Named engineer",INDEX(Accounts!$I$2:$I$21,MATCH($A306,Accounts!$B$2:$B$21,0))&amp;"",IF($D306="TSE + PS",IF(INDEX(Accounts!$G$2:$G$21,MATCH($A306,Accounts!$B$2:$B$21,0))&amp;""="","(no TSE)",INDEX(Accounts!$G$2:$G$21,MATCH($A306,Accounts!$B$2:$B$21,0))&amp;"")&amp;" / "&amp;IF(INDEX(Accounts!$F$2:$F$21,MATCH($A306,Accounts!$B$2:$B$21,0))&amp;""="","(no PS)",INDEX(Accounts!$F$2:$F$21,MATCH($A306,Accounts!$B$2:$B$21,0))&amp;""),"")))),""))</f>
        <v/>
      </c>
      <c r="F306" s="42" t="s">
        <v>104</v>
      </c>
      <c r="I306" s="42" t="s">
        <v>34</v>
      </c>
      <c r="K306" s="44" t="str">
        <f t="shared" si="1"/>
        <v>Owner missing </v>
      </c>
    </row>
    <row r="307" ht="15.75" customHeight="1">
      <c r="E307" s="43" t="str">
        <f t="array" ref="E307">IF($A307="","",IFERROR(IF($D307="TSE",INDEX(Accounts!$G$2:$G$21,MATCH($A307,Accounts!$B$2:$B$21,0))&amp;"",IF($D307="PS",INDEX(Accounts!$F$2:$F$21,MATCH($A307,Accounts!$B$2:$B$21,0))&amp;"",IF($D307="Named engineer",INDEX(Accounts!$I$2:$I$21,MATCH($A307,Accounts!$B$2:$B$21,0))&amp;"",IF($D307="TSE + PS",IF(INDEX(Accounts!$G$2:$G$21,MATCH($A307,Accounts!$B$2:$B$21,0))&amp;""="","(no TSE)",INDEX(Accounts!$G$2:$G$21,MATCH($A307,Accounts!$B$2:$B$21,0))&amp;"")&amp;" / "&amp;IF(INDEX(Accounts!$F$2:$F$21,MATCH($A307,Accounts!$B$2:$B$21,0))&amp;""="","(no PS)",INDEX(Accounts!$F$2:$F$21,MATCH($A307,Accounts!$B$2:$B$21,0))&amp;""),"")))),""))</f>
        <v/>
      </c>
      <c r="F307" s="42" t="s">
        <v>104</v>
      </c>
      <c r="I307" s="42" t="s">
        <v>34</v>
      </c>
      <c r="K307" s="44" t="str">
        <f t="shared" si="1"/>
        <v>Owner missing </v>
      </c>
    </row>
    <row r="308" ht="15.75" customHeight="1">
      <c r="E308" s="43" t="str">
        <f t="array" ref="E308">IF($A308="","",IFERROR(IF($D308="TSE",INDEX(Accounts!$G$2:$G$21,MATCH($A308,Accounts!$B$2:$B$21,0))&amp;"",IF($D308="PS",INDEX(Accounts!$F$2:$F$21,MATCH($A308,Accounts!$B$2:$B$21,0))&amp;"",IF($D308="Named engineer",INDEX(Accounts!$I$2:$I$21,MATCH($A308,Accounts!$B$2:$B$21,0))&amp;"",IF($D308="TSE + PS",IF(INDEX(Accounts!$G$2:$G$21,MATCH($A308,Accounts!$B$2:$B$21,0))&amp;""="","(no TSE)",INDEX(Accounts!$G$2:$G$21,MATCH($A308,Accounts!$B$2:$B$21,0))&amp;"")&amp;" / "&amp;IF(INDEX(Accounts!$F$2:$F$21,MATCH($A308,Accounts!$B$2:$B$21,0))&amp;""="","(no PS)",INDEX(Accounts!$F$2:$F$21,MATCH($A308,Accounts!$B$2:$B$21,0))&amp;""),"")))),""))</f>
        <v/>
      </c>
      <c r="F308" s="42" t="s">
        <v>104</v>
      </c>
      <c r="I308" s="42" t="s">
        <v>34</v>
      </c>
      <c r="K308" s="44" t="str">
        <f t="shared" si="1"/>
        <v>Owner missing </v>
      </c>
    </row>
    <row r="309" ht="15.75" customHeight="1">
      <c r="E309" s="43" t="str">
        <f t="array" ref="E309">IF($A309="","",IFERROR(IF($D309="TSE",INDEX(Accounts!$G$2:$G$21,MATCH($A309,Accounts!$B$2:$B$21,0))&amp;"",IF($D309="PS",INDEX(Accounts!$F$2:$F$21,MATCH($A309,Accounts!$B$2:$B$21,0))&amp;"",IF($D309="Named engineer",INDEX(Accounts!$I$2:$I$21,MATCH($A309,Accounts!$B$2:$B$21,0))&amp;"",IF($D309="TSE + PS",IF(INDEX(Accounts!$G$2:$G$21,MATCH($A309,Accounts!$B$2:$B$21,0))&amp;""="","(no TSE)",INDEX(Accounts!$G$2:$G$21,MATCH($A309,Accounts!$B$2:$B$21,0))&amp;"")&amp;" / "&amp;IF(INDEX(Accounts!$F$2:$F$21,MATCH($A309,Accounts!$B$2:$B$21,0))&amp;""="","(no PS)",INDEX(Accounts!$F$2:$F$21,MATCH($A309,Accounts!$B$2:$B$21,0))&amp;""),"")))),""))</f>
        <v/>
      </c>
      <c r="F309" s="42" t="s">
        <v>104</v>
      </c>
      <c r="I309" s="42" t="s">
        <v>34</v>
      </c>
      <c r="K309" s="44" t="str">
        <f t="shared" si="1"/>
        <v>Owner missing </v>
      </c>
    </row>
    <row r="310" ht="15.75" customHeight="1">
      <c r="E310" s="43" t="str">
        <f t="array" ref="E310">IF($A310="","",IFERROR(IF($D310="TSE",INDEX(Accounts!$G$2:$G$21,MATCH($A310,Accounts!$B$2:$B$21,0))&amp;"",IF($D310="PS",INDEX(Accounts!$F$2:$F$21,MATCH($A310,Accounts!$B$2:$B$21,0))&amp;"",IF($D310="Named engineer",INDEX(Accounts!$I$2:$I$21,MATCH($A310,Accounts!$B$2:$B$21,0))&amp;"",IF($D310="TSE + PS",IF(INDEX(Accounts!$G$2:$G$21,MATCH($A310,Accounts!$B$2:$B$21,0))&amp;""="","(no TSE)",INDEX(Accounts!$G$2:$G$21,MATCH($A310,Accounts!$B$2:$B$21,0))&amp;"")&amp;" / "&amp;IF(INDEX(Accounts!$F$2:$F$21,MATCH($A310,Accounts!$B$2:$B$21,0))&amp;""="","(no PS)",INDEX(Accounts!$F$2:$F$21,MATCH($A310,Accounts!$B$2:$B$21,0))&amp;""),"")))),""))</f>
        <v/>
      </c>
      <c r="F310" s="42" t="s">
        <v>104</v>
      </c>
      <c r="I310" s="42" t="s">
        <v>34</v>
      </c>
      <c r="K310" s="44" t="str">
        <f t="shared" si="1"/>
        <v>Owner missing </v>
      </c>
    </row>
    <row r="311" ht="15.75" customHeight="1">
      <c r="E311" s="43" t="str">
        <f t="array" ref="E311">IF($A311="","",IFERROR(IF($D311="TSE",INDEX(Accounts!$G$2:$G$21,MATCH($A311,Accounts!$B$2:$B$21,0))&amp;"",IF($D311="PS",INDEX(Accounts!$F$2:$F$21,MATCH($A311,Accounts!$B$2:$B$21,0))&amp;"",IF($D311="Named engineer",INDEX(Accounts!$I$2:$I$21,MATCH($A311,Accounts!$B$2:$B$21,0))&amp;"",IF($D311="TSE + PS",IF(INDEX(Accounts!$G$2:$G$21,MATCH($A311,Accounts!$B$2:$B$21,0))&amp;""="","(no TSE)",INDEX(Accounts!$G$2:$G$21,MATCH($A311,Accounts!$B$2:$B$21,0))&amp;"")&amp;" / "&amp;IF(INDEX(Accounts!$F$2:$F$21,MATCH($A311,Accounts!$B$2:$B$21,0))&amp;""="","(no PS)",INDEX(Accounts!$F$2:$F$21,MATCH($A311,Accounts!$B$2:$B$21,0))&amp;""),"")))),""))</f>
        <v/>
      </c>
      <c r="F311" s="42" t="s">
        <v>104</v>
      </c>
      <c r="I311" s="42" t="s">
        <v>34</v>
      </c>
      <c r="K311" s="44" t="str">
        <f t="shared" si="1"/>
        <v>Owner missing </v>
      </c>
    </row>
    <row r="312" ht="15.75" customHeight="1">
      <c r="E312" s="43" t="str">
        <f t="array" ref="E312">IF($A312="","",IFERROR(IF($D312="TSE",INDEX(Accounts!$G$2:$G$21,MATCH($A312,Accounts!$B$2:$B$21,0))&amp;"",IF($D312="PS",INDEX(Accounts!$F$2:$F$21,MATCH($A312,Accounts!$B$2:$B$21,0))&amp;"",IF($D312="Named engineer",INDEX(Accounts!$I$2:$I$21,MATCH($A312,Accounts!$B$2:$B$21,0))&amp;"",IF($D312="TSE + PS",IF(INDEX(Accounts!$G$2:$G$21,MATCH($A312,Accounts!$B$2:$B$21,0))&amp;""="","(no TSE)",INDEX(Accounts!$G$2:$G$21,MATCH($A312,Accounts!$B$2:$B$21,0))&amp;"")&amp;" / "&amp;IF(INDEX(Accounts!$F$2:$F$21,MATCH($A312,Accounts!$B$2:$B$21,0))&amp;""="","(no PS)",INDEX(Accounts!$F$2:$F$21,MATCH($A312,Accounts!$B$2:$B$21,0))&amp;""),"")))),""))</f>
        <v/>
      </c>
      <c r="F312" s="42" t="s">
        <v>104</v>
      </c>
      <c r="I312" s="42" t="s">
        <v>34</v>
      </c>
      <c r="K312" s="44" t="str">
        <f t="shared" si="1"/>
        <v>Owner missing </v>
      </c>
    </row>
    <row r="313" ht="15.75" customHeight="1">
      <c r="E313" s="43" t="str">
        <f t="array" ref="E313">IF($A313="","",IFERROR(IF($D313="TSE",INDEX(Accounts!$G$2:$G$21,MATCH($A313,Accounts!$B$2:$B$21,0))&amp;"",IF($D313="PS",INDEX(Accounts!$F$2:$F$21,MATCH($A313,Accounts!$B$2:$B$21,0))&amp;"",IF($D313="Named engineer",INDEX(Accounts!$I$2:$I$21,MATCH($A313,Accounts!$B$2:$B$21,0))&amp;"",IF($D313="TSE + PS",IF(INDEX(Accounts!$G$2:$G$21,MATCH($A313,Accounts!$B$2:$B$21,0))&amp;""="","(no TSE)",INDEX(Accounts!$G$2:$G$21,MATCH($A313,Accounts!$B$2:$B$21,0))&amp;"")&amp;" / "&amp;IF(INDEX(Accounts!$F$2:$F$21,MATCH($A313,Accounts!$B$2:$B$21,0))&amp;""="","(no PS)",INDEX(Accounts!$F$2:$F$21,MATCH($A313,Accounts!$B$2:$B$21,0))&amp;""),"")))),""))</f>
        <v/>
      </c>
      <c r="F313" s="42" t="s">
        <v>104</v>
      </c>
      <c r="I313" s="42" t="s">
        <v>34</v>
      </c>
      <c r="K313" s="44" t="str">
        <f t="shared" si="1"/>
        <v>Owner missing </v>
      </c>
    </row>
    <row r="314" ht="15.75" customHeight="1">
      <c r="E314" s="43" t="str">
        <f t="array" ref="E314">IF($A314="","",IFERROR(IF($D314="TSE",INDEX(Accounts!$G$2:$G$21,MATCH($A314,Accounts!$B$2:$B$21,0))&amp;"",IF($D314="PS",INDEX(Accounts!$F$2:$F$21,MATCH($A314,Accounts!$B$2:$B$21,0))&amp;"",IF($D314="Named engineer",INDEX(Accounts!$I$2:$I$21,MATCH($A314,Accounts!$B$2:$B$21,0))&amp;"",IF($D314="TSE + PS",IF(INDEX(Accounts!$G$2:$G$21,MATCH($A314,Accounts!$B$2:$B$21,0))&amp;""="","(no TSE)",INDEX(Accounts!$G$2:$G$21,MATCH($A314,Accounts!$B$2:$B$21,0))&amp;"")&amp;" / "&amp;IF(INDEX(Accounts!$F$2:$F$21,MATCH($A314,Accounts!$B$2:$B$21,0))&amp;""="","(no PS)",INDEX(Accounts!$F$2:$F$21,MATCH($A314,Accounts!$B$2:$B$21,0))&amp;""),"")))),""))</f>
        <v/>
      </c>
      <c r="F314" s="42" t="s">
        <v>104</v>
      </c>
      <c r="I314" s="42" t="s">
        <v>34</v>
      </c>
      <c r="K314" s="44" t="str">
        <f t="shared" si="1"/>
        <v>Owner missing </v>
      </c>
    </row>
    <row r="315" ht="15.75" customHeight="1">
      <c r="E315" s="43" t="str">
        <f t="array" ref="E315">IF($A315="","",IFERROR(IF($D315="TSE",INDEX(Accounts!$G$2:$G$21,MATCH($A315,Accounts!$B$2:$B$21,0))&amp;"",IF($D315="PS",INDEX(Accounts!$F$2:$F$21,MATCH($A315,Accounts!$B$2:$B$21,0))&amp;"",IF($D315="Named engineer",INDEX(Accounts!$I$2:$I$21,MATCH($A315,Accounts!$B$2:$B$21,0))&amp;"",IF($D315="TSE + PS",IF(INDEX(Accounts!$G$2:$G$21,MATCH($A315,Accounts!$B$2:$B$21,0))&amp;""="","(no TSE)",INDEX(Accounts!$G$2:$G$21,MATCH($A315,Accounts!$B$2:$B$21,0))&amp;"")&amp;" / "&amp;IF(INDEX(Accounts!$F$2:$F$21,MATCH($A315,Accounts!$B$2:$B$21,0))&amp;""="","(no PS)",INDEX(Accounts!$F$2:$F$21,MATCH($A315,Accounts!$B$2:$B$21,0))&amp;""),"")))),""))</f>
        <v/>
      </c>
      <c r="F315" s="42" t="s">
        <v>104</v>
      </c>
      <c r="I315" s="42" t="s">
        <v>34</v>
      </c>
      <c r="K315" s="44" t="str">
        <f t="shared" si="1"/>
        <v>Owner missing </v>
      </c>
    </row>
    <row r="316" ht="15.75" customHeight="1">
      <c r="E316" s="43" t="str">
        <f t="array" ref="E316">IF($A316="","",IFERROR(IF($D316="TSE",INDEX(Accounts!$G$2:$G$21,MATCH($A316,Accounts!$B$2:$B$21,0))&amp;"",IF($D316="PS",INDEX(Accounts!$F$2:$F$21,MATCH($A316,Accounts!$B$2:$B$21,0))&amp;"",IF($D316="Named engineer",INDEX(Accounts!$I$2:$I$21,MATCH($A316,Accounts!$B$2:$B$21,0))&amp;"",IF($D316="TSE + PS",IF(INDEX(Accounts!$G$2:$G$21,MATCH($A316,Accounts!$B$2:$B$21,0))&amp;""="","(no TSE)",INDEX(Accounts!$G$2:$G$21,MATCH($A316,Accounts!$B$2:$B$21,0))&amp;"")&amp;" / "&amp;IF(INDEX(Accounts!$F$2:$F$21,MATCH($A316,Accounts!$B$2:$B$21,0))&amp;""="","(no PS)",INDEX(Accounts!$F$2:$F$21,MATCH($A316,Accounts!$B$2:$B$21,0))&amp;""),"")))),""))</f>
        <v/>
      </c>
      <c r="F316" s="42" t="s">
        <v>104</v>
      </c>
      <c r="I316" s="42" t="s">
        <v>34</v>
      </c>
      <c r="K316" s="44" t="str">
        <f t="shared" si="1"/>
        <v>Owner missing </v>
      </c>
    </row>
    <row r="317" ht="15.75" customHeight="1">
      <c r="E317" s="43" t="str">
        <f t="array" ref="E317">IF($A317="","",IFERROR(IF($D317="TSE",INDEX(Accounts!$G$2:$G$21,MATCH($A317,Accounts!$B$2:$B$21,0))&amp;"",IF($D317="PS",INDEX(Accounts!$F$2:$F$21,MATCH($A317,Accounts!$B$2:$B$21,0))&amp;"",IF($D317="Named engineer",INDEX(Accounts!$I$2:$I$21,MATCH($A317,Accounts!$B$2:$B$21,0))&amp;"",IF($D317="TSE + PS",IF(INDEX(Accounts!$G$2:$G$21,MATCH($A317,Accounts!$B$2:$B$21,0))&amp;""="","(no TSE)",INDEX(Accounts!$G$2:$G$21,MATCH($A317,Accounts!$B$2:$B$21,0))&amp;"")&amp;" / "&amp;IF(INDEX(Accounts!$F$2:$F$21,MATCH($A317,Accounts!$B$2:$B$21,0))&amp;""="","(no PS)",INDEX(Accounts!$F$2:$F$21,MATCH($A317,Accounts!$B$2:$B$21,0))&amp;""),"")))),""))</f>
        <v/>
      </c>
      <c r="F317" s="42" t="s">
        <v>104</v>
      </c>
      <c r="I317" s="42" t="s">
        <v>34</v>
      </c>
      <c r="K317" s="44" t="str">
        <f t="shared" si="1"/>
        <v>Owner missing </v>
      </c>
    </row>
    <row r="318" ht="15.75" customHeight="1">
      <c r="E318" s="43" t="str">
        <f t="array" ref="E318">IF($A318="","",IFERROR(IF($D318="TSE",INDEX(Accounts!$G$2:$G$21,MATCH($A318,Accounts!$B$2:$B$21,0))&amp;"",IF($D318="PS",INDEX(Accounts!$F$2:$F$21,MATCH($A318,Accounts!$B$2:$B$21,0))&amp;"",IF($D318="Named engineer",INDEX(Accounts!$I$2:$I$21,MATCH($A318,Accounts!$B$2:$B$21,0))&amp;"",IF($D318="TSE + PS",IF(INDEX(Accounts!$G$2:$G$21,MATCH($A318,Accounts!$B$2:$B$21,0))&amp;""="","(no TSE)",INDEX(Accounts!$G$2:$G$21,MATCH($A318,Accounts!$B$2:$B$21,0))&amp;"")&amp;" / "&amp;IF(INDEX(Accounts!$F$2:$F$21,MATCH($A318,Accounts!$B$2:$B$21,0))&amp;""="","(no PS)",INDEX(Accounts!$F$2:$F$21,MATCH($A318,Accounts!$B$2:$B$21,0))&amp;""),"")))),""))</f>
        <v/>
      </c>
      <c r="F318" s="42" t="s">
        <v>104</v>
      </c>
      <c r="I318" s="42" t="s">
        <v>34</v>
      </c>
      <c r="K318" s="44" t="str">
        <f t="shared" si="1"/>
        <v>Owner missing </v>
      </c>
    </row>
    <row r="319" ht="15.75" customHeight="1">
      <c r="E319" s="43" t="str">
        <f t="array" ref="E319">IF($A319="","",IFERROR(IF($D319="TSE",INDEX(Accounts!$G$2:$G$21,MATCH($A319,Accounts!$B$2:$B$21,0))&amp;"",IF($D319="PS",INDEX(Accounts!$F$2:$F$21,MATCH($A319,Accounts!$B$2:$B$21,0))&amp;"",IF($D319="Named engineer",INDEX(Accounts!$I$2:$I$21,MATCH($A319,Accounts!$B$2:$B$21,0))&amp;"",IF($D319="TSE + PS",IF(INDEX(Accounts!$G$2:$G$21,MATCH($A319,Accounts!$B$2:$B$21,0))&amp;""="","(no TSE)",INDEX(Accounts!$G$2:$G$21,MATCH($A319,Accounts!$B$2:$B$21,0))&amp;"")&amp;" / "&amp;IF(INDEX(Accounts!$F$2:$F$21,MATCH($A319,Accounts!$B$2:$B$21,0))&amp;""="","(no PS)",INDEX(Accounts!$F$2:$F$21,MATCH($A319,Accounts!$B$2:$B$21,0))&amp;""),"")))),""))</f>
        <v/>
      </c>
      <c r="F319" s="42" t="s">
        <v>104</v>
      </c>
      <c r="I319" s="42" t="s">
        <v>34</v>
      </c>
      <c r="K319" s="44" t="str">
        <f t="shared" si="1"/>
        <v>Owner missing </v>
      </c>
    </row>
    <row r="320" ht="15.75" customHeight="1">
      <c r="E320" s="43" t="str">
        <f t="array" ref="E320">IF($A320="","",IFERROR(IF($D320="TSE",INDEX(Accounts!$G$2:$G$21,MATCH($A320,Accounts!$B$2:$B$21,0))&amp;"",IF($D320="PS",INDEX(Accounts!$F$2:$F$21,MATCH($A320,Accounts!$B$2:$B$21,0))&amp;"",IF($D320="Named engineer",INDEX(Accounts!$I$2:$I$21,MATCH($A320,Accounts!$B$2:$B$21,0))&amp;"",IF($D320="TSE + PS",IF(INDEX(Accounts!$G$2:$G$21,MATCH($A320,Accounts!$B$2:$B$21,0))&amp;""="","(no TSE)",INDEX(Accounts!$G$2:$G$21,MATCH($A320,Accounts!$B$2:$B$21,0))&amp;"")&amp;" / "&amp;IF(INDEX(Accounts!$F$2:$F$21,MATCH($A320,Accounts!$B$2:$B$21,0))&amp;""="","(no PS)",INDEX(Accounts!$F$2:$F$21,MATCH($A320,Accounts!$B$2:$B$21,0))&amp;""),"")))),""))</f>
        <v/>
      </c>
      <c r="F320" s="42" t="s">
        <v>104</v>
      </c>
      <c r="I320" s="42" t="s">
        <v>34</v>
      </c>
      <c r="K320" s="44" t="str">
        <f t="shared" si="1"/>
        <v>Owner missing </v>
      </c>
    </row>
    <row r="321" ht="15.75" customHeight="1">
      <c r="E321" s="43" t="str">
        <f t="array" ref="E321">IF($A321="","",IFERROR(IF($D321="TSE",INDEX(Accounts!$G$2:$G$21,MATCH($A321,Accounts!$B$2:$B$21,0))&amp;"",IF($D321="PS",INDEX(Accounts!$F$2:$F$21,MATCH($A321,Accounts!$B$2:$B$21,0))&amp;"",IF($D321="Named engineer",INDEX(Accounts!$I$2:$I$21,MATCH($A321,Accounts!$B$2:$B$21,0))&amp;"",IF($D321="TSE + PS",IF(INDEX(Accounts!$G$2:$G$21,MATCH($A321,Accounts!$B$2:$B$21,0))&amp;""="","(no TSE)",INDEX(Accounts!$G$2:$G$21,MATCH($A321,Accounts!$B$2:$B$21,0))&amp;"")&amp;" / "&amp;IF(INDEX(Accounts!$F$2:$F$21,MATCH($A321,Accounts!$B$2:$B$21,0))&amp;""="","(no PS)",INDEX(Accounts!$F$2:$F$21,MATCH($A321,Accounts!$B$2:$B$21,0))&amp;""),"")))),""))</f>
        <v/>
      </c>
      <c r="F321" s="42" t="s">
        <v>104</v>
      </c>
      <c r="I321" s="42" t="s">
        <v>34</v>
      </c>
      <c r="K321" s="44" t="str">
        <f t="shared" si="1"/>
        <v>Owner missing </v>
      </c>
    </row>
    <row r="322" ht="15.75" customHeight="1">
      <c r="E322" s="43" t="str">
        <f t="array" ref="E322">IF($A322="","",IFERROR(IF($D322="TSE",INDEX(Accounts!$G$2:$G$21,MATCH($A322,Accounts!$B$2:$B$21,0))&amp;"",IF($D322="PS",INDEX(Accounts!$F$2:$F$21,MATCH($A322,Accounts!$B$2:$B$21,0))&amp;"",IF($D322="Named engineer",INDEX(Accounts!$I$2:$I$21,MATCH($A322,Accounts!$B$2:$B$21,0))&amp;"",IF($D322="TSE + PS",IF(INDEX(Accounts!$G$2:$G$21,MATCH($A322,Accounts!$B$2:$B$21,0))&amp;""="","(no TSE)",INDEX(Accounts!$G$2:$G$21,MATCH($A322,Accounts!$B$2:$B$21,0))&amp;"")&amp;" / "&amp;IF(INDEX(Accounts!$F$2:$F$21,MATCH($A322,Accounts!$B$2:$B$21,0))&amp;""="","(no PS)",INDEX(Accounts!$F$2:$F$21,MATCH($A322,Accounts!$B$2:$B$21,0))&amp;""),"")))),""))</f>
        <v/>
      </c>
      <c r="F322" s="42" t="s">
        <v>104</v>
      </c>
      <c r="I322" s="42" t="s">
        <v>34</v>
      </c>
      <c r="K322" s="44" t="str">
        <f t="shared" si="1"/>
        <v>Owner missing </v>
      </c>
    </row>
    <row r="323" ht="15.75" customHeight="1">
      <c r="E323" s="43" t="str">
        <f t="array" ref="E323">IF($A323="","",IFERROR(IF($D323="TSE",INDEX(Accounts!$G$2:$G$21,MATCH($A323,Accounts!$B$2:$B$21,0))&amp;"",IF($D323="PS",INDEX(Accounts!$F$2:$F$21,MATCH($A323,Accounts!$B$2:$B$21,0))&amp;"",IF($D323="Named engineer",INDEX(Accounts!$I$2:$I$21,MATCH($A323,Accounts!$B$2:$B$21,0))&amp;"",IF($D323="TSE + PS",IF(INDEX(Accounts!$G$2:$G$21,MATCH($A323,Accounts!$B$2:$B$21,0))&amp;""="","(no TSE)",INDEX(Accounts!$G$2:$G$21,MATCH($A323,Accounts!$B$2:$B$21,0))&amp;"")&amp;" / "&amp;IF(INDEX(Accounts!$F$2:$F$21,MATCH($A323,Accounts!$B$2:$B$21,0))&amp;""="","(no PS)",INDEX(Accounts!$F$2:$F$21,MATCH($A323,Accounts!$B$2:$B$21,0))&amp;""),"")))),""))</f>
        <v/>
      </c>
      <c r="F323" s="42" t="s">
        <v>104</v>
      </c>
      <c r="I323" s="42" t="s">
        <v>34</v>
      </c>
      <c r="K323" s="44" t="str">
        <f t="shared" si="1"/>
        <v>Owner missing </v>
      </c>
    </row>
    <row r="324" ht="15.75" customHeight="1">
      <c r="E324" s="43" t="str">
        <f t="array" ref="E324">IF($A324="","",IFERROR(IF($D324="TSE",INDEX(Accounts!$G$2:$G$21,MATCH($A324,Accounts!$B$2:$B$21,0))&amp;"",IF($D324="PS",INDEX(Accounts!$F$2:$F$21,MATCH($A324,Accounts!$B$2:$B$21,0))&amp;"",IF($D324="Named engineer",INDEX(Accounts!$I$2:$I$21,MATCH($A324,Accounts!$B$2:$B$21,0))&amp;"",IF($D324="TSE + PS",IF(INDEX(Accounts!$G$2:$G$21,MATCH($A324,Accounts!$B$2:$B$21,0))&amp;""="","(no TSE)",INDEX(Accounts!$G$2:$G$21,MATCH($A324,Accounts!$B$2:$B$21,0))&amp;"")&amp;" / "&amp;IF(INDEX(Accounts!$F$2:$F$21,MATCH($A324,Accounts!$B$2:$B$21,0))&amp;""="","(no PS)",INDEX(Accounts!$F$2:$F$21,MATCH($A324,Accounts!$B$2:$B$21,0))&amp;""),"")))),""))</f>
        <v/>
      </c>
      <c r="F324" s="42" t="s">
        <v>104</v>
      </c>
      <c r="I324" s="42" t="s">
        <v>34</v>
      </c>
      <c r="K324" s="44" t="str">
        <f t="shared" si="1"/>
        <v>Owner missing </v>
      </c>
    </row>
    <row r="325" ht="15.75" customHeight="1">
      <c r="E325" s="43" t="str">
        <f t="array" ref="E325">IF($A325="","",IFERROR(IF($D325="TSE",INDEX(Accounts!$G$2:$G$21,MATCH($A325,Accounts!$B$2:$B$21,0))&amp;"",IF($D325="PS",INDEX(Accounts!$F$2:$F$21,MATCH($A325,Accounts!$B$2:$B$21,0))&amp;"",IF($D325="Named engineer",INDEX(Accounts!$I$2:$I$21,MATCH($A325,Accounts!$B$2:$B$21,0))&amp;"",IF($D325="TSE + PS",IF(INDEX(Accounts!$G$2:$G$21,MATCH($A325,Accounts!$B$2:$B$21,0))&amp;""="","(no TSE)",INDEX(Accounts!$G$2:$G$21,MATCH($A325,Accounts!$B$2:$B$21,0))&amp;"")&amp;" / "&amp;IF(INDEX(Accounts!$F$2:$F$21,MATCH($A325,Accounts!$B$2:$B$21,0))&amp;""="","(no PS)",INDEX(Accounts!$F$2:$F$21,MATCH($A325,Accounts!$B$2:$B$21,0))&amp;""),"")))),""))</f>
        <v/>
      </c>
      <c r="F325" s="42" t="s">
        <v>104</v>
      </c>
      <c r="I325" s="42" t="s">
        <v>34</v>
      </c>
      <c r="K325" s="44" t="str">
        <f t="shared" si="1"/>
        <v>Owner missing </v>
      </c>
    </row>
    <row r="326" ht="15.75" customHeight="1">
      <c r="E326" s="43" t="str">
        <f t="array" ref="E326">IF($A326="","",IFERROR(IF($D326="TSE",INDEX(Accounts!$G$2:$G$21,MATCH($A326,Accounts!$B$2:$B$21,0))&amp;"",IF($D326="PS",INDEX(Accounts!$F$2:$F$21,MATCH($A326,Accounts!$B$2:$B$21,0))&amp;"",IF($D326="Named engineer",INDEX(Accounts!$I$2:$I$21,MATCH($A326,Accounts!$B$2:$B$21,0))&amp;"",IF($D326="TSE + PS",IF(INDEX(Accounts!$G$2:$G$21,MATCH($A326,Accounts!$B$2:$B$21,0))&amp;""="","(no TSE)",INDEX(Accounts!$G$2:$G$21,MATCH($A326,Accounts!$B$2:$B$21,0))&amp;"")&amp;" / "&amp;IF(INDEX(Accounts!$F$2:$F$21,MATCH($A326,Accounts!$B$2:$B$21,0))&amp;""="","(no PS)",INDEX(Accounts!$F$2:$F$21,MATCH($A326,Accounts!$B$2:$B$21,0))&amp;""),"")))),""))</f>
        <v/>
      </c>
      <c r="F326" s="42" t="s">
        <v>104</v>
      </c>
      <c r="I326" s="42" t="s">
        <v>34</v>
      </c>
      <c r="K326" s="44" t="str">
        <f t="shared" si="1"/>
        <v>Owner missing </v>
      </c>
    </row>
    <row r="327" ht="15.75" customHeight="1">
      <c r="E327" s="43" t="str">
        <f t="array" ref="E327">IF($A327="","",IFERROR(IF($D327="TSE",INDEX(Accounts!$G$2:$G$21,MATCH($A327,Accounts!$B$2:$B$21,0))&amp;"",IF($D327="PS",INDEX(Accounts!$F$2:$F$21,MATCH($A327,Accounts!$B$2:$B$21,0))&amp;"",IF($D327="Named engineer",INDEX(Accounts!$I$2:$I$21,MATCH($A327,Accounts!$B$2:$B$21,0))&amp;"",IF($D327="TSE + PS",IF(INDEX(Accounts!$G$2:$G$21,MATCH($A327,Accounts!$B$2:$B$21,0))&amp;""="","(no TSE)",INDEX(Accounts!$G$2:$G$21,MATCH($A327,Accounts!$B$2:$B$21,0))&amp;"")&amp;" / "&amp;IF(INDEX(Accounts!$F$2:$F$21,MATCH($A327,Accounts!$B$2:$B$21,0))&amp;""="","(no PS)",INDEX(Accounts!$F$2:$F$21,MATCH($A327,Accounts!$B$2:$B$21,0))&amp;""),"")))),""))</f>
        <v/>
      </c>
      <c r="F327" s="42" t="s">
        <v>104</v>
      </c>
      <c r="I327" s="42" t="s">
        <v>34</v>
      </c>
      <c r="K327" s="44" t="str">
        <f t="shared" si="1"/>
        <v>Owner missing </v>
      </c>
    </row>
    <row r="328" ht="15.75" customHeight="1">
      <c r="E328" s="43" t="str">
        <f t="array" ref="E328">IF($A328="","",IFERROR(IF($D328="TSE",INDEX(Accounts!$G$2:$G$21,MATCH($A328,Accounts!$B$2:$B$21,0))&amp;"",IF($D328="PS",INDEX(Accounts!$F$2:$F$21,MATCH($A328,Accounts!$B$2:$B$21,0))&amp;"",IF($D328="Named engineer",INDEX(Accounts!$I$2:$I$21,MATCH($A328,Accounts!$B$2:$B$21,0))&amp;"",IF($D328="TSE + PS",IF(INDEX(Accounts!$G$2:$G$21,MATCH($A328,Accounts!$B$2:$B$21,0))&amp;""="","(no TSE)",INDEX(Accounts!$G$2:$G$21,MATCH($A328,Accounts!$B$2:$B$21,0))&amp;"")&amp;" / "&amp;IF(INDEX(Accounts!$F$2:$F$21,MATCH($A328,Accounts!$B$2:$B$21,0))&amp;""="","(no PS)",INDEX(Accounts!$F$2:$F$21,MATCH($A328,Accounts!$B$2:$B$21,0))&amp;""),"")))),""))</f>
        <v/>
      </c>
      <c r="F328" s="42" t="s">
        <v>104</v>
      </c>
      <c r="I328" s="42" t="s">
        <v>34</v>
      </c>
      <c r="K328" s="44" t="str">
        <f t="shared" si="1"/>
        <v>Owner missing </v>
      </c>
    </row>
    <row r="329" ht="15.75" customHeight="1">
      <c r="E329" s="43" t="str">
        <f t="array" ref="E329">IF($A329="","",IFERROR(IF($D329="TSE",INDEX(Accounts!$G$2:$G$21,MATCH($A329,Accounts!$B$2:$B$21,0))&amp;"",IF($D329="PS",INDEX(Accounts!$F$2:$F$21,MATCH($A329,Accounts!$B$2:$B$21,0))&amp;"",IF($D329="Named engineer",INDEX(Accounts!$I$2:$I$21,MATCH($A329,Accounts!$B$2:$B$21,0))&amp;"",IF($D329="TSE + PS",IF(INDEX(Accounts!$G$2:$G$21,MATCH($A329,Accounts!$B$2:$B$21,0))&amp;""="","(no TSE)",INDEX(Accounts!$G$2:$G$21,MATCH($A329,Accounts!$B$2:$B$21,0))&amp;"")&amp;" / "&amp;IF(INDEX(Accounts!$F$2:$F$21,MATCH($A329,Accounts!$B$2:$B$21,0))&amp;""="","(no PS)",INDEX(Accounts!$F$2:$F$21,MATCH($A329,Accounts!$B$2:$B$21,0))&amp;""),"")))),""))</f>
        <v/>
      </c>
      <c r="F329" s="42" t="s">
        <v>104</v>
      </c>
      <c r="I329" s="42" t="s">
        <v>34</v>
      </c>
      <c r="K329" s="44" t="str">
        <f t="shared" si="1"/>
        <v>Owner missing </v>
      </c>
    </row>
    <row r="330" ht="15.75" customHeight="1">
      <c r="E330" s="43" t="str">
        <f t="array" ref="E330">IF($A330="","",IFERROR(IF($D330="TSE",INDEX(Accounts!$G$2:$G$21,MATCH($A330,Accounts!$B$2:$B$21,0))&amp;"",IF($D330="PS",INDEX(Accounts!$F$2:$F$21,MATCH($A330,Accounts!$B$2:$B$21,0))&amp;"",IF($D330="Named engineer",INDEX(Accounts!$I$2:$I$21,MATCH($A330,Accounts!$B$2:$B$21,0))&amp;"",IF($D330="TSE + PS",IF(INDEX(Accounts!$G$2:$G$21,MATCH($A330,Accounts!$B$2:$B$21,0))&amp;""="","(no TSE)",INDEX(Accounts!$G$2:$G$21,MATCH($A330,Accounts!$B$2:$B$21,0))&amp;"")&amp;" / "&amp;IF(INDEX(Accounts!$F$2:$F$21,MATCH($A330,Accounts!$B$2:$B$21,0))&amp;""="","(no PS)",INDEX(Accounts!$F$2:$F$21,MATCH($A330,Accounts!$B$2:$B$21,0))&amp;""),"")))),""))</f>
        <v/>
      </c>
      <c r="F330" s="42" t="s">
        <v>104</v>
      </c>
      <c r="I330" s="42" t="s">
        <v>34</v>
      </c>
      <c r="K330" s="44" t="str">
        <f t="shared" si="1"/>
        <v>Owner missing </v>
      </c>
    </row>
    <row r="331" ht="15.75" customHeight="1">
      <c r="E331" s="43" t="str">
        <f t="array" ref="E331">IF($A331="","",IFERROR(IF($D331="TSE",INDEX(Accounts!$G$2:$G$21,MATCH($A331,Accounts!$B$2:$B$21,0))&amp;"",IF($D331="PS",INDEX(Accounts!$F$2:$F$21,MATCH($A331,Accounts!$B$2:$B$21,0))&amp;"",IF($D331="Named engineer",INDEX(Accounts!$I$2:$I$21,MATCH($A331,Accounts!$B$2:$B$21,0))&amp;"",IF($D331="TSE + PS",IF(INDEX(Accounts!$G$2:$G$21,MATCH($A331,Accounts!$B$2:$B$21,0))&amp;""="","(no TSE)",INDEX(Accounts!$G$2:$G$21,MATCH($A331,Accounts!$B$2:$B$21,0))&amp;"")&amp;" / "&amp;IF(INDEX(Accounts!$F$2:$F$21,MATCH($A331,Accounts!$B$2:$B$21,0))&amp;""="","(no PS)",INDEX(Accounts!$F$2:$F$21,MATCH($A331,Accounts!$B$2:$B$21,0))&amp;""),"")))),""))</f>
        <v/>
      </c>
      <c r="F331" s="42" t="s">
        <v>104</v>
      </c>
      <c r="I331" s="42" t="s">
        <v>34</v>
      </c>
      <c r="K331" s="44" t="str">
        <f t="shared" si="1"/>
        <v>Owner missing </v>
      </c>
    </row>
    <row r="332" ht="15.75" customHeight="1">
      <c r="E332" s="43" t="str">
        <f t="array" ref="E332">IF($A332="","",IFERROR(IF($D332="TSE",INDEX(Accounts!$G$2:$G$21,MATCH($A332,Accounts!$B$2:$B$21,0))&amp;"",IF($D332="PS",INDEX(Accounts!$F$2:$F$21,MATCH($A332,Accounts!$B$2:$B$21,0))&amp;"",IF($D332="Named engineer",INDEX(Accounts!$I$2:$I$21,MATCH($A332,Accounts!$B$2:$B$21,0))&amp;"",IF($D332="TSE + PS",IF(INDEX(Accounts!$G$2:$G$21,MATCH($A332,Accounts!$B$2:$B$21,0))&amp;""="","(no TSE)",INDEX(Accounts!$G$2:$G$21,MATCH($A332,Accounts!$B$2:$B$21,0))&amp;"")&amp;" / "&amp;IF(INDEX(Accounts!$F$2:$F$21,MATCH($A332,Accounts!$B$2:$B$21,0))&amp;""="","(no PS)",INDEX(Accounts!$F$2:$F$21,MATCH($A332,Accounts!$B$2:$B$21,0))&amp;""),"")))),""))</f>
        <v/>
      </c>
      <c r="F332" s="42" t="s">
        <v>104</v>
      </c>
      <c r="I332" s="42" t="s">
        <v>34</v>
      </c>
      <c r="K332" s="44" t="str">
        <f t="shared" si="1"/>
        <v>Owner missing </v>
      </c>
    </row>
    <row r="333" ht="15.75" customHeight="1">
      <c r="E333" s="43" t="str">
        <f t="array" ref="E333">IF($A333="","",IFERROR(IF($D333="TSE",INDEX(Accounts!$G$2:$G$21,MATCH($A333,Accounts!$B$2:$B$21,0))&amp;"",IF($D333="PS",INDEX(Accounts!$F$2:$F$21,MATCH($A333,Accounts!$B$2:$B$21,0))&amp;"",IF($D333="Named engineer",INDEX(Accounts!$I$2:$I$21,MATCH($A333,Accounts!$B$2:$B$21,0))&amp;"",IF($D333="TSE + PS",IF(INDEX(Accounts!$G$2:$G$21,MATCH($A333,Accounts!$B$2:$B$21,0))&amp;""="","(no TSE)",INDEX(Accounts!$G$2:$G$21,MATCH($A333,Accounts!$B$2:$B$21,0))&amp;"")&amp;" / "&amp;IF(INDEX(Accounts!$F$2:$F$21,MATCH($A333,Accounts!$B$2:$B$21,0))&amp;""="","(no PS)",INDEX(Accounts!$F$2:$F$21,MATCH($A333,Accounts!$B$2:$B$21,0))&amp;""),"")))),""))</f>
        <v/>
      </c>
      <c r="F333" s="42" t="s">
        <v>104</v>
      </c>
      <c r="I333" s="42" t="s">
        <v>34</v>
      </c>
      <c r="K333" s="44" t="str">
        <f t="shared" si="1"/>
        <v>Owner missing </v>
      </c>
    </row>
    <row r="334" ht="15.75" customHeight="1">
      <c r="E334" s="43" t="str">
        <f t="array" ref="E334">IF($A334="","",IFERROR(IF($D334="TSE",INDEX(Accounts!$G$2:$G$21,MATCH($A334,Accounts!$B$2:$B$21,0))&amp;"",IF($D334="PS",INDEX(Accounts!$F$2:$F$21,MATCH($A334,Accounts!$B$2:$B$21,0))&amp;"",IF($D334="Named engineer",INDEX(Accounts!$I$2:$I$21,MATCH($A334,Accounts!$B$2:$B$21,0))&amp;"",IF($D334="TSE + PS",IF(INDEX(Accounts!$G$2:$G$21,MATCH($A334,Accounts!$B$2:$B$21,0))&amp;""="","(no TSE)",INDEX(Accounts!$G$2:$G$21,MATCH($A334,Accounts!$B$2:$B$21,0))&amp;"")&amp;" / "&amp;IF(INDEX(Accounts!$F$2:$F$21,MATCH($A334,Accounts!$B$2:$B$21,0))&amp;""="","(no PS)",INDEX(Accounts!$F$2:$F$21,MATCH($A334,Accounts!$B$2:$B$21,0))&amp;""),"")))),""))</f>
        <v/>
      </c>
      <c r="F334" s="42" t="s">
        <v>104</v>
      </c>
      <c r="I334" s="42" t="s">
        <v>34</v>
      </c>
      <c r="K334" s="44" t="str">
        <f t="shared" si="1"/>
        <v>Owner missing </v>
      </c>
    </row>
    <row r="335" ht="15.75" customHeight="1">
      <c r="E335" s="43" t="str">
        <f t="array" ref="E335">IF($A335="","",IFERROR(IF($D335="TSE",INDEX(Accounts!$G$2:$G$21,MATCH($A335,Accounts!$B$2:$B$21,0))&amp;"",IF($D335="PS",INDEX(Accounts!$F$2:$F$21,MATCH($A335,Accounts!$B$2:$B$21,0))&amp;"",IF($D335="Named engineer",INDEX(Accounts!$I$2:$I$21,MATCH($A335,Accounts!$B$2:$B$21,0))&amp;"",IF($D335="TSE + PS",IF(INDEX(Accounts!$G$2:$G$21,MATCH($A335,Accounts!$B$2:$B$21,0))&amp;""="","(no TSE)",INDEX(Accounts!$G$2:$G$21,MATCH($A335,Accounts!$B$2:$B$21,0))&amp;"")&amp;" / "&amp;IF(INDEX(Accounts!$F$2:$F$21,MATCH($A335,Accounts!$B$2:$B$21,0))&amp;""="","(no PS)",INDEX(Accounts!$F$2:$F$21,MATCH($A335,Accounts!$B$2:$B$21,0))&amp;""),"")))),""))</f>
        <v/>
      </c>
      <c r="F335" s="42" t="s">
        <v>104</v>
      </c>
      <c r="I335" s="42" t="s">
        <v>34</v>
      </c>
      <c r="K335" s="44" t="str">
        <f t="shared" si="1"/>
        <v>Owner missing </v>
      </c>
    </row>
    <row r="336" ht="15.75" customHeight="1">
      <c r="E336" s="43" t="str">
        <f t="array" ref="E336">IF($A336="","",IFERROR(IF($D336="TSE",INDEX(Accounts!$G$2:$G$21,MATCH($A336,Accounts!$B$2:$B$21,0))&amp;"",IF($D336="PS",INDEX(Accounts!$F$2:$F$21,MATCH($A336,Accounts!$B$2:$B$21,0))&amp;"",IF($D336="Named engineer",INDEX(Accounts!$I$2:$I$21,MATCH($A336,Accounts!$B$2:$B$21,0))&amp;"",IF($D336="TSE + PS",IF(INDEX(Accounts!$G$2:$G$21,MATCH($A336,Accounts!$B$2:$B$21,0))&amp;""="","(no TSE)",INDEX(Accounts!$G$2:$G$21,MATCH($A336,Accounts!$B$2:$B$21,0))&amp;"")&amp;" / "&amp;IF(INDEX(Accounts!$F$2:$F$21,MATCH($A336,Accounts!$B$2:$B$21,0))&amp;""="","(no PS)",INDEX(Accounts!$F$2:$F$21,MATCH($A336,Accounts!$B$2:$B$21,0))&amp;""),"")))),""))</f>
        <v/>
      </c>
      <c r="F336" s="42" t="s">
        <v>104</v>
      </c>
      <c r="I336" s="42" t="s">
        <v>34</v>
      </c>
      <c r="K336" s="44" t="str">
        <f t="shared" si="1"/>
        <v>Owner missing </v>
      </c>
    </row>
    <row r="337" ht="15.75" customHeight="1">
      <c r="E337" s="43" t="str">
        <f t="array" ref="E337">IF($A337="","",IFERROR(IF($D337="TSE",INDEX(Accounts!$G$2:$G$21,MATCH($A337,Accounts!$B$2:$B$21,0))&amp;"",IF($D337="PS",INDEX(Accounts!$F$2:$F$21,MATCH($A337,Accounts!$B$2:$B$21,0))&amp;"",IF($D337="Named engineer",INDEX(Accounts!$I$2:$I$21,MATCH($A337,Accounts!$B$2:$B$21,0))&amp;"",IF($D337="TSE + PS",IF(INDEX(Accounts!$G$2:$G$21,MATCH($A337,Accounts!$B$2:$B$21,0))&amp;""="","(no TSE)",INDEX(Accounts!$G$2:$G$21,MATCH($A337,Accounts!$B$2:$B$21,0))&amp;"")&amp;" / "&amp;IF(INDEX(Accounts!$F$2:$F$21,MATCH($A337,Accounts!$B$2:$B$21,0))&amp;""="","(no PS)",INDEX(Accounts!$F$2:$F$21,MATCH($A337,Accounts!$B$2:$B$21,0))&amp;""),"")))),""))</f>
        <v/>
      </c>
      <c r="F337" s="42" t="s">
        <v>104</v>
      </c>
      <c r="I337" s="42" t="s">
        <v>34</v>
      </c>
      <c r="K337" s="44" t="str">
        <f t="shared" si="1"/>
        <v>Owner missing </v>
      </c>
    </row>
    <row r="338" ht="15.75" customHeight="1">
      <c r="E338" s="43" t="str">
        <f t="array" ref="E338">IF($A338="","",IFERROR(IF($D338="TSE",INDEX(Accounts!$G$2:$G$21,MATCH($A338,Accounts!$B$2:$B$21,0))&amp;"",IF($D338="PS",INDEX(Accounts!$F$2:$F$21,MATCH($A338,Accounts!$B$2:$B$21,0))&amp;"",IF($D338="Named engineer",INDEX(Accounts!$I$2:$I$21,MATCH($A338,Accounts!$B$2:$B$21,0))&amp;"",IF($D338="TSE + PS",IF(INDEX(Accounts!$G$2:$G$21,MATCH($A338,Accounts!$B$2:$B$21,0))&amp;""="","(no TSE)",INDEX(Accounts!$G$2:$G$21,MATCH($A338,Accounts!$B$2:$B$21,0))&amp;"")&amp;" / "&amp;IF(INDEX(Accounts!$F$2:$F$21,MATCH($A338,Accounts!$B$2:$B$21,0))&amp;""="","(no PS)",INDEX(Accounts!$F$2:$F$21,MATCH($A338,Accounts!$B$2:$B$21,0))&amp;""),"")))),""))</f>
        <v/>
      </c>
      <c r="F338" s="42" t="s">
        <v>104</v>
      </c>
      <c r="I338" s="42" t="s">
        <v>34</v>
      </c>
      <c r="K338" s="44" t="str">
        <f t="shared" si="1"/>
        <v>Owner missing </v>
      </c>
    </row>
    <row r="339" ht="15.75" customHeight="1">
      <c r="E339" s="43" t="str">
        <f t="array" ref="E339">IF($A339="","",IFERROR(IF($D339="TSE",INDEX(Accounts!$G$2:$G$21,MATCH($A339,Accounts!$B$2:$B$21,0))&amp;"",IF($D339="PS",INDEX(Accounts!$F$2:$F$21,MATCH($A339,Accounts!$B$2:$B$21,0))&amp;"",IF($D339="Named engineer",INDEX(Accounts!$I$2:$I$21,MATCH($A339,Accounts!$B$2:$B$21,0))&amp;"",IF($D339="TSE + PS",IF(INDEX(Accounts!$G$2:$G$21,MATCH($A339,Accounts!$B$2:$B$21,0))&amp;""="","(no TSE)",INDEX(Accounts!$G$2:$G$21,MATCH($A339,Accounts!$B$2:$B$21,0))&amp;"")&amp;" / "&amp;IF(INDEX(Accounts!$F$2:$F$21,MATCH($A339,Accounts!$B$2:$B$21,0))&amp;""="","(no PS)",INDEX(Accounts!$F$2:$F$21,MATCH($A339,Accounts!$B$2:$B$21,0))&amp;""),"")))),""))</f>
        <v/>
      </c>
      <c r="F339" s="42" t="s">
        <v>104</v>
      </c>
      <c r="I339" s="42" t="s">
        <v>34</v>
      </c>
      <c r="K339" s="44" t="str">
        <f t="shared" si="1"/>
        <v>Owner missing </v>
      </c>
    </row>
    <row r="340" ht="15.75" customHeight="1">
      <c r="E340" s="43" t="str">
        <f t="array" ref="E340">IF($A340="","",IFERROR(IF($D340="TSE",INDEX(Accounts!$G$2:$G$21,MATCH($A340,Accounts!$B$2:$B$21,0))&amp;"",IF($D340="PS",INDEX(Accounts!$F$2:$F$21,MATCH($A340,Accounts!$B$2:$B$21,0))&amp;"",IF($D340="Named engineer",INDEX(Accounts!$I$2:$I$21,MATCH($A340,Accounts!$B$2:$B$21,0))&amp;"",IF($D340="TSE + PS",IF(INDEX(Accounts!$G$2:$G$21,MATCH($A340,Accounts!$B$2:$B$21,0))&amp;""="","(no TSE)",INDEX(Accounts!$G$2:$G$21,MATCH($A340,Accounts!$B$2:$B$21,0))&amp;"")&amp;" / "&amp;IF(INDEX(Accounts!$F$2:$F$21,MATCH($A340,Accounts!$B$2:$B$21,0))&amp;""="","(no PS)",INDEX(Accounts!$F$2:$F$21,MATCH($A340,Accounts!$B$2:$B$21,0))&amp;""),"")))),""))</f>
        <v/>
      </c>
      <c r="F340" s="42" t="s">
        <v>104</v>
      </c>
      <c r="I340" s="42" t="s">
        <v>34</v>
      </c>
      <c r="K340" s="44" t="str">
        <f t="shared" si="1"/>
        <v>Owner missing </v>
      </c>
    </row>
    <row r="341" ht="15.75" customHeight="1">
      <c r="E341" s="43" t="str">
        <f t="array" ref="E341">IF($A341="","",IFERROR(IF($D341="TSE",INDEX(Accounts!$G$2:$G$21,MATCH($A341,Accounts!$B$2:$B$21,0))&amp;"",IF($D341="PS",INDEX(Accounts!$F$2:$F$21,MATCH($A341,Accounts!$B$2:$B$21,0))&amp;"",IF($D341="Named engineer",INDEX(Accounts!$I$2:$I$21,MATCH($A341,Accounts!$B$2:$B$21,0))&amp;"",IF($D341="TSE + PS",IF(INDEX(Accounts!$G$2:$G$21,MATCH($A341,Accounts!$B$2:$B$21,0))&amp;""="","(no TSE)",INDEX(Accounts!$G$2:$G$21,MATCH($A341,Accounts!$B$2:$B$21,0))&amp;"")&amp;" / "&amp;IF(INDEX(Accounts!$F$2:$F$21,MATCH($A341,Accounts!$B$2:$B$21,0))&amp;""="","(no PS)",INDEX(Accounts!$F$2:$F$21,MATCH($A341,Accounts!$B$2:$B$21,0))&amp;""),"")))),""))</f>
        <v/>
      </c>
      <c r="F341" s="42" t="s">
        <v>104</v>
      </c>
      <c r="I341" s="42" t="s">
        <v>34</v>
      </c>
      <c r="K341" s="44" t="str">
        <f t="shared" si="1"/>
        <v>Owner missing </v>
      </c>
    </row>
    <row r="342" ht="15.75" customHeight="1">
      <c r="E342" s="43" t="str">
        <f t="array" ref="E342">IF($A342="","",IFERROR(IF($D342="TSE",INDEX(Accounts!$G$2:$G$21,MATCH($A342,Accounts!$B$2:$B$21,0))&amp;"",IF($D342="PS",INDEX(Accounts!$F$2:$F$21,MATCH($A342,Accounts!$B$2:$B$21,0))&amp;"",IF($D342="Named engineer",INDEX(Accounts!$I$2:$I$21,MATCH($A342,Accounts!$B$2:$B$21,0))&amp;"",IF($D342="TSE + PS",IF(INDEX(Accounts!$G$2:$G$21,MATCH($A342,Accounts!$B$2:$B$21,0))&amp;""="","(no TSE)",INDEX(Accounts!$G$2:$G$21,MATCH($A342,Accounts!$B$2:$B$21,0))&amp;"")&amp;" / "&amp;IF(INDEX(Accounts!$F$2:$F$21,MATCH($A342,Accounts!$B$2:$B$21,0))&amp;""="","(no PS)",INDEX(Accounts!$F$2:$F$21,MATCH($A342,Accounts!$B$2:$B$21,0))&amp;""),"")))),""))</f>
        <v/>
      </c>
      <c r="F342" s="42" t="s">
        <v>104</v>
      </c>
      <c r="I342" s="42" t="s">
        <v>34</v>
      </c>
      <c r="K342" s="44" t="str">
        <f t="shared" si="1"/>
        <v>Owner missing </v>
      </c>
    </row>
    <row r="343" ht="15.75" customHeight="1">
      <c r="E343" s="43" t="str">
        <f t="array" ref="E343">IF($A343="","",IFERROR(IF($D343="TSE",INDEX(Accounts!$G$2:$G$21,MATCH($A343,Accounts!$B$2:$B$21,0))&amp;"",IF($D343="PS",INDEX(Accounts!$F$2:$F$21,MATCH($A343,Accounts!$B$2:$B$21,0))&amp;"",IF($D343="Named engineer",INDEX(Accounts!$I$2:$I$21,MATCH($A343,Accounts!$B$2:$B$21,0))&amp;"",IF($D343="TSE + PS",IF(INDEX(Accounts!$G$2:$G$21,MATCH($A343,Accounts!$B$2:$B$21,0))&amp;""="","(no TSE)",INDEX(Accounts!$G$2:$G$21,MATCH($A343,Accounts!$B$2:$B$21,0))&amp;"")&amp;" / "&amp;IF(INDEX(Accounts!$F$2:$F$21,MATCH($A343,Accounts!$B$2:$B$21,0))&amp;""="","(no PS)",INDEX(Accounts!$F$2:$F$21,MATCH($A343,Accounts!$B$2:$B$21,0))&amp;""),"")))),""))</f>
        <v/>
      </c>
      <c r="F343" s="42" t="s">
        <v>104</v>
      </c>
      <c r="I343" s="42" t="s">
        <v>34</v>
      </c>
      <c r="K343" s="44" t="str">
        <f t="shared" si="1"/>
        <v>Owner missing </v>
      </c>
    </row>
    <row r="344" ht="15.75" customHeight="1">
      <c r="E344" s="43" t="str">
        <f t="array" ref="E344">IF($A344="","",IFERROR(IF($D344="TSE",INDEX(Accounts!$G$2:$G$21,MATCH($A344,Accounts!$B$2:$B$21,0))&amp;"",IF($D344="PS",INDEX(Accounts!$F$2:$F$21,MATCH($A344,Accounts!$B$2:$B$21,0))&amp;"",IF($D344="Named engineer",INDEX(Accounts!$I$2:$I$21,MATCH($A344,Accounts!$B$2:$B$21,0))&amp;"",IF($D344="TSE + PS",IF(INDEX(Accounts!$G$2:$G$21,MATCH($A344,Accounts!$B$2:$B$21,0))&amp;""="","(no TSE)",INDEX(Accounts!$G$2:$G$21,MATCH($A344,Accounts!$B$2:$B$21,0))&amp;"")&amp;" / "&amp;IF(INDEX(Accounts!$F$2:$F$21,MATCH($A344,Accounts!$B$2:$B$21,0))&amp;""="","(no PS)",INDEX(Accounts!$F$2:$F$21,MATCH($A344,Accounts!$B$2:$B$21,0))&amp;""),"")))),""))</f>
        <v/>
      </c>
      <c r="F344" s="42" t="s">
        <v>104</v>
      </c>
      <c r="I344" s="42" t="s">
        <v>34</v>
      </c>
      <c r="K344" s="44" t="str">
        <f t="shared" si="1"/>
        <v>Owner missing </v>
      </c>
    </row>
    <row r="345" ht="15.75" customHeight="1">
      <c r="E345" s="43" t="str">
        <f t="array" ref="E345">IF($A345="","",IFERROR(IF($D345="TSE",INDEX(Accounts!$G$2:$G$21,MATCH($A345,Accounts!$B$2:$B$21,0))&amp;"",IF($D345="PS",INDEX(Accounts!$F$2:$F$21,MATCH($A345,Accounts!$B$2:$B$21,0))&amp;"",IF($D345="Named engineer",INDEX(Accounts!$I$2:$I$21,MATCH($A345,Accounts!$B$2:$B$21,0))&amp;"",IF($D345="TSE + PS",IF(INDEX(Accounts!$G$2:$G$21,MATCH($A345,Accounts!$B$2:$B$21,0))&amp;""="","(no TSE)",INDEX(Accounts!$G$2:$G$21,MATCH($A345,Accounts!$B$2:$B$21,0))&amp;"")&amp;" / "&amp;IF(INDEX(Accounts!$F$2:$F$21,MATCH($A345,Accounts!$B$2:$B$21,0))&amp;""="","(no PS)",INDEX(Accounts!$F$2:$F$21,MATCH($A345,Accounts!$B$2:$B$21,0))&amp;""),"")))),""))</f>
        <v/>
      </c>
      <c r="F345" s="42" t="s">
        <v>104</v>
      </c>
      <c r="I345" s="42" t="s">
        <v>34</v>
      </c>
      <c r="K345" s="44" t="str">
        <f t="shared" si="1"/>
        <v>Owner missing </v>
      </c>
    </row>
    <row r="346" ht="15.75" customHeight="1">
      <c r="E346" s="43" t="str">
        <f t="array" ref="E346">IF($A346="","",IFERROR(IF($D346="TSE",INDEX(Accounts!$G$2:$G$21,MATCH($A346,Accounts!$B$2:$B$21,0))&amp;"",IF($D346="PS",INDEX(Accounts!$F$2:$F$21,MATCH($A346,Accounts!$B$2:$B$21,0))&amp;"",IF($D346="Named engineer",INDEX(Accounts!$I$2:$I$21,MATCH($A346,Accounts!$B$2:$B$21,0))&amp;"",IF($D346="TSE + PS",IF(INDEX(Accounts!$G$2:$G$21,MATCH($A346,Accounts!$B$2:$B$21,0))&amp;""="","(no TSE)",INDEX(Accounts!$G$2:$G$21,MATCH($A346,Accounts!$B$2:$B$21,0))&amp;"")&amp;" / "&amp;IF(INDEX(Accounts!$F$2:$F$21,MATCH($A346,Accounts!$B$2:$B$21,0))&amp;""="","(no PS)",INDEX(Accounts!$F$2:$F$21,MATCH($A346,Accounts!$B$2:$B$21,0))&amp;""),"")))),""))</f>
        <v/>
      </c>
      <c r="F346" s="42" t="s">
        <v>104</v>
      </c>
      <c r="I346" s="42" t="s">
        <v>34</v>
      </c>
      <c r="K346" s="44" t="str">
        <f t="shared" si="1"/>
        <v>Owner missing </v>
      </c>
    </row>
    <row r="347" ht="15.75" customHeight="1">
      <c r="E347" s="43" t="str">
        <f t="array" ref="E347">IF($A347="","",IFERROR(IF($D347="TSE",INDEX(Accounts!$G$2:$G$21,MATCH($A347,Accounts!$B$2:$B$21,0))&amp;"",IF($D347="PS",INDEX(Accounts!$F$2:$F$21,MATCH($A347,Accounts!$B$2:$B$21,0))&amp;"",IF($D347="Named engineer",INDEX(Accounts!$I$2:$I$21,MATCH($A347,Accounts!$B$2:$B$21,0))&amp;"",IF($D347="TSE + PS",IF(INDEX(Accounts!$G$2:$G$21,MATCH($A347,Accounts!$B$2:$B$21,0))&amp;""="","(no TSE)",INDEX(Accounts!$G$2:$G$21,MATCH($A347,Accounts!$B$2:$B$21,0))&amp;"")&amp;" / "&amp;IF(INDEX(Accounts!$F$2:$F$21,MATCH($A347,Accounts!$B$2:$B$21,0))&amp;""="","(no PS)",INDEX(Accounts!$F$2:$F$21,MATCH($A347,Accounts!$B$2:$B$21,0))&amp;""),"")))),""))</f>
        <v/>
      </c>
      <c r="F347" s="42" t="s">
        <v>104</v>
      </c>
      <c r="I347" s="42" t="s">
        <v>34</v>
      </c>
      <c r="K347" s="44" t="str">
        <f t="shared" si="1"/>
        <v>Owner missing </v>
      </c>
    </row>
    <row r="348" ht="15.75" customHeight="1">
      <c r="E348" s="43" t="str">
        <f t="array" ref="E348">IF($A348="","",IFERROR(IF($D348="TSE",INDEX(Accounts!$G$2:$G$21,MATCH($A348,Accounts!$B$2:$B$21,0))&amp;"",IF($D348="PS",INDEX(Accounts!$F$2:$F$21,MATCH($A348,Accounts!$B$2:$B$21,0))&amp;"",IF($D348="Named engineer",INDEX(Accounts!$I$2:$I$21,MATCH($A348,Accounts!$B$2:$B$21,0))&amp;"",IF($D348="TSE + PS",IF(INDEX(Accounts!$G$2:$G$21,MATCH($A348,Accounts!$B$2:$B$21,0))&amp;""="","(no TSE)",INDEX(Accounts!$G$2:$G$21,MATCH($A348,Accounts!$B$2:$B$21,0))&amp;"")&amp;" / "&amp;IF(INDEX(Accounts!$F$2:$F$21,MATCH($A348,Accounts!$B$2:$B$21,0))&amp;""="","(no PS)",INDEX(Accounts!$F$2:$F$21,MATCH($A348,Accounts!$B$2:$B$21,0))&amp;""),"")))),""))</f>
        <v/>
      </c>
      <c r="F348" s="42" t="s">
        <v>104</v>
      </c>
      <c r="I348" s="42" t="s">
        <v>34</v>
      </c>
      <c r="K348" s="44" t="str">
        <f t="shared" si="1"/>
        <v>Owner missing </v>
      </c>
    </row>
    <row r="349" ht="15.75" customHeight="1">
      <c r="E349" s="43" t="str">
        <f t="array" ref="E349">IF($A349="","",IFERROR(IF($D349="TSE",INDEX(Accounts!$G$2:$G$21,MATCH($A349,Accounts!$B$2:$B$21,0))&amp;"",IF($D349="PS",INDEX(Accounts!$F$2:$F$21,MATCH($A349,Accounts!$B$2:$B$21,0))&amp;"",IF($D349="Named engineer",INDEX(Accounts!$I$2:$I$21,MATCH($A349,Accounts!$B$2:$B$21,0))&amp;"",IF($D349="TSE + PS",IF(INDEX(Accounts!$G$2:$G$21,MATCH($A349,Accounts!$B$2:$B$21,0))&amp;""="","(no TSE)",INDEX(Accounts!$G$2:$G$21,MATCH($A349,Accounts!$B$2:$B$21,0))&amp;"")&amp;" / "&amp;IF(INDEX(Accounts!$F$2:$F$21,MATCH($A349,Accounts!$B$2:$B$21,0))&amp;""="","(no PS)",INDEX(Accounts!$F$2:$F$21,MATCH($A349,Accounts!$B$2:$B$21,0))&amp;""),"")))),""))</f>
        <v/>
      </c>
      <c r="F349" s="42" t="s">
        <v>104</v>
      </c>
      <c r="I349" s="42" t="s">
        <v>34</v>
      </c>
      <c r="K349" s="44" t="str">
        <f t="shared" si="1"/>
        <v>Owner missing </v>
      </c>
    </row>
    <row r="350" ht="15.75" customHeight="1">
      <c r="E350" s="43" t="str">
        <f t="array" ref="E350">IF($A350="","",IFERROR(IF($D350="TSE",INDEX(Accounts!$G$2:$G$21,MATCH($A350,Accounts!$B$2:$B$21,0))&amp;"",IF($D350="PS",INDEX(Accounts!$F$2:$F$21,MATCH($A350,Accounts!$B$2:$B$21,0))&amp;"",IF($D350="Named engineer",INDEX(Accounts!$I$2:$I$21,MATCH($A350,Accounts!$B$2:$B$21,0))&amp;"",IF($D350="TSE + PS",IF(INDEX(Accounts!$G$2:$G$21,MATCH($A350,Accounts!$B$2:$B$21,0))&amp;""="","(no TSE)",INDEX(Accounts!$G$2:$G$21,MATCH($A350,Accounts!$B$2:$B$21,0))&amp;"")&amp;" / "&amp;IF(INDEX(Accounts!$F$2:$F$21,MATCH($A350,Accounts!$B$2:$B$21,0))&amp;""="","(no PS)",INDEX(Accounts!$F$2:$F$21,MATCH($A350,Accounts!$B$2:$B$21,0))&amp;""),"")))),""))</f>
        <v/>
      </c>
      <c r="F350" s="42" t="s">
        <v>104</v>
      </c>
      <c r="I350" s="42" t="s">
        <v>34</v>
      </c>
      <c r="K350" s="44" t="str">
        <f t="shared" si="1"/>
        <v>Owner missing </v>
      </c>
    </row>
    <row r="351" ht="15.75" customHeight="1">
      <c r="E351" s="43" t="str">
        <f t="array" ref="E351">IF($A351="","",IFERROR(IF($D351="TSE",INDEX(Accounts!$G$2:$G$21,MATCH($A351,Accounts!$B$2:$B$21,0))&amp;"",IF($D351="PS",INDEX(Accounts!$F$2:$F$21,MATCH($A351,Accounts!$B$2:$B$21,0))&amp;"",IF($D351="Named engineer",INDEX(Accounts!$I$2:$I$21,MATCH($A351,Accounts!$B$2:$B$21,0))&amp;"",IF($D351="TSE + PS",IF(INDEX(Accounts!$G$2:$G$21,MATCH($A351,Accounts!$B$2:$B$21,0))&amp;""="","(no TSE)",INDEX(Accounts!$G$2:$G$21,MATCH($A351,Accounts!$B$2:$B$21,0))&amp;"")&amp;" / "&amp;IF(INDEX(Accounts!$F$2:$F$21,MATCH($A351,Accounts!$B$2:$B$21,0))&amp;""="","(no PS)",INDEX(Accounts!$F$2:$F$21,MATCH($A351,Accounts!$B$2:$B$21,0))&amp;""),"")))),""))</f>
        <v/>
      </c>
      <c r="F351" s="42" t="s">
        <v>104</v>
      </c>
      <c r="I351" s="42" t="s">
        <v>34</v>
      </c>
      <c r="K351" s="44" t="str">
        <f t="shared" si="1"/>
        <v>Owner missing </v>
      </c>
    </row>
    <row r="352" ht="15.75" customHeight="1">
      <c r="E352" s="43" t="str">
        <f t="array" ref="E352">IF($A352="","",IFERROR(IF($D352="TSE",INDEX(Accounts!$G$2:$G$21,MATCH($A352,Accounts!$B$2:$B$21,0))&amp;"",IF($D352="PS",INDEX(Accounts!$F$2:$F$21,MATCH($A352,Accounts!$B$2:$B$21,0))&amp;"",IF($D352="Named engineer",INDEX(Accounts!$I$2:$I$21,MATCH($A352,Accounts!$B$2:$B$21,0))&amp;"",IF($D352="TSE + PS",IF(INDEX(Accounts!$G$2:$G$21,MATCH($A352,Accounts!$B$2:$B$21,0))&amp;""="","(no TSE)",INDEX(Accounts!$G$2:$G$21,MATCH($A352,Accounts!$B$2:$B$21,0))&amp;"")&amp;" / "&amp;IF(INDEX(Accounts!$F$2:$F$21,MATCH($A352,Accounts!$B$2:$B$21,0))&amp;""="","(no PS)",INDEX(Accounts!$F$2:$F$21,MATCH($A352,Accounts!$B$2:$B$21,0))&amp;""),"")))),""))</f>
        <v/>
      </c>
      <c r="F352" s="42" t="s">
        <v>104</v>
      </c>
      <c r="I352" s="42" t="s">
        <v>34</v>
      </c>
      <c r="K352" s="44" t="str">
        <f t="shared" si="1"/>
        <v>Owner missing </v>
      </c>
    </row>
    <row r="353" ht="15.75" customHeight="1">
      <c r="E353" s="43" t="str">
        <f t="array" ref="E353">IF($A353="","",IFERROR(IF($D353="TSE",INDEX(Accounts!$G$2:$G$21,MATCH($A353,Accounts!$B$2:$B$21,0))&amp;"",IF($D353="PS",INDEX(Accounts!$F$2:$F$21,MATCH($A353,Accounts!$B$2:$B$21,0))&amp;"",IF($D353="Named engineer",INDEX(Accounts!$I$2:$I$21,MATCH($A353,Accounts!$B$2:$B$21,0))&amp;"",IF($D353="TSE + PS",IF(INDEX(Accounts!$G$2:$G$21,MATCH($A353,Accounts!$B$2:$B$21,0))&amp;""="","(no TSE)",INDEX(Accounts!$G$2:$G$21,MATCH($A353,Accounts!$B$2:$B$21,0))&amp;"")&amp;" / "&amp;IF(INDEX(Accounts!$F$2:$F$21,MATCH($A353,Accounts!$B$2:$B$21,0))&amp;""="","(no PS)",INDEX(Accounts!$F$2:$F$21,MATCH($A353,Accounts!$B$2:$B$21,0))&amp;""),"")))),""))</f>
        <v/>
      </c>
      <c r="F353" s="42" t="s">
        <v>104</v>
      </c>
      <c r="I353" s="42" t="s">
        <v>34</v>
      </c>
      <c r="K353" s="44" t="str">
        <f t="shared" si="1"/>
        <v>Owner missing </v>
      </c>
    </row>
    <row r="354" ht="15.75" customHeight="1">
      <c r="E354" s="43" t="str">
        <f t="array" ref="E354">IF($A354="","",IFERROR(IF($D354="TSE",INDEX(Accounts!$G$2:$G$21,MATCH($A354,Accounts!$B$2:$B$21,0))&amp;"",IF($D354="PS",INDEX(Accounts!$F$2:$F$21,MATCH($A354,Accounts!$B$2:$B$21,0))&amp;"",IF($D354="Named engineer",INDEX(Accounts!$I$2:$I$21,MATCH($A354,Accounts!$B$2:$B$21,0))&amp;"",IF($D354="TSE + PS",IF(INDEX(Accounts!$G$2:$G$21,MATCH($A354,Accounts!$B$2:$B$21,0))&amp;""="","(no TSE)",INDEX(Accounts!$G$2:$G$21,MATCH($A354,Accounts!$B$2:$B$21,0))&amp;"")&amp;" / "&amp;IF(INDEX(Accounts!$F$2:$F$21,MATCH($A354,Accounts!$B$2:$B$21,0))&amp;""="","(no PS)",INDEX(Accounts!$F$2:$F$21,MATCH($A354,Accounts!$B$2:$B$21,0))&amp;""),"")))),""))</f>
        <v/>
      </c>
      <c r="F354" s="42" t="s">
        <v>104</v>
      </c>
      <c r="I354" s="42" t="s">
        <v>34</v>
      </c>
      <c r="K354" s="44" t="str">
        <f t="shared" si="1"/>
        <v>Owner missing </v>
      </c>
    </row>
    <row r="355" ht="15.75" customHeight="1">
      <c r="E355" s="43" t="str">
        <f t="array" ref="E355">IF($A355="","",IFERROR(IF($D355="TSE",INDEX(Accounts!$G$2:$G$21,MATCH($A355,Accounts!$B$2:$B$21,0))&amp;"",IF($D355="PS",INDEX(Accounts!$F$2:$F$21,MATCH($A355,Accounts!$B$2:$B$21,0))&amp;"",IF($D355="Named engineer",INDEX(Accounts!$I$2:$I$21,MATCH($A355,Accounts!$B$2:$B$21,0))&amp;"",IF($D355="TSE + PS",IF(INDEX(Accounts!$G$2:$G$21,MATCH($A355,Accounts!$B$2:$B$21,0))&amp;""="","(no TSE)",INDEX(Accounts!$G$2:$G$21,MATCH($A355,Accounts!$B$2:$B$21,0))&amp;"")&amp;" / "&amp;IF(INDEX(Accounts!$F$2:$F$21,MATCH($A355,Accounts!$B$2:$B$21,0))&amp;""="","(no PS)",INDEX(Accounts!$F$2:$F$21,MATCH($A355,Accounts!$B$2:$B$21,0))&amp;""),"")))),""))</f>
        <v/>
      </c>
      <c r="F355" s="42" t="s">
        <v>104</v>
      </c>
      <c r="I355" s="42" t="s">
        <v>34</v>
      </c>
      <c r="K355" s="44" t="str">
        <f t="shared" si="1"/>
        <v>Owner missing </v>
      </c>
    </row>
    <row r="356" ht="15.75" customHeight="1">
      <c r="E356" s="43" t="str">
        <f t="array" ref="E356">IF($A356="","",IFERROR(IF($D356="TSE",INDEX(Accounts!$G$2:$G$21,MATCH($A356,Accounts!$B$2:$B$21,0))&amp;"",IF($D356="PS",INDEX(Accounts!$F$2:$F$21,MATCH($A356,Accounts!$B$2:$B$21,0))&amp;"",IF($D356="Named engineer",INDEX(Accounts!$I$2:$I$21,MATCH($A356,Accounts!$B$2:$B$21,0))&amp;"",IF($D356="TSE + PS",IF(INDEX(Accounts!$G$2:$G$21,MATCH($A356,Accounts!$B$2:$B$21,0))&amp;""="","(no TSE)",INDEX(Accounts!$G$2:$G$21,MATCH($A356,Accounts!$B$2:$B$21,0))&amp;"")&amp;" / "&amp;IF(INDEX(Accounts!$F$2:$F$21,MATCH($A356,Accounts!$B$2:$B$21,0))&amp;""="","(no PS)",INDEX(Accounts!$F$2:$F$21,MATCH($A356,Accounts!$B$2:$B$21,0))&amp;""),"")))),""))</f>
        <v/>
      </c>
      <c r="F356" s="42" t="s">
        <v>104</v>
      </c>
      <c r="I356" s="42" t="s">
        <v>34</v>
      </c>
      <c r="K356" s="44" t="str">
        <f t="shared" si="1"/>
        <v>Owner missing </v>
      </c>
    </row>
    <row r="357" ht="15.75" customHeight="1">
      <c r="E357" s="43" t="str">
        <f t="array" ref="E357">IF($A357="","",IFERROR(IF($D357="TSE",INDEX(Accounts!$G$2:$G$21,MATCH($A357,Accounts!$B$2:$B$21,0))&amp;"",IF($D357="PS",INDEX(Accounts!$F$2:$F$21,MATCH($A357,Accounts!$B$2:$B$21,0))&amp;"",IF($D357="Named engineer",INDEX(Accounts!$I$2:$I$21,MATCH($A357,Accounts!$B$2:$B$21,0))&amp;"",IF($D357="TSE + PS",IF(INDEX(Accounts!$G$2:$G$21,MATCH($A357,Accounts!$B$2:$B$21,0))&amp;""="","(no TSE)",INDEX(Accounts!$G$2:$G$21,MATCH($A357,Accounts!$B$2:$B$21,0))&amp;"")&amp;" / "&amp;IF(INDEX(Accounts!$F$2:$F$21,MATCH($A357,Accounts!$B$2:$B$21,0))&amp;""="","(no PS)",INDEX(Accounts!$F$2:$F$21,MATCH($A357,Accounts!$B$2:$B$21,0))&amp;""),"")))),""))</f>
        <v/>
      </c>
      <c r="F357" s="42" t="s">
        <v>104</v>
      </c>
      <c r="I357" s="42" t="s">
        <v>34</v>
      </c>
      <c r="K357" s="44" t="str">
        <f t="shared" si="1"/>
        <v>Owner missing </v>
      </c>
    </row>
    <row r="358" ht="15.75" customHeight="1">
      <c r="E358" s="43" t="str">
        <f t="array" ref="E358">IF($A358="","",IFERROR(IF($D358="TSE",INDEX(Accounts!$G$2:$G$21,MATCH($A358,Accounts!$B$2:$B$21,0))&amp;"",IF($D358="PS",INDEX(Accounts!$F$2:$F$21,MATCH($A358,Accounts!$B$2:$B$21,0))&amp;"",IF($D358="Named engineer",INDEX(Accounts!$I$2:$I$21,MATCH($A358,Accounts!$B$2:$B$21,0))&amp;"",IF($D358="TSE + PS",IF(INDEX(Accounts!$G$2:$G$21,MATCH($A358,Accounts!$B$2:$B$21,0))&amp;""="","(no TSE)",INDEX(Accounts!$G$2:$G$21,MATCH($A358,Accounts!$B$2:$B$21,0))&amp;"")&amp;" / "&amp;IF(INDEX(Accounts!$F$2:$F$21,MATCH($A358,Accounts!$B$2:$B$21,0))&amp;""="","(no PS)",INDEX(Accounts!$F$2:$F$21,MATCH($A358,Accounts!$B$2:$B$21,0))&amp;""),"")))),""))</f>
        <v/>
      </c>
      <c r="F358" s="42" t="s">
        <v>104</v>
      </c>
      <c r="I358" s="42" t="s">
        <v>34</v>
      </c>
      <c r="K358" s="44" t="str">
        <f t="shared" si="1"/>
        <v>Owner missing </v>
      </c>
    </row>
    <row r="359" ht="15.75" customHeight="1">
      <c r="E359" s="43" t="str">
        <f t="array" ref="E359">IF($A359="","",IFERROR(IF($D359="TSE",INDEX(Accounts!$G$2:$G$21,MATCH($A359,Accounts!$B$2:$B$21,0))&amp;"",IF($D359="PS",INDEX(Accounts!$F$2:$F$21,MATCH($A359,Accounts!$B$2:$B$21,0))&amp;"",IF($D359="Named engineer",INDEX(Accounts!$I$2:$I$21,MATCH($A359,Accounts!$B$2:$B$21,0))&amp;"",IF($D359="TSE + PS",IF(INDEX(Accounts!$G$2:$G$21,MATCH($A359,Accounts!$B$2:$B$21,0))&amp;""="","(no TSE)",INDEX(Accounts!$G$2:$G$21,MATCH($A359,Accounts!$B$2:$B$21,0))&amp;"")&amp;" / "&amp;IF(INDEX(Accounts!$F$2:$F$21,MATCH($A359,Accounts!$B$2:$B$21,0))&amp;""="","(no PS)",INDEX(Accounts!$F$2:$F$21,MATCH($A359,Accounts!$B$2:$B$21,0))&amp;""),"")))),""))</f>
        <v/>
      </c>
      <c r="F359" s="42" t="s">
        <v>104</v>
      </c>
      <c r="I359" s="42" t="s">
        <v>34</v>
      </c>
      <c r="K359" s="44" t="str">
        <f t="shared" si="1"/>
        <v>Owner missing </v>
      </c>
    </row>
    <row r="360" ht="15.75" customHeight="1">
      <c r="E360" s="43" t="str">
        <f t="array" ref="E360">IF($A360="","",IFERROR(IF($D360="TSE",INDEX(Accounts!$G$2:$G$21,MATCH($A360,Accounts!$B$2:$B$21,0))&amp;"",IF($D360="PS",INDEX(Accounts!$F$2:$F$21,MATCH($A360,Accounts!$B$2:$B$21,0))&amp;"",IF($D360="Named engineer",INDEX(Accounts!$I$2:$I$21,MATCH($A360,Accounts!$B$2:$B$21,0))&amp;"",IF($D360="TSE + PS",IF(INDEX(Accounts!$G$2:$G$21,MATCH($A360,Accounts!$B$2:$B$21,0))&amp;""="","(no TSE)",INDEX(Accounts!$G$2:$G$21,MATCH($A360,Accounts!$B$2:$B$21,0))&amp;"")&amp;" / "&amp;IF(INDEX(Accounts!$F$2:$F$21,MATCH($A360,Accounts!$B$2:$B$21,0))&amp;""="","(no PS)",INDEX(Accounts!$F$2:$F$21,MATCH($A360,Accounts!$B$2:$B$21,0))&amp;""),"")))),""))</f>
        <v/>
      </c>
      <c r="F360" s="42" t="s">
        <v>104</v>
      </c>
      <c r="I360" s="42" t="s">
        <v>34</v>
      </c>
      <c r="K360" s="44" t="str">
        <f t="shared" si="1"/>
        <v>Owner missing </v>
      </c>
    </row>
    <row r="361" ht="15.75" customHeight="1">
      <c r="E361" s="43" t="str">
        <f t="array" ref="E361">IF($A361="","",IFERROR(IF($D361="TSE",INDEX(Accounts!$G$2:$G$21,MATCH($A361,Accounts!$B$2:$B$21,0))&amp;"",IF($D361="PS",INDEX(Accounts!$F$2:$F$21,MATCH($A361,Accounts!$B$2:$B$21,0))&amp;"",IF($D361="Named engineer",INDEX(Accounts!$I$2:$I$21,MATCH($A361,Accounts!$B$2:$B$21,0))&amp;"",IF($D361="TSE + PS",IF(INDEX(Accounts!$G$2:$G$21,MATCH($A361,Accounts!$B$2:$B$21,0))&amp;""="","(no TSE)",INDEX(Accounts!$G$2:$G$21,MATCH($A361,Accounts!$B$2:$B$21,0))&amp;"")&amp;" / "&amp;IF(INDEX(Accounts!$F$2:$F$21,MATCH($A361,Accounts!$B$2:$B$21,0))&amp;""="","(no PS)",INDEX(Accounts!$F$2:$F$21,MATCH($A361,Accounts!$B$2:$B$21,0))&amp;""),"")))),""))</f>
        <v/>
      </c>
      <c r="F361" s="42" t="s">
        <v>104</v>
      </c>
      <c r="I361" s="42" t="s">
        <v>34</v>
      </c>
      <c r="K361" s="44" t="str">
        <f t="shared" si="1"/>
        <v>Owner missing </v>
      </c>
    </row>
    <row r="362" ht="15.75" customHeight="1">
      <c r="E362" s="43" t="str">
        <f t="array" ref="E362">IF($A362="","",IFERROR(IF($D362="TSE",INDEX(Accounts!$G$2:$G$21,MATCH($A362,Accounts!$B$2:$B$21,0))&amp;"",IF($D362="PS",INDEX(Accounts!$F$2:$F$21,MATCH($A362,Accounts!$B$2:$B$21,0))&amp;"",IF($D362="Named engineer",INDEX(Accounts!$I$2:$I$21,MATCH($A362,Accounts!$B$2:$B$21,0))&amp;"",IF($D362="TSE + PS",IF(INDEX(Accounts!$G$2:$G$21,MATCH($A362,Accounts!$B$2:$B$21,0))&amp;""="","(no TSE)",INDEX(Accounts!$G$2:$G$21,MATCH($A362,Accounts!$B$2:$B$21,0))&amp;"")&amp;" / "&amp;IF(INDEX(Accounts!$F$2:$F$21,MATCH($A362,Accounts!$B$2:$B$21,0))&amp;""="","(no PS)",INDEX(Accounts!$F$2:$F$21,MATCH($A362,Accounts!$B$2:$B$21,0))&amp;""),"")))),""))</f>
        <v/>
      </c>
      <c r="F362" s="42" t="s">
        <v>104</v>
      </c>
      <c r="I362" s="42" t="s">
        <v>34</v>
      </c>
      <c r="K362" s="44" t="str">
        <f t="shared" si="1"/>
        <v>Owner missing </v>
      </c>
    </row>
    <row r="363" ht="15.75" customHeight="1">
      <c r="E363" s="43" t="str">
        <f t="array" ref="E363">IF($A363="","",IFERROR(IF($D363="TSE",INDEX(Accounts!$G$2:$G$21,MATCH($A363,Accounts!$B$2:$B$21,0))&amp;"",IF($D363="PS",INDEX(Accounts!$F$2:$F$21,MATCH($A363,Accounts!$B$2:$B$21,0))&amp;"",IF($D363="Named engineer",INDEX(Accounts!$I$2:$I$21,MATCH($A363,Accounts!$B$2:$B$21,0))&amp;"",IF($D363="TSE + PS",IF(INDEX(Accounts!$G$2:$G$21,MATCH($A363,Accounts!$B$2:$B$21,0))&amp;""="","(no TSE)",INDEX(Accounts!$G$2:$G$21,MATCH($A363,Accounts!$B$2:$B$21,0))&amp;"")&amp;" / "&amp;IF(INDEX(Accounts!$F$2:$F$21,MATCH($A363,Accounts!$B$2:$B$21,0))&amp;""="","(no PS)",INDEX(Accounts!$F$2:$F$21,MATCH($A363,Accounts!$B$2:$B$21,0))&amp;""),"")))),""))</f>
        <v/>
      </c>
      <c r="F363" s="42" t="s">
        <v>104</v>
      </c>
      <c r="I363" s="42" t="s">
        <v>34</v>
      </c>
      <c r="K363" s="44" t="str">
        <f t="shared" si="1"/>
        <v>Owner missing </v>
      </c>
    </row>
    <row r="364" ht="15.75" customHeight="1">
      <c r="E364" s="43" t="str">
        <f t="array" ref="E364">IF($A364="","",IFERROR(IF($D364="TSE",INDEX(Accounts!$G$2:$G$21,MATCH($A364,Accounts!$B$2:$B$21,0))&amp;"",IF($D364="PS",INDEX(Accounts!$F$2:$F$21,MATCH($A364,Accounts!$B$2:$B$21,0))&amp;"",IF($D364="Named engineer",INDEX(Accounts!$I$2:$I$21,MATCH($A364,Accounts!$B$2:$B$21,0))&amp;"",IF($D364="TSE + PS",IF(INDEX(Accounts!$G$2:$G$21,MATCH($A364,Accounts!$B$2:$B$21,0))&amp;""="","(no TSE)",INDEX(Accounts!$G$2:$G$21,MATCH($A364,Accounts!$B$2:$B$21,0))&amp;"")&amp;" / "&amp;IF(INDEX(Accounts!$F$2:$F$21,MATCH($A364,Accounts!$B$2:$B$21,0))&amp;""="","(no PS)",INDEX(Accounts!$F$2:$F$21,MATCH($A364,Accounts!$B$2:$B$21,0))&amp;""),"")))),""))</f>
        <v/>
      </c>
      <c r="F364" s="42" t="s">
        <v>104</v>
      </c>
      <c r="I364" s="42" t="s">
        <v>34</v>
      </c>
      <c r="K364" s="44" t="str">
        <f t="shared" si="1"/>
        <v>Owner missing </v>
      </c>
    </row>
    <row r="365" ht="15.75" customHeight="1">
      <c r="E365" s="43" t="str">
        <f t="array" ref="E365">IF($A365="","",IFERROR(IF($D365="TSE",INDEX(Accounts!$G$2:$G$21,MATCH($A365,Accounts!$B$2:$B$21,0))&amp;"",IF($D365="PS",INDEX(Accounts!$F$2:$F$21,MATCH($A365,Accounts!$B$2:$B$21,0))&amp;"",IF($D365="Named engineer",INDEX(Accounts!$I$2:$I$21,MATCH($A365,Accounts!$B$2:$B$21,0))&amp;"",IF($D365="TSE + PS",IF(INDEX(Accounts!$G$2:$G$21,MATCH($A365,Accounts!$B$2:$B$21,0))&amp;""="","(no TSE)",INDEX(Accounts!$G$2:$G$21,MATCH($A365,Accounts!$B$2:$B$21,0))&amp;"")&amp;" / "&amp;IF(INDEX(Accounts!$F$2:$F$21,MATCH($A365,Accounts!$B$2:$B$21,0))&amp;""="","(no PS)",INDEX(Accounts!$F$2:$F$21,MATCH($A365,Accounts!$B$2:$B$21,0))&amp;""),"")))),""))</f>
        <v/>
      </c>
      <c r="F365" s="42" t="s">
        <v>104</v>
      </c>
      <c r="I365" s="42" t="s">
        <v>34</v>
      </c>
      <c r="K365" s="44" t="str">
        <f t="shared" si="1"/>
        <v>Owner missing </v>
      </c>
    </row>
    <row r="366" ht="15.75" customHeight="1">
      <c r="E366" s="43" t="str">
        <f t="array" ref="E366">IF($A366="","",IFERROR(IF($D366="TSE",INDEX(Accounts!$G$2:$G$21,MATCH($A366,Accounts!$B$2:$B$21,0))&amp;"",IF($D366="PS",INDEX(Accounts!$F$2:$F$21,MATCH($A366,Accounts!$B$2:$B$21,0))&amp;"",IF($D366="Named engineer",INDEX(Accounts!$I$2:$I$21,MATCH($A366,Accounts!$B$2:$B$21,0))&amp;"",IF($D366="TSE + PS",IF(INDEX(Accounts!$G$2:$G$21,MATCH($A366,Accounts!$B$2:$B$21,0))&amp;""="","(no TSE)",INDEX(Accounts!$G$2:$G$21,MATCH($A366,Accounts!$B$2:$B$21,0))&amp;"")&amp;" / "&amp;IF(INDEX(Accounts!$F$2:$F$21,MATCH($A366,Accounts!$B$2:$B$21,0))&amp;""="","(no PS)",INDEX(Accounts!$F$2:$F$21,MATCH($A366,Accounts!$B$2:$B$21,0))&amp;""),"")))),""))</f>
        <v/>
      </c>
      <c r="F366" s="42" t="s">
        <v>104</v>
      </c>
      <c r="I366" s="42" t="s">
        <v>34</v>
      </c>
      <c r="K366" s="44" t="str">
        <f t="shared" si="1"/>
        <v>Owner missing </v>
      </c>
    </row>
    <row r="367" ht="15.75" customHeight="1">
      <c r="E367" s="43" t="str">
        <f t="array" ref="E367">IF($A367="","",IFERROR(IF($D367="TSE",INDEX(Accounts!$G$2:$G$21,MATCH($A367,Accounts!$B$2:$B$21,0))&amp;"",IF($D367="PS",INDEX(Accounts!$F$2:$F$21,MATCH($A367,Accounts!$B$2:$B$21,0))&amp;"",IF($D367="Named engineer",INDEX(Accounts!$I$2:$I$21,MATCH($A367,Accounts!$B$2:$B$21,0))&amp;"",IF($D367="TSE + PS",IF(INDEX(Accounts!$G$2:$G$21,MATCH($A367,Accounts!$B$2:$B$21,0))&amp;""="","(no TSE)",INDEX(Accounts!$G$2:$G$21,MATCH($A367,Accounts!$B$2:$B$21,0))&amp;"")&amp;" / "&amp;IF(INDEX(Accounts!$F$2:$F$21,MATCH($A367,Accounts!$B$2:$B$21,0))&amp;""="","(no PS)",INDEX(Accounts!$F$2:$F$21,MATCH($A367,Accounts!$B$2:$B$21,0))&amp;""),"")))),""))</f>
        <v/>
      </c>
      <c r="F367" s="42" t="s">
        <v>104</v>
      </c>
      <c r="I367" s="42" t="s">
        <v>34</v>
      </c>
      <c r="K367" s="44" t="str">
        <f t="shared" si="1"/>
        <v>Owner missing </v>
      </c>
    </row>
    <row r="368" ht="15.75" customHeight="1">
      <c r="E368" s="43" t="str">
        <f t="array" ref="E368">IF($A368="","",IFERROR(IF($D368="TSE",INDEX(Accounts!$G$2:$G$21,MATCH($A368,Accounts!$B$2:$B$21,0))&amp;"",IF($D368="PS",INDEX(Accounts!$F$2:$F$21,MATCH($A368,Accounts!$B$2:$B$21,0))&amp;"",IF($D368="Named engineer",INDEX(Accounts!$I$2:$I$21,MATCH($A368,Accounts!$B$2:$B$21,0))&amp;"",IF($D368="TSE + PS",IF(INDEX(Accounts!$G$2:$G$21,MATCH($A368,Accounts!$B$2:$B$21,0))&amp;""="","(no TSE)",INDEX(Accounts!$G$2:$G$21,MATCH($A368,Accounts!$B$2:$B$21,0))&amp;"")&amp;" / "&amp;IF(INDEX(Accounts!$F$2:$F$21,MATCH($A368,Accounts!$B$2:$B$21,0))&amp;""="","(no PS)",INDEX(Accounts!$F$2:$F$21,MATCH($A368,Accounts!$B$2:$B$21,0))&amp;""),"")))),""))</f>
        <v/>
      </c>
      <c r="F368" s="42" t="s">
        <v>104</v>
      </c>
      <c r="I368" s="42" t="s">
        <v>34</v>
      </c>
      <c r="K368" s="44" t="str">
        <f t="shared" si="1"/>
        <v>Owner missing </v>
      </c>
    </row>
    <row r="369" ht="15.75" customHeight="1">
      <c r="E369" s="43" t="str">
        <f t="array" ref="E369">IF($A369="","",IFERROR(IF($D369="TSE",INDEX(Accounts!$G$2:$G$21,MATCH($A369,Accounts!$B$2:$B$21,0))&amp;"",IF($D369="PS",INDEX(Accounts!$F$2:$F$21,MATCH($A369,Accounts!$B$2:$B$21,0))&amp;"",IF($D369="Named engineer",INDEX(Accounts!$I$2:$I$21,MATCH($A369,Accounts!$B$2:$B$21,0))&amp;"",IF($D369="TSE + PS",IF(INDEX(Accounts!$G$2:$G$21,MATCH($A369,Accounts!$B$2:$B$21,0))&amp;""="","(no TSE)",INDEX(Accounts!$G$2:$G$21,MATCH($A369,Accounts!$B$2:$B$21,0))&amp;"")&amp;" / "&amp;IF(INDEX(Accounts!$F$2:$F$21,MATCH($A369,Accounts!$B$2:$B$21,0))&amp;""="","(no PS)",INDEX(Accounts!$F$2:$F$21,MATCH($A369,Accounts!$B$2:$B$21,0))&amp;""),"")))),""))</f>
        <v/>
      </c>
      <c r="F369" s="42" t="s">
        <v>104</v>
      </c>
      <c r="I369" s="42" t="s">
        <v>34</v>
      </c>
      <c r="K369" s="44" t="str">
        <f t="shared" si="1"/>
        <v>Owner missing </v>
      </c>
    </row>
    <row r="370" ht="15.75" customHeight="1">
      <c r="E370" s="43" t="str">
        <f t="array" ref="E370">IF($A370="","",IFERROR(IF($D370="TSE",INDEX(Accounts!$G$2:$G$21,MATCH($A370,Accounts!$B$2:$B$21,0))&amp;"",IF($D370="PS",INDEX(Accounts!$F$2:$F$21,MATCH($A370,Accounts!$B$2:$B$21,0))&amp;"",IF($D370="Named engineer",INDEX(Accounts!$I$2:$I$21,MATCH($A370,Accounts!$B$2:$B$21,0))&amp;"",IF($D370="TSE + PS",IF(INDEX(Accounts!$G$2:$G$21,MATCH($A370,Accounts!$B$2:$B$21,0))&amp;""="","(no TSE)",INDEX(Accounts!$G$2:$G$21,MATCH($A370,Accounts!$B$2:$B$21,0))&amp;"")&amp;" / "&amp;IF(INDEX(Accounts!$F$2:$F$21,MATCH($A370,Accounts!$B$2:$B$21,0))&amp;""="","(no PS)",INDEX(Accounts!$F$2:$F$21,MATCH($A370,Accounts!$B$2:$B$21,0))&amp;""),"")))),""))</f>
        <v/>
      </c>
      <c r="F370" s="42" t="s">
        <v>104</v>
      </c>
      <c r="I370" s="42" t="s">
        <v>34</v>
      </c>
      <c r="K370" s="44" t="str">
        <f t="shared" si="1"/>
        <v>Owner missing </v>
      </c>
    </row>
    <row r="371" ht="15.75" customHeight="1">
      <c r="E371" s="43" t="str">
        <f t="array" ref="E371">IF($A371="","",IFERROR(IF($D371="TSE",INDEX(Accounts!$G$2:$G$21,MATCH($A371,Accounts!$B$2:$B$21,0))&amp;"",IF($D371="PS",INDEX(Accounts!$F$2:$F$21,MATCH($A371,Accounts!$B$2:$B$21,0))&amp;"",IF($D371="Named engineer",INDEX(Accounts!$I$2:$I$21,MATCH($A371,Accounts!$B$2:$B$21,0))&amp;"",IF($D371="TSE + PS",IF(INDEX(Accounts!$G$2:$G$21,MATCH($A371,Accounts!$B$2:$B$21,0))&amp;""="","(no TSE)",INDEX(Accounts!$G$2:$G$21,MATCH($A371,Accounts!$B$2:$B$21,0))&amp;"")&amp;" / "&amp;IF(INDEX(Accounts!$F$2:$F$21,MATCH($A371,Accounts!$B$2:$B$21,0))&amp;""="","(no PS)",INDEX(Accounts!$F$2:$F$21,MATCH($A371,Accounts!$B$2:$B$21,0))&amp;""),"")))),""))</f>
        <v/>
      </c>
      <c r="F371" s="42" t="s">
        <v>104</v>
      </c>
      <c r="I371" s="42" t="s">
        <v>34</v>
      </c>
      <c r="K371" s="44" t="str">
        <f t="shared" si="1"/>
        <v>Owner missing </v>
      </c>
    </row>
    <row r="372" ht="15.75" customHeight="1">
      <c r="E372" s="43" t="str">
        <f t="array" ref="E372">IF($A372="","",IFERROR(IF($D372="TSE",INDEX(Accounts!$G$2:$G$21,MATCH($A372,Accounts!$B$2:$B$21,0))&amp;"",IF($D372="PS",INDEX(Accounts!$F$2:$F$21,MATCH($A372,Accounts!$B$2:$B$21,0))&amp;"",IF($D372="Named engineer",INDEX(Accounts!$I$2:$I$21,MATCH($A372,Accounts!$B$2:$B$21,0))&amp;"",IF($D372="TSE + PS",IF(INDEX(Accounts!$G$2:$G$21,MATCH($A372,Accounts!$B$2:$B$21,0))&amp;""="","(no TSE)",INDEX(Accounts!$G$2:$G$21,MATCH($A372,Accounts!$B$2:$B$21,0))&amp;"")&amp;" / "&amp;IF(INDEX(Accounts!$F$2:$F$21,MATCH($A372,Accounts!$B$2:$B$21,0))&amp;""="","(no PS)",INDEX(Accounts!$F$2:$F$21,MATCH($A372,Accounts!$B$2:$B$21,0))&amp;""),"")))),""))</f>
        <v/>
      </c>
      <c r="F372" s="42" t="s">
        <v>104</v>
      </c>
      <c r="I372" s="42" t="s">
        <v>34</v>
      </c>
      <c r="K372" s="44" t="str">
        <f t="shared" si="1"/>
        <v>Owner missing </v>
      </c>
    </row>
    <row r="373" ht="15.75" customHeight="1">
      <c r="E373" s="43" t="str">
        <f t="array" ref="E373">IF($A373="","",IFERROR(IF($D373="TSE",INDEX(Accounts!$G$2:$G$21,MATCH($A373,Accounts!$B$2:$B$21,0))&amp;"",IF($D373="PS",INDEX(Accounts!$F$2:$F$21,MATCH($A373,Accounts!$B$2:$B$21,0))&amp;"",IF($D373="Named engineer",INDEX(Accounts!$I$2:$I$21,MATCH($A373,Accounts!$B$2:$B$21,0))&amp;"",IF($D373="TSE + PS",IF(INDEX(Accounts!$G$2:$G$21,MATCH($A373,Accounts!$B$2:$B$21,0))&amp;""="","(no TSE)",INDEX(Accounts!$G$2:$G$21,MATCH($A373,Accounts!$B$2:$B$21,0))&amp;"")&amp;" / "&amp;IF(INDEX(Accounts!$F$2:$F$21,MATCH($A373,Accounts!$B$2:$B$21,0))&amp;""="","(no PS)",INDEX(Accounts!$F$2:$F$21,MATCH($A373,Accounts!$B$2:$B$21,0))&amp;""),"")))),""))</f>
        <v/>
      </c>
      <c r="F373" s="42" t="s">
        <v>104</v>
      </c>
      <c r="I373" s="42" t="s">
        <v>34</v>
      </c>
      <c r="K373" s="44" t="str">
        <f t="shared" si="1"/>
        <v>Owner missing </v>
      </c>
    </row>
    <row r="374" ht="15.75" customHeight="1">
      <c r="E374" s="43" t="str">
        <f t="array" ref="E374">IF($A374="","",IFERROR(IF($D374="TSE",INDEX(Accounts!$G$2:$G$21,MATCH($A374,Accounts!$B$2:$B$21,0))&amp;"",IF($D374="PS",INDEX(Accounts!$F$2:$F$21,MATCH($A374,Accounts!$B$2:$B$21,0))&amp;"",IF($D374="Named engineer",INDEX(Accounts!$I$2:$I$21,MATCH($A374,Accounts!$B$2:$B$21,0))&amp;"",IF($D374="TSE + PS",IF(INDEX(Accounts!$G$2:$G$21,MATCH($A374,Accounts!$B$2:$B$21,0))&amp;""="","(no TSE)",INDEX(Accounts!$G$2:$G$21,MATCH($A374,Accounts!$B$2:$B$21,0))&amp;"")&amp;" / "&amp;IF(INDEX(Accounts!$F$2:$F$21,MATCH($A374,Accounts!$B$2:$B$21,0))&amp;""="","(no PS)",INDEX(Accounts!$F$2:$F$21,MATCH($A374,Accounts!$B$2:$B$21,0))&amp;""),"")))),""))</f>
        <v/>
      </c>
      <c r="F374" s="42" t="s">
        <v>104</v>
      </c>
      <c r="I374" s="42" t="s">
        <v>34</v>
      </c>
      <c r="K374" s="44" t="str">
        <f t="shared" si="1"/>
        <v>Owner missing </v>
      </c>
    </row>
    <row r="375" ht="15.75" customHeight="1">
      <c r="E375" s="43" t="str">
        <f t="array" ref="E375">IF($A375="","",IFERROR(IF($D375="TSE",INDEX(Accounts!$G$2:$G$21,MATCH($A375,Accounts!$B$2:$B$21,0))&amp;"",IF($D375="PS",INDEX(Accounts!$F$2:$F$21,MATCH($A375,Accounts!$B$2:$B$21,0))&amp;"",IF($D375="Named engineer",INDEX(Accounts!$I$2:$I$21,MATCH($A375,Accounts!$B$2:$B$21,0))&amp;"",IF($D375="TSE + PS",IF(INDEX(Accounts!$G$2:$G$21,MATCH($A375,Accounts!$B$2:$B$21,0))&amp;""="","(no TSE)",INDEX(Accounts!$G$2:$G$21,MATCH($A375,Accounts!$B$2:$B$21,0))&amp;"")&amp;" / "&amp;IF(INDEX(Accounts!$F$2:$F$21,MATCH($A375,Accounts!$B$2:$B$21,0))&amp;""="","(no PS)",INDEX(Accounts!$F$2:$F$21,MATCH($A375,Accounts!$B$2:$B$21,0))&amp;""),"")))),""))</f>
        <v/>
      </c>
      <c r="F375" s="42" t="s">
        <v>104</v>
      </c>
      <c r="I375" s="42" t="s">
        <v>34</v>
      </c>
      <c r="K375" s="44" t="str">
        <f t="shared" si="1"/>
        <v>Owner missing </v>
      </c>
    </row>
    <row r="376" ht="15.75" customHeight="1">
      <c r="E376" s="43" t="str">
        <f t="array" ref="E376">IF($A376="","",IFERROR(IF($D376="TSE",INDEX(Accounts!$G$2:$G$21,MATCH($A376,Accounts!$B$2:$B$21,0))&amp;"",IF($D376="PS",INDEX(Accounts!$F$2:$F$21,MATCH($A376,Accounts!$B$2:$B$21,0))&amp;"",IF($D376="Named engineer",INDEX(Accounts!$I$2:$I$21,MATCH($A376,Accounts!$B$2:$B$21,0))&amp;"",IF($D376="TSE + PS",IF(INDEX(Accounts!$G$2:$G$21,MATCH($A376,Accounts!$B$2:$B$21,0))&amp;""="","(no TSE)",INDEX(Accounts!$G$2:$G$21,MATCH($A376,Accounts!$B$2:$B$21,0))&amp;"")&amp;" / "&amp;IF(INDEX(Accounts!$F$2:$F$21,MATCH($A376,Accounts!$B$2:$B$21,0))&amp;""="","(no PS)",INDEX(Accounts!$F$2:$F$21,MATCH($A376,Accounts!$B$2:$B$21,0))&amp;""),"")))),""))</f>
        <v/>
      </c>
      <c r="F376" s="42" t="s">
        <v>104</v>
      </c>
      <c r="I376" s="42" t="s">
        <v>34</v>
      </c>
      <c r="K376" s="44" t="str">
        <f t="shared" si="1"/>
        <v>Owner missing </v>
      </c>
    </row>
    <row r="377" ht="15.75" customHeight="1">
      <c r="E377" s="43" t="str">
        <f t="array" ref="E377">IF($A377="","",IFERROR(IF($D377="TSE",INDEX(Accounts!$G$2:$G$21,MATCH($A377,Accounts!$B$2:$B$21,0))&amp;"",IF($D377="PS",INDEX(Accounts!$F$2:$F$21,MATCH($A377,Accounts!$B$2:$B$21,0))&amp;"",IF($D377="Named engineer",INDEX(Accounts!$I$2:$I$21,MATCH($A377,Accounts!$B$2:$B$21,0))&amp;"",IF($D377="TSE + PS",IF(INDEX(Accounts!$G$2:$G$21,MATCH($A377,Accounts!$B$2:$B$21,0))&amp;""="","(no TSE)",INDEX(Accounts!$G$2:$G$21,MATCH($A377,Accounts!$B$2:$B$21,0))&amp;"")&amp;" / "&amp;IF(INDEX(Accounts!$F$2:$F$21,MATCH($A377,Accounts!$B$2:$B$21,0))&amp;""="","(no PS)",INDEX(Accounts!$F$2:$F$21,MATCH($A377,Accounts!$B$2:$B$21,0))&amp;""),"")))),""))</f>
        <v/>
      </c>
      <c r="F377" s="42" t="s">
        <v>104</v>
      </c>
      <c r="I377" s="42" t="s">
        <v>34</v>
      </c>
      <c r="K377" s="44" t="str">
        <f t="shared" si="1"/>
        <v>Owner missing </v>
      </c>
    </row>
    <row r="378" ht="15.75" customHeight="1">
      <c r="E378" s="43" t="str">
        <f t="array" ref="E378">IF($A378="","",IFERROR(IF($D378="TSE",INDEX(Accounts!$G$2:$G$21,MATCH($A378,Accounts!$B$2:$B$21,0))&amp;"",IF($D378="PS",INDEX(Accounts!$F$2:$F$21,MATCH($A378,Accounts!$B$2:$B$21,0))&amp;"",IF($D378="Named engineer",INDEX(Accounts!$I$2:$I$21,MATCH($A378,Accounts!$B$2:$B$21,0))&amp;"",IF($D378="TSE + PS",IF(INDEX(Accounts!$G$2:$G$21,MATCH($A378,Accounts!$B$2:$B$21,0))&amp;""="","(no TSE)",INDEX(Accounts!$G$2:$G$21,MATCH($A378,Accounts!$B$2:$B$21,0))&amp;"")&amp;" / "&amp;IF(INDEX(Accounts!$F$2:$F$21,MATCH($A378,Accounts!$B$2:$B$21,0))&amp;""="","(no PS)",INDEX(Accounts!$F$2:$F$21,MATCH($A378,Accounts!$B$2:$B$21,0))&amp;""),"")))),""))</f>
        <v/>
      </c>
      <c r="F378" s="42" t="s">
        <v>104</v>
      </c>
      <c r="I378" s="42" t="s">
        <v>34</v>
      </c>
      <c r="K378" s="44" t="str">
        <f t="shared" si="1"/>
        <v>Owner missing </v>
      </c>
    </row>
    <row r="379" ht="15.75" customHeight="1">
      <c r="E379" s="43" t="str">
        <f t="array" ref="E379">IF($A379="","",IFERROR(IF($D379="TSE",INDEX(Accounts!$G$2:$G$21,MATCH($A379,Accounts!$B$2:$B$21,0))&amp;"",IF($D379="PS",INDEX(Accounts!$F$2:$F$21,MATCH($A379,Accounts!$B$2:$B$21,0))&amp;"",IF($D379="Named engineer",INDEX(Accounts!$I$2:$I$21,MATCH($A379,Accounts!$B$2:$B$21,0))&amp;"",IF($D379="TSE + PS",IF(INDEX(Accounts!$G$2:$G$21,MATCH($A379,Accounts!$B$2:$B$21,0))&amp;""="","(no TSE)",INDEX(Accounts!$G$2:$G$21,MATCH($A379,Accounts!$B$2:$B$21,0))&amp;"")&amp;" / "&amp;IF(INDEX(Accounts!$F$2:$F$21,MATCH($A379,Accounts!$B$2:$B$21,0))&amp;""="","(no PS)",INDEX(Accounts!$F$2:$F$21,MATCH($A379,Accounts!$B$2:$B$21,0))&amp;""),"")))),""))</f>
        <v/>
      </c>
      <c r="F379" s="42" t="s">
        <v>104</v>
      </c>
      <c r="I379" s="42" t="s">
        <v>34</v>
      </c>
      <c r="K379" s="44" t="str">
        <f t="shared" si="1"/>
        <v>Owner missing </v>
      </c>
    </row>
    <row r="380" ht="15.75" customHeight="1">
      <c r="E380" s="43" t="str">
        <f t="array" ref="E380">IF($A380="","",IFERROR(IF($D380="TSE",INDEX(Accounts!$G$2:$G$21,MATCH($A380,Accounts!$B$2:$B$21,0))&amp;"",IF($D380="PS",INDEX(Accounts!$F$2:$F$21,MATCH($A380,Accounts!$B$2:$B$21,0))&amp;"",IF($D380="Named engineer",INDEX(Accounts!$I$2:$I$21,MATCH($A380,Accounts!$B$2:$B$21,0))&amp;"",IF($D380="TSE + PS",IF(INDEX(Accounts!$G$2:$G$21,MATCH($A380,Accounts!$B$2:$B$21,0))&amp;""="","(no TSE)",INDEX(Accounts!$G$2:$G$21,MATCH($A380,Accounts!$B$2:$B$21,0))&amp;"")&amp;" / "&amp;IF(INDEX(Accounts!$F$2:$F$21,MATCH($A380,Accounts!$B$2:$B$21,0))&amp;""="","(no PS)",INDEX(Accounts!$F$2:$F$21,MATCH($A380,Accounts!$B$2:$B$21,0))&amp;""),"")))),""))</f>
        <v/>
      </c>
      <c r="F380" s="42" t="s">
        <v>104</v>
      </c>
      <c r="I380" s="42" t="s">
        <v>34</v>
      </c>
      <c r="K380" s="44" t="str">
        <f t="shared" si="1"/>
        <v>Owner missing </v>
      </c>
    </row>
    <row r="381" ht="15.75" customHeight="1">
      <c r="E381" s="43" t="str">
        <f t="array" ref="E381">IF($A381="","",IFERROR(IF($D381="TSE",INDEX(Accounts!$G$2:$G$21,MATCH($A381,Accounts!$B$2:$B$21,0))&amp;"",IF($D381="PS",INDEX(Accounts!$F$2:$F$21,MATCH($A381,Accounts!$B$2:$B$21,0))&amp;"",IF($D381="Named engineer",INDEX(Accounts!$I$2:$I$21,MATCH($A381,Accounts!$B$2:$B$21,0))&amp;"",IF($D381="TSE + PS",IF(INDEX(Accounts!$G$2:$G$21,MATCH($A381,Accounts!$B$2:$B$21,0))&amp;""="","(no TSE)",INDEX(Accounts!$G$2:$G$21,MATCH($A381,Accounts!$B$2:$B$21,0))&amp;"")&amp;" / "&amp;IF(INDEX(Accounts!$F$2:$F$21,MATCH($A381,Accounts!$B$2:$B$21,0))&amp;""="","(no PS)",INDEX(Accounts!$F$2:$F$21,MATCH($A381,Accounts!$B$2:$B$21,0))&amp;""),"")))),""))</f>
        <v/>
      </c>
      <c r="F381" s="42" t="s">
        <v>104</v>
      </c>
      <c r="I381" s="42" t="s">
        <v>34</v>
      </c>
      <c r="K381" s="44" t="str">
        <f t="shared" si="1"/>
        <v>Owner missing </v>
      </c>
    </row>
    <row r="382" ht="15.75" customHeight="1">
      <c r="E382" s="43" t="str">
        <f t="array" ref="E382">IF($A382="","",IFERROR(IF($D382="TSE",INDEX(Accounts!$G$2:$G$21,MATCH($A382,Accounts!$B$2:$B$21,0))&amp;"",IF($D382="PS",INDEX(Accounts!$F$2:$F$21,MATCH($A382,Accounts!$B$2:$B$21,0))&amp;"",IF($D382="Named engineer",INDEX(Accounts!$I$2:$I$21,MATCH($A382,Accounts!$B$2:$B$21,0))&amp;"",IF($D382="TSE + PS",IF(INDEX(Accounts!$G$2:$G$21,MATCH($A382,Accounts!$B$2:$B$21,0))&amp;""="","(no TSE)",INDEX(Accounts!$G$2:$G$21,MATCH($A382,Accounts!$B$2:$B$21,0))&amp;"")&amp;" / "&amp;IF(INDEX(Accounts!$F$2:$F$21,MATCH($A382,Accounts!$B$2:$B$21,0))&amp;""="","(no PS)",INDEX(Accounts!$F$2:$F$21,MATCH($A382,Accounts!$B$2:$B$21,0))&amp;""),"")))),""))</f>
        <v/>
      </c>
      <c r="F382" s="42" t="s">
        <v>104</v>
      </c>
      <c r="I382" s="42" t="s">
        <v>34</v>
      </c>
      <c r="K382" s="44" t="str">
        <f t="shared" si="1"/>
        <v>Owner missing </v>
      </c>
    </row>
    <row r="383" ht="15.75" customHeight="1">
      <c r="E383" s="43" t="str">
        <f t="array" ref="E383">IF($A383="","",IFERROR(IF($D383="TSE",INDEX(Accounts!$G$2:$G$21,MATCH($A383,Accounts!$B$2:$B$21,0))&amp;"",IF($D383="PS",INDEX(Accounts!$F$2:$F$21,MATCH($A383,Accounts!$B$2:$B$21,0))&amp;"",IF($D383="Named engineer",INDEX(Accounts!$I$2:$I$21,MATCH($A383,Accounts!$B$2:$B$21,0))&amp;"",IF($D383="TSE + PS",IF(INDEX(Accounts!$G$2:$G$21,MATCH($A383,Accounts!$B$2:$B$21,0))&amp;""="","(no TSE)",INDEX(Accounts!$G$2:$G$21,MATCH($A383,Accounts!$B$2:$B$21,0))&amp;"")&amp;" / "&amp;IF(INDEX(Accounts!$F$2:$F$21,MATCH($A383,Accounts!$B$2:$B$21,0))&amp;""="","(no PS)",INDEX(Accounts!$F$2:$F$21,MATCH($A383,Accounts!$B$2:$B$21,0))&amp;""),"")))),""))</f>
        <v/>
      </c>
      <c r="F383" s="42" t="s">
        <v>104</v>
      </c>
      <c r="I383" s="42" t="s">
        <v>34</v>
      </c>
      <c r="K383" s="44" t="str">
        <f t="shared" si="1"/>
        <v>Owner missing </v>
      </c>
    </row>
    <row r="384" ht="15.75" customHeight="1">
      <c r="E384" s="43" t="str">
        <f t="array" ref="E384">IF($A384="","",IFERROR(IF($D384="TSE",INDEX(Accounts!$G$2:$G$21,MATCH($A384,Accounts!$B$2:$B$21,0))&amp;"",IF($D384="PS",INDEX(Accounts!$F$2:$F$21,MATCH($A384,Accounts!$B$2:$B$21,0))&amp;"",IF($D384="Named engineer",INDEX(Accounts!$I$2:$I$21,MATCH($A384,Accounts!$B$2:$B$21,0))&amp;"",IF($D384="TSE + PS",IF(INDEX(Accounts!$G$2:$G$21,MATCH($A384,Accounts!$B$2:$B$21,0))&amp;""="","(no TSE)",INDEX(Accounts!$G$2:$G$21,MATCH($A384,Accounts!$B$2:$B$21,0))&amp;"")&amp;" / "&amp;IF(INDEX(Accounts!$F$2:$F$21,MATCH($A384,Accounts!$B$2:$B$21,0))&amp;""="","(no PS)",INDEX(Accounts!$F$2:$F$21,MATCH($A384,Accounts!$B$2:$B$21,0))&amp;""),"")))),""))</f>
        <v/>
      </c>
      <c r="F384" s="42" t="s">
        <v>104</v>
      </c>
      <c r="I384" s="42" t="s">
        <v>34</v>
      </c>
      <c r="K384" s="44" t="str">
        <f t="shared" si="1"/>
        <v>Owner missing </v>
      </c>
    </row>
    <row r="385" ht="15.75" customHeight="1">
      <c r="E385" s="43" t="str">
        <f t="array" ref="E385">IF($A385="","",IFERROR(IF($D385="TSE",INDEX(Accounts!$G$2:$G$21,MATCH($A385,Accounts!$B$2:$B$21,0))&amp;"",IF($D385="PS",INDEX(Accounts!$F$2:$F$21,MATCH($A385,Accounts!$B$2:$B$21,0))&amp;"",IF($D385="Named engineer",INDEX(Accounts!$I$2:$I$21,MATCH($A385,Accounts!$B$2:$B$21,0))&amp;"",IF($D385="TSE + PS",IF(INDEX(Accounts!$G$2:$G$21,MATCH($A385,Accounts!$B$2:$B$21,0))&amp;""="","(no TSE)",INDEX(Accounts!$G$2:$G$21,MATCH($A385,Accounts!$B$2:$B$21,0))&amp;"")&amp;" / "&amp;IF(INDEX(Accounts!$F$2:$F$21,MATCH($A385,Accounts!$B$2:$B$21,0))&amp;""="","(no PS)",INDEX(Accounts!$F$2:$F$21,MATCH($A385,Accounts!$B$2:$B$21,0))&amp;""),"")))),""))</f>
        <v/>
      </c>
      <c r="F385" s="42" t="s">
        <v>104</v>
      </c>
      <c r="I385" s="42" t="s">
        <v>34</v>
      </c>
      <c r="K385" s="44" t="str">
        <f t="shared" si="1"/>
        <v>Owner missing </v>
      </c>
    </row>
    <row r="386" ht="15.75" customHeight="1">
      <c r="E386" s="43" t="str">
        <f t="array" ref="E386">IF($A386="","",IFERROR(IF($D386="TSE",INDEX(Accounts!$G$2:$G$21,MATCH($A386,Accounts!$B$2:$B$21,0))&amp;"",IF($D386="PS",INDEX(Accounts!$F$2:$F$21,MATCH($A386,Accounts!$B$2:$B$21,0))&amp;"",IF($D386="Named engineer",INDEX(Accounts!$I$2:$I$21,MATCH($A386,Accounts!$B$2:$B$21,0))&amp;"",IF($D386="TSE + PS",IF(INDEX(Accounts!$G$2:$G$21,MATCH($A386,Accounts!$B$2:$B$21,0))&amp;""="","(no TSE)",INDEX(Accounts!$G$2:$G$21,MATCH($A386,Accounts!$B$2:$B$21,0))&amp;"")&amp;" / "&amp;IF(INDEX(Accounts!$F$2:$F$21,MATCH($A386,Accounts!$B$2:$B$21,0))&amp;""="","(no PS)",INDEX(Accounts!$F$2:$F$21,MATCH($A386,Accounts!$B$2:$B$21,0))&amp;""),"")))),""))</f>
        <v/>
      </c>
      <c r="F386" s="42" t="s">
        <v>104</v>
      </c>
      <c r="I386" s="42" t="s">
        <v>34</v>
      </c>
      <c r="K386" s="44" t="str">
        <f t="shared" si="1"/>
        <v>Owner missing </v>
      </c>
    </row>
    <row r="387" ht="15.75" customHeight="1">
      <c r="E387" s="43" t="str">
        <f t="array" ref="E387">IF($A387="","",IFERROR(IF($D387="TSE",INDEX(Accounts!$G$2:$G$21,MATCH($A387,Accounts!$B$2:$B$21,0))&amp;"",IF($D387="PS",INDEX(Accounts!$F$2:$F$21,MATCH($A387,Accounts!$B$2:$B$21,0))&amp;"",IF($D387="Named engineer",INDEX(Accounts!$I$2:$I$21,MATCH($A387,Accounts!$B$2:$B$21,0))&amp;"",IF($D387="TSE + PS",IF(INDEX(Accounts!$G$2:$G$21,MATCH($A387,Accounts!$B$2:$B$21,0))&amp;""="","(no TSE)",INDEX(Accounts!$G$2:$G$21,MATCH($A387,Accounts!$B$2:$B$21,0))&amp;"")&amp;" / "&amp;IF(INDEX(Accounts!$F$2:$F$21,MATCH($A387,Accounts!$B$2:$B$21,0))&amp;""="","(no PS)",INDEX(Accounts!$F$2:$F$21,MATCH($A387,Accounts!$B$2:$B$21,0))&amp;""),"")))),""))</f>
        <v/>
      </c>
      <c r="F387" s="42" t="s">
        <v>104</v>
      </c>
      <c r="I387" s="42" t="s">
        <v>34</v>
      </c>
      <c r="K387" s="44" t="str">
        <f t="shared" si="1"/>
        <v>Owner missing </v>
      </c>
    </row>
    <row r="388" ht="15.75" customHeight="1">
      <c r="E388" s="43" t="str">
        <f t="array" ref="E388">IF($A388="","",IFERROR(IF($D388="TSE",INDEX(Accounts!$G$2:$G$21,MATCH($A388,Accounts!$B$2:$B$21,0))&amp;"",IF($D388="PS",INDEX(Accounts!$F$2:$F$21,MATCH($A388,Accounts!$B$2:$B$21,0))&amp;"",IF($D388="Named engineer",INDEX(Accounts!$I$2:$I$21,MATCH($A388,Accounts!$B$2:$B$21,0))&amp;"",IF($D388="TSE + PS",IF(INDEX(Accounts!$G$2:$G$21,MATCH($A388,Accounts!$B$2:$B$21,0))&amp;""="","(no TSE)",INDEX(Accounts!$G$2:$G$21,MATCH($A388,Accounts!$B$2:$B$21,0))&amp;"")&amp;" / "&amp;IF(INDEX(Accounts!$F$2:$F$21,MATCH($A388,Accounts!$B$2:$B$21,0))&amp;""="","(no PS)",INDEX(Accounts!$F$2:$F$21,MATCH($A388,Accounts!$B$2:$B$21,0))&amp;""),"")))),""))</f>
        <v/>
      </c>
      <c r="F388" s="42" t="s">
        <v>104</v>
      </c>
      <c r="I388" s="42" t="s">
        <v>34</v>
      </c>
      <c r="K388" s="44" t="str">
        <f t="shared" si="1"/>
        <v>Owner missing </v>
      </c>
    </row>
    <row r="389" ht="15.75" customHeight="1">
      <c r="E389" s="43" t="str">
        <f t="array" ref="E389">IF($A389="","",IFERROR(IF($D389="TSE",INDEX(Accounts!$G$2:$G$21,MATCH($A389,Accounts!$B$2:$B$21,0))&amp;"",IF($D389="PS",INDEX(Accounts!$F$2:$F$21,MATCH($A389,Accounts!$B$2:$B$21,0))&amp;"",IF($D389="Named engineer",INDEX(Accounts!$I$2:$I$21,MATCH($A389,Accounts!$B$2:$B$21,0))&amp;"",IF($D389="TSE + PS",IF(INDEX(Accounts!$G$2:$G$21,MATCH($A389,Accounts!$B$2:$B$21,0))&amp;""="","(no TSE)",INDEX(Accounts!$G$2:$G$21,MATCH($A389,Accounts!$B$2:$B$21,0))&amp;"")&amp;" / "&amp;IF(INDEX(Accounts!$F$2:$F$21,MATCH($A389,Accounts!$B$2:$B$21,0))&amp;""="","(no PS)",INDEX(Accounts!$F$2:$F$21,MATCH($A389,Accounts!$B$2:$B$21,0))&amp;""),"")))),""))</f>
        <v/>
      </c>
      <c r="F389" s="42" t="s">
        <v>104</v>
      </c>
      <c r="I389" s="42" t="s">
        <v>34</v>
      </c>
      <c r="K389" s="44" t="str">
        <f t="shared" si="1"/>
        <v>Owner missing </v>
      </c>
    </row>
    <row r="390" ht="15.75" customHeight="1">
      <c r="E390" s="43" t="str">
        <f t="array" ref="E390">IF($A390="","",IFERROR(IF($D390="TSE",INDEX(Accounts!$G$2:$G$21,MATCH($A390,Accounts!$B$2:$B$21,0))&amp;"",IF($D390="PS",INDEX(Accounts!$F$2:$F$21,MATCH($A390,Accounts!$B$2:$B$21,0))&amp;"",IF($D390="Named engineer",INDEX(Accounts!$I$2:$I$21,MATCH($A390,Accounts!$B$2:$B$21,0))&amp;"",IF($D390="TSE + PS",IF(INDEX(Accounts!$G$2:$G$21,MATCH($A390,Accounts!$B$2:$B$21,0))&amp;""="","(no TSE)",INDEX(Accounts!$G$2:$G$21,MATCH($A390,Accounts!$B$2:$B$21,0))&amp;"")&amp;" / "&amp;IF(INDEX(Accounts!$F$2:$F$21,MATCH($A390,Accounts!$B$2:$B$21,0))&amp;""="","(no PS)",INDEX(Accounts!$F$2:$F$21,MATCH($A390,Accounts!$B$2:$B$21,0))&amp;""),"")))),""))</f>
        <v/>
      </c>
      <c r="F390" s="42" t="s">
        <v>104</v>
      </c>
      <c r="I390" s="42" t="s">
        <v>34</v>
      </c>
      <c r="K390" s="44" t="str">
        <f t="shared" si="1"/>
        <v>Owner missing </v>
      </c>
    </row>
    <row r="391" ht="15.75" customHeight="1">
      <c r="E391" s="43" t="str">
        <f t="array" ref="E391">IF($A391="","",IFERROR(IF($D391="TSE",INDEX(Accounts!$G$2:$G$21,MATCH($A391,Accounts!$B$2:$B$21,0))&amp;"",IF($D391="PS",INDEX(Accounts!$F$2:$F$21,MATCH($A391,Accounts!$B$2:$B$21,0))&amp;"",IF($D391="Named engineer",INDEX(Accounts!$I$2:$I$21,MATCH($A391,Accounts!$B$2:$B$21,0))&amp;"",IF($D391="TSE + PS",IF(INDEX(Accounts!$G$2:$G$21,MATCH($A391,Accounts!$B$2:$B$21,0))&amp;""="","(no TSE)",INDEX(Accounts!$G$2:$G$21,MATCH($A391,Accounts!$B$2:$B$21,0))&amp;"")&amp;" / "&amp;IF(INDEX(Accounts!$F$2:$F$21,MATCH($A391,Accounts!$B$2:$B$21,0))&amp;""="","(no PS)",INDEX(Accounts!$F$2:$F$21,MATCH($A391,Accounts!$B$2:$B$21,0))&amp;""),"")))),""))</f>
        <v/>
      </c>
      <c r="F391" s="42" t="s">
        <v>104</v>
      </c>
      <c r="I391" s="42" t="s">
        <v>34</v>
      </c>
      <c r="K391" s="44" t="str">
        <f t="shared" si="1"/>
        <v>Owner missing </v>
      </c>
    </row>
    <row r="392" ht="15.75" customHeight="1">
      <c r="E392" s="43" t="str">
        <f t="array" ref="E392">IF($A392="","",IFERROR(IF($D392="TSE",INDEX(Accounts!$G$2:$G$21,MATCH($A392,Accounts!$B$2:$B$21,0))&amp;"",IF($D392="PS",INDEX(Accounts!$F$2:$F$21,MATCH($A392,Accounts!$B$2:$B$21,0))&amp;"",IF($D392="Named engineer",INDEX(Accounts!$I$2:$I$21,MATCH($A392,Accounts!$B$2:$B$21,0))&amp;"",IF($D392="TSE + PS",IF(INDEX(Accounts!$G$2:$G$21,MATCH($A392,Accounts!$B$2:$B$21,0))&amp;""="","(no TSE)",INDEX(Accounts!$G$2:$G$21,MATCH($A392,Accounts!$B$2:$B$21,0))&amp;"")&amp;" / "&amp;IF(INDEX(Accounts!$F$2:$F$21,MATCH($A392,Accounts!$B$2:$B$21,0))&amp;""="","(no PS)",INDEX(Accounts!$F$2:$F$21,MATCH($A392,Accounts!$B$2:$B$21,0))&amp;""),"")))),""))</f>
        <v/>
      </c>
      <c r="F392" s="42" t="s">
        <v>104</v>
      </c>
      <c r="I392" s="42" t="s">
        <v>34</v>
      </c>
      <c r="K392" s="44" t="str">
        <f t="shared" si="1"/>
        <v>Owner missing </v>
      </c>
    </row>
    <row r="393" ht="15.75" customHeight="1">
      <c r="E393" s="43" t="str">
        <f t="array" ref="E393">IF($A393="","",IFERROR(IF($D393="TSE",INDEX(Accounts!$G$2:$G$21,MATCH($A393,Accounts!$B$2:$B$21,0))&amp;"",IF($D393="PS",INDEX(Accounts!$F$2:$F$21,MATCH($A393,Accounts!$B$2:$B$21,0))&amp;"",IF($D393="Named engineer",INDEX(Accounts!$I$2:$I$21,MATCH($A393,Accounts!$B$2:$B$21,0))&amp;"",IF($D393="TSE + PS",IF(INDEX(Accounts!$G$2:$G$21,MATCH($A393,Accounts!$B$2:$B$21,0))&amp;""="","(no TSE)",INDEX(Accounts!$G$2:$G$21,MATCH($A393,Accounts!$B$2:$B$21,0))&amp;"")&amp;" / "&amp;IF(INDEX(Accounts!$F$2:$F$21,MATCH($A393,Accounts!$B$2:$B$21,0))&amp;""="","(no PS)",INDEX(Accounts!$F$2:$F$21,MATCH($A393,Accounts!$B$2:$B$21,0))&amp;""),"")))),""))</f>
        <v/>
      </c>
      <c r="F393" s="42" t="s">
        <v>104</v>
      </c>
      <c r="I393" s="42" t="s">
        <v>34</v>
      </c>
      <c r="K393" s="44" t="str">
        <f t="shared" si="1"/>
        <v>Owner missing </v>
      </c>
    </row>
    <row r="394" ht="15.75" customHeight="1">
      <c r="E394" s="43" t="str">
        <f t="array" ref="E394">IF($A394="","",IFERROR(IF($D394="TSE",INDEX(Accounts!$G$2:$G$21,MATCH($A394,Accounts!$B$2:$B$21,0))&amp;"",IF($D394="PS",INDEX(Accounts!$F$2:$F$21,MATCH($A394,Accounts!$B$2:$B$21,0))&amp;"",IF($D394="Named engineer",INDEX(Accounts!$I$2:$I$21,MATCH($A394,Accounts!$B$2:$B$21,0))&amp;"",IF($D394="TSE + PS",IF(INDEX(Accounts!$G$2:$G$21,MATCH($A394,Accounts!$B$2:$B$21,0))&amp;""="","(no TSE)",INDEX(Accounts!$G$2:$G$21,MATCH($A394,Accounts!$B$2:$B$21,0))&amp;"")&amp;" / "&amp;IF(INDEX(Accounts!$F$2:$F$21,MATCH($A394,Accounts!$B$2:$B$21,0))&amp;""="","(no PS)",INDEX(Accounts!$F$2:$F$21,MATCH($A394,Accounts!$B$2:$B$21,0))&amp;""),"")))),""))</f>
        <v/>
      </c>
      <c r="F394" s="42" t="s">
        <v>104</v>
      </c>
      <c r="I394" s="42" t="s">
        <v>34</v>
      </c>
      <c r="K394" s="44" t="str">
        <f t="shared" si="1"/>
        <v>Owner missing </v>
      </c>
    </row>
    <row r="395" ht="15.75" customHeight="1">
      <c r="E395" s="43" t="str">
        <f t="array" ref="E395">IF($A395="","",IFERROR(IF($D395="TSE",INDEX(Accounts!$G$2:$G$21,MATCH($A395,Accounts!$B$2:$B$21,0))&amp;"",IF($D395="PS",INDEX(Accounts!$F$2:$F$21,MATCH($A395,Accounts!$B$2:$B$21,0))&amp;"",IF($D395="Named engineer",INDEX(Accounts!$I$2:$I$21,MATCH($A395,Accounts!$B$2:$B$21,0))&amp;"",IF($D395="TSE + PS",IF(INDEX(Accounts!$G$2:$G$21,MATCH($A395,Accounts!$B$2:$B$21,0))&amp;""="","(no TSE)",INDEX(Accounts!$G$2:$G$21,MATCH($A395,Accounts!$B$2:$B$21,0))&amp;"")&amp;" / "&amp;IF(INDEX(Accounts!$F$2:$F$21,MATCH($A395,Accounts!$B$2:$B$21,0))&amp;""="","(no PS)",INDEX(Accounts!$F$2:$F$21,MATCH($A395,Accounts!$B$2:$B$21,0))&amp;""),"")))),""))</f>
        <v/>
      </c>
      <c r="F395" s="42" t="s">
        <v>104</v>
      </c>
      <c r="I395" s="42" t="s">
        <v>34</v>
      </c>
      <c r="K395" s="44" t="str">
        <f t="shared" si="1"/>
        <v>Owner missing </v>
      </c>
    </row>
    <row r="396" ht="15.75" customHeight="1">
      <c r="E396" s="43" t="str">
        <f t="array" ref="E396">IF($A396="","",IFERROR(IF($D396="TSE",INDEX(Accounts!$G$2:$G$21,MATCH($A396,Accounts!$B$2:$B$21,0))&amp;"",IF($D396="PS",INDEX(Accounts!$F$2:$F$21,MATCH($A396,Accounts!$B$2:$B$21,0))&amp;"",IF($D396="Named engineer",INDEX(Accounts!$I$2:$I$21,MATCH($A396,Accounts!$B$2:$B$21,0))&amp;"",IF($D396="TSE + PS",IF(INDEX(Accounts!$G$2:$G$21,MATCH($A396,Accounts!$B$2:$B$21,0))&amp;""="","(no TSE)",INDEX(Accounts!$G$2:$G$21,MATCH($A396,Accounts!$B$2:$B$21,0))&amp;"")&amp;" / "&amp;IF(INDEX(Accounts!$F$2:$F$21,MATCH($A396,Accounts!$B$2:$B$21,0))&amp;""="","(no PS)",INDEX(Accounts!$F$2:$F$21,MATCH($A396,Accounts!$B$2:$B$21,0))&amp;""),"")))),""))</f>
        <v/>
      </c>
      <c r="F396" s="42" t="s">
        <v>104</v>
      </c>
      <c r="I396" s="42" t="s">
        <v>34</v>
      </c>
      <c r="K396" s="44" t="str">
        <f t="shared" si="1"/>
        <v>Owner missing </v>
      </c>
    </row>
    <row r="397" ht="15.75" customHeight="1">
      <c r="E397" s="43" t="str">
        <f t="array" ref="E397">IF($A397="","",IFERROR(IF($D397="TSE",INDEX(Accounts!$G$2:$G$21,MATCH($A397,Accounts!$B$2:$B$21,0))&amp;"",IF($D397="PS",INDEX(Accounts!$F$2:$F$21,MATCH($A397,Accounts!$B$2:$B$21,0))&amp;"",IF($D397="Named engineer",INDEX(Accounts!$I$2:$I$21,MATCH($A397,Accounts!$B$2:$B$21,0))&amp;"",IF($D397="TSE + PS",IF(INDEX(Accounts!$G$2:$G$21,MATCH($A397,Accounts!$B$2:$B$21,0))&amp;""="","(no TSE)",INDEX(Accounts!$G$2:$G$21,MATCH($A397,Accounts!$B$2:$B$21,0))&amp;"")&amp;" / "&amp;IF(INDEX(Accounts!$F$2:$F$21,MATCH($A397,Accounts!$B$2:$B$21,0))&amp;""="","(no PS)",INDEX(Accounts!$F$2:$F$21,MATCH($A397,Accounts!$B$2:$B$21,0))&amp;""),"")))),""))</f>
        <v/>
      </c>
      <c r="F397" s="42" t="s">
        <v>104</v>
      </c>
      <c r="I397" s="42" t="s">
        <v>34</v>
      </c>
      <c r="K397" s="44" t="str">
        <f t="shared" si="1"/>
        <v>Owner missing </v>
      </c>
    </row>
    <row r="398" ht="15.75" customHeight="1">
      <c r="E398" s="43" t="str">
        <f t="array" ref="E398">IF($A398="","",IFERROR(IF($D398="TSE",INDEX(Accounts!$G$2:$G$21,MATCH($A398,Accounts!$B$2:$B$21,0))&amp;"",IF($D398="PS",INDEX(Accounts!$F$2:$F$21,MATCH($A398,Accounts!$B$2:$B$21,0))&amp;"",IF($D398="Named engineer",INDEX(Accounts!$I$2:$I$21,MATCH($A398,Accounts!$B$2:$B$21,0))&amp;"",IF($D398="TSE + PS",IF(INDEX(Accounts!$G$2:$G$21,MATCH($A398,Accounts!$B$2:$B$21,0))&amp;""="","(no TSE)",INDEX(Accounts!$G$2:$G$21,MATCH($A398,Accounts!$B$2:$B$21,0))&amp;"")&amp;" / "&amp;IF(INDEX(Accounts!$F$2:$F$21,MATCH($A398,Accounts!$B$2:$B$21,0))&amp;""="","(no PS)",INDEX(Accounts!$F$2:$F$21,MATCH($A398,Accounts!$B$2:$B$21,0))&amp;""),"")))),""))</f>
        <v/>
      </c>
      <c r="F398" s="42" t="s">
        <v>104</v>
      </c>
      <c r="I398" s="42" t="s">
        <v>34</v>
      </c>
      <c r="K398" s="44" t="str">
        <f t="shared" si="1"/>
        <v>Owner missing </v>
      </c>
    </row>
    <row r="399" ht="15.75" customHeight="1">
      <c r="E399" s="43" t="str">
        <f t="array" ref="E399">IF($A399="","",IFERROR(IF($D399="TSE",INDEX(Accounts!$G$2:$G$21,MATCH($A399,Accounts!$B$2:$B$21,0))&amp;"",IF($D399="PS",INDEX(Accounts!$F$2:$F$21,MATCH($A399,Accounts!$B$2:$B$21,0))&amp;"",IF($D399="Named engineer",INDEX(Accounts!$I$2:$I$21,MATCH($A399,Accounts!$B$2:$B$21,0))&amp;"",IF($D399="TSE + PS",IF(INDEX(Accounts!$G$2:$G$21,MATCH($A399,Accounts!$B$2:$B$21,0))&amp;""="","(no TSE)",INDEX(Accounts!$G$2:$G$21,MATCH($A399,Accounts!$B$2:$B$21,0))&amp;"")&amp;" / "&amp;IF(INDEX(Accounts!$F$2:$F$21,MATCH($A399,Accounts!$B$2:$B$21,0))&amp;""="","(no PS)",INDEX(Accounts!$F$2:$F$21,MATCH($A399,Accounts!$B$2:$B$21,0))&amp;""),"")))),""))</f>
        <v/>
      </c>
      <c r="F399" s="42" t="s">
        <v>104</v>
      </c>
      <c r="I399" s="42" t="s">
        <v>34</v>
      </c>
      <c r="K399" s="44" t="str">
        <f t="shared" si="1"/>
        <v>Owner missing </v>
      </c>
    </row>
    <row r="400" ht="15.75" customHeight="1">
      <c r="E400" s="43" t="str">
        <f t="array" ref="E400">IF($A400="","",IFERROR(IF($D400="TSE",INDEX(Accounts!$G$2:$G$21,MATCH($A400,Accounts!$B$2:$B$21,0))&amp;"",IF($D400="PS",INDEX(Accounts!$F$2:$F$21,MATCH($A400,Accounts!$B$2:$B$21,0))&amp;"",IF($D400="Named engineer",INDEX(Accounts!$I$2:$I$21,MATCH($A400,Accounts!$B$2:$B$21,0))&amp;"",IF($D400="TSE + PS",IF(INDEX(Accounts!$G$2:$G$21,MATCH($A400,Accounts!$B$2:$B$21,0))&amp;""="","(no TSE)",INDEX(Accounts!$G$2:$G$21,MATCH($A400,Accounts!$B$2:$B$21,0))&amp;"")&amp;" / "&amp;IF(INDEX(Accounts!$F$2:$F$21,MATCH($A400,Accounts!$B$2:$B$21,0))&amp;""="","(no PS)",INDEX(Accounts!$F$2:$F$21,MATCH($A400,Accounts!$B$2:$B$21,0))&amp;""),"")))),""))</f>
        <v/>
      </c>
      <c r="F400" s="42" t="s">
        <v>104</v>
      </c>
      <c r="I400" s="42" t="s">
        <v>34</v>
      </c>
      <c r="K400" s="44" t="str">
        <f t="shared" si="1"/>
        <v>Owner missing </v>
      </c>
    </row>
    <row r="401" ht="15.75" customHeight="1">
      <c r="E401" s="43" t="str">
        <f t="array" ref="E401">IF($A401="","",IFERROR(IF($D401="TSE",INDEX(Accounts!$G$2:$G$21,MATCH($A401,Accounts!$B$2:$B$21,0))&amp;"",IF($D401="PS",INDEX(Accounts!$F$2:$F$21,MATCH($A401,Accounts!$B$2:$B$21,0))&amp;"",IF($D401="Named engineer",INDEX(Accounts!$I$2:$I$21,MATCH($A401,Accounts!$B$2:$B$21,0))&amp;"",IF($D401="TSE + PS",IF(INDEX(Accounts!$G$2:$G$21,MATCH($A401,Accounts!$B$2:$B$21,0))&amp;""="","(no TSE)",INDEX(Accounts!$G$2:$G$21,MATCH($A401,Accounts!$B$2:$B$21,0))&amp;"")&amp;" / "&amp;IF(INDEX(Accounts!$F$2:$F$21,MATCH($A401,Accounts!$B$2:$B$21,0))&amp;""="","(no PS)",INDEX(Accounts!$F$2:$F$21,MATCH($A401,Accounts!$B$2:$B$21,0))&amp;""),"")))),""))</f>
        <v/>
      </c>
      <c r="F401" s="42" t="s">
        <v>104</v>
      </c>
      <c r="I401" s="42" t="s">
        <v>34</v>
      </c>
      <c r="K401" s="44" t="str">
        <f t="shared" si="1"/>
        <v>Owner missing </v>
      </c>
    </row>
    <row r="402" ht="15.75" customHeight="1">
      <c r="E402" s="43" t="str">
        <f t="array" ref="E402">IF($A402="","",IFERROR(IF($D402="TSE",INDEX(Accounts!$G$2:$G$21,MATCH($A402,Accounts!$B$2:$B$21,0))&amp;"",IF($D402="PS",INDEX(Accounts!$F$2:$F$21,MATCH($A402,Accounts!$B$2:$B$21,0))&amp;"",IF($D402="Named engineer",INDEX(Accounts!$I$2:$I$21,MATCH($A402,Accounts!$B$2:$B$21,0))&amp;"",IF($D402="TSE + PS",IF(INDEX(Accounts!$G$2:$G$21,MATCH($A402,Accounts!$B$2:$B$21,0))&amp;""="","(no TSE)",INDEX(Accounts!$G$2:$G$21,MATCH($A402,Accounts!$B$2:$B$21,0))&amp;"")&amp;" / "&amp;IF(INDEX(Accounts!$F$2:$F$21,MATCH($A402,Accounts!$B$2:$B$21,0))&amp;""="","(no PS)",INDEX(Accounts!$F$2:$F$21,MATCH($A402,Accounts!$B$2:$B$21,0))&amp;""),"")))),""))</f>
        <v/>
      </c>
      <c r="F402" s="42" t="s">
        <v>104</v>
      </c>
      <c r="I402" s="42" t="s">
        <v>34</v>
      </c>
      <c r="K402" s="44" t="str">
        <f t="shared" si="1"/>
        <v>Owner missing </v>
      </c>
    </row>
    <row r="403" ht="15.75" customHeight="1">
      <c r="E403" s="43" t="str">
        <f t="array" ref="E403">IF($A403="","",IFERROR(IF($D403="TSE",INDEX(Accounts!$G$2:$G$21,MATCH($A403,Accounts!$B$2:$B$21,0))&amp;"",IF($D403="PS",INDEX(Accounts!$F$2:$F$21,MATCH($A403,Accounts!$B$2:$B$21,0))&amp;"",IF($D403="Named engineer",INDEX(Accounts!$I$2:$I$21,MATCH($A403,Accounts!$B$2:$B$21,0))&amp;"",IF($D403="TSE + PS",IF(INDEX(Accounts!$G$2:$G$21,MATCH($A403,Accounts!$B$2:$B$21,0))&amp;""="","(no TSE)",INDEX(Accounts!$G$2:$G$21,MATCH($A403,Accounts!$B$2:$B$21,0))&amp;"")&amp;" / "&amp;IF(INDEX(Accounts!$F$2:$F$21,MATCH($A403,Accounts!$B$2:$B$21,0))&amp;""="","(no PS)",INDEX(Accounts!$F$2:$F$21,MATCH($A403,Accounts!$B$2:$B$21,0))&amp;""),"")))),""))</f>
        <v/>
      </c>
      <c r="F403" s="42" t="s">
        <v>104</v>
      </c>
      <c r="I403" s="42" t="s">
        <v>34</v>
      </c>
      <c r="K403" s="44" t="str">
        <f t="shared" si="1"/>
        <v>Owner missing </v>
      </c>
    </row>
    <row r="404" ht="15.75" customHeight="1">
      <c r="E404" s="43" t="str">
        <f t="array" ref="E404">IF($A404="","",IFERROR(IF($D404="TSE",INDEX(Accounts!$G$2:$G$21,MATCH($A404,Accounts!$B$2:$B$21,0))&amp;"",IF($D404="PS",INDEX(Accounts!$F$2:$F$21,MATCH($A404,Accounts!$B$2:$B$21,0))&amp;"",IF($D404="Named engineer",INDEX(Accounts!$I$2:$I$21,MATCH($A404,Accounts!$B$2:$B$21,0))&amp;"",IF($D404="TSE + PS",IF(INDEX(Accounts!$G$2:$G$21,MATCH($A404,Accounts!$B$2:$B$21,0))&amp;""="","(no TSE)",INDEX(Accounts!$G$2:$G$21,MATCH($A404,Accounts!$B$2:$B$21,0))&amp;"")&amp;" / "&amp;IF(INDEX(Accounts!$F$2:$F$21,MATCH($A404,Accounts!$B$2:$B$21,0))&amp;""="","(no PS)",INDEX(Accounts!$F$2:$F$21,MATCH($A404,Accounts!$B$2:$B$21,0))&amp;""),"")))),""))</f>
        <v/>
      </c>
      <c r="F404" s="42" t="s">
        <v>104</v>
      </c>
      <c r="I404" s="42" t="s">
        <v>34</v>
      </c>
      <c r="K404" s="44" t="str">
        <f t="shared" si="1"/>
        <v>Owner missing </v>
      </c>
    </row>
    <row r="405" ht="15.75" customHeight="1">
      <c r="E405" s="43" t="str">
        <f t="array" ref="E405">IF($A405="","",IFERROR(IF($D405="TSE",INDEX(Accounts!$G$2:$G$21,MATCH($A405,Accounts!$B$2:$B$21,0))&amp;"",IF($D405="PS",INDEX(Accounts!$F$2:$F$21,MATCH($A405,Accounts!$B$2:$B$21,0))&amp;"",IF($D405="Named engineer",INDEX(Accounts!$I$2:$I$21,MATCH($A405,Accounts!$B$2:$B$21,0))&amp;"",IF($D405="TSE + PS",IF(INDEX(Accounts!$G$2:$G$21,MATCH($A405,Accounts!$B$2:$B$21,0))&amp;""="","(no TSE)",INDEX(Accounts!$G$2:$G$21,MATCH($A405,Accounts!$B$2:$B$21,0))&amp;"")&amp;" / "&amp;IF(INDEX(Accounts!$F$2:$F$21,MATCH($A405,Accounts!$B$2:$B$21,0))&amp;""="","(no PS)",INDEX(Accounts!$F$2:$F$21,MATCH($A405,Accounts!$B$2:$B$21,0))&amp;""),"")))),""))</f>
        <v/>
      </c>
      <c r="F405" s="42" t="s">
        <v>104</v>
      </c>
      <c r="I405" s="42" t="s">
        <v>34</v>
      </c>
      <c r="K405" s="44" t="str">
        <f t="shared" si="1"/>
        <v>Owner missing </v>
      </c>
    </row>
    <row r="406" ht="15.75" customHeight="1">
      <c r="E406" s="43" t="str">
        <f t="array" ref="E406">IF($A406="","",IFERROR(IF($D406="TSE",INDEX(Accounts!$G$2:$G$21,MATCH($A406,Accounts!$B$2:$B$21,0))&amp;"",IF($D406="PS",INDEX(Accounts!$F$2:$F$21,MATCH($A406,Accounts!$B$2:$B$21,0))&amp;"",IF($D406="Named engineer",INDEX(Accounts!$I$2:$I$21,MATCH($A406,Accounts!$B$2:$B$21,0))&amp;"",IF($D406="TSE + PS",IF(INDEX(Accounts!$G$2:$G$21,MATCH($A406,Accounts!$B$2:$B$21,0))&amp;""="","(no TSE)",INDEX(Accounts!$G$2:$G$21,MATCH($A406,Accounts!$B$2:$B$21,0))&amp;"")&amp;" / "&amp;IF(INDEX(Accounts!$F$2:$F$21,MATCH($A406,Accounts!$B$2:$B$21,0))&amp;""="","(no PS)",INDEX(Accounts!$F$2:$F$21,MATCH($A406,Accounts!$B$2:$B$21,0))&amp;""),"")))),""))</f>
        <v/>
      </c>
      <c r="F406" s="42" t="s">
        <v>104</v>
      </c>
      <c r="I406" s="42" t="s">
        <v>34</v>
      </c>
      <c r="K406" s="44" t="str">
        <f t="shared" si="1"/>
        <v>Owner missing </v>
      </c>
    </row>
    <row r="407" ht="15.75" customHeight="1">
      <c r="E407" s="43" t="str">
        <f t="array" ref="E407">IF($A407="","",IFERROR(IF($D407="TSE",INDEX(Accounts!$G$2:$G$21,MATCH($A407,Accounts!$B$2:$B$21,0))&amp;"",IF($D407="PS",INDEX(Accounts!$F$2:$F$21,MATCH($A407,Accounts!$B$2:$B$21,0))&amp;"",IF($D407="Named engineer",INDEX(Accounts!$I$2:$I$21,MATCH($A407,Accounts!$B$2:$B$21,0))&amp;"",IF($D407="TSE + PS",IF(INDEX(Accounts!$G$2:$G$21,MATCH($A407,Accounts!$B$2:$B$21,0))&amp;""="","(no TSE)",INDEX(Accounts!$G$2:$G$21,MATCH($A407,Accounts!$B$2:$B$21,0))&amp;"")&amp;" / "&amp;IF(INDEX(Accounts!$F$2:$F$21,MATCH($A407,Accounts!$B$2:$B$21,0))&amp;""="","(no PS)",INDEX(Accounts!$F$2:$F$21,MATCH($A407,Accounts!$B$2:$B$21,0))&amp;""),"")))),""))</f>
        <v/>
      </c>
      <c r="F407" s="42" t="s">
        <v>104</v>
      </c>
      <c r="I407" s="42" t="s">
        <v>34</v>
      </c>
      <c r="K407" s="44" t="str">
        <f t="shared" si="1"/>
        <v>Owner missing </v>
      </c>
    </row>
    <row r="408" ht="15.75" customHeight="1">
      <c r="E408" s="43" t="str">
        <f t="array" ref="E408">IF($A408="","",IFERROR(IF($D408="TSE",INDEX(Accounts!$G$2:$G$21,MATCH($A408,Accounts!$B$2:$B$21,0))&amp;"",IF($D408="PS",INDEX(Accounts!$F$2:$F$21,MATCH($A408,Accounts!$B$2:$B$21,0))&amp;"",IF($D408="Named engineer",INDEX(Accounts!$I$2:$I$21,MATCH($A408,Accounts!$B$2:$B$21,0))&amp;"",IF($D408="TSE + PS",IF(INDEX(Accounts!$G$2:$G$21,MATCH($A408,Accounts!$B$2:$B$21,0))&amp;""="","(no TSE)",INDEX(Accounts!$G$2:$G$21,MATCH($A408,Accounts!$B$2:$B$21,0))&amp;"")&amp;" / "&amp;IF(INDEX(Accounts!$F$2:$F$21,MATCH($A408,Accounts!$B$2:$B$21,0))&amp;""="","(no PS)",INDEX(Accounts!$F$2:$F$21,MATCH($A408,Accounts!$B$2:$B$21,0))&amp;""),"")))),""))</f>
        <v/>
      </c>
      <c r="F408" s="42" t="s">
        <v>104</v>
      </c>
      <c r="I408" s="42" t="s">
        <v>34</v>
      </c>
      <c r="K408" s="44" t="str">
        <f t="shared" si="1"/>
        <v>Owner missing </v>
      </c>
    </row>
    <row r="409" ht="15.75" customHeight="1">
      <c r="E409" s="43" t="str">
        <f t="array" ref="E409">IF($A409="","",IFERROR(IF($D409="TSE",INDEX(Accounts!$G$2:$G$21,MATCH($A409,Accounts!$B$2:$B$21,0))&amp;"",IF($D409="PS",INDEX(Accounts!$F$2:$F$21,MATCH($A409,Accounts!$B$2:$B$21,0))&amp;"",IF($D409="Named engineer",INDEX(Accounts!$I$2:$I$21,MATCH($A409,Accounts!$B$2:$B$21,0))&amp;"",IF($D409="TSE + PS",IF(INDEX(Accounts!$G$2:$G$21,MATCH($A409,Accounts!$B$2:$B$21,0))&amp;""="","(no TSE)",INDEX(Accounts!$G$2:$G$21,MATCH($A409,Accounts!$B$2:$B$21,0))&amp;"")&amp;" / "&amp;IF(INDEX(Accounts!$F$2:$F$21,MATCH($A409,Accounts!$B$2:$B$21,0))&amp;""="","(no PS)",INDEX(Accounts!$F$2:$F$21,MATCH($A409,Accounts!$B$2:$B$21,0))&amp;""),"")))),""))</f>
        <v/>
      </c>
      <c r="F409" s="42" t="s">
        <v>104</v>
      </c>
      <c r="I409" s="42" t="s">
        <v>34</v>
      </c>
      <c r="K409" s="44" t="str">
        <f t="shared" si="1"/>
        <v>Owner missing </v>
      </c>
    </row>
    <row r="410" ht="15.75" customHeight="1">
      <c r="E410" s="43" t="str">
        <f t="array" ref="E410">IF($A410="","",IFERROR(IF($D410="TSE",INDEX(Accounts!$G$2:$G$21,MATCH($A410,Accounts!$B$2:$B$21,0))&amp;"",IF($D410="PS",INDEX(Accounts!$F$2:$F$21,MATCH($A410,Accounts!$B$2:$B$21,0))&amp;"",IF($D410="Named engineer",INDEX(Accounts!$I$2:$I$21,MATCH($A410,Accounts!$B$2:$B$21,0))&amp;"",IF($D410="TSE + PS",IF(INDEX(Accounts!$G$2:$G$21,MATCH($A410,Accounts!$B$2:$B$21,0))&amp;""="","(no TSE)",INDEX(Accounts!$G$2:$G$21,MATCH($A410,Accounts!$B$2:$B$21,0))&amp;"")&amp;" / "&amp;IF(INDEX(Accounts!$F$2:$F$21,MATCH($A410,Accounts!$B$2:$B$21,0))&amp;""="","(no PS)",INDEX(Accounts!$F$2:$F$21,MATCH($A410,Accounts!$B$2:$B$21,0))&amp;""),"")))),""))</f>
        <v/>
      </c>
      <c r="F410" s="42" t="s">
        <v>104</v>
      </c>
      <c r="I410" s="42" t="s">
        <v>34</v>
      </c>
      <c r="K410" s="44" t="str">
        <f t="shared" si="1"/>
        <v>Owner missing </v>
      </c>
    </row>
    <row r="411" ht="15.75" customHeight="1">
      <c r="E411" s="43" t="str">
        <f t="array" ref="E411">IF($A411="","",IFERROR(IF($D411="TSE",INDEX(Accounts!$G$2:$G$21,MATCH($A411,Accounts!$B$2:$B$21,0))&amp;"",IF($D411="PS",INDEX(Accounts!$F$2:$F$21,MATCH($A411,Accounts!$B$2:$B$21,0))&amp;"",IF($D411="Named engineer",INDEX(Accounts!$I$2:$I$21,MATCH($A411,Accounts!$B$2:$B$21,0))&amp;"",IF($D411="TSE + PS",IF(INDEX(Accounts!$G$2:$G$21,MATCH($A411,Accounts!$B$2:$B$21,0))&amp;""="","(no TSE)",INDEX(Accounts!$G$2:$G$21,MATCH($A411,Accounts!$B$2:$B$21,0))&amp;"")&amp;" / "&amp;IF(INDEX(Accounts!$F$2:$F$21,MATCH($A411,Accounts!$B$2:$B$21,0))&amp;""="","(no PS)",INDEX(Accounts!$F$2:$F$21,MATCH($A411,Accounts!$B$2:$B$21,0))&amp;""),"")))),""))</f>
        <v/>
      </c>
      <c r="F411" s="42" t="s">
        <v>104</v>
      </c>
      <c r="I411" s="42" t="s">
        <v>34</v>
      </c>
      <c r="K411" s="44" t="str">
        <f t="shared" si="1"/>
        <v>Owner missing </v>
      </c>
    </row>
    <row r="412" ht="15.75" customHeight="1">
      <c r="E412" s="43" t="str">
        <f t="array" ref="E412">IF($A412="","",IFERROR(IF($D412="TSE",INDEX(Accounts!$G$2:$G$21,MATCH($A412,Accounts!$B$2:$B$21,0))&amp;"",IF($D412="PS",INDEX(Accounts!$F$2:$F$21,MATCH($A412,Accounts!$B$2:$B$21,0))&amp;"",IF($D412="Named engineer",INDEX(Accounts!$I$2:$I$21,MATCH($A412,Accounts!$B$2:$B$21,0))&amp;"",IF($D412="TSE + PS",IF(INDEX(Accounts!$G$2:$G$21,MATCH($A412,Accounts!$B$2:$B$21,0))&amp;""="","(no TSE)",INDEX(Accounts!$G$2:$G$21,MATCH($A412,Accounts!$B$2:$B$21,0))&amp;"")&amp;" / "&amp;IF(INDEX(Accounts!$F$2:$F$21,MATCH($A412,Accounts!$B$2:$B$21,0))&amp;""="","(no PS)",INDEX(Accounts!$F$2:$F$21,MATCH($A412,Accounts!$B$2:$B$21,0))&amp;""),"")))),""))</f>
        <v/>
      </c>
      <c r="F412" s="42" t="s">
        <v>104</v>
      </c>
      <c r="I412" s="42" t="s">
        <v>34</v>
      </c>
      <c r="K412" s="44" t="str">
        <f t="shared" si="1"/>
        <v>Owner missing </v>
      </c>
    </row>
    <row r="413" ht="15.75" customHeight="1">
      <c r="E413" s="43" t="str">
        <f t="array" ref="E413">IF($A413="","",IFERROR(IF($D413="TSE",INDEX(Accounts!$G$2:$G$21,MATCH($A413,Accounts!$B$2:$B$21,0))&amp;"",IF($D413="PS",INDEX(Accounts!$F$2:$F$21,MATCH($A413,Accounts!$B$2:$B$21,0))&amp;"",IF($D413="Named engineer",INDEX(Accounts!$I$2:$I$21,MATCH($A413,Accounts!$B$2:$B$21,0))&amp;"",IF($D413="TSE + PS",IF(INDEX(Accounts!$G$2:$G$21,MATCH($A413,Accounts!$B$2:$B$21,0))&amp;""="","(no TSE)",INDEX(Accounts!$G$2:$G$21,MATCH($A413,Accounts!$B$2:$B$21,0))&amp;"")&amp;" / "&amp;IF(INDEX(Accounts!$F$2:$F$21,MATCH($A413,Accounts!$B$2:$B$21,0))&amp;""="","(no PS)",INDEX(Accounts!$F$2:$F$21,MATCH($A413,Accounts!$B$2:$B$21,0))&amp;""),"")))),""))</f>
        <v/>
      </c>
      <c r="F413" s="42" t="s">
        <v>104</v>
      </c>
      <c r="I413" s="42" t="s">
        <v>34</v>
      </c>
      <c r="K413" s="44" t="str">
        <f t="shared" si="1"/>
        <v>Owner missing </v>
      </c>
    </row>
    <row r="414" ht="15.75" customHeight="1">
      <c r="E414" s="43" t="str">
        <f t="array" ref="E414">IF($A414="","",IFERROR(IF($D414="TSE",INDEX(Accounts!$G$2:$G$21,MATCH($A414,Accounts!$B$2:$B$21,0))&amp;"",IF($D414="PS",INDEX(Accounts!$F$2:$F$21,MATCH($A414,Accounts!$B$2:$B$21,0))&amp;"",IF($D414="Named engineer",INDEX(Accounts!$I$2:$I$21,MATCH($A414,Accounts!$B$2:$B$21,0))&amp;"",IF($D414="TSE + PS",IF(INDEX(Accounts!$G$2:$G$21,MATCH($A414,Accounts!$B$2:$B$21,0))&amp;""="","(no TSE)",INDEX(Accounts!$G$2:$G$21,MATCH($A414,Accounts!$B$2:$B$21,0))&amp;"")&amp;" / "&amp;IF(INDEX(Accounts!$F$2:$F$21,MATCH($A414,Accounts!$B$2:$B$21,0))&amp;""="","(no PS)",INDEX(Accounts!$F$2:$F$21,MATCH($A414,Accounts!$B$2:$B$21,0))&amp;""),"")))),""))</f>
        <v/>
      </c>
      <c r="F414" s="42" t="s">
        <v>104</v>
      </c>
      <c r="I414" s="42" t="s">
        <v>34</v>
      </c>
      <c r="K414" s="44" t="str">
        <f t="shared" si="1"/>
        <v>Owner missing </v>
      </c>
    </row>
    <row r="415" ht="15.75" customHeight="1">
      <c r="E415" s="43" t="str">
        <f t="array" ref="E415">IF($A415="","",IFERROR(IF($D415="TSE",INDEX(Accounts!$G$2:$G$21,MATCH($A415,Accounts!$B$2:$B$21,0))&amp;"",IF($D415="PS",INDEX(Accounts!$F$2:$F$21,MATCH($A415,Accounts!$B$2:$B$21,0))&amp;"",IF($D415="Named engineer",INDEX(Accounts!$I$2:$I$21,MATCH($A415,Accounts!$B$2:$B$21,0))&amp;"",IF($D415="TSE + PS",IF(INDEX(Accounts!$G$2:$G$21,MATCH($A415,Accounts!$B$2:$B$21,0))&amp;""="","(no TSE)",INDEX(Accounts!$G$2:$G$21,MATCH($A415,Accounts!$B$2:$B$21,0))&amp;"")&amp;" / "&amp;IF(INDEX(Accounts!$F$2:$F$21,MATCH($A415,Accounts!$B$2:$B$21,0))&amp;""="","(no PS)",INDEX(Accounts!$F$2:$F$21,MATCH($A415,Accounts!$B$2:$B$21,0))&amp;""),"")))),""))</f>
        <v/>
      </c>
      <c r="F415" s="42" t="s">
        <v>104</v>
      </c>
      <c r="I415" s="42" t="s">
        <v>34</v>
      </c>
      <c r="K415" s="44" t="str">
        <f t="shared" si="1"/>
        <v>Owner missing </v>
      </c>
    </row>
    <row r="416" ht="15.75" customHeight="1">
      <c r="E416" s="43" t="str">
        <f t="array" ref="E416">IF($A416="","",IFERROR(IF($D416="TSE",INDEX(Accounts!$G$2:$G$21,MATCH($A416,Accounts!$B$2:$B$21,0))&amp;"",IF($D416="PS",INDEX(Accounts!$F$2:$F$21,MATCH($A416,Accounts!$B$2:$B$21,0))&amp;"",IF($D416="Named engineer",INDEX(Accounts!$I$2:$I$21,MATCH($A416,Accounts!$B$2:$B$21,0))&amp;"",IF($D416="TSE + PS",IF(INDEX(Accounts!$G$2:$G$21,MATCH($A416,Accounts!$B$2:$B$21,0))&amp;""="","(no TSE)",INDEX(Accounts!$G$2:$G$21,MATCH($A416,Accounts!$B$2:$B$21,0))&amp;"")&amp;" / "&amp;IF(INDEX(Accounts!$F$2:$F$21,MATCH($A416,Accounts!$B$2:$B$21,0))&amp;""="","(no PS)",INDEX(Accounts!$F$2:$F$21,MATCH($A416,Accounts!$B$2:$B$21,0))&amp;""),"")))),""))</f>
        <v/>
      </c>
      <c r="F416" s="42" t="s">
        <v>104</v>
      </c>
      <c r="I416" s="42" t="s">
        <v>34</v>
      </c>
      <c r="K416" s="44" t="str">
        <f t="shared" si="1"/>
        <v>Owner missing </v>
      </c>
    </row>
    <row r="417" ht="15.75" customHeight="1">
      <c r="E417" s="43" t="str">
        <f t="array" ref="E417">IF($A417="","",IFERROR(IF($D417="TSE",INDEX(Accounts!$G$2:$G$21,MATCH($A417,Accounts!$B$2:$B$21,0))&amp;"",IF($D417="PS",INDEX(Accounts!$F$2:$F$21,MATCH($A417,Accounts!$B$2:$B$21,0))&amp;"",IF($D417="Named engineer",INDEX(Accounts!$I$2:$I$21,MATCH($A417,Accounts!$B$2:$B$21,0))&amp;"",IF($D417="TSE + PS",IF(INDEX(Accounts!$G$2:$G$21,MATCH($A417,Accounts!$B$2:$B$21,0))&amp;""="","(no TSE)",INDEX(Accounts!$G$2:$G$21,MATCH($A417,Accounts!$B$2:$B$21,0))&amp;"")&amp;" / "&amp;IF(INDEX(Accounts!$F$2:$F$21,MATCH($A417,Accounts!$B$2:$B$21,0))&amp;""="","(no PS)",INDEX(Accounts!$F$2:$F$21,MATCH($A417,Accounts!$B$2:$B$21,0))&amp;""),"")))),""))</f>
        <v/>
      </c>
      <c r="F417" s="42" t="s">
        <v>104</v>
      </c>
      <c r="I417" s="42" t="s">
        <v>34</v>
      </c>
      <c r="K417" s="44" t="str">
        <f t="shared" si="1"/>
        <v>Owner missing </v>
      </c>
    </row>
    <row r="418" ht="15.75" customHeight="1">
      <c r="E418" s="43" t="str">
        <f t="array" ref="E418">IF($A418="","",IFERROR(IF($D418="TSE",INDEX(Accounts!$G$2:$G$21,MATCH($A418,Accounts!$B$2:$B$21,0))&amp;"",IF($D418="PS",INDEX(Accounts!$F$2:$F$21,MATCH($A418,Accounts!$B$2:$B$21,0))&amp;"",IF($D418="Named engineer",INDEX(Accounts!$I$2:$I$21,MATCH($A418,Accounts!$B$2:$B$21,0))&amp;"",IF($D418="TSE + PS",IF(INDEX(Accounts!$G$2:$G$21,MATCH($A418,Accounts!$B$2:$B$21,0))&amp;""="","(no TSE)",INDEX(Accounts!$G$2:$G$21,MATCH($A418,Accounts!$B$2:$B$21,0))&amp;"")&amp;" / "&amp;IF(INDEX(Accounts!$F$2:$F$21,MATCH($A418,Accounts!$B$2:$B$21,0))&amp;""="","(no PS)",INDEX(Accounts!$F$2:$F$21,MATCH($A418,Accounts!$B$2:$B$21,0))&amp;""),"")))),""))</f>
        <v/>
      </c>
      <c r="F418" s="42" t="s">
        <v>104</v>
      </c>
      <c r="I418" s="42" t="s">
        <v>34</v>
      </c>
      <c r="K418" s="44" t="str">
        <f t="shared" si="1"/>
        <v>Owner missing </v>
      </c>
    </row>
    <row r="419" ht="15.75" customHeight="1">
      <c r="E419" s="43" t="str">
        <f t="array" ref="E419">IF($A419="","",IFERROR(IF($D419="TSE",INDEX(Accounts!$G$2:$G$21,MATCH($A419,Accounts!$B$2:$B$21,0))&amp;"",IF($D419="PS",INDEX(Accounts!$F$2:$F$21,MATCH($A419,Accounts!$B$2:$B$21,0))&amp;"",IF($D419="Named engineer",INDEX(Accounts!$I$2:$I$21,MATCH($A419,Accounts!$B$2:$B$21,0))&amp;"",IF($D419="TSE + PS",IF(INDEX(Accounts!$G$2:$G$21,MATCH($A419,Accounts!$B$2:$B$21,0))&amp;""="","(no TSE)",INDEX(Accounts!$G$2:$G$21,MATCH($A419,Accounts!$B$2:$B$21,0))&amp;"")&amp;" / "&amp;IF(INDEX(Accounts!$F$2:$F$21,MATCH($A419,Accounts!$B$2:$B$21,0))&amp;""="","(no PS)",INDEX(Accounts!$F$2:$F$21,MATCH($A419,Accounts!$B$2:$B$21,0))&amp;""),"")))),""))</f>
        <v/>
      </c>
      <c r="F419" s="42" t="s">
        <v>104</v>
      </c>
      <c r="I419" s="42" t="s">
        <v>34</v>
      </c>
      <c r="K419" s="44" t="str">
        <f t="shared" si="1"/>
        <v>Owner missing </v>
      </c>
    </row>
    <row r="420" ht="15.75" customHeight="1">
      <c r="E420" s="43" t="str">
        <f t="array" ref="E420">IF($A420="","",IFERROR(IF($D420="TSE",INDEX(Accounts!$G$2:$G$21,MATCH($A420,Accounts!$B$2:$B$21,0))&amp;"",IF($D420="PS",INDEX(Accounts!$F$2:$F$21,MATCH($A420,Accounts!$B$2:$B$21,0))&amp;"",IF($D420="Named engineer",INDEX(Accounts!$I$2:$I$21,MATCH($A420,Accounts!$B$2:$B$21,0))&amp;"",IF($D420="TSE + PS",IF(INDEX(Accounts!$G$2:$G$21,MATCH($A420,Accounts!$B$2:$B$21,0))&amp;""="","(no TSE)",INDEX(Accounts!$G$2:$G$21,MATCH($A420,Accounts!$B$2:$B$21,0))&amp;"")&amp;" / "&amp;IF(INDEX(Accounts!$F$2:$F$21,MATCH($A420,Accounts!$B$2:$B$21,0))&amp;""="","(no PS)",INDEX(Accounts!$F$2:$F$21,MATCH($A420,Accounts!$B$2:$B$21,0))&amp;""),"")))),""))</f>
        <v/>
      </c>
      <c r="F420" s="42" t="s">
        <v>104</v>
      </c>
      <c r="I420" s="42" t="s">
        <v>34</v>
      </c>
      <c r="K420" s="44" t="str">
        <f t="shared" si="1"/>
        <v>Owner missing </v>
      </c>
    </row>
    <row r="421" ht="15.75" customHeight="1">
      <c r="E421" s="43" t="str">
        <f t="array" ref="E421">IF($A421="","",IFERROR(IF($D421="TSE",INDEX(Accounts!$G$2:$G$21,MATCH($A421,Accounts!$B$2:$B$21,0))&amp;"",IF($D421="PS",INDEX(Accounts!$F$2:$F$21,MATCH($A421,Accounts!$B$2:$B$21,0))&amp;"",IF($D421="Named engineer",INDEX(Accounts!$I$2:$I$21,MATCH($A421,Accounts!$B$2:$B$21,0))&amp;"",IF($D421="TSE + PS",IF(INDEX(Accounts!$G$2:$G$21,MATCH($A421,Accounts!$B$2:$B$21,0))&amp;""="","(no TSE)",INDEX(Accounts!$G$2:$G$21,MATCH($A421,Accounts!$B$2:$B$21,0))&amp;"")&amp;" / "&amp;IF(INDEX(Accounts!$F$2:$F$21,MATCH($A421,Accounts!$B$2:$B$21,0))&amp;""="","(no PS)",INDEX(Accounts!$F$2:$F$21,MATCH($A421,Accounts!$B$2:$B$21,0))&amp;""),"")))),""))</f>
        <v/>
      </c>
      <c r="F421" s="42" t="s">
        <v>104</v>
      </c>
      <c r="I421" s="42" t="s">
        <v>34</v>
      </c>
      <c r="K421" s="44" t="str">
        <f t="shared" si="1"/>
        <v>Owner missing </v>
      </c>
    </row>
    <row r="422" ht="15.75" customHeight="1">
      <c r="E422" s="43" t="str">
        <f t="array" ref="E422">IF($A422="","",IFERROR(IF($D422="TSE",INDEX(Accounts!$G$2:$G$21,MATCH($A422,Accounts!$B$2:$B$21,0))&amp;"",IF($D422="PS",INDEX(Accounts!$F$2:$F$21,MATCH($A422,Accounts!$B$2:$B$21,0))&amp;"",IF($D422="Named engineer",INDEX(Accounts!$I$2:$I$21,MATCH($A422,Accounts!$B$2:$B$21,0))&amp;"",IF($D422="TSE + PS",IF(INDEX(Accounts!$G$2:$G$21,MATCH($A422,Accounts!$B$2:$B$21,0))&amp;""="","(no TSE)",INDEX(Accounts!$G$2:$G$21,MATCH($A422,Accounts!$B$2:$B$21,0))&amp;"")&amp;" / "&amp;IF(INDEX(Accounts!$F$2:$F$21,MATCH($A422,Accounts!$B$2:$B$21,0))&amp;""="","(no PS)",INDEX(Accounts!$F$2:$F$21,MATCH($A422,Accounts!$B$2:$B$21,0))&amp;""),"")))),""))</f>
        <v/>
      </c>
      <c r="F422" s="42" t="s">
        <v>104</v>
      </c>
      <c r="I422" s="42" t="s">
        <v>34</v>
      </c>
      <c r="K422" s="44" t="str">
        <f t="shared" si="1"/>
        <v>Owner missing </v>
      </c>
    </row>
    <row r="423" ht="15.75" customHeight="1">
      <c r="E423" s="43" t="str">
        <f t="array" ref="E423">IF($A423="","",IFERROR(IF($D423="TSE",INDEX(Accounts!$G$2:$G$21,MATCH($A423,Accounts!$B$2:$B$21,0))&amp;"",IF($D423="PS",INDEX(Accounts!$F$2:$F$21,MATCH($A423,Accounts!$B$2:$B$21,0))&amp;"",IF($D423="Named engineer",INDEX(Accounts!$I$2:$I$21,MATCH($A423,Accounts!$B$2:$B$21,0))&amp;"",IF($D423="TSE + PS",IF(INDEX(Accounts!$G$2:$G$21,MATCH($A423,Accounts!$B$2:$B$21,0))&amp;""="","(no TSE)",INDEX(Accounts!$G$2:$G$21,MATCH($A423,Accounts!$B$2:$B$21,0))&amp;"")&amp;" / "&amp;IF(INDEX(Accounts!$F$2:$F$21,MATCH($A423,Accounts!$B$2:$B$21,0))&amp;""="","(no PS)",INDEX(Accounts!$F$2:$F$21,MATCH($A423,Accounts!$B$2:$B$21,0))&amp;""),"")))),""))</f>
        <v/>
      </c>
      <c r="F423" s="42" t="s">
        <v>104</v>
      </c>
      <c r="I423" s="42" t="s">
        <v>34</v>
      </c>
      <c r="K423" s="44" t="str">
        <f t="shared" si="1"/>
        <v>Owner missing </v>
      </c>
    </row>
    <row r="424" ht="15.75" customHeight="1">
      <c r="E424" s="43" t="str">
        <f t="array" ref="E424">IF($A424="","",IFERROR(IF($D424="TSE",INDEX(Accounts!$G$2:$G$21,MATCH($A424,Accounts!$B$2:$B$21,0))&amp;"",IF($D424="PS",INDEX(Accounts!$F$2:$F$21,MATCH($A424,Accounts!$B$2:$B$21,0))&amp;"",IF($D424="Named engineer",INDEX(Accounts!$I$2:$I$21,MATCH($A424,Accounts!$B$2:$B$21,0))&amp;"",IF($D424="TSE + PS",IF(INDEX(Accounts!$G$2:$G$21,MATCH($A424,Accounts!$B$2:$B$21,0))&amp;""="","(no TSE)",INDEX(Accounts!$G$2:$G$21,MATCH($A424,Accounts!$B$2:$B$21,0))&amp;"")&amp;" / "&amp;IF(INDEX(Accounts!$F$2:$F$21,MATCH($A424,Accounts!$B$2:$B$21,0))&amp;""="","(no PS)",INDEX(Accounts!$F$2:$F$21,MATCH($A424,Accounts!$B$2:$B$21,0))&amp;""),"")))),""))</f>
        <v/>
      </c>
      <c r="F424" s="42" t="s">
        <v>104</v>
      </c>
      <c r="I424" s="42" t="s">
        <v>34</v>
      </c>
      <c r="K424" s="44" t="str">
        <f t="shared" si="1"/>
        <v>Owner missing </v>
      </c>
    </row>
    <row r="425" ht="15.75" customHeight="1">
      <c r="E425" s="43" t="str">
        <f t="array" ref="E425">IF($A425="","",IFERROR(IF($D425="TSE",INDEX(Accounts!$G$2:$G$21,MATCH($A425,Accounts!$B$2:$B$21,0))&amp;"",IF($D425="PS",INDEX(Accounts!$F$2:$F$21,MATCH($A425,Accounts!$B$2:$B$21,0))&amp;"",IF($D425="Named engineer",INDEX(Accounts!$I$2:$I$21,MATCH($A425,Accounts!$B$2:$B$21,0))&amp;"",IF($D425="TSE + PS",IF(INDEX(Accounts!$G$2:$G$21,MATCH($A425,Accounts!$B$2:$B$21,0))&amp;""="","(no TSE)",INDEX(Accounts!$G$2:$G$21,MATCH($A425,Accounts!$B$2:$B$21,0))&amp;"")&amp;" / "&amp;IF(INDEX(Accounts!$F$2:$F$21,MATCH($A425,Accounts!$B$2:$B$21,0))&amp;""="","(no PS)",INDEX(Accounts!$F$2:$F$21,MATCH($A425,Accounts!$B$2:$B$21,0))&amp;""),"")))),""))</f>
        <v/>
      </c>
      <c r="F425" s="42" t="s">
        <v>104</v>
      </c>
      <c r="I425" s="42" t="s">
        <v>34</v>
      </c>
      <c r="K425" s="44" t="str">
        <f t="shared" si="1"/>
        <v>Owner missing </v>
      </c>
    </row>
    <row r="426" ht="15.75" customHeight="1">
      <c r="E426" s="43" t="str">
        <f t="array" ref="E426">IF($A426="","",IFERROR(IF($D426="TSE",INDEX(Accounts!$G$2:$G$21,MATCH($A426,Accounts!$B$2:$B$21,0))&amp;"",IF($D426="PS",INDEX(Accounts!$F$2:$F$21,MATCH($A426,Accounts!$B$2:$B$21,0))&amp;"",IF($D426="Named engineer",INDEX(Accounts!$I$2:$I$21,MATCH($A426,Accounts!$B$2:$B$21,0))&amp;"",IF($D426="TSE + PS",IF(INDEX(Accounts!$G$2:$G$21,MATCH($A426,Accounts!$B$2:$B$21,0))&amp;""="","(no TSE)",INDEX(Accounts!$G$2:$G$21,MATCH($A426,Accounts!$B$2:$B$21,0))&amp;"")&amp;" / "&amp;IF(INDEX(Accounts!$F$2:$F$21,MATCH($A426,Accounts!$B$2:$B$21,0))&amp;""="","(no PS)",INDEX(Accounts!$F$2:$F$21,MATCH($A426,Accounts!$B$2:$B$21,0))&amp;""),"")))),""))</f>
        <v/>
      </c>
      <c r="F426" s="42" t="s">
        <v>104</v>
      </c>
      <c r="I426" s="42" t="s">
        <v>34</v>
      </c>
      <c r="K426" s="44" t="str">
        <f t="shared" si="1"/>
        <v>Owner missing </v>
      </c>
    </row>
    <row r="427" ht="15.75" customHeight="1">
      <c r="E427" s="43" t="str">
        <f t="array" ref="E427">IF($A427="","",IFERROR(IF($D427="TSE",INDEX(Accounts!$G$2:$G$21,MATCH($A427,Accounts!$B$2:$B$21,0))&amp;"",IF($D427="PS",INDEX(Accounts!$F$2:$F$21,MATCH($A427,Accounts!$B$2:$B$21,0))&amp;"",IF($D427="Named engineer",INDEX(Accounts!$I$2:$I$21,MATCH($A427,Accounts!$B$2:$B$21,0))&amp;"",IF($D427="TSE + PS",IF(INDEX(Accounts!$G$2:$G$21,MATCH($A427,Accounts!$B$2:$B$21,0))&amp;""="","(no TSE)",INDEX(Accounts!$G$2:$G$21,MATCH($A427,Accounts!$B$2:$B$21,0))&amp;"")&amp;" / "&amp;IF(INDEX(Accounts!$F$2:$F$21,MATCH($A427,Accounts!$B$2:$B$21,0))&amp;""="","(no PS)",INDEX(Accounts!$F$2:$F$21,MATCH($A427,Accounts!$B$2:$B$21,0))&amp;""),"")))),""))</f>
        <v/>
      </c>
      <c r="F427" s="42" t="s">
        <v>104</v>
      </c>
      <c r="I427" s="42" t="s">
        <v>34</v>
      </c>
      <c r="K427" s="44" t="str">
        <f t="shared" si="1"/>
        <v>Owner missing </v>
      </c>
    </row>
    <row r="428" ht="15.75" customHeight="1">
      <c r="E428" s="43" t="str">
        <f t="array" ref="E428">IF($A428="","",IFERROR(IF($D428="TSE",INDEX(Accounts!$G$2:$G$21,MATCH($A428,Accounts!$B$2:$B$21,0))&amp;"",IF($D428="PS",INDEX(Accounts!$F$2:$F$21,MATCH($A428,Accounts!$B$2:$B$21,0))&amp;"",IF($D428="Named engineer",INDEX(Accounts!$I$2:$I$21,MATCH($A428,Accounts!$B$2:$B$21,0))&amp;"",IF($D428="TSE + PS",IF(INDEX(Accounts!$G$2:$G$21,MATCH($A428,Accounts!$B$2:$B$21,0))&amp;""="","(no TSE)",INDEX(Accounts!$G$2:$G$21,MATCH($A428,Accounts!$B$2:$B$21,0))&amp;"")&amp;" / "&amp;IF(INDEX(Accounts!$F$2:$F$21,MATCH($A428,Accounts!$B$2:$B$21,0))&amp;""="","(no PS)",INDEX(Accounts!$F$2:$F$21,MATCH($A428,Accounts!$B$2:$B$21,0))&amp;""),"")))),""))</f>
        <v/>
      </c>
      <c r="F428" s="42" t="s">
        <v>104</v>
      </c>
      <c r="I428" s="42" t="s">
        <v>34</v>
      </c>
      <c r="K428" s="44" t="str">
        <f t="shared" si="1"/>
        <v>Owner missing </v>
      </c>
    </row>
    <row r="429" ht="15.75" customHeight="1">
      <c r="E429" s="43" t="str">
        <f t="array" ref="E429">IF($A429="","",IFERROR(IF($D429="TSE",INDEX(Accounts!$G$2:$G$21,MATCH($A429,Accounts!$B$2:$B$21,0))&amp;"",IF($D429="PS",INDEX(Accounts!$F$2:$F$21,MATCH($A429,Accounts!$B$2:$B$21,0))&amp;"",IF($D429="Named engineer",INDEX(Accounts!$I$2:$I$21,MATCH($A429,Accounts!$B$2:$B$21,0))&amp;"",IF($D429="TSE + PS",IF(INDEX(Accounts!$G$2:$G$21,MATCH($A429,Accounts!$B$2:$B$21,0))&amp;""="","(no TSE)",INDEX(Accounts!$G$2:$G$21,MATCH($A429,Accounts!$B$2:$B$21,0))&amp;"")&amp;" / "&amp;IF(INDEX(Accounts!$F$2:$F$21,MATCH($A429,Accounts!$B$2:$B$21,0))&amp;""="","(no PS)",INDEX(Accounts!$F$2:$F$21,MATCH($A429,Accounts!$B$2:$B$21,0))&amp;""),"")))),""))</f>
        <v/>
      </c>
      <c r="F429" s="42" t="s">
        <v>104</v>
      </c>
      <c r="I429" s="42" t="s">
        <v>34</v>
      </c>
      <c r="K429" s="44" t="str">
        <f t="shared" si="1"/>
        <v>Owner missing </v>
      </c>
    </row>
    <row r="430" ht="15.75" customHeight="1">
      <c r="E430" s="43" t="str">
        <f t="array" ref="E430">IF($A430="","",IFERROR(IF($D430="TSE",INDEX(Accounts!$G$2:$G$21,MATCH($A430,Accounts!$B$2:$B$21,0))&amp;"",IF($D430="PS",INDEX(Accounts!$F$2:$F$21,MATCH($A430,Accounts!$B$2:$B$21,0))&amp;"",IF($D430="Named engineer",INDEX(Accounts!$I$2:$I$21,MATCH($A430,Accounts!$B$2:$B$21,0))&amp;"",IF($D430="TSE + PS",IF(INDEX(Accounts!$G$2:$G$21,MATCH($A430,Accounts!$B$2:$B$21,0))&amp;""="","(no TSE)",INDEX(Accounts!$G$2:$G$21,MATCH($A430,Accounts!$B$2:$B$21,0))&amp;"")&amp;" / "&amp;IF(INDEX(Accounts!$F$2:$F$21,MATCH($A430,Accounts!$B$2:$B$21,0))&amp;""="","(no PS)",INDEX(Accounts!$F$2:$F$21,MATCH($A430,Accounts!$B$2:$B$21,0))&amp;""),"")))),""))</f>
        <v/>
      </c>
      <c r="F430" s="42" t="s">
        <v>104</v>
      </c>
      <c r="I430" s="42" t="s">
        <v>34</v>
      </c>
      <c r="K430" s="44" t="str">
        <f t="shared" si="1"/>
        <v>Owner missing </v>
      </c>
    </row>
    <row r="431" ht="15.75" customHeight="1">
      <c r="E431" s="43" t="str">
        <f t="array" ref="E431">IF($A431="","",IFERROR(IF($D431="TSE",INDEX(Accounts!$G$2:$G$21,MATCH($A431,Accounts!$B$2:$B$21,0))&amp;"",IF($D431="PS",INDEX(Accounts!$F$2:$F$21,MATCH($A431,Accounts!$B$2:$B$21,0))&amp;"",IF($D431="Named engineer",INDEX(Accounts!$I$2:$I$21,MATCH($A431,Accounts!$B$2:$B$21,0))&amp;"",IF($D431="TSE + PS",IF(INDEX(Accounts!$G$2:$G$21,MATCH($A431,Accounts!$B$2:$B$21,0))&amp;""="","(no TSE)",INDEX(Accounts!$G$2:$G$21,MATCH($A431,Accounts!$B$2:$B$21,0))&amp;"")&amp;" / "&amp;IF(INDEX(Accounts!$F$2:$F$21,MATCH($A431,Accounts!$B$2:$B$21,0))&amp;""="","(no PS)",INDEX(Accounts!$F$2:$F$21,MATCH($A431,Accounts!$B$2:$B$21,0))&amp;""),"")))),""))</f>
        <v/>
      </c>
      <c r="F431" s="42" t="s">
        <v>104</v>
      </c>
      <c r="I431" s="42" t="s">
        <v>34</v>
      </c>
      <c r="K431" s="44" t="str">
        <f t="shared" si="1"/>
        <v>Owner missing </v>
      </c>
    </row>
    <row r="432" ht="15.75" customHeight="1">
      <c r="E432" s="43" t="str">
        <f t="array" ref="E432">IF($A432="","",IFERROR(IF($D432="TSE",INDEX(Accounts!$G$2:$G$21,MATCH($A432,Accounts!$B$2:$B$21,0))&amp;"",IF($D432="PS",INDEX(Accounts!$F$2:$F$21,MATCH($A432,Accounts!$B$2:$B$21,0))&amp;"",IF($D432="Named engineer",INDEX(Accounts!$I$2:$I$21,MATCH($A432,Accounts!$B$2:$B$21,0))&amp;"",IF($D432="TSE + PS",IF(INDEX(Accounts!$G$2:$G$21,MATCH($A432,Accounts!$B$2:$B$21,0))&amp;""="","(no TSE)",INDEX(Accounts!$G$2:$G$21,MATCH($A432,Accounts!$B$2:$B$21,0))&amp;"")&amp;" / "&amp;IF(INDEX(Accounts!$F$2:$F$21,MATCH($A432,Accounts!$B$2:$B$21,0))&amp;""="","(no PS)",INDEX(Accounts!$F$2:$F$21,MATCH($A432,Accounts!$B$2:$B$21,0))&amp;""),"")))),""))</f>
        <v/>
      </c>
      <c r="F432" s="42" t="s">
        <v>104</v>
      </c>
      <c r="I432" s="42" t="s">
        <v>34</v>
      </c>
      <c r="K432" s="44" t="str">
        <f t="shared" si="1"/>
        <v>Owner missing </v>
      </c>
    </row>
    <row r="433" ht="15.75" customHeight="1">
      <c r="E433" s="43" t="str">
        <f t="array" ref="E433">IF($A433="","",IFERROR(IF($D433="TSE",INDEX(Accounts!$G$2:$G$21,MATCH($A433,Accounts!$B$2:$B$21,0))&amp;"",IF($D433="PS",INDEX(Accounts!$F$2:$F$21,MATCH($A433,Accounts!$B$2:$B$21,0))&amp;"",IF($D433="Named engineer",INDEX(Accounts!$I$2:$I$21,MATCH($A433,Accounts!$B$2:$B$21,0))&amp;"",IF($D433="TSE + PS",IF(INDEX(Accounts!$G$2:$G$21,MATCH($A433,Accounts!$B$2:$B$21,0))&amp;""="","(no TSE)",INDEX(Accounts!$G$2:$G$21,MATCH($A433,Accounts!$B$2:$B$21,0))&amp;"")&amp;" / "&amp;IF(INDEX(Accounts!$F$2:$F$21,MATCH($A433,Accounts!$B$2:$B$21,0))&amp;""="","(no PS)",INDEX(Accounts!$F$2:$F$21,MATCH($A433,Accounts!$B$2:$B$21,0))&amp;""),"")))),""))</f>
        <v/>
      </c>
      <c r="F433" s="42" t="s">
        <v>104</v>
      </c>
      <c r="I433" s="42" t="s">
        <v>34</v>
      </c>
      <c r="K433" s="44" t="str">
        <f t="shared" si="1"/>
        <v>Owner missing </v>
      </c>
    </row>
    <row r="434" ht="15.75" customHeight="1">
      <c r="E434" s="43" t="str">
        <f t="array" ref="E434">IF($A434="","",IFERROR(IF($D434="TSE",INDEX(Accounts!$G$2:$G$21,MATCH($A434,Accounts!$B$2:$B$21,0))&amp;"",IF($D434="PS",INDEX(Accounts!$F$2:$F$21,MATCH($A434,Accounts!$B$2:$B$21,0))&amp;"",IF($D434="Named engineer",INDEX(Accounts!$I$2:$I$21,MATCH($A434,Accounts!$B$2:$B$21,0))&amp;"",IF($D434="TSE + PS",IF(INDEX(Accounts!$G$2:$G$21,MATCH($A434,Accounts!$B$2:$B$21,0))&amp;""="","(no TSE)",INDEX(Accounts!$G$2:$G$21,MATCH($A434,Accounts!$B$2:$B$21,0))&amp;"")&amp;" / "&amp;IF(INDEX(Accounts!$F$2:$F$21,MATCH($A434,Accounts!$B$2:$B$21,0))&amp;""="","(no PS)",INDEX(Accounts!$F$2:$F$21,MATCH($A434,Accounts!$B$2:$B$21,0))&amp;""),"")))),""))</f>
        <v/>
      </c>
      <c r="F434" s="42" t="s">
        <v>104</v>
      </c>
      <c r="I434" s="42" t="s">
        <v>34</v>
      </c>
      <c r="K434" s="44" t="str">
        <f t="shared" si="1"/>
        <v>Owner missing </v>
      </c>
    </row>
    <row r="435" ht="15.75" customHeight="1">
      <c r="E435" s="43" t="str">
        <f t="array" ref="E435">IF($A435="","",IFERROR(IF($D435="TSE",INDEX(Accounts!$G$2:$G$21,MATCH($A435,Accounts!$B$2:$B$21,0))&amp;"",IF($D435="PS",INDEX(Accounts!$F$2:$F$21,MATCH($A435,Accounts!$B$2:$B$21,0))&amp;"",IF($D435="Named engineer",INDEX(Accounts!$I$2:$I$21,MATCH($A435,Accounts!$B$2:$B$21,0))&amp;"",IF($D435="TSE + PS",IF(INDEX(Accounts!$G$2:$G$21,MATCH($A435,Accounts!$B$2:$B$21,0))&amp;""="","(no TSE)",INDEX(Accounts!$G$2:$G$21,MATCH($A435,Accounts!$B$2:$B$21,0))&amp;"")&amp;" / "&amp;IF(INDEX(Accounts!$F$2:$F$21,MATCH($A435,Accounts!$B$2:$B$21,0))&amp;""="","(no PS)",INDEX(Accounts!$F$2:$F$21,MATCH($A435,Accounts!$B$2:$B$21,0))&amp;""),"")))),""))</f>
        <v/>
      </c>
      <c r="F435" s="42" t="s">
        <v>104</v>
      </c>
      <c r="I435" s="42" t="s">
        <v>34</v>
      </c>
      <c r="K435" s="44" t="str">
        <f t="shared" si="1"/>
        <v>Owner missing </v>
      </c>
    </row>
    <row r="436" ht="15.75" customHeight="1">
      <c r="E436" s="43" t="str">
        <f t="array" ref="E436">IF($A436="","",IFERROR(IF($D436="TSE",INDEX(Accounts!$G$2:$G$21,MATCH($A436,Accounts!$B$2:$B$21,0))&amp;"",IF($D436="PS",INDEX(Accounts!$F$2:$F$21,MATCH($A436,Accounts!$B$2:$B$21,0))&amp;"",IF($D436="Named engineer",INDEX(Accounts!$I$2:$I$21,MATCH($A436,Accounts!$B$2:$B$21,0))&amp;"",IF($D436="TSE + PS",IF(INDEX(Accounts!$G$2:$G$21,MATCH($A436,Accounts!$B$2:$B$21,0))&amp;""="","(no TSE)",INDEX(Accounts!$G$2:$G$21,MATCH($A436,Accounts!$B$2:$B$21,0))&amp;"")&amp;" / "&amp;IF(INDEX(Accounts!$F$2:$F$21,MATCH($A436,Accounts!$B$2:$B$21,0))&amp;""="","(no PS)",INDEX(Accounts!$F$2:$F$21,MATCH($A436,Accounts!$B$2:$B$21,0))&amp;""),"")))),""))</f>
        <v/>
      </c>
      <c r="F436" s="42" t="s">
        <v>104</v>
      </c>
      <c r="I436" s="42" t="s">
        <v>34</v>
      </c>
      <c r="K436" s="44" t="str">
        <f t="shared" si="1"/>
        <v>Owner missing </v>
      </c>
    </row>
    <row r="437" ht="15.75" customHeight="1">
      <c r="E437" s="43" t="str">
        <f t="array" ref="E437">IF($A437="","",IFERROR(IF($D437="TSE",INDEX(Accounts!$G$2:$G$21,MATCH($A437,Accounts!$B$2:$B$21,0))&amp;"",IF($D437="PS",INDEX(Accounts!$F$2:$F$21,MATCH($A437,Accounts!$B$2:$B$21,0))&amp;"",IF($D437="Named engineer",INDEX(Accounts!$I$2:$I$21,MATCH($A437,Accounts!$B$2:$B$21,0))&amp;"",IF($D437="TSE + PS",IF(INDEX(Accounts!$G$2:$G$21,MATCH($A437,Accounts!$B$2:$B$21,0))&amp;""="","(no TSE)",INDEX(Accounts!$G$2:$G$21,MATCH($A437,Accounts!$B$2:$B$21,0))&amp;"")&amp;" / "&amp;IF(INDEX(Accounts!$F$2:$F$21,MATCH($A437,Accounts!$B$2:$B$21,0))&amp;""="","(no PS)",INDEX(Accounts!$F$2:$F$21,MATCH($A437,Accounts!$B$2:$B$21,0))&amp;""),"")))),""))</f>
        <v/>
      </c>
      <c r="F437" s="42" t="s">
        <v>104</v>
      </c>
      <c r="I437" s="42" t="s">
        <v>34</v>
      </c>
      <c r="K437" s="44" t="str">
        <f t="shared" si="1"/>
        <v>Owner missing </v>
      </c>
    </row>
    <row r="438" ht="15.75" customHeight="1">
      <c r="E438" s="43" t="str">
        <f t="array" ref="E438">IF($A438="","",IFERROR(IF($D438="TSE",INDEX(Accounts!$G$2:$G$21,MATCH($A438,Accounts!$B$2:$B$21,0))&amp;"",IF($D438="PS",INDEX(Accounts!$F$2:$F$21,MATCH($A438,Accounts!$B$2:$B$21,0))&amp;"",IF($D438="Named engineer",INDEX(Accounts!$I$2:$I$21,MATCH($A438,Accounts!$B$2:$B$21,0))&amp;"",IF($D438="TSE + PS",IF(INDEX(Accounts!$G$2:$G$21,MATCH($A438,Accounts!$B$2:$B$21,0))&amp;""="","(no TSE)",INDEX(Accounts!$G$2:$G$21,MATCH($A438,Accounts!$B$2:$B$21,0))&amp;"")&amp;" / "&amp;IF(INDEX(Accounts!$F$2:$F$21,MATCH($A438,Accounts!$B$2:$B$21,0))&amp;""="","(no PS)",INDEX(Accounts!$F$2:$F$21,MATCH($A438,Accounts!$B$2:$B$21,0))&amp;""),"")))),""))</f>
        <v/>
      </c>
      <c r="F438" s="42" t="s">
        <v>104</v>
      </c>
      <c r="I438" s="42" t="s">
        <v>34</v>
      </c>
      <c r="K438" s="44" t="str">
        <f t="shared" si="1"/>
        <v>Owner missing </v>
      </c>
    </row>
    <row r="439" ht="15.75" customHeight="1">
      <c r="E439" s="43" t="str">
        <f t="array" ref="E439">IF($A439="","",IFERROR(IF($D439="TSE",INDEX(Accounts!$G$2:$G$21,MATCH($A439,Accounts!$B$2:$B$21,0))&amp;"",IF($D439="PS",INDEX(Accounts!$F$2:$F$21,MATCH($A439,Accounts!$B$2:$B$21,0))&amp;"",IF($D439="Named engineer",INDEX(Accounts!$I$2:$I$21,MATCH($A439,Accounts!$B$2:$B$21,0))&amp;"",IF($D439="TSE + PS",IF(INDEX(Accounts!$G$2:$G$21,MATCH($A439,Accounts!$B$2:$B$21,0))&amp;""="","(no TSE)",INDEX(Accounts!$G$2:$G$21,MATCH($A439,Accounts!$B$2:$B$21,0))&amp;"")&amp;" / "&amp;IF(INDEX(Accounts!$F$2:$F$21,MATCH($A439,Accounts!$B$2:$B$21,0))&amp;""="","(no PS)",INDEX(Accounts!$F$2:$F$21,MATCH($A439,Accounts!$B$2:$B$21,0))&amp;""),"")))),""))</f>
        <v/>
      </c>
      <c r="F439" s="42" t="s">
        <v>104</v>
      </c>
      <c r="I439" s="42" t="s">
        <v>34</v>
      </c>
      <c r="K439" s="44" t="str">
        <f t="shared" si="1"/>
        <v>Owner missing </v>
      </c>
    </row>
    <row r="440" ht="15.75" customHeight="1">
      <c r="E440" s="43" t="str">
        <f t="array" ref="E440">IF($A440="","",IFERROR(IF($D440="TSE",INDEX(Accounts!$G$2:$G$21,MATCH($A440,Accounts!$B$2:$B$21,0))&amp;"",IF($D440="PS",INDEX(Accounts!$F$2:$F$21,MATCH($A440,Accounts!$B$2:$B$21,0))&amp;"",IF($D440="Named engineer",INDEX(Accounts!$I$2:$I$21,MATCH($A440,Accounts!$B$2:$B$21,0))&amp;"",IF($D440="TSE + PS",IF(INDEX(Accounts!$G$2:$G$21,MATCH($A440,Accounts!$B$2:$B$21,0))&amp;""="","(no TSE)",INDEX(Accounts!$G$2:$G$21,MATCH($A440,Accounts!$B$2:$B$21,0))&amp;"")&amp;" / "&amp;IF(INDEX(Accounts!$F$2:$F$21,MATCH($A440,Accounts!$B$2:$B$21,0))&amp;""="","(no PS)",INDEX(Accounts!$F$2:$F$21,MATCH($A440,Accounts!$B$2:$B$21,0))&amp;""),"")))),""))</f>
        <v/>
      </c>
      <c r="F440" s="42" t="s">
        <v>104</v>
      </c>
      <c r="I440" s="42" t="s">
        <v>34</v>
      </c>
      <c r="K440" s="44" t="str">
        <f t="shared" si="1"/>
        <v>Owner missing </v>
      </c>
    </row>
    <row r="441" ht="15.75" customHeight="1">
      <c r="E441" s="43" t="str">
        <f t="array" ref="E441">IF($A441="","",IFERROR(IF($D441="TSE",INDEX(Accounts!$G$2:$G$21,MATCH($A441,Accounts!$B$2:$B$21,0))&amp;"",IF($D441="PS",INDEX(Accounts!$F$2:$F$21,MATCH($A441,Accounts!$B$2:$B$21,0))&amp;"",IF($D441="Named engineer",INDEX(Accounts!$I$2:$I$21,MATCH($A441,Accounts!$B$2:$B$21,0))&amp;"",IF($D441="TSE + PS",IF(INDEX(Accounts!$G$2:$G$21,MATCH($A441,Accounts!$B$2:$B$21,0))&amp;""="","(no TSE)",INDEX(Accounts!$G$2:$G$21,MATCH($A441,Accounts!$B$2:$B$21,0))&amp;"")&amp;" / "&amp;IF(INDEX(Accounts!$F$2:$F$21,MATCH($A441,Accounts!$B$2:$B$21,0))&amp;""="","(no PS)",INDEX(Accounts!$F$2:$F$21,MATCH($A441,Accounts!$B$2:$B$21,0))&amp;""),"")))),""))</f>
        <v/>
      </c>
      <c r="F441" s="42" t="s">
        <v>104</v>
      </c>
      <c r="I441" s="42" t="s">
        <v>34</v>
      </c>
      <c r="K441" s="44" t="str">
        <f t="shared" si="1"/>
        <v>Owner missing </v>
      </c>
    </row>
    <row r="442" ht="15.75" customHeight="1">
      <c r="E442" s="43" t="str">
        <f t="array" ref="E442">IF($A442="","",IFERROR(IF($D442="TSE",INDEX(Accounts!$G$2:$G$21,MATCH($A442,Accounts!$B$2:$B$21,0))&amp;"",IF($D442="PS",INDEX(Accounts!$F$2:$F$21,MATCH($A442,Accounts!$B$2:$B$21,0))&amp;"",IF($D442="Named engineer",INDEX(Accounts!$I$2:$I$21,MATCH($A442,Accounts!$B$2:$B$21,0))&amp;"",IF($D442="TSE + PS",IF(INDEX(Accounts!$G$2:$G$21,MATCH($A442,Accounts!$B$2:$B$21,0))&amp;""="","(no TSE)",INDEX(Accounts!$G$2:$G$21,MATCH($A442,Accounts!$B$2:$B$21,0))&amp;"")&amp;" / "&amp;IF(INDEX(Accounts!$F$2:$F$21,MATCH($A442,Accounts!$B$2:$B$21,0))&amp;""="","(no PS)",INDEX(Accounts!$F$2:$F$21,MATCH($A442,Accounts!$B$2:$B$21,0))&amp;""),"")))),""))</f>
        <v/>
      </c>
      <c r="F442" s="42" t="s">
        <v>104</v>
      </c>
      <c r="I442" s="42" t="s">
        <v>34</v>
      </c>
      <c r="K442" s="44" t="str">
        <f t="shared" si="1"/>
        <v>Owner missing </v>
      </c>
    </row>
    <row r="443" ht="15.75" customHeight="1">
      <c r="E443" s="43" t="str">
        <f t="array" ref="E443">IF($A443="","",IFERROR(IF($D443="TSE",INDEX(Accounts!$G$2:$G$21,MATCH($A443,Accounts!$B$2:$B$21,0))&amp;"",IF($D443="PS",INDEX(Accounts!$F$2:$F$21,MATCH($A443,Accounts!$B$2:$B$21,0))&amp;"",IF($D443="Named engineer",INDEX(Accounts!$I$2:$I$21,MATCH($A443,Accounts!$B$2:$B$21,0))&amp;"",IF($D443="TSE + PS",IF(INDEX(Accounts!$G$2:$G$21,MATCH($A443,Accounts!$B$2:$B$21,0))&amp;""="","(no TSE)",INDEX(Accounts!$G$2:$G$21,MATCH($A443,Accounts!$B$2:$B$21,0))&amp;"")&amp;" / "&amp;IF(INDEX(Accounts!$F$2:$F$21,MATCH($A443,Accounts!$B$2:$B$21,0))&amp;""="","(no PS)",INDEX(Accounts!$F$2:$F$21,MATCH($A443,Accounts!$B$2:$B$21,0))&amp;""),"")))),""))</f>
        <v/>
      </c>
      <c r="F443" s="42" t="s">
        <v>104</v>
      </c>
      <c r="I443" s="42" t="s">
        <v>34</v>
      </c>
      <c r="K443" s="44" t="str">
        <f t="shared" si="1"/>
        <v>Owner missing </v>
      </c>
    </row>
    <row r="444" ht="15.75" customHeight="1">
      <c r="E444" s="43" t="str">
        <f t="array" ref="E444">IF($A444="","",IFERROR(IF($D444="TSE",INDEX(Accounts!$G$2:$G$21,MATCH($A444,Accounts!$B$2:$B$21,0))&amp;"",IF($D444="PS",INDEX(Accounts!$F$2:$F$21,MATCH($A444,Accounts!$B$2:$B$21,0))&amp;"",IF($D444="Named engineer",INDEX(Accounts!$I$2:$I$21,MATCH($A444,Accounts!$B$2:$B$21,0))&amp;"",IF($D444="TSE + PS",IF(INDEX(Accounts!$G$2:$G$21,MATCH($A444,Accounts!$B$2:$B$21,0))&amp;""="","(no TSE)",INDEX(Accounts!$G$2:$G$21,MATCH($A444,Accounts!$B$2:$B$21,0))&amp;"")&amp;" / "&amp;IF(INDEX(Accounts!$F$2:$F$21,MATCH($A444,Accounts!$B$2:$B$21,0))&amp;""="","(no PS)",INDEX(Accounts!$F$2:$F$21,MATCH($A444,Accounts!$B$2:$B$21,0))&amp;""),"")))),""))</f>
        <v/>
      </c>
      <c r="F444" s="42" t="s">
        <v>104</v>
      </c>
      <c r="I444" s="42" t="s">
        <v>34</v>
      </c>
      <c r="K444" s="44" t="str">
        <f t="shared" si="1"/>
        <v>Owner missing </v>
      </c>
    </row>
    <row r="445" ht="15.75" customHeight="1">
      <c r="E445" s="43" t="str">
        <f t="array" ref="E445">IF($A445="","",IFERROR(IF($D445="TSE",INDEX(Accounts!$G$2:$G$21,MATCH($A445,Accounts!$B$2:$B$21,0))&amp;"",IF($D445="PS",INDEX(Accounts!$F$2:$F$21,MATCH($A445,Accounts!$B$2:$B$21,0))&amp;"",IF($D445="Named engineer",INDEX(Accounts!$I$2:$I$21,MATCH($A445,Accounts!$B$2:$B$21,0))&amp;"",IF($D445="TSE + PS",IF(INDEX(Accounts!$G$2:$G$21,MATCH($A445,Accounts!$B$2:$B$21,0))&amp;""="","(no TSE)",INDEX(Accounts!$G$2:$G$21,MATCH($A445,Accounts!$B$2:$B$21,0))&amp;"")&amp;" / "&amp;IF(INDEX(Accounts!$F$2:$F$21,MATCH($A445,Accounts!$B$2:$B$21,0))&amp;""="","(no PS)",INDEX(Accounts!$F$2:$F$21,MATCH($A445,Accounts!$B$2:$B$21,0))&amp;""),"")))),""))</f>
        <v/>
      </c>
      <c r="F445" s="42" t="s">
        <v>104</v>
      </c>
      <c r="I445" s="42" t="s">
        <v>34</v>
      </c>
      <c r="K445" s="44" t="str">
        <f t="shared" si="1"/>
        <v>Owner missing </v>
      </c>
    </row>
    <row r="446" ht="15.75" customHeight="1">
      <c r="E446" s="43" t="str">
        <f t="array" ref="E446">IF($A446="","",IFERROR(IF($D446="TSE",INDEX(Accounts!$G$2:$G$21,MATCH($A446,Accounts!$B$2:$B$21,0))&amp;"",IF($D446="PS",INDEX(Accounts!$F$2:$F$21,MATCH($A446,Accounts!$B$2:$B$21,0))&amp;"",IF($D446="Named engineer",INDEX(Accounts!$I$2:$I$21,MATCH($A446,Accounts!$B$2:$B$21,0))&amp;"",IF($D446="TSE + PS",IF(INDEX(Accounts!$G$2:$G$21,MATCH($A446,Accounts!$B$2:$B$21,0))&amp;""="","(no TSE)",INDEX(Accounts!$G$2:$G$21,MATCH($A446,Accounts!$B$2:$B$21,0))&amp;"")&amp;" / "&amp;IF(INDEX(Accounts!$F$2:$F$21,MATCH($A446,Accounts!$B$2:$B$21,0))&amp;""="","(no PS)",INDEX(Accounts!$F$2:$F$21,MATCH($A446,Accounts!$B$2:$B$21,0))&amp;""),"")))),""))</f>
        <v/>
      </c>
      <c r="F446" s="42" t="s">
        <v>104</v>
      </c>
      <c r="I446" s="42" t="s">
        <v>34</v>
      </c>
      <c r="K446" s="44" t="str">
        <f t="shared" si="1"/>
        <v>Owner missing </v>
      </c>
    </row>
    <row r="447" ht="15.75" customHeight="1">
      <c r="E447" s="43" t="str">
        <f t="array" ref="E447">IF($A447="","",IFERROR(IF($D447="TSE",INDEX(Accounts!$G$2:$G$21,MATCH($A447,Accounts!$B$2:$B$21,0))&amp;"",IF($D447="PS",INDEX(Accounts!$F$2:$F$21,MATCH($A447,Accounts!$B$2:$B$21,0))&amp;"",IF($D447="Named engineer",INDEX(Accounts!$I$2:$I$21,MATCH($A447,Accounts!$B$2:$B$21,0))&amp;"",IF($D447="TSE + PS",IF(INDEX(Accounts!$G$2:$G$21,MATCH($A447,Accounts!$B$2:$B$21,0))&amp;""="","(no TSE)",INDEX(Accounts!$G$2:$G$21,MATCH($A447,Accounts!$B$2:$B$21,0))&amp;"")&amp;" / "&amp;IF(INDEX(Accounts!$F$2:$F$21,MATCH($A447,Accounts!$B$2:$B$21,0))&amp;""="","(no PS)",INDEX(Accounts!$F$2:$F$21,MATCH($A447,Accounts!$B$2:$B$21,0))&amp;""),"")))),""))</f>
        <v/>
      </c>
      <c r="F447" s="42" t="s">
        <v>104</v>
      </c>
      <c r="I447" s="42" t="s">
        <v>34</v>
      </c>
      <c r="K447" s="44" t="str">
        <f t="shared" si="1"/>
        <v>Owner missing </v>
      </c>
    </row>
    <row r="448" ht="15.75" customHeight="1">
      <c r="E448" s="43" t="str">
        <f t="array" ref="E448">IF($A448="","",IFERROR(IF($D448="TSE",INDEX(Accounts!$G$2:$G$21,MATCH($A448,Accounts!$B$2:$B$21,0))&amp;"",IF($D448="PS",INDEX(Accounts!$F$2:$F$21,MATCH($A448,Accounts!$B$2:$B$21,0))&amp;"",IF($D448="Named engineer",INDEX(Accounts!$I$2:$I$21,MATCH($A448,Accounts!$B$2:$B$21,0))&amp;"",IF($D448="TSE + PS",IF(INDEX(Accounts!$G$2:$G$21,MATCH($A448,Accounts!$B$2:$B$21,0))&amp;""="","(no TSE)",INDEX(Accounts!$G$2:$G$21,MATCH($A448,Accounts!$B$2:$B$21,0))&amp;"")&amp;" / "&amp;IF(INDEX(Accounts!$F$2:$F$21,MATCH($A448,Accounts!$B$2:$B$21,0))&amp;""="","(no PS)",INDEX(Accounts!$F$2:$F$21,MATCH($A448,Accounts!$B$2:$B$21,0))&amp;""),"")))),""))</f>
        <v/>
      </c>
      <c r="F448" s="42" t="s">
        <v>104</v>
      </c>
      <c r="I448" s="42" t="s">
        <v>34</v>
      </c>
      <c r="K448" s="44" t="str">
        <f t="shared" si="1"/>
        <v>Owner missing </v>
      </c>
    </row>
    <row r="449" ht="15.75" customHeight="1">
      <c r="E449" s="43" t="str">
        <f t="array" ref="E449">IF($A449="","",IFERROR(IF($D449="TSE",INDEX(Accounts!$G$2:$G$21,MATCH($A449,Accounts!$B$2:$B$21,0))&amp;"",IF($D449="PS",INDEX(Accounts!$F$2:$F$21,MATCH($A449,Accounts!$B$2:$B$21,0))&amp;"",IF($D449="Named engineer",INDEX(Accounts!$I$2:$I$21,MATCH($A449,Accounts!$B$2:$B$21,0))&amp;"",IF($D449="TSE + PS",IF(INDEX(Accounts!$G$2:$G$21,MATCH($A449,Accounts!$B$2:$B$21,0))&amp;""="","(no TSE)",INDEX(Accounts!$G$2:$G$21,MATCH($A449,Accounts!$B$2:$B$21,0))&amp;"")&amp;" / "&amp;IF(INDEX(Accounts!$F$2:$F$21,MATCH($A449,Accounts!$B$2:$B$21,0))&amp;""="","(no PS)",INDEX(Accounts!$F$2:$F$21,MATCH($A449,Accounts!$B$2:$B$21,0))&amp;""),"")))),""))</f>
        <v/>
      </c>
      <c r="F449" s="42" t="s">
        <v>104</v>
      </c>
      <c r="I449" s="42" t="s">
        <v>34</v>
      </c>
      <c r="K449" s="44" t="str">
        <f t="shared" si="1"/>
        <v>Owner missing </v>
      </c>
    </row>
    <row r="450" ht="15.75" customHeight="1">
      <c r="E450" s="43" t="str">
        <f t="array" ref="E450">IF($A450="","",IFERROR(IF($D450="TSE",INDEX(Accounts!$G$2:$G$21,MATCH($A450,Accounts!$B$2:$B$21,0))&amp;"",IF($D450="PS",INDEX(Accounts!$F$2:$F$21,MATCH($A450,Accounts!$B$2:$B$21,0))&amp;"",IF($D450="Named engineer",INDEX(Accounts!$I$2:$I$21,MATCH($A450,Accounts!$B$2:$B$21,0))&amp;"",IF($D450="TSE + PS",IF(INDEX(Accounts!$G$2:$G$21,MATCH($A450,Accounts!$B$2:$B$21,0))&amp;""="","(no TSE)",INDEX(Accounts!$G$2:$G$21,MATCH($A450,Accounts!$B$2:$B$21,0))&amp;"")&amp;" / "&amp;IF(INDEX(Accounts!$F$2:$F$21,MATCH($A450,Accounts!$B$2:$B$21,0))&amp;""="","(no PS)",INDEX(Accounts!$F$2:$F$21,MATCH($A450,Accounts!$B$2:$B$21,0))&amp;""),"")))),""))</f>
        <v/>
      </c>
      <c r="F450" s="42" t="s">
        <v>104</v>
      </c>
      <c r="I450" s="42" t="s">
        <v>34</v>
      </c>
      <c r="K450" s="44" t="str">
        <f t="shared" si="1"/>
        <v>Owner missing </v>
      </c>
    </row>
    <row r="451" ht="15.75" customHeight="1">
      <c r="E451" s="43" t="str">
        <f t="array" ref="E451">IF($A451="","",IFERROR(IF($D451="TSE",INDEX(Accounts!$G$2:$G$21,MATCH($A451,Accounts!$B$2:$B$21,0))&amp;"",IF($D451="PS",INDEX(Accounts!$F$2:$F$21,MATCH($A451,Accounts!$B$2:$B$21,0))&amp;"",IF($D451="Named engineer",INDEX(Accounts!$I$2:$I$21,MATCH($A451,Accounts!$B$2:$B$21,0))&amp;"",IF($D451="TSE + PS",IF(INDEX(Accounts!$G$2:$G$21,MATCH($A451,Accounts!$B$2:$B$21,0))&amp;""="","(no TSE)",INDEX(Accounts!$G$2:$G$21,MATCH($A451,Accounts!$B$2:$B$21,0))&amp;"")&amp;" / "&amp;IF(INDEX(Accounts!$F$2:$F$21,MATCH($A451,Accounts!$B$2:$B$21,0))&amp;""="","(no PS)",INDEX(Accounts!$F$2:$F$21,MATCH($A451,Accounts!$B$2:$B$21,0))&amp;""),"")))),""))</f>
        <v/>
      </c>
      <c r="F451" s="42" t="s">
        <v>104</v>
      </c>
      <c r="I451" s="42" t="s">
        <v>34</v>
      </c>
      <c r="K451" s="44" t="str">
        <f t="shared" si="1"/>
        <v>Owner missing </v>
      </c>
    </row>
    <row r="452" ht="15.75" customHeight="1">
      <c r="E452" s="43" t="str">
        <f t="array" ref="E452">IF($A452="","",IFERROR(IF($D452="TSE",INDEX(Accounts!$G$2:$G$21,MATCH($A452,Accounts!$B$2:$B$21,0))&amp;"",IF($D452="PS",INDEX(Accounts!$F$2:$F$21,MATCH($A452,Accounts!$B$2:$B$21,0))&amp;"",IF($D452="Named engineer",INDEX(Accounts!$I$2:$I$21,MATCH($A452,Accounts!$B$2:$B$21,0))&amp;"",IF($D452="TSE + PS",IF(INDEX(Accounts!$G$2:$G$21,MATCH($A452,Accounts!$B$2:$B$21,0))&amp;""="","(no TSE)",INDEX(Accounts!$G$2:$G$21,MATCH($A452,Accounts!$B$2:$B$21,0))&amp;"")&amp;" / "&amp;IF(INDEX(Accounts!$F$2:$F$21,MATCH($A452,Accounts!$B$2:$B$21,0))&amp;""="","(no PS)",INDEX(Accounts!$F$2:$F$21,MATCH($A452,Accounts!$B$2:$B$21,0))&amp;""),"")))),""))</f>
        <v/>
      </c>
      <c r="F452" s="42" t="s">
        <v>104</v>
      </c>
      <c r="I452" s="42" t="s">
        <v>34</v>
      </c>
      <c r="K452" s="44" t="str">
        <f t="shared" si="1"/>
        <v>Owner missing </v>
      </c>
    </row>
    <row r="453" ht="15.75" customHeight="1">
      <c r="E453" s="43" t="str">
        <f t="array" ref="E453">IF($A453="","",IFERROR(IF($D453="TSE",INDEX(Accounts!$G$2:$G$21,MATCH($A453,Accounts!$B$2:$B$21,0))&amp;"",IF($D453="PS",INDEX(Accounts!$F$2:$F$21,MATCH($A453,Accounts!$B$2:$B$21,0))&amp;"",IF($D453="Named engineer",INDEX(Accounts!$I$2:$I$21,MATCH($A453,Accounts!$B$2:$B$21,0))&amp;"",IF($D453="TSE + PS",IF(INDEX(Accounts!$G$2:$G$21,MATCH($A453,Accounts!$B$2:$B$21,0))&amp;""="","(no TSE)",INDEX(Accounts!$G$2:$G$21,MATCH($A453,Accounts!$B$2:$B$21,0))&amp;"")&amp;" / "&amp;IF(INDEX(Accounts!$F$2:$F$21,MATCH($A453,Accounts!$B$2:$B$21,0))&amp;""="","(no PS)",INDEX(Accounts!$F$2:$F$21,MATCH($A453,Accounts!$B$2:$B$21,0))&amp;""),"")))),""))</f>
        <v/>
      </c>
      <c r="F453" s="42" t="s">
        <v>104</v>
      </c>
      <c r="I453" s="42" t="s">
        <v>34</v>
      </c>
      <c r="K453" s="44" t="str">
        <f t="shared" si="1"/>
        <v>Owner missing </v>
      </c>
    </row>
    <row r="454" ht="15.75" customHeight="1">
      <c r="E454" s="43" t="str">
        <f t="array" ref="E454">IF($A454="","",IFERROR(IF($D454="TSE",INDEX(Accounts!$G$2:$G$21,MATCH($A454,Accounts!$B$2:$B$21,0))&amp;"",IF($D454="PS",INDEX(Accounts!$F$2:$F$21,MATCH($A454,Accounts!$B$2:$B$21,0))&amp;"",IF($D454="Named engineer",INDEX(Accounts!$I$2:$I$21,MATCH($A454,Accounts!$B$2:$B$21,0))&amp;"",IF($D454="TSE + PS",IF(INDEX(Accounts!$G$2:$G$21,MATCH($A454,Accounts!$B$2:$B$21,0))&amp;""="","(no TSE)",INDEX(Accounts!$G$2:$G$21,MATCH($A454,Accounts!$B$2:$B$21,0))&amp;"")&amp;" / "&amp;IF(INDEX(Accounts!$F$2:$F$21,MATCH($A454,Accounts!$B$2:$B$21,0))&amp;""="","(no PS)",INDEX(Accounts!$F$2:$F$21,MATCH($A454,Accounts!$B$2:$B$21,0))&amp;""),"")))),""))</f>
        <v/>
      </c>
      <c r="F454" s="42" t="s">
        <v>104</v>
      </c>
      <c r="I454" s="42" t="s">
        <v>34</v>
      </c>
      <c r="K454" s="44" t="str">
        <f t="shared" si="1"/>
        <v>Owner missing </v>
      </c>
    </row>
    <row r="455" ht="15.75" customHeight="1">
      <c r="E455" s="43" t="str">
        <f t="array" ref="E455">IF($A455="","",IFERROR(IF($D455="TSE",INDEX(Accounts!$G$2:$G$21,MATCH($A455,Accounts!$B$2:$B$21,0))&amp;"",IF($D455="PS",INDEX(Accounts!$F$2:$F$21,MATCH($A455,Accounts!$B$2:$B$21,0))&amp;"",IF($D455="Named engineer",INDEX(Accounts!$I$2:$I$21,MATCH($A455,Accounts!$B$2:$B$21,0))&amp;"",IF($D455="TSE + PS",IF(INDEX(Accounts!$G$2:$G$21,MATCH($A455,Accounts!$B$2:$B$21,0))&amp;""="","(no TSE)",INDEX(Accounts!$G$2:$G$21,MATCH($A455,Accounts!$B$2:$B$21,0))&amp;"")&amp;" / "&amp;IF(INDEX(Accounts!$F$2:$F$21,MATCH($A455,Accounts!$B$2:$B$21,0))&amp;""="","(no PS)",INDEX(Accounts!$F$2:$F$21,MATCH($A455,Accounts!$B$2:$B$21,0))&amp;""),"")))),""))</f>
        <v/>
      </c>
      <c r="F455" s="42" t="s">
        <v>104</v>
      </c>
      <c r="I455" s="42" t="s">
        <v>34</v>
      </c>
      <c r="K455" s="44" t="str">
        <f t="shared" si="1"/>
        <v>Owner missing </v>
      </c>
    </row>
    <row r="456" ht="15.75" customHeight="1">
      <c r="E456" s="43" t="str">
        <f t="array" ref="E456">IF($A456="","",IFERROR(IF($D456="TSE",INDEX(Accounts!$G$2:$G$21,MATCH($A456,Accounts!$B$2:$B$21,0))&amp;"",IF($D456="PS",INDEX(Accounts!$F$2:$F$21,MATCH($A456,Accounts!$B$2:$B$21,0))&amp;"",IF($D456="Named engineer",INDEX(Accounts!$I$2:$I$21,MATCH($A456,Accounts!$B$2:$B$21,0))&amp;"",IF($D456="TSE + PS",IF(INDEX(Accounts!$G$2:$G$21,MATCH($A456,Accounts!$B$2:$B$21,0))&amp;""="","(no TSE)",INDEX(Accounts!$G$2:$G$21,MATCH($A456,Accounts!$B$2:$B$21,0))&amp;"")&amp;" / "&amp;IF(INDEX(Accounts!$F$2:$F$21,MATCH($A456,Accounts!$B$2:$B$21,0))&amp;""="","(no PS)",INDEX(Accounts!$F$2:$F$21,MATCH($A456,Accounts!$B$2:$B$21,0))&amp;""),"")))),""))</f>
        <v/>
      </c>
      <c r="F456" s="42" t="s">
        <v>104</v>
      </c>
      <c r="I456" s="42" t="s">
        <v>34</v>
      </c>
      <c r="K456" s="44" t="str">
        <f t="shared" si="1"/>
        <v>Owner missing </v>
      </c>
    </row>
    <row r="457" ht="15.75" customHeight="1">
      <c r="E457" s="43" t="str">
        <f t="array" ref="E457">IF($A457="","",IFERROR(IF($D457="TSE",INDEX(Accounts!$G$2:$G$21,MATCH($A457,Accounts!$B$2:$B$21,0))&amp;"",IF($D457="PS",INDEX(Accounts!$F$2:$F$21,MATCH($A457,Accounts!$B$2:$B$21,0))&amp;"",IF($D457="Named engineer",INDEX(Accounts!$I$2:$I$21,MATCH($A457,Accounts!$B$2:$B$21,0))&amp;"",IF($D457="TSE + PS",IF(INDEX(Accounts!$G$2:$G$21,MATCH($A457,Accounts!$B$2:$B$21,0))&amp;""="","(no TSE)",INDEX(Accounts!$G$2:$G$21,MATCH($A457,Accounts!$B$2:$B$21,0))&amp;"")&amp;" / "&amp;IF(INDEX(Accounts!$F$2:$F$21,MATCH($A457,Accounts!$B$2:$B$21,0))&amp;""="","(no PS)",INDEX(Accounts!$F$2:$F$21,MATCH($A457,Accounts!$B$2:$B$21,0))&amp;""),"")))),""))</f>
        <v/>
      </c>
      <c r="F457" s="42" t="s">
        <v>104</v>
      </c>
      <c r="I457" s="42" t="s">
        <v>34</v>
      </c>
      <c r="K457" s="44" t="str">
        <f t="shared" si="1"/>
        <v>Owner missing </v>
      </c>
    </row>
    <row r="458" ht="15.75" customHeight="1">
      <c r="E458" s="43" t="str">
        <f t="array" ref="E458">IF($A458="","",IFERROR(IF($D458="TSE",INDEX(Accounts!$G$2:$G$21,MATCH($A458,Accounts!$B$2:$B$21,0))&amp;"",IF($D458="PS",INDEX(Accounts!$F$2:$F$21,MATCH($A458,Accounts!$B$2:$B$21,0))&amp;"",IF($D458="Named engineer",INDEX(Accounts!$I$2:$I$21,MATCH($A458,Accounts!$B$2:$B$21,0))&amp;"",IF($D458="TSE + PS",IF(INDEX(Accounts!$G$2:$G$21,MATCH($A458,Accounts!$B$2:$B$21,0))&amp;""="","(no TSE)",INDEX(Accounts!$G$2:$G$21,MATCH($A458,Accounts!$B$2:$B$21,0))&amp;"")&amp;" / "&amp;IF(INDEX(Accounts!$F$2:$F$21,MATCH($A458,Accounts!$B$2:$B$21,0))&amp;""="","(no PS)",INDEX(Accounts!$F$2:$F$21,MATCH($A458,Accounts!$B$2:$B$21,0))&amp;""),"")))),""))</f>
        <v/>
      </c>
      <c r="F458" s="42" t="s">
        <v>104</v>
      </c>
      <c r="I458" s="42" t="s">
        <v>34</v>
      </c>
      <c r="K458" s="44" t="str">
        <f t="shared" si="1"/>
        <v>Owner missing </v>
      </c>
    </row>
    <row r="459" ht="15.75" customHeight="1">
      <c r="E459" s="43" t="str">
        <f t="array" ref="E459">IF($A459="","",IFERROR(IF($D459="TSE",INDEX(Accounts!$G$2:$G$21,MATCH($A459,Accounts!$B$2:$B$21,0))&amp;"",IF($D459="PS",INDEX(Accounts!$F$2:$F$21,MATCH($A459,Accounts!$B$2:$B$21,0))&amp;"",IF($D459="Named engineer",INDEX(Accounts!$I$2:$I$21,MATCH($A459,Accounts!$B$2:$B$21,0))&amp;"",IF($D459="TSE + PS",IF(INDEX(Accounts!$G$2:$G$21,MATCH($A459,Accounts!$B$2:$B$21,0))&amp;""="","(no TSE)",INDEX(Accounts!$G$2:$G$21,MATCH($A459,Accounts!$B$2:$B$21,0))&amp;"")&amp;" / "&amp;IF(INDEX(Accounts!$F$2:$F$21,MATCH($A459,Accounts!$B$2:$B$21,0))&amp;""="","(no PS)",INDEX(Accounts!$F$2:$F$21,MATCH($A459,Accounts!$B$2:$B$21,0))&amp;""),"")))),""))</f>
        <v/>
      </c>
      <c r="F459" s="42" t="s">
        <v>104</v>
      </c>
      <c r="I459" s="42" t="s">
        <v>34</v>
      </c>
      <c r="K459" s="44" t="str">
        <f t="shared" si="1"/>
        <v>Owner missing </v>
      </c>
    </row>
    <row r="460" ht="15.75" customHeight="1">
      <c r="E460" s="43" t="str">
        <f t="array" ref="E460">IF($A460="","",IFERROR(IF($D460="TSE",INDEX(Accounts!$G$2:$G$21,MATCH($A460,Accounts!$B$2:$B$21,0))&amp;"",IF($D460="PS",INDEX(Accounts!$F$2:$F$21,MATCH($A460,Accounts!$B$2:$B$21,0))&amp;"",IF($D460="Named engineer",INDEX(Accounts!$I$2:$I$21,MATCH($A460,Accounts!$B$2:$B$21,0))&amp;"",IF($D460="TSE + PS",IF(INDEX(Accounts!$G$2:$G$21,MATCH($A460,Accounts!$B$2:$B$21,0))&amp;""="","(no TSE)",INDEX(Accounts!$G$2:$G$21,MATCH($A460,Accounts!$B$2:$B$21,0))&amp;"")&amp;" / "&amp;IF(INDEX(Accounts!$F$2:$F$21,MATCH($A460,Accounts!$B$2:$B$21,0))&amp;""="","(no PS)",INDEX(Accounts!$F$2:$F$21,MATCH($A460,Accounts!$B$2:$B$21,0))&amp;""),"")))),""))</f>
        <v/>
      </c>
      <c r="F460" s="42" t="s">
        <v>104</v>
      </c>
      <c r="I460" s="42" t="s">
        <v>34</v>
      </c>
      <c r="K460" s="44" t="str">
        <f t="shared" si="1"/>
        <v>Owner missing </v>
      </c>
    </row>
    <row r="461" ht="15.75" customHeight="1">
      <c r="E461" s="43" t="str">
        <f t="array" ref="E461">IF($A461="","",IFERROR(IF($D461="TSE",INDEX(Accounts!$G$2:$G$21,MATCH($A461,Accounts!$B$2:$B$21,0))&amp;"",IF($D461="PS",INDEX(Accounts!$F$2:$F$21,MATCH($A461,Accounts!$B$2:$B$21,0))&amp;"",IF($D461="Named engineer",INDEX(Accounts!$I$2:$I$21,MATCH($A461,Accounts!$B$2:$B$21,0))&amp;"",IF($D461="TSE + PS",IF(INDEX(Accounts!$G$2:$G$21,MATCH($A461,Accounts!$B$2:$B$21,0))&amp;""="","(no TSE)",INDEX(Accounts!$G$2:$G$21,MATCH($A461,Accounts!$B$2:$B$21,0))&amp;"")&amp;" / "&amp;IF(INDEX(Accounts!$F$2:$F$21,MATCH($A461,Accounts!$B$2:$B$21,0))&amp;""="","(no PS)",INDEX(Accounts!$F$2:$F$21,MATCH($A461,Accounts!$B$2:$B$21,0))&amp;""),"")))),""))</f>
        <v/>
      </c>
      <c r="F461" s="42" t="s">
        <v>104</v>
      </c>
      <c r="I461" s="42" t="s">
        <v>34</v>
      </c>
      <c r="K461" s="44" t="str">
        <f t="shared" si="1"/>
        <v>Owner missing </v>
      </c>
    </row>
    <row r="462" ht="15.75" customHeight="1">
      <c r="E462" s="43" t="str">
        <f t="array" ref="E462">IF($A462="","",IFERROR(IF($D462="TSE",INDEX(Accounts!$G$2:$G$21,MATCH($A462,Accounts!$B$2:$B$21,0))&amp;"",IF($D462="PS",INDEX(Accounts!$F$2:$F$21,MATCH($A462,Accounts!$B$2:$B$21,0))&amp;"",IF($D462="Named engineer",INDEX(Accounts!$I$2:$I$21,MATCH($A462,Accounts!$B$2:$B$21,0))&amp;"",IF($D462="TSE + PS",IF(INDEX(Accounts!$G$2:$G$21,MATCH($A462,Accounts!$B$2:$B$21,0))&amp;""="","(no TSE)",INDEX(Accounts!$G$2:$G$21,MATCH($A462,Accounts!$B$2:$B$21,0))&amp;"")&amp;" / "&amp;IF(INDEX(Accounts!$F$2:$F$21,MATCH($A462,Accounts!$B$2:$B$21,0))&amp;""="","(no PS)",INDEX(Accounts!$F$2:$F$21,MATCH($A462,Accounts!$B$2:$B$21,0))&amp;""),"")))),""))</f>
        <v/>
      </c>
      <c r="F462" s="42" t="s">
        <v>104</v>
      </c>
      <c r="I462" s="42" t="s">
        <v>34</v>
      </c>
      <c r="K462" s="44" t="str">
        <f t="shared" si="1"/>
        <v>Owner missing </v>
      </c>
    </row>
    <row r="463" ht="15.75" customHeight="1">
      <c r="E463" s="43" t="str">
        <f t="array" ref="E463">IF($A463="","",IFERROR(IF($D463="TSE",INDEX(Accounts!$G$2:$G$21,MATCH($A463,Accounts!$B$2:$B$21,0))&amp;"",IF($D463="PS",INDEX(Accounts!$F$2:$F$21,MATCH($A463,Accounts!$B$2:$B$21,0))&amp;"",IF($D463="Named engineer",INDEX(Accounts!$I$2:$I$21,MATCH($A463,Accounts!$B$2:$B$21,0))&amp;"",IF($D463="TSE + PS",IF(INDEX(Accounts!$G$2:$G$21,MATCH($A463,Accounts!$B$2:$B$21,0))&amp;""="","(no TSE)",INDEX(Accounts!$G$2:$G$21,MATCH($A463,Accounts!$B$2:$B$21,0))&amp;"")&amp;" / "&amp;IF(INDEX(Accounts!$F$2:$F$21,MATCH($A463,Accounts!$B$2:$B$21,0))&amp;""="","(no PS)",INDEX(Accounts!$F$2:$F$21,MATCH($A463,Accounts!$B$2:$B$21,0))&amp;""),"")))),""))</f>
        <v/>
      </c>
      <c r="F463" s="42" t="s">
        <v>104</v>
      </c>
      <c r="I463" s="42" t="s">
        <v>34</v>
      </c>
      <c r="K463" s="44" t="str">
        <f t="shared" si="1"/>
        <v>Owner missing </v>
      </c>
    </row>
    <row r="464" ht="15.75" customHeight="1">
      <c r="E464" s="43" t="str">
        <f t="array" ref="E464">IF($A464="","",IFERROR(IF($D464="TSE",INDEX(Accounts!$G$2:$G$21,MATCH($A464,Accounts!$B$2:$B$21,0))&amp;"",IF($D464="PS",INDEX(Accounts!$F$2:$F$21,MATCH($A464,Accounts!$B$2:$B$21,0))&amp;"",IF($D464="Named engineer",INDEX(Accounts!$I$2:$I$21,MATCH($A464,Accounts!$B$2:$B$21,0))&amp;"",IF($D464="TSE + PS",IF(INDEX(Accounts!$G$2:$G$21,MATCH($A464,Accounts!$B$2:$B$21,0))&amp;""="","(no TSE)",INDEX(Accounts!$G$2:$G$21,MATCH($A464,Accounts!$B$2:$B$21,0))&amp;"")&amp;" / "&amp;IF(INDEX(Accounts!$F$2:$F$21,MATCH($A464,Accounts!$B$2:$B$21,0))&amp;""="","(no PS)",INDEX(Accounts!$F$2:$F$21,MATCH($A464,Accounts!$B$2:$B$21,0))&amp;""),"")))),""))</f>
        <v/>
      </c>
      <c r="F464" s="42" t="s">
        <v>104</v>
      </c>
      <c r="I464" s="42" t="s">
        <v>34</v>
      </c>
      <c r="K464" s="44" t="str">
        <f t="shared" si="1"/>
        <v>Owner missing </v>
      </c>
    </row>
    <row r="465" ht="15.75" customHeight="1">
      <c r="E465" s="43" t="str">
        <f t="array" ref="E465">IF($A465="","",IFERROR(IF($D465="TSE",INDEX(Accounts!$G$2:$G$21,MATCH($A465,Accounts!$B$2:$B$21,0))&amp;"",IF($D465="PS",INDEX(Accounts!$F$2:$F$21,MATCH($A465,Accounts!$B$2:$B$21,0))&amp;"",IF($D465="Named engineer",INDEX(Accounts!$I$2:$I$21,MATCH($A465,Accounts!$B$2:$B$21,0))&amp;"",IF($D465="TSE + PS",IF(INDEX(Accounts!$G$2:$G$21,MATCH($A465,Accounts!$B$2:$B$21,0))&amp;""="","(no TSE)",INDEX(Accounts!$G$2:$G$21,MATCH($A465,Accounts!$B$2:$B$21,0))&amp;"")&amp;" / "&amp;IF(INDEX(Accounts!$F$2:$F$21,MATCH($A465,Accounts!$B$2:$B$21,0))&amp;""="","(no PS)",INDEX(Accounts!$F$2:$F$21,MATCH($A465,Accounts!$B$2:$B$21,0))&amp;""),"")))),""))</f>
        <v/>
      </c>
      <c r="F465" s="42" t="s">
        <v>104</v>
      </c>
      <c r="I465" s="42" t="s">
        <v>34</v>
      </c>
      <c r="K465" s="44" t="str">
        <f t="shared" si="1"/>
        <v>Owner missing </v>
      </c>
    </row>
    <row r="466" ht="15.75" customHeight="1">
      <c r="E466" s="43" t="str">
        <f t="array" ref="E466">IF($A466="","",IFERROR(IF($D466="TSE",INDEX(Accounts!$G$2:$G$21,MATCH($A466,Accounts!$B$2:$B$21,0))&amp;"",IF($D466="PS",INDEX(Accounts!$F$2:$F$21,MATCH($A466,Accounts!$B$2:$B$21,0))&amp;"",IF($D466="Named engineer",INDEX(Accounts!$I$2:$I$21,MATCH($A466,Accounts!$B$2:$B$21,0))&amp;"",IF($D466="TSE + PS",IF(INDEX(Accounts!$G$2:$G$21,MATCH($A466,Accounts!$B$2:$B$21,0))&amp;""="","(no TSE)",INDEX(Accounts!$G$2:$G$21,MATCH($A466,Accounts!$B$2:$B$21,0))&amp;"")&amp;" / "&amp;IF(INDEX(Accounts!$F$2:$F$21,MATCH($A466,Accounts!$B$2:$B$21,0))&amp;""="","(no PS)",INDEX(Accounts!$F$2:$F$21,MATCH($A466,Accounts!$B$2:$B$21,0))&amp;""),"")))),""))</f>
        <v/>
      </c>
      <c r="F466" s="42" t="s">
        <v>104</v>
      </c>
      <c r="I466" s="42" t="s">
        <v>34</v>
      </c>
      <c r="K466" s="44" t="str">
        <f t="shared" si="1"/>
        <v>Owner missing </v>
      </c>
    </row>
    <row r="467" ht="15.75" customHeight="1">
      <c r="E467" s="43" t="str">
        <f t="array" ref="E467">IF($A467="","",IFERROR(IF($D467="TSE",INDEX(Accounts!$G$2:$G$21,MATCH($A467,Accounts!$B$2:$B$21,0))&amp;"",IF($D467="PS",INDEX(Accounts!$F$2:$F$21,MATCH($A467,Accounts!$B$2:$B$21,0))&amp;"",IF($D467="Named engineer",INDEX(Accounts!$I$2:$I$21,MATCH($A467,Accounts!$B$2:$B$21,0))&amp;"",IF($D467="TSE + PS",IF(INDEX(Accounts!$G$2:$G$21,MATCH($A467,Accounts!$B$2:$B$21,0))&amp;""="","(no TSE)",INDEX(Accounts!$G$2:$G$21,MATCH($A467,Accounts!$B$2:$B$21,0))&amp;"")&amp;" / "&amp;IF(INDEX(Accounts!$F$2:$F$21,MATCH($A467,Accounts!$B$2:$B$21,0))&amp;""="","(no PS)",INDEX(Accounts!$F$2:$F$21,MATCH($A467,Accounts!$B$2:$B$21,0))&amp;""),"")))),""))</f>
        <v/>
      </c>
      <c r="F467" s="42" t="s">
        <v>104</v>
      </c>
      <c r="I467" s="42" t="s">
        <v>34</v>
      </c>
      <c r="K467" s="44" t="str">
        <f t="shared" si="1"/>
        <v>Owner missing </v>
      </c>
    </row>
    <row r="468" ht="15.75" customHeight="1">
      <c r="E468" s="43" t="str">
        <f t="array" ref="E468">IF($A468="","",IFERROR(IF($D468="TSE",INDEX(Accounts!$G$2:$G$21,MATCH($A468,Accounts!$B$2:$B$21,0))&amp;"",IF($D468="PS",INDEX(Accounts!$F$2:$F$21,MATCH($A468,Accounts!$B$2:$B$21,0))&amp;"",IF($D468="Named engineer",INDEX(Accounts!$I$2:$I$21,MATCH($A468,Accounts!$B$2:$B$21,0))&amp;"",IF($D468="TSE + PS",IF(INDEX(Accounts!$G$2:$G$21,MATCH($A468,Accounts!$B$2:$B$21,0))&amp;""="","(no TSE)",INDEX(Accounts!$G$2:$G$21,MATCH($A468,Accounts!$B$2:$B$21,0))&amp;"")&amp;" / "&amp;IF(INDEX(Accounts!$F$2:$F$21,MATCH($A468,Accounts!$B$2:$B$21,0))&amp;""="","(no PS)",INDEX(Accounts!$F$2:$F$21,MATCH($A468,Accounts!$B$2:$B$21,0))&amp;""),"")))),""))</f>
        <v/>
      </c>
      <c r="F468" s="42" t="s">
        <v>104</v>
      </c>
      <c r="I468" s="42" t="s">
        <v>34</v>
      </c>
      <c r="K468" s="44" t="str">
        <f t="shared" si="1"/>
        <v>Owner missing </v>
      </c>
    </row>
    <row r="469" ht="15.75" customHeight="1">
      <c r="E469" s="43" t="str">
        <f t="array" ref="E469">IF($A469="","",IFERROR(IF($D469="TSE",INDEX(Accounts!$G$2:$G$21,MATCH($A469,Accounts!$B$2:$B$21,0))&amp;"",IF($D469="PS",INDEX(Accounts!$F$2:$F$21,MATCH($A469,Accounts!$B$2:$B$21,0))&amp;"",IF($D469="Named engineer",INDEX(Accounts!$I$2:$I$21,MATCH($A469,Accounts!$B$2:$B$21,0))&amp;"",IF($D469="TSE + PS",IF(INDEX(Accounts!$G$2:$G$21,MATCH($A469,Accounts!$B$2:$B$21,0))&amp;""="","(no TSE)",INDEX(Accounts!$G$2:$G$21,MATCH($A469,Accounts!$B$2:$B$21,0))&amp;"")&amp;" / "&amp;IF(INDEX(Accounts!$F$2:$F$21,MATCH($A469,Accounts!$B$2:$B$21,0))&amp;""="","(no PS)",INDEX(Accounts!$F$2:$F$21,MATCH($A469,Accounts!$B$2:$B$21,0))&amp;""),"")))),""))</f>
        <v/>
      </c>
      <c r="F469" s="42" t="s">
        <v>104</v>
      </c>
      <c r="I469" s="42" t="s">
        <v>34</v>
      </c>
      <c r="K469" s="44" t="str">
        <f t="shared" si="1"/>
        <v>Owner missing </v>
      </c>
    </row>
    <row r="470" ht="15.75" customHeight="1">
      <c r="E470" s="43" t="str">
        <f t="array" ref="E470">IF($A470="","",IFERROR(IF($D470="TSE",INDEX(Accounts!$G$2:$G$21,MATCH($A470,Accounts!$B$2:$B$21,0))&amp;"",IF($D470="PS",INDEX(Accounts!$F$2:$F$21,MATCH($A470,Accounts!$B$2:$B$21,0))&amp;"",IF($D470="Named engineer",INDEX(Accounts!$I$2:$I$21,MATCH($A470,Accounts!$B$2:$B$21,0))&amp;"",IF($D470="TSE + PS",IF(INDEX(Accounts!$G$2:$G$21,MATCH($A470,Accounts!$B$2:$B$21,0))&amp;""="","(no TSE)",INDEX(Accounts!$G$2:$G$21,MATCH($A470,Accounts!$B$2:$B$21,0))&amp;"")&amp;" / "&amp;IF(INDEX(Accounts!$F$2:$F$21,MATCH($A470,Accounts!$B$2:$B$21,0))&amp;""="","(no PS)",INDEX(Accounts!$F$2:$F$21,MATCH($A470,Accounts!$B$2:$B$21,0))&amp;""),"")))),""))</f>
        <v/>
      </c>
      <c r="F470" s="42" t="s">
        <v>104</v>
      </c>
      <c r="I470" s="42" t="s">
        <v>34</v>
      </c>
      <c r="K470" s="44" t="str">
        <f t="shared" si="1"/>
        <v>Owner missing </v>
      </c>
    </row>
    <row r="471" ht="15.75" customHeight="1">
      <c r="E471" s="43" t="str">
        <f t="array" ref="E471">IF($A471="","",IFERROR(IF($D471="TSE",INDEX(Accounts!$G$2:$G$21,MATCH($A471,Accounts!$B$2:$B$21,0))&amp;"",IF($D471="PS",INDEX(Accounts!$F$2:$F$21,MATCH($A471,Accounts!$B$2:$B$21,0))&amp;"",IF($D471="Named engineer",INDEX(Accounts!$I$2:$I$21,MATCH($A471,Accounts!$B$2:$B$21,0))&amp;"",IF($D471="TSE + PS",IF(INDEX(Accounts!$G$2:$G$21,MATCH($A471,Accounts!$B$2:$B$21,0))&amp;""="","(no TSE)",INDEX(Accounts!$G$2:$G$21,MATCH($A471,Accounts!$B$2:$B$21,0))&amp;"")&amp;" / "&amp;IF(INDEX(Accounts!$F$2:$F$21,MATCH($A471,Accounts!$B$2:$B$21,0))&amp;""="","(no PS)",INDEX(Accounts!$F$2:$F$21,MATCH($A471,Accounts!$B$2:$B$21,0))&amp;""),"")))),""))</f>
        <v/>
      </c>
      <c r="F471" s="42" t="s">
        <v>104</v>
      </c>
      <c r="I471" s="42" t="s">
        <v>34</v>
      </c>
      <c r="K471" s="44" t="str">
        <f t="shared" si="1"/>
        <v>Owner missing </v>
      </c>
    </row>
    <row r="472" ht="15.75" customHeight="1">
      <c r="E472" s="43" t="str">
        <f t="array" ref="E472">IF($A472="","",IFERROR(IF($D472="TSE",INDEX(Accounts!$G$2:$G$21,MATCH($A472,Accounts!$B$2:$B$21,0))&amp;"",IF($D472="PS",INDEX(Accounts!$F$2:$F$21,MATCH($A472,Accounts!$B$2:$B$21,0))&amp;"",IF($D472="Named engineer",INDEX(Accounts!$I$2:$I$21,MATCH($A472,Accounts!$B$2:$B$21,0))&amp;"",IF($D472="TSE + PS",IF(INDEX(Accounts!$G$2:$G$21,MATCH($A472,Accounts!$B$2:$B$21,0))&amp;""="","(no TSE)",INDEX(Accounts!$G$2:$G$21,MATCH($A472,Accounts!$B$2:$B$21,0))&amp;"")&amp;" / "&amp;IF(INDEX(Accounts!$F$2:$F$21,MATCH($A472,Accounts!$B$2:$B$21,0))&amp;""="","(no PS)",INDEX(Accounts!$F$2:$F$21,MATCH($A472,Accounts!$B$2:$B$21,0))&amp;""),"")))),""))</f>
        <v/>
      </c>
      <c r="F472" s="42" t="s">
        <v>104</v>
      </c>
      <c r="I472" s="42" t="s">
        <v>34</v>
      </c>
      <c r="K472" s="44" t="str">
        <f t="shared" si="1"/>
        <v>Owner missing </v>
      </c>
    </row>
    <row r="473" ht="15.75" customHeight="1">
      <c r="E473" s="43" t="str">
        <f t="array" ref="E473">IF($A473="","",IFERROR(IF($D473="TSE",INDEX(Accounts!$G$2:$G$21,MATCH($A473,Accounts!$B$2:$B$21,0))&amp;"",IF($D473="PS",INDEX(Accounts!$F$2:$F$21,MATCH($A473,Accounts!$B$2:$B$21,0))&amp;"",IF($D473="Named engineer",INDEX(Accounts!$I$2:$I$21,MATCH($A473,Accounts!$B$2:$B$21,0))&amp;"",IF($D473="TSE + PS",IF(INDEX(Accounts!$G$2:$G$21,MATCH($A473,Accounts!$B$2:$B$21,0))&amp;""="","(no TSE)",INDEX(Accounts!$G$2:$G$21,MATCH($A473,Accounts!$B$2:$B$21,0))&amp;"")&amp;" / "&amp;IF(INDEX(Accounts!$F$2:$F$21,MATCH($A473,Accounts!$B$2:$B$21,0))&amp;""="","(no PS)",INDEX(Accounts!$F$2:$F$21,MATCH($A473,Accounts!$B$2:$B$21,0))&amp;""),"")))),""))</f>
        <v/>
      </c>
      <c r="F473" s="42" t="s">
        <v>104</v>
      </c>
      <c r="I473" s="42" t="s">
        <v>34</v>
      </c>
      <c r="K473" s="44" t="str">
        <f t="shared" si="1"/>
        <v>Owner missing </v>
      </c>
    </row>
    <row r="474" ht="15.75" customHeight="1">
      <c r="E474" s="43" t="str">
        <f t="array" ref="E474">IF($A474="","",IFERROR(IF($D474="TSE",INDEX(Accounts!$G$2:$G$21,MATCH($A474,Accounts!$B$2:$B$21,0))&amp;"",IF($D474="PS",INDEX(Accounts!$F$2:$F$21,MATCH($A474,Accounts!$B$2:$B$21,0))&amp;"",IF($D474="Named engineer",INDEX(Accounts!$I$2:$I$21,MATCH($A474,Accounts!$B$2:$B$21,0))&amp;"",IF($D474="TSE + PS",IF(INDEX(Accounts!$G$2:$G$21,MATCH($A474,Accounts!$B$2:$B$21,0))&amp;""="","(no TSE)",INDEX(Accounts!$G$2:$G$21,MATCH($A474,Accounts!$B$2:$B$21,0))&amp;"")&amp;" / "&amp;IF(INDEX(Accounts!$F$2:$F$21,MATCH($A474,Accounts!$B$2:$B$21,0))&amp;""="","(no PS)",INDEX(Accounts!$F$2:$F$21,MATCH($A474,Accounts!$B$2:$B$21,0))&amp;""),"")))),""))</f>
        <v/>
      </c>
      <c r="F474" s="42" t="s">
        <v>104</v>
      </c>
      <c r="I474" s="42" t="s">
        <v>34</v>
      </c>
      <c r="K474" s="44" t="str">
        <f t="shared" si="1"/>
        <v>Owner missing </v>
      </c>
    </row>
    <row r="475" ht="15.75" customHeight="1">
      <c r="E475" s="43" t="str">
        <f t="array" ref="E475">IF($A475="","",IFERROR(IF($D475="TSE",INDEX(Accounts!$G$2:$G$21,MATCH($A475,Accounts!$B$2:$B$21,0))&amp;"",IF($D475="PS",INDEX(Accounts!$F$2:$F$21,MATCH($A475,Accounts!$B$2:$B$21,0))&amp;"",IF($D475="Named engineer",INDEX(Accounts!$I$2:$I$21,MATCH($A475,Accounts!$B$2:$B$21,0))&amp;"",IF($D475="TSE + PS",IF(INDEX(Accounts!$G$2:$G$21,MATCH($A475,Accounts!$B$2:$B$21,0))&amp;""="","(no TSE)",INDEX(Accounts!$G$2:$G$21,MATCH($A475,Accounts!$B$2:$B$21,0))&amp;"")&amp;" / "&amp;IF(INDEX(Accounts!$F$2:$F$21,MATCH($A475,Accounts!$B$2:$B$21,0))&amp;""="","(no PS)",INDEX(Accounts!$F$2:$F$21,MATCH($A475,Accounts!$B$2:$B$21,0))&amp;""),"")))),""))</f>
        <v/>
      </c>
      <c r="F475" s="42" t="s">
        <v>104</v>
      </c>
      <c r="I475" s="42" t="s">
        <v>34</v>
      </c>
      <c r="K475" s="44" t="str">
        <f t="shared" si="1"/>
        <v>Owner missing </v>
      </c>
    </row>
    <row r="476" ht="15.75" customHeight="1">
      <c r="E476" s="43" t="str">
        <f t="array" ref="E476">IF($A476="","",IFERROR(IF($D476="TSE",INDEX(Accounts!$G$2:$G$21,MATCH($A476,Accounts!$B$2:$B$21,0))&amp;"",IF($D476="PS",INDEX(Accounts!$F$2:$F$21,MATCH($A476,Accounts!$B$2:$B$21,0))&amp;"",IF($D476="Named engineer",INDEX(Accounts!$I$2:$I$21,MATCH($A476,Accounts!$B$2:$B$21,0))&amp;"",IF($D476="TSE + PS",IF(INDEX(Accounts!$G$2:$G$21,MATCH($A476,Accounts!$B$2:$B$21,0))&amp;""="","(no TSE)",INDEX(Accounts!$G$2:$G$21,MATCH($A476,Accounts!$B$2:$B$21,0))&amp;"")&amp;" / "&amp;IF(INDEX(Accounts!$F$2:$F$21,MATCH($A476,Accounts!$B$2:$B$21,0))&amp;""="","(no PS)",INDEX(Accounts!$F$2:$F$21,MATCH($A476,Accounts!$B$2:$B$21,0))&amp;""),"")))),""))</f>
        <v/>
      </c>
      <c r="F476" s="42" t="s">
        <v>104</v>
      </c>
      <c r="I476" s="42" t="s">
        <v>34</v>
      </c>
      <c r="K476" s="44" t="str">
        <f t="shared" si="1"/>
        <v>Owner missing </v>
      </c>
    </row>
    <row r="477" ht="15.75" customHeight="1">
      <c r="E477" s="43" t="str">
        <f t="array" ref="E477">IF($A477="","",IFERROR(IF($D477="TSE",INDEX(Accounts!$G$2:$G$21,MATCH($A477,Accounts!$B$2:$B$21,0))&amp;"",IF($D477="PS",INDEX(Accounts!$F$2:$F$21,MATCH($A477,Accounts!$B$2:$B$21,0))&amp;"",IF($D477="Named engineer",INDEX(Accounts!$I$2:$I$21,MATCH($A477,Accounts!$B$2:$B$21,0))&amp;"",IF($D477="TSE + PS",IF(INDEX(Accounts!$G$2:$G$21,MATCH($A477,Accounts!$B$2:$B$21,0))&amp;""="","(no TSE)",INDEX(Accounts!$G$2:$G$21,MATCH($A477,Accounts!$B$2:$B$21,0))&amp;"")&amp;" / "&amp;IF(INDEX(Accounts!$F$2:$F$21,MATCH($A477,Accounts!$B$2:$B$21,0))&amp;""="","(no PS)",INDEX(Accounts!$F$2:$F$21,MATCH($A477,Accounts!$B$2:$B$21,0))&amp;""),"")))),""))</f>
        <v/>
      </c>
      <c r="F477" s="42" t="s">
        <v>104</v>
      </c>
      <c r="I477" s="42" t="s">
        <v>34</v>
      </c>
      <c r="K477" s="44" t="str">
        <f t="shared" si="1"/>
        <v>Owner missing </v>
      </c>
    </row>
    <row r="478" ht="15.75" customHeight="1">
      <c r="E478" s="43" t="str">
        <f t="array" ref="E478">IF($A478="","",IFERROR(IF($D478="TSE",INDEX(Accounts!$G$2:$G$21,MATCH($A478,Accounts!$B$2:$B$21,0))&amp;"",IF($D478="PS",INDEX(Accounts!$F$2:$F$21,MATCH($A478,Accounts!$B$2:$B$21,0))&amp;"",IF($D478="Named engineer",INDEX(Accounts!$I$2:$I$21,MATCH($A478,Accounts!$B$2:$B$21,0))&amp;"",IF($D478="TSE + PS",IF(INDEX(Accounts!$G$2:$G$21,MATCH($A478,Accounts!$B$2:$B$21,0))&amp;""="","(no TSE)",INDEX(Accounts!$G$2:$G$21,MATCH($A478,Accounts!$B$2:$B$21,0))&amp;"")&amp;" / "&amp;IF(INDEX(Accounts!$F$2:$F$21,MATCH($A478,Accounts!$B$2:$B$21,0))&amp;""="","(no PS)",INDEX(Accounts!$F$2:$F$21,MATCH($A478,Accounts!$B$2:$B$21,0))&amp;""),"")))),""))</f>
        <v/>
      </c>
      <c r="F478" s="42" t="s">
        <v>104</v>
      </c>
      <c r="I478" s="42" t="s">
        <v>34</v>
      </c>
      <c r="K478" s="44" t="str">
        <f t="shared" si="1"/>
        <v>Owner missing </v>
      </c>
    </row>
    <row r="479" ht="15.75" customHeight="1">
      <c r="E479" s="43" t="str">
        <f t="array" ref="E479">IF($A479="","",IFERROR(IF($D479="TSE",INDEX(Accounts!$G$2:$G$21,MATCH($A479,Accounts!$B$2:$B$21,0))&amp;"",IF($D479="PS",INDEX(Accounts!$F$2:$F$21,MATCH($A479,Accounts!$B$2:$B$21,0))&amp;"",IF($D479="Named engineer",INDEX(Accounts!$I$2:$I$21,MATCH($A479,Accounts!$B$2:$B$21,0))&amp;"",IF($D479="TSE + PS",IF(INDEX(Accounts!$G$2:$G$21,MATCH($A479,Accounts!$B$2:$B$21,0))&amp;""="","(no TSE)",INDEX(Accounts!$G$2:$G$21,MATCH($A479,Accounts!$B$2:$B$21,0))&amp;"")&amp;" / "&amp;IF(INDEX(Accounts!$F$2:$F$21,MATCH($A479,Accounts!$B$2:$B$21,0))&amp;""="","(no PS)",INDEX(Accounts!$F$2:$F$21,MATCH($A479,Accounts!$B$2:$B$21,0))&amp;""),"")))),""))</f>
        <v/>
      </c>
      <c r="F479" s="42" t="s">
        <v>104</v>
      </c>
      <c r="I479" s="42" t="s">
        <v>34</v>
      </c>
      <c r="K479" s="44" t="str">
        <f t="shared" si="1"/>
        <v>Owner missing </v>
      </c>
    </row>
    <row r="480" ht="15.75" customHeight="1">
      <c r="E480" s="43" t="str">
        <f t="array" ref="E480">IF($A480="","",IFERROR(IF($D480="TSE",INDEX(Accounts!$G$2:$G$21,MATCH($A480,Accounts!$B$2:$B$21,0))&amp;"",IF($D480="PS",INDEX(Accounts!$F$2:$F$21,MATCH($A480,Accounts!$B$2:$B$21,0))&amp;"",IF($D480="Named engineer",INDEX(Accounts!$I$2:$I$21,MATCH($A480,Accounts!$B$2:$B$21,0))&amp;"",IF($D480="TSE + PS",IF(INDEX(Accounts!$G$2:$G$21,MATCH($A480,Accounts!$B$2:$B$21,0))&amp;""="","(no TSE)",INDEX(Accounts!$G$2:$G$21,MATCH($A480,Accounts!$B$2:$B$21,0))&amp;"")&amp;" / "&amp;IF(INDEX(Accounts!$F$2:$F$21,MATCH($A480,Accounts!$B$2:$B$21,0))&amp;""="","(no PS)",INDEX(Accounts!$F$2:$F$21,MATCH($A480,Accounts!$B$2:$B$21,0))&amp;""),"")))),""))</f>
        <v/>
      </c>
      <c r="F480" s="42" t="s">
        <v>104</v>
      </c>
      <c r="I480" s="42" t="s">
        <v>34</v>
      </c>
      <c r="K480" s="44" t="str">
        <f t="shared" si="1"/>
        <v>Owner missing </v>
      </c>
    </row>
    <row r="481" ht="15.75" customHeight="1">
      <c r="E481" s="43" t="str">
        <f t="array" ref="E481">IF($A481="","",IFERROR(IF($D481="TSE",INDEX(Accounts!$G$2:$G$21,MATCH($A481,Accounts!$B$2:$B$21,0))&amp;"",IF($D481="PS",INDEX(Accounts!$F$2:$F$21,MATCH($A481,Accounts!$B$2:$B$21,0))&amp;"",IF($D481="Named engineer",INDEX(Accounts!$I$2:$I$21,MATCH($A481,Accounts!$B$2:$B$21,0))&amp;"",IF($D481="TSE + PS",IF(INDEX(Accounts!$G$2:$G$21,MATCH($A481,Accounts!$B$2:$B$21,0))&amp;""="","(no TSE)",INDEX(Accounts!$G$2:$G$21,MATCH($A481,Accounts!$B$2:$B$21,0))&amp;"")&amp;" / "&amp;IF(INDEX(Accounts!$F$2:$F$21,MATCH($A481,Accounts!$B$2:$B$21,0))&amp;""="","(no PS)",INDEX(Accounts!$F$2:$F$21,MATCH($A481,Accounts!$B$2:$B$21,0))&amp;""),"")))),""))</f>
        <v/>
      </c>
      <c r="F481" s="42" t="s">
        <v>104</v>
      </c>
      <c r="I481" s="42" t="s">
        <v>34</v>
      </c>
      <c r="K481" s="44" t="str">
        <f t="shared" si="1"/>
        <v>Owner missing </v>
      </c>
    </row>
    <row r="482" ht="15.75" customHeight="1">
      <c r="E482" s="43" t="str">
        <f t="array" ref="E482">IF($A482="","",IFERROR(IF($D482="TSE",INDEX(Accounts!$G$2:$G$21,MATCH($A482,Accounts!$B$2:$B$21,0))&amp;"",IF($D482="PS",INDEX(Accounts!$F$2:$F$21,MATCH($A482,Accounts!$B$2:$B$21,0))&amp;"",IF($D482="Named engineer",INDEX(Accounts!$I$2:$I$21,MATCH($A482,Accounts!$B$2:$B$21,0))&amp;"",IF($D482="TSE + PS",IF(INDEX(Accounts!$G$2:$G$21,MATCH($A482,Accounts!$B$2:$B$21,0))&amp;""="","(no TSE)",INDEX(Accounts!$G$2:$G$21,MATCH($A482,Accounts!$B$2:$B$21,0))&amp;"")&amp;" / "&amp;IF(INDEX(Accounts!$F$2:$F$21,MATCH($A482,Accounts!$B$2:$B$21,0))&amp;""="","(no PS)",INDEX(Accounts!$F$2:$F$21,MATCH($A482,Accounts!$B$2:$B$21,0))&amp;""),"")))),""))</f>
        <v/>
      </c>
      <c r="F482" s="42" t="s">
        <v>104</v>
      </c>
      <c r="I482" s="42" t="s">
        <v>34</v>
      </c>
      <c r="K482" s="44" t="str">
        <f t="shared" si="1"/>
        <v>Owner missing </v>
      </c>
    </row>
    <row r="483" ht="15.75" customHeight="1">
      <c r="E483" s="43" t="str">
        <f t="array" ref="E483">IF($A483="","",IFERROR(IF($D483="TSE",INDEX(Accounts!$G$2:$G$21,MATCH($A483,Accounts!$B$2:$B$21,0))&amp;"",IF($D483="PS",INDEX(Accounts!$F$2:$F$21,MATCH($A483,Accounts!$B$2:$B$21,0))&amp;"",IF($D483="Named engineer",INDEX(Accounts!$I$2:$I$21,MATCH($A483,Accounts!$B$2:$B$21,0))&amp;"",IF($D483="TSE + PS",IF(INDEX(Accounts!$G$2:$G$21,MATCH($A483,Accounts!$B$2:$B$21,0))&amp;""="","(no TSE)",INDEX(Accounts!$G$2:$G$21,MATCH($A483,Accounts!$B$2:$B$21,0))&amp;"")&amp;" / "&amp;IF(INDEX(Accounts!$F$2:$F$21,MATCH($A483,Accounts!$B$2:$B$21,0))&amp;""="","(no PS)",INDEX(Accounts!$F$2:$F$21,MATCH($A483,Accounts!$B$2:$B$21,0))&amp;""),"")))),""))</f>
        <v/>
      </c>
      <c r="F483" s="42" t="s">
        <v>104</v>
      </c>
      <c r="I483" s="42" t="s">
        <v>34</v>
      </c>
      <c r="K483" s="44" t="str">
        <f t="shared" si="1"/>
        <v>Owner missing </v>
      </c>
    </row>
    <row r="484" ht="15.75" customHeight="1">
      <c r="E484" s="43" t="str">
        <f t="array" ref="E484">IF($A484="","",IFERROR(IF($D484="TSE",INDEX(Accounts!$G$2:$G$21,MATCH($A484,Accounts!$B$2:$B$21,0))&amp;"",IF($D484="PS",INDEX(Accounts!$F$2:$F$21,MATCH($A484,Accounts!$B$2:$B$21,0))&amp;"",IF($D484="Named engineer",INDEX(Accounts!$I$2:$I$21,MATCH($A484,Accounts!$B$2:$B$21,0))&amp;"",IF($D484="TSE + PS",IF(INDEX(Accounts!$G$2:$G$21,MATCH($A484,Accounts!$B$2:$B$21,0))&amp;""="","(no TSE)",INDEX(Accounts!$G$2:$G$21,MATCH($A484,Accounts!$B$2:$B$21,0))&amp;"")&amp;" / "&amp;IF(INDEX(Accounts!$F$2:$F$21,MATCH($A484,Accounts!$B$2:$B$21,0))&amp;""="","(no PS)",INDEX(Accounts!$F$2:$F$21,MATCH($A484,Accounts!$B$2:$B$21,0))&amp;""),"")))),""))</f>
        <v/>
      </c>
      <c r="F484" s="42" t="s">
        <v>104</v>
      </c>
      <c r="I484" s="42" t="s">
        <v>34</v>
      </c>
      <c r="K484" s="44" t="str">
        <f t="shared" si="1"/>
        <v>Owner missing </v>
      </c>
    </row>
    <row r="485" ht="15.75" customHeight="1">
      <c r="E485" s="43" t="str">
        <f t="array" ref="E485">IF($A485="","",IFERROR(IF($D485="TSE",INDEX(Accounts!$G$2:$G$21,MATCH($A485,Accounts!$B$2:$B$21,0))&amp;"",IF($D485="PS",INDEX(Accounts!$F$2:$F$21,MATCH($A485,Accounts!$B$2:$B$21,0))&amp;"",IF($D485="Named engineer",INDEX(Accounts!$I$2:$I$21,MATCH($A485,Accounts!$B$2:$B$21,0))&amp;"",IF($D485="TSE + PS",IF(INDEX(Accounts!$G$2:$G$21,MATCH($A485,Accounts!$B$2:$B$21,0))&amp;""="","(no TSE)",INDEX(Accounts!$G$2:$G$21,MATCH($A485,Accounts!$B$2:$B$21,0))&amp;"")&amp;" / "&amp;IF(INDEX(Accounts!$F$2:$F$21,MATCH($A485,Accounts!$B$2:$B$21,0))&amp;""="","(no PS)",INDEX(Accounts!$F$2:$F$21,MATCH($A485,Accounts!$B$2:$B$21,0))&amp;""),"")))),""))</f>
        <v/>
      </c>
      <c r="F485" s="42" t="s">
        <v>104</v>
      </c>
      <c r="I485" s="42" t="s">
        <v>34</v>
      </c>
      <c r="K485" s="44" t="str">
        <f t="shared" si="1"/>
        <v>Owner missing </v>
      </c>
    </row>
    <row r="486" ht="15.75" customHeight="1">
      <c r="E486" s="43" t="str">
        <f t="array" ref="E486">IF($A486="","",IFERROR(IF($D486="TSE",INDEX(Accounts!$G$2:$G$21,MATCH($A486,Accounts!$B$2:$B$21,0))&amp;"",IF($D486="PS",INDEX(Accounts!$F$2:$F$21,MATCH($A486,Accounts!$B$2:$B$21,0))&amp;"",IF($D486="Named engineer",INDEX(Accounts!$I$2:$I$21,MATCH($A486,Accounts!$B$2:$B$21,0))&amp;"",IF($D486="TSE + PS",IF(INDEX(Accounts!$G$2:$G$21,MATCH($A486,Accounts!$B$2:$B$21,0))&amp;""="","(no TSE)",INDEX(Accounts!$G$2:$G$21,MATCH($A486,Accounts!$B$2:$B$21,0))&amp;"")&amp;" / "&amp;IF(INDEX(Accounts!$F$2:$F$21,MATCH($A486,Accounts!$B$2:$B$21,0))&amp;""="","(no PS)",INDEX(Accounts!$F$2:$F$21,MATCH($A486,Accounts!$B$2:$B$21,0))&amp;""),"")))),""))</f>
        <v/>
      </c>
      <c r="F486" s="42" t="s">
        <v>104</v>
      </c>
      <c r="I486" s="42" t="s">
        <v>34</v>
      </c>
      <c r="K486" s="44" t="str">
        <f t="shared" si="1"/>
        <v>Owner missing </v>
      </c>
    </row>
    <row r="487" ht="15.75" customHeight="1">
      <c r="E487" s="43" t="str">
        <f t="array" ref="E487">IF($A487="","",IFERROR(IF($D487="TSE",INDEX(Accounts!$G$2:$G$21,MATCH($A487,Accounts!$B$2:$B$21,0))&amp;"",IF($D487="PS",INDEX(Accounts!$F$2:$F$21,MATCH($A487,Accounts!$B$2:$B$21,0))&amp;"",IF($D487="Named engineer",INDEX(Accounts!$I$2:$I$21,MATCH($A487,Accounts!$B$2:$B$21,0))&amp;"",IF($D487="TSE + PS",IF(INDEX(Accounts!$G$2:$G$21,MATCH($A487,Accounts!$B$2:$B$21,0))&amp;""="","(no TSE)",INDEX(Accounts!$G$2:$G$21,MATCH($A487,Accounts!$B$2:$B$21,0))&amp;"")&amp;" / "&amp;IF(INDEX(Accounts!$F$2:$F$21,MATCH($A487,Accounts!$B$2:$B$21,0))&amp;""="","(no PS)",INDEX(Accounts!$F$2:$F$21,MATCH($A487,Accounts!$B$2:$B$21,0))&amp;""),"")))),""))</f>
        <v/>
      </c>
      <c r="F487" s="42" t="s">
        <v>104</v>
      </c>
      <c r="I487" s="42" t="s">
        <v>34</v>
      </c>
      <c r="K487" s="44" t="str">
        <f t="shared" si="1"/>
        <v>Owner missing </v>
      </c>
    </row>
    <row r="488" ht="15.75" customHeight="1">
      <c r="E488" s="43" t="str">
        <f t="array" ref="E488">IF($A488="","",IFERROR(IF($D488="TSE",INDEX(Accounts!$G$2:$G$21,MATCH($A488,Accounts!$B$2:$B$21,0))&amp;"",IF($D488="PS",INDEX(Accounts!$F$2:$F$21,MATCH($A488,Accounts!$B$2:$B$21,0))&amp;"",IF($D488="Named engineer",INDEX(Accounts!$I$2:$I$21,MATCH($A488,Accounts!$B$2:$B$21,0))&amp;"",IF($D488="TSE + PS",IF(INDEX(Accounts!$G$2:$G$21,MATCH($A488,Accounts!$B$2:$B$21,0))&amp;""="","(no TSE)",INDEX(Accounts!$G$2:$G$21,MATCH($A488,Accounts!$B$2:$B$21,0))&amp;"")&amp;" / "&amp;IF(INDEX(Accounts!$F$2:$F$21,MATCH($A488,Accounts!$B$2:$B$21,0))&amp;""="","(no PS)",INDEX(Accounts!$F$2:$F$21,MATCH($A488,Accounts!$B$2:$B$21,0))&amp;""),"")))),""))</f>
        <v/>
      </c>
      <c r="F488" s="42" t="s">
        <v>104</v>
      </c>
      <c r="I488" s="42" t="s">
        <v>34</v>
      </c>
      <c r="K488" s="44" t="str">
        <f t="shared" si="1"/>
        <v>Owner missing </v>
      </c>
    </row>
    <row r="489" ht="15.75" customHeight="1">
      <c r="E489" s="43" t="str">
        <f t="array" ref="E489">IF($A489="","",IFERROR(IF($D489="TSE",INDEX(Accounts!$G$2:$G$21,MATCH($A489,Accounts!$B$2:$B$21,0))&amp;"",IF($D489="PS",INDEX(Accounts!$F$2:$F$21,MATCH($A489,Accounts!$B$2:$B$21,0))&amp;"",IF($D489="Named engineer",INDEX(Accounts!$I$2:$I$21,MATCH($A489,Accounts!$B$2:$B$21,0))&amp;"",IF($D489="TSE + PS",IF(INDEX(Accounts!$G$2:$G$21,MATCH($A489,Accounts!$B$2:$B$21,0))&amp;""="","(no TSE)",INDEX(Accounts!$G$2:$G$21,MATCH($A489,Accounts!$B$2:$B$21,0))&amp;"")&amp;" / "&amp;IF(INDEX(Accounts!$F$2:$F$21,MATCH($A489,Accounts!$B$2:$B$21,0))&amp;""="","(no PS)",INDEX(Accounts!$F$2:$F$21,MATCH($A489,Accounts!$B$2:$B$21,0))&amp;""),"")))),""))</f>
        <v/>
      </c>
      <c r="F489" s="42" t="s">
        <v>104</v>
      </c>
      <c r="I489" s="42" t="s">
        <v>34</v>
      </c>
      <c r="K489" s="44" t="str">
        <f t="shared" si="1"/>
        <v>Owner missing </v>
      </c>
    </row>
    <row r="490" ht="15.75" customHeight="1">
      <c r="E490" s="43" t="str">
        <f t="array" ref="E490">IF($A490="","",IFERROR(IF($D490="TSE",INDEX(Accounts!$G$2:$G$21,MATCH($A490,Accounts!$B$2:$B$21,0))&amp;"",IF($D490="PS",INDEX(Accounts!$F$2:$F$21,MATCH($A490,Accounts!$B$2:$B$21,0))&amp;"",IF($D490="Named engineer",INDEX(Accounts!$I$2:$I$21,MATCH($A490,Accounts!$B$2:$B$21,0))&amp;"",IF($D490="TSE + PS",IF(INDEX(Accounts!$G$2:$G$21,MATCH($A490,Accounts!$B$2:$B$21,0))&amp;""="","(no TSE)",INDEX(Accounts!$G$2:$G$21,MATCH($A490,Accounts!$B$2:$B$21,0))&amp;"")&amp;" / "&amp;IF(INDEX(Accounts!$F$2:$F$21,MATCH($A490,Accounts!$B$2:$B$21,0))&amp;""="","(no PS)",INDEX(Accounts!$F$2:$F$21,MATCH($A490,Accounts!$B$2:$B$21,0))&amp;""),"")))),""))</f>
        <v/>
      </c>
      <c r="F490" s="42" t="s">
        <v>104</v>
      </c>
      <c r="I490" s="42" t="s">
        <v>34</v>
      </c>
      <c r="K490" s="44" t="str">
        <f t="shared" si="1"/>
        <v>Owner missing </v>
      </c>
    </row>
    <row r="491" ht="15.75" customHeight="1">
      <c r="E491" s="43" t="str">
        <f t="array" ref="E491">IF($A491="","",IFERROR(IF($D491="TSE",INDEX(Accounts!$G$2:$G$21,MATCH($A491,Accounts!$B$2:$B$21,0))&amp;"",IF($D491="PS",INDEX(Accounts!$F$2:$F$21,MATCH($A491,Accounts!$B$2:$B$21,0))&amp;"",IF($D491="Named engineer",INDEX(Accounts!$I$2:$I$21,MATCH($A491,Accounts!$B$2:$B$21,0))&amp;"",IF($D491="TSE + PS",IF(INDEX(Accounts!$G$2:$G$21,MATCH($A491,Accounts!$B$2:$B$21,0))&amp;""="","(no TSE)",INDEX(Accounts!$G$2:$G$21,MATCH($A491,Accounts!$B$2:$B$21,0))&amp;"")&amp;" / "&amp;IF(INDEX(Accounts!$F$2:$F$21,MATCH($A491,Accounts!$B$2:$B$21,0))&amp;""="","(no PS)",INDEX(Accounts!$F$2:$F$21,MATCH($A491,Accounts!$B$2:$B$21,0))&amp;""),"")))),""))</f>
        <v/>
      </c>
      <c r="F491" s="42" t="s">
        <v>104</v>
      </c>
      <c r="I491" s="42" t="s">
        <v>34</v>
      </c>
      <c r="K491" s="44" t="str">
        <f t="shared" si="1"/>
        <v>Owner missing </v>
      </c>
    </row>
    <row r="492" ht="15.75" customHeight="1">
      <c r="E492" s="43" t="str">
        <f t="array" ref="E492">IF($A492="","",IFERROR(IF($D492="TSE",INDEX(Accounts!$G$2:$G$21,MATCH($A492,Accounts!$B$2:$B$21,0))&amp;"",IF($D492="PS",INDEX(Accounts!$F$2:$F$21,MATCH($A492,Accounts!$B$2:$B$21,0))&amp;"",IF($D492="Named engineer",INDEX(Accounts!$I$2:$I$21,MATCH($A492,Accounts!$B$2:$B$21,0))&amp;"",IF($D492="TSE + PS",IF(INDEX(Accounts!$G$2:$G$21,MATCH($A492,Accounts!$B$2:$B$21,0))&amp;""="","(no TSE)",INDEX(Accounts!$G$2:$G$21,MATCH($A492,Accounts!$B$2:$B$21,0))&amp;"")&amp;" / "&amp;IF(INDEX(Accounts!$F$2:$F$21,MATCH($A492,Accounts!$B$2:$B$21,0))&amp;""="","(no PS)",INDEX(Accounts!$F$2:$F$21,MATCH($A492,Accounts!$B$2:$B$21,0))&amp;""),"")))),""))</f>
        <v/>
      </c>
      <c r="F492" s="42" t="s">
        <v>104</v>
      </c>
      <c r="I492" s="42" t="s">
        <v>34</v>
      </c>
      <c r="K492" s="44" t="str">
        <f t="shared" si="1"/>
        <v>Owner missing </v>
      </c>
    </row>
    <row r="493" ht="15.75" customHeight="1">
      <c r="E493" s="43" t="str">
        <f t="array" ref="E493">IF($A493="","",IFERROR(IF($D493="TSE",INDEX(Accounts!$G$2:$G$21,MATCH($A493,Accounts!$B$2:$B$21,0))&amp;"",IF($D493="PS",INDEX(Accounts!$F$2:$F$21,MATCH($A493,Accounts!$B$2:$B$21,0))&amp;"",IF($D493="Named engineer",INDEX(Accounts!$I$2:$I$21,MATCH($A493,Accounts!$B$2:$B$21,0))&amp;"",IF($D493="TSE + PS",IF(INDEX(Accounts!$G$2:$G$21,MATCH($A493,Accounts!$B$2:$B$21,0))&amp;""="","(no TSE)",INDEX(Accounts!$G$2:$G$21,MATCH($A493,Accounts!$B$2:$B$21,0))&amp;"")&amp;" / "&amp;IF(INDEX(Accounts!$F$2:$F$21,MATCH($A493,Accounts!$B$2:$B$21,0))&amp;""="","(no PS)",INDEX(Accounts!$F$2:$F$21,MATCH($A493,Accounts!$B$2:$B$21,0))&amp;""),"")))),""))</f>
        <v/>
      </c>
      <c r="F493" s="42" t="s">
        <v>104</v>
      </c>
      <c r="I493" s="42" t="s">
        <v>34</v>
      </c>
      <c r="K493" s="44" t="str">
        <f t="shared" si="1"/>
        <v>Owner missing </v>
      </c>
    </row>
    <row r="494" ht="15.75" customHeight="1">
      <c r="E494" s="43" t="str">
        <f t="array" ref="E494">IF($A494="","",IFERROR(IF($D494="TSE",INDEX(Accounts!$G$2:$G$21,MATCH($A494,Accounts!$B$2:$B$21,0))&amp;"",IF($D494="PS",INDEX(Accounts!$F$2:$F$21,MATCH($A494,Accounts!$B$2:$B$21,0))&amp;"",IF($D494="Named engineer",INDEX(Accounts!$I$2:$I$21,MATCH($A494,Accounts!$B$2:$B$21,0))&amp;"",IF($D494="TSE + PS",IF(INDEX(Accounts!$G$2:$G$21,MATCH($A494,Accounts!$B$2:$B$21,0))&amp;""="","(no TSE)",INDEX(Accounts!$G$2:$G$21,MATCH($A494,Accounts!$B$2:$B$21,0))&amp;"")&amp;" / "&amp;IF(INDEX(Accounts!$F$2:$F$21,MATCH($A494,Accounts!$B$2:$B$21,0))&amp;""="","(no PS)",INDEX(Accounts!$F$2:$F$21,MATCH($A494,Accounts!$B$2:$B$21,0))&amp;""),"")))),""))</f>
        <v/>
      </c>
      <c r="F494" s="42" t="s">
        <v>104</v>
      </c>
      <c r="I494" s="42" t="s">
        <v>34</v>
      </c>
      <c r="K494" s="44" t="str">
        <f t="shared" si="1"/>
        <v>Owner missing </v>
      </c>
    </row>
    <row r="495" ht="15.75" customHeight="1">
      <c r="E495" s="43" t="str">
        <f t="array" ref="E495">IF($A495="","",IFERROR(IF($D495="TSE",INDEX(Accounts!$G$2:$G$21,MATCH($A495,Accounts!$B$2:$B$21,0))&amp;"",IF($D495="PS",INDEX(Accounts!$F$2:$F$21,MATCH($A495,Accounts!$B$2:$B$21,0))&amp;"",IF($D495="Named engineer",INDEX(Accounts!$I$2:$I$21,MATCH($A495,Accounts!$B$2:$B$21,0))&amp;"",IF($D495="TSE + PS",IF(INDEX(Accounts!$G$2:$G$21,MATCH($A495,Accounts!$B$2:$B$21,0))&amp;""="","(no TSE)",INDEX(Accounts!$G$2:$G$21,MATCH($A495,Accounts!$B$2:$B$21,0))&amp;"")&amp;" / "&amp;IF(INDEX(Accounts!$F$2:$F$21,MATCH($A495,Accounts!$B$2:$B$21,0))&amp;""="","(no PS)",INDEX(Accounts!$F$2:$F$21,MATCH($A495,Accounts!$B$2:$B$21,0))&amp;""),"")))),""))</f>
        <v/>
      </c>
      <c r="F495" s="42" t="s">
        <v>104</v>
      </c>
      <c r="I495" s="42" t="s">
        <v>34</v>
      </c>
      <c r="K495" s="44" t="str">
        <f t="shared" si="1"/>
        <v>Owner missing </v>
      </c>
    </row>
    <row r="496" ht="15.75" customHeight="1">
      <c r="E496" s="43" t="str">
        <f t="array" ref="E496">IF($A496="","",IFERROR(IF($D496="TSE",INDEX(Accounts!$G$2:$G$21,MATCH($A496,Accounts!$B$2:$B$21,0))&amp;"",IF($D496="PS",INDEX(Accounts!$F$2:$F$21,MATCH($A496,Accounts!$B$2:$B$21,0))&amp;"",IF($D496="Named engineer",INDEX(Accounts!$I$2:$I$21,MATCH($A496,Accounts!$B$2:$B$21,0))&amp;"",IF($D496="TSE + PS",IF(INDEX(Accounts!$G$2:$G$21,MATCH($A496,Accounts!$B$2:$B$21,0))&amp;""="","(no TSE)",INDEX(Accounts!$G$2:$G$21,MATCH($A496,Accounts!$B$2:$B$21,0))&amp;"")&amp;" / "&amp;IF(INDEX(Accounts!$F$2:$F$21,MATCH($A496,Accounts!$B$2:$B$21,0))&amp;""="","(no PS)",INDEX(Accounts!$F$2:$F$21,MATCH($A496,Accounts!$B$2:$B$21,0))&amp;""),"")))),""))</f>
        <v/>
      </c>
      <c r="F496" s="42" t="s">
        <v>104</v>
      </c>
      <c r="I496" s="42" t="s">
        <v>34</v>
      </c>
      <c r="K496" s="44" t="str">
        <f t="shared" si="1"/>
        <v>Owner missing </v>
      </c>
    </row>
    <row r="497" ht="15.75" customHeight="1">
      <c r="E497" s="43" t="str">
        <f t="array" ref="E497">IF($A497="","",IFERROR(IF($D497="TSE",INDEX(Accounts!$G$2:$G$21,MATCH($A497,Accounts!$B$2:$B$21,0))&amp;"",IF($D497="PS",INDEX(Accounts!$F$2:$F$21,MATCH($A497,Accounts!$B$2:$B$21,0))&amp;"",IF($D497="Named engineer",INDEX(Accounts!$I$2:$I$21,MATCH($A497,Accounts!$B$2:$B$21,0))&amp;"",IF($D497="TSE + PS",IF(INDEX(Accounts!$G$2:$G$21,MATCH($A497,Accounts!$B$2:$B$21,0))&amp;""="","(no TSE)",INDEX(Accounts!$G$2:$G$21,MATCH($A497,Accounts!$B$2:$B$21,0))&amp;"")&amp;" / "&amp;IF(INDEX(Accounts!$F$2:$F$21,MATCH($A497,Accounts!$B$2:$B$21,0))&amp;""="","(no PS)",INDEX(Accounts!$F$2:$F$21,MATCH($A497,Accounts!$B$2:$B$21,0))&amp;""),"")))),""))</f>
        <v/>
      </c>
      <c r="F497" s="42" t="s">
        <v>104</v>
      </c>
      <c r="I497" s="42" t="s">
        <v>34</v>
      </c>
      <c r="K497" s="44" t="str">
        <f t="shared" si="1"/>
        <v>Owner missing </v>
      </c>
    </row>
    <row r="498" ht="15.75" customHeight="1">
      <c r="E498" s="43" t="str">
        <f t="array" ref="E498">IF($A498="","",IFERROR(IF($D498="TSE",INDEX(Accounts!$G$2:$G$21,MATCH($A498,Accounts!$B$2:$B$21,0))&amp;"",IF($D498="PS",INDEX(Accounts!$F$2:$F$21,MATCH($A498,Accounts!$B$2:$B$21,0))&amp;"",IF($D498="Named engineer",INDEX(Accounts!$I$2:$I$21,MATCH($A498,Accounts!$B$2:$B$21,0))&amp;"",IF($D498="TSE + PS",IF(INDEX(Accounts!$G$2:$G$21,MATCH($A498,Accounts!$B$2:$B$21,0))&amp;""="","(no TSE)",INDEX(Accounts!$G$2:$G$21,MATCH($A498,Accounts!$B$2:$B$21,0))&amp;"")&amp;" / "&amp;IF(INDEX(Accounts!$F$2:$F$21,MATCH($A498,Accounts!$B$2:$B$21,0))&amp;""="","(no PS)",INDEX(Accounts!$F$2:$F$21,MATCH($A498,Accounts!$B$2:$B$21,0))&amp;""),"")))),""))</f>
        <v/>
      </c>
      <c r="F498" s="42" t="s">
        <v>104</v>
      </c>
      <c r="I498" s="42" t="s">
        <v>34</v>
      </c>
      <c r="K498" s="44" t="str">
        <f t="shared" si="1"/>
        <v>Owner missing </v>
      </c>
    </row>
    <row r="499" ht="15.75" customHeight="1">
      <c r="E499" s="43" t="str">
        <f t="array" ref="E499">IF($A499="","",IFERROR(IF($D499="TSE",INDEX(Accounts!$G$2:$G$21,MATCH($A499,Accounts!$B$2:$B$21,0))&amp;"",IF($D499="PS",INDEX(Accounts!$F$2:$F$21,MATCH($A499,Accounts!$B$2:$B$21,0))&amp;"",IF($D499="Named engineer",INDEX(Accounts!$I$2:$I$21,MATCH($A499,Accounts!$B$2:$B$21,0))&amp;"",IF($D499="TSE + PS",IF(INDEX(Accounts!$G$2:$G$21,MATCH($A499,Accounts!$B$2:$B$21,0))&amp;""="","(no TSE)",INDEX(Accounts!$G$2:$G$21,MATCH($A499,Accounts!$B$2:$B$21,0))&amp;"")&amp;" / "&amp;IF(INDEX(Accounts!$F$2:$F$21,MATCH($A499,Accounts!$B$2:$B$21,0))&amp;""="","(no PS)",INDEX(Accounts!$F$2:$F$21,MATCH($A499,Accounts!$B$2:$B$21,0))&amp;""),"")))),""))</f>
        <v/>
      </c>
      <c r="F499" s="42" t="s">
        <v>104</v>
      </c>
      <c r="I499" s="42" t="s">
        <v>34</v>
      </c>
      <c r="K499" s="44" t="str">
        <f t="shared" si="1"/>
        <v>Owner missing </v>
      </c>
    </row>
    <row r="500" ht="15.75" customHeight="1">
      <c r="E500" s="43" t="str">
        <f t="array" ref="E500">IF($A500="","",IFERROR(IF($D500="TSE",INDEX(Accounts!$G$2:$G$21,MATCH($A500,Accounts!$B$2:$B$21,0))&amp;"",IF($D500="PS",INDEX(Accounts!$F$2:$F$21,MATCH($A500,Accounts!$B$2:$B$21,0))&amp;"",IF($D500="Named engineer",INDEX(Accounts!$I$2:$I$21,MATCH($A500,Accounts!$B$2:$B$21,0))&amp;"",IF($D500="TSE + PS",IF(INDEX(Accounts!$G$2:$G$21,MATCH($A500,Accounts!$B$2:$B$21,0))&amp;""="","(no TSE)",INDEX(Accounts!$G$2:$G$21,MATCH($A500,Accounts!$B$2:$B$21,0))&amp;"")&amp;" / "&amp;IF(INDEX(Accounts!$F$2:$F$21,MATCH($A500,Accounts!$B$2:$B$21,0))&amp;""="","(no PS)",INDEX(Accounts!$F$2:$F$21,MATCH($A500,Accounts!$B$2:$B$21,0))&amp;""),"")))),""))</f>
        <v/>
      </c>
      <c r="F500" s="42" t="s">
        <v>104</v>
      </c>
      <c r="I500" s="42" t="s">
        <v>34</v>
      </c>
      <c r="K500" s="44" t="str">
        <f t="shared" si="1"/>
        <v>Owner missing </v>
      </c>
    </row>
    <row r="501" ht="15.75" customHeight="1">
      <c r="E501" s="43" t="str">
        <f t="array" ref="E501">IF($A501="","",IFERROR(IF($D501="TSE",INDEX(Accounts!$G$2:$G$21,MATCH($A501,Accounts!$B$2:$B$21,0))&amp;"",IF($D501="PS",INDEX(Accounts!$F$2:$F$21,MATCH($A501,Accounts!$B$2:$B$21,0))&amp;"",IF($D501="Named engineer",INDEX(Accounts!$I$2:$I$21,MATCH($A501,Accounts!$B$2:$B$21,0))&amp;"",IF($D501="TSE + PS",IF(INDEX(Accounts!$G$2:$G$21,MATCH($A501,Accounts!$B$2:$B$21,0))&amp;""="","(no TSE)",INDEX(Accounts!$G$2:$G$21,MATCH($A501,Accounts!$B$2:$B$21,0))&amp;"")&amp;" / "&amp;IF(INDEX(Accounts!$F$2:$F$21,MATCH($A501,Accounts!$B$2:$B$21,0))&amp;""="","(no PS)",INDEX(Accounts!$F$2:$F$21,MATCH($A501,Accounts!$B$2:$B$21,0))&amp;""),"")))),""))</f>
        <v/>
      </c>
      <c r="F501" s="42" t="s">
        <v>104</v>
      </c>
      <c r="I501" s="42" t="s">
        <v>34</v>
      </c>
      <c r="K501" s="44" t="str">
        <f t="shared" si="1"/>
        <v>Owner missing </v>
      </c>
    </row>
    <row r="502" ht="15.75" customHeight="1">
      <c r="E502" s="43" t="str">
        <f t="array" ref="E502">IF($A502="","",IFERROR(IF($D502="TSE",INDEX(Accounts!$G$2:$G$21,MATCH($A502,Accounts!$B$2:$B$21,0))&amp;"",IF($D502="PS",INDEX(Accounts!$F$2:$F$21,MATCH($A502,Accounts!$B$2:$B$21,0))&amp;"",IF($D502="Named engineer",INDEX(Accounts!$I$2:$I$21,MATCH($A502,Accounts!$B$2:$B$21,0))&amp;"",IF($D502="TSE + PS",IF(INDEX(Accounts!$G$2:$G$21,MATCH($A502,Accounts!$B$2:$B$21,0))&amp;""="","(no TSE)",INDEX(Accounts!$G$2:$G$21,MATCH($A502,Accounts!$B$2:$B$21,0))&amp;"")&amp;" / "&amp;IF(INDEX(Accounts!$F$2:$F$21,MATCH($A502,Accounts!$B$2:$B$21,0))&amp;""="","(no PS)",INDEX(Accounts!$F$2:$F$21,MATCH($A502,Accounts!$B$2:$B$21,0))&amp;""),"")))),""))</f>
        <v/>
      </c>
      <c r="F502" s="42" t="s">
        <v>104</v>
      </c>
      <c r="I502" s="42" t="s">
        <v>34</v>
      </c>
      <c r="K502" s="44" t="str">
        <f t="shared" si="1"/>
        <v>Owner missing </v>
      </c>
    </row>
    <row r="503" ht="15.75" customHeight="1">
      <c r="E503" s="43" t="str">
        <f t="array" ref="E503">IF($A503="","",IFERROR(IF($D503="TSE",INDEX(Accounts!$G$2:$G$21,MATCH($A503,Accounts!$B$2:$B$21,0))&amp;"",IF($D503="PS",INDEX(Accounts!$F$2:$F$21,MATCH($A503,Accounts!$B$2:$B$21,0))&amp;"",IF($D503="Named engineer",INDEX(Accounts!$I$2:$I$21,MATCH($A503,Accounts!$B$2:$B$21,0))&amp;"",IF($D503="TSE + PS",IF(INDEX(Accounts!$G$2:$G$21,MATCH($A503,Accounts!$B$2:$B$21,0))&amp;""="","(no TSE)",INDEX(Accounts!$G$2:$G$21,MATCH($A503,Accounts!$B$2:$B$21,0))&amp;"")&amp;" / "&amp;IF(INDEX(Accounts!$F$2:$F$21,MATCH($A503,Accounts!$B$2:$B$21,0))&amp;""="","(no PS)",INDEX(Accounts!$F$2:$F$21,MATCH($A503,Accounts!$B$2:$B$21,0))&amp;""),"")))),""))</f>
        <v/>
      </c>
      <c r="F503" s="42" t="s">
        <v>104</v>
      </c>
      <c r="I503" s="42" t="s">
        <v>34</v>
      </c>
      <c r="K503" s="44" t="str">
        <f t="shared" si="1"/>
        <v>Owner missing </v>
      </c>
    </row>
    <row r="504" ht="15.75" customHeight="1">
      <c r="E504" s="43" t="str">
        <f t="array" ref="E504">IF($A504="","",IFERROR(IF($D504="TSE",INDEX(Accounts!$G$2:$G$21,MATCH($A504,Accounts!$B$2:$B$21,0))&amp;"",IF($D504="PS",INDEX(Accounts!$F$2:$F$21,MATCH($A504,Accounts!$B$2:$B$21,0))&amp;"",IF($D504="Named engineer",INDEX(Accounts!$I$2:$I$21,MATCH($A504,Accounts!$B$2:$B$21,0))&amp;"",IF($D504="TSE + PS",IF(INDEX(Accounts!$G$2:$G$21,MATCH($A504,Accounts!$B$2:$B$21,0))&amp;""="","(no TSE)",INDEX(Accounts!$G$2:$G$21,MATCH($A504,Accounts!$B$2:$B$21,0))&amp;"")&amp;" / "&amp;IF(INDEX(Accounts!$F$2:$F$21,MATCH($A504,Accounts!$B$2:$B$21,0))&amp;""="","(no PS)",INDEX(Accounts!$F$2:$F$21,MATCH($A504,Accounts!$B$2:$B$21,0))&amp;""),"")))),""))</f>
        <v/>
      </c>
      <c r="F504" s="42" t="s">
        <v>104</v>
      </c>
      <c r="I504" s="42" t="s">
        <v>34</v>
      </c>
      <c r="K504" s="44" t="str">
        <f t="shared" si="1"/>
        <v>Owner missing </v>
      </c>
    </row>
    <row r="505" ht="15.75" customHeight="1">
      <c r="E505" s="43" t="str">
        <f t="array" ref="E505">IF($A505="","",IFERROR(IF($D505="TSE",INDEX(Accounts!$G$2:$G$21,MATCH($A505,Accounts!$B$2:$B$21,0))&amp;"",IF($D505="PS",INDEX(Accounts!$F$2:$F$21,MATCH($A505,Accounts!$B$2:$B$21,0))&amp;"",IF($D505="Named engineer",INDEX(Accounts!$I$2:$I$21,MATCH($A505,Accounts!$B$2:$B$21,0))&amp;"",IF($D505="TSE + PS",IF(INDEX(Accounts!$G$2:$G$21,MATCH($A505,Accounts!$B$2:$B$21,0))&amp;""="","(no TSE)",INDEX(Accounts!$G$2:$G$21,MATCH($A505,Accounts!$B$2:$B$21,0))&amp;"")&amp;" / "&amp;IF(INDEX(Accounts!$F$2:$F$21,MATCH($A505,Accounts!$B$2:$B$21,0))&amp;""="","(no PS)",INDEX(Accounts!$F$2:$F$21,MATCH($A505,Accounts!$B$2:$B$21,0))&amp;""),"")))),""))</f>
        <v/>
      </c>
      <c r="F505" s="42" t="s">
        <v>104</v>
      </c>
      <c r="I505" s="42" t="s">
        <v>34</v>
      </c>
      <c r="K505" s="44" t="str">
        <f t="shared" si="1"/>
        <v>Owner missing </v>
      </c>
    </row>
    <row r="506" ht="15.75" customHeight="1">
      <c r="E506" s="43" t="str">
        <f t="array" ref="E506">IF($A506="","",IFERROR(IF($D506="TSE",INDEX(Accounts!$G$2:$G$21,MATCH($A506,Accounts!$B$2:$B$21,0))&amp;"",IF($D506="PS",INDEX(Accounts!$F$2:$F$21,MATCH($A506,Accounts!$B$2:$B$21,0))&amp;"",IF($D506="Named engineer",INDEX(Accounts!$I$2:$I$21,MATCH($A506,Accounts!$B$2:$B$21,0))&amp;"",IF($D506="TSE + PS",IF(INDEX(Accounts!$G$2:$G$21,MATCH($A506,Accounts!$B$2:$B$21,0))&amp;""="","(no TSE)",INDEX(Accounts!$G$2:$G$21,MATCH($A506,Accounts!$B$2:$B$21,0))&amp;"")&amp;" / "&amp;IF(INDEX(Accounts!$F$2:$F$21,MATCH($A506,Accounts!$B$2:$B$21,0))&amp;""="","(no PS)",INDEX(Accounts!$F$2:$F$21,MATCH($A506,Accounts!$B$2:$B$21,0))&amp;""),"")))),""))</f>
        <v/>
      </c>
      <c r="F506" s="42" t="s">
        <v>104</v>
      </c>
      <c r="I506" s="42" t="s">
        <v>34</v>
      </c>
      <c r="K506" s="44" t="str">
        <f t="shared" si="1"/>
        <v>Owner missing </v>
      </c>
    </row>
    <row r="507" ht="15.75" customHeight="1">
      <c r="E507" s="43" t="str">
        <f t="array" ref="E507">IF($A507="","",IFERROR(IF($D507="TSE",INDEX(Accounts!$G$2:$G$21,MATCH($A507,Accounts!$B$2:$B$21,0))&amp;"",IF($D507="PS",INDEX(Accounts!$F$2:$F$21,MATCH($A507,Accounts!$B$2:$B$21,0))&amp;"",IF($D507="Named engineer",INDEX(Accounts!$I$2:$I$21,MATCH($A507,Accounts!$B$2:$B$21,0))&amp;"",IF($D507="TSE + PS",IF(INDEX(Accounts!$G$2:$G$21,MATCH($A507,Accounts!$B$2:$B$21,0))&amp;""="","(no TSE)",INDEX(Accounts!$G$2:$G$21,MATCH($A507,Accounts!$B$2:$B$21,0))&amp;"")&amp;" / "&amp;IF(INDEX(Accounts!$F$2:$F$21,MATCH($A507,Accounts!$B$2:$B$21,0))&amp;""="","(no PS)",INDEX(Accounts!$F$2:$F$21,MATCH($A507,Accounts!$B$2:$B$21,0))&amp;""),"")))),""))</f>
        <v/>
      </c>
      <c r="F507" s="42" t="s">
        <v>104</v>
      </c>
      <c r="I507" s="42" t="s">
        <v>34</v>
      </c>
      <c r="K507" s="44" t="str">
        <f t="shared" si="1"/>
        <v>Owner missing </v>
      </c>
    </row>
    <row r="508" ht="15.75" customHeight="1">
      <c r="E508" s="43" t="str">
        <f t="array" ref="E508">IF($A508="","",IFERROR(IF($D508="TSE",INDEX(Accounts!$G$2:$G$21,MATCH($A508,Accounts!$B$2:$B$21,0))&amp;"",IF($D508="PS",INDEX(Accounts!$F$2:$F$21,MATCH($A508,Accounts!$B$2:$B$21,0))&amp;"",IF($D508="Named engineer",INDEX(Accounts!$I$2:$I$21,MATCH($A508,Accounts!$B$2:$B$21,0))&amp;"",IF($D508="TSE + PS",IF(INDEX(Accounts!$G$2:$G$21,MATCH($A508,Accounts!$B$2:$B$21,0))&amp;""="","(no TSE)",INDEX(Accounts!$G$2:$G$21,MATCH($A508,Accounts!$B$2:$B$21,0))&amp;"")&amp;" / "&amp;IF(INDEX(Accounts!$F$2:$F$21,MATCH($A508,Accounts!$B$2:$B$21,0))&amp;""="","(no PS)",INDEX(Accounts!$F$2:$F$21,MATCH($A508,Accounts!$B$2:$B$21,0))&amp;""),"")))),""))</f>
        <v/>
      </c>
      <c r="F508" s="42" t="s">
        <v>104</v>
      </c>
      <c r="I508" s="42" t="s">
        <v>34</v>
      </c>
      <c r="K508" s="44" t="str">
        <f t="shared" si="1"/>
        <v>Owner missing </v>
      </c>
    </row>
    <row r="509" ht="15.75" customHeight="1">
      <c r="E509" s="43" t="str">
        <f t="array" ref="E509">IF($A509="","",IFERROR(IF($D509="TSE",INDEX(Accounts!$G$2:$G$21,MATCH($A509,Accounts!$B$2:$B$21,0))&amp;"",IF($D509="PS",INDEX(Accounts!$F$2:$F$21,MATCH($A509,Accounts!$B$2:$B$21,0))&amp;"",IF($D509="Named engineer",INDEX(Accounts!$I$2:$I$21,MATCH($A509,Accounts!$B$2:$B$21,0))&amp;"",IF($D509="TSE + PS",IF(INDEX(Accounts!$G$2:$G$21,MATCH($A509,Accounts!$B$2:$B$21,0))&amp;""="","(no TSE)",INDEX(Accounts!$G$2:$G$21,MATCH($A509,Accounts!$B$2:$B$21,0))&amp;"")&amp;" / "&amp;IF(INDEX(Accounts!$F$2:$F$21,MATCH($A509,Accounts!$B$2:$B$21,0))&amp;""="","(no PS)",INDEX(Accounts!$F$2:$F$21,MATCH($A509,Accounts!$B$2:$B$21,0))&amp;""),"")))),""))</f>
        <v/>
      </c>
      <c r="F509" s="42" t="s">
        <v>104</v>
      </c>
      <c r="I509" s="42" t="s">
        <v>34</v>
      </c>
      <c r="K509" s="44" t="str">
        <f t="shared" si="1"/>
        <v>Owner missing </v>
      </c>
    </row>
    <row r="510" ht="15.75" customHeight="1">
      <c r="E510" s="43" t="str">
        <f t="array" ref="E510">IF($A510="","",IFERROR(IF($D510="TSE",INDEX(Accounts!$G$2:$G$21,MATCH($A510,Accounts!$B$2:$B$21,0))&amp;"",IF($D510="PS",INDEX(Accounts!$F$2:$F$21,MATCH($A510,Accounts!$B$2:$B$21,0))&amp;"",IF($D510="Named engineer",INDEX(Accounts!$I$2:$I$21,MATCH($A510,Accounts!$B$2:$B$21,0))&amp;"",IF($D510="TSE + PS",IF(INDEX(Accounts!$G$2:$G$21,MATCH($A510,Accounts!$B$2:$B$21,0))&amp;""="","(no TSE)",INDEX(Accounts!$G$2:$G$21,MATCH($A510,Accounts!$B$2:$B$21,0))&amp;"")&amp;" / "&amp;IF(INDEX(Accounts!$F$2:$F$21,MATCH($A510,Accounts!$B$2:$B$21,0))&amp;""="","(no PS)",INDEX(Accounts!$F$2:$F$21,MATCH($A510,Accounts!$B$2:$B$21,0))&amp;""),"")))),""))</f>
        <v/>
      </c>
      <c r="F510" s="42" t="s">
        <v>104</v>
      </c>
      <c r="I510" s="42" t="s">
        <v>34</v>
      </c>
      <c r="K510" s="44" t="str">
        <f t="shared" si="1"/>
        <v>Owner missing </v>
      </c>
    </row>
    <row r="511" ht="15.75" customHeight="1">
      <c r="E511" s="43" t="str">
        <f t="array" ref="E511">IF($A511="","",IFERROR(IF($D511="TSE",INDEX(Accounts!$G$2:$G$21,MATCH($A511,Accounts!$B$2:$B$21,0))&amp;"",IF($D511="PS",INDEX(Accounts!$F$2:$F$21,MATCH($A511,Accounts!$B$2:$B$21,0))&amp;"",IF($D511="Named engineer",INDEX(Accounts!$I$2:$I$21,MATCH($A511,Accounts!$B$2:$B$21,0))&amp;"",IF($D511="TSE + PS",IF(INDEX(Accounts!$G$2:$G$21,MATCH($A511,Accounts!$B$2:$B$21,0))&amp;""="","(no TSE)",INDEX(Accounts!$G$2:$G$21,MATCH($A511,Accounts!$B$2:$B$21,0))&amp;"")&amp;" / "&amp;IF(INDEX(Accounts!$F$2:$F$21,MATCH($A511,Accounts!$B$2:$B$21,0))&amp;""="","(no PS)",INDEX(Accounts!$F$2:$F$21,MATCH($A511,Accounts!$B$2:$B$21,0))&amp;""),"")))),""))</f>
        <v/>
      </c>
      <c r="F511" s="42" t="s">
        <v>104</v>
      </c>
      <c r="I511" s="42" t="s">
        <v>34</v>
      </c>
      <c r="K511" s="44" t="str">
        <f t="shared" si="1"/>
        <v>Owner missing </v>
      </c>
    </row>
    <row r="512" ht="15.75" customHeight="1">
      <c r="E512" s="43" t="str">
        <f t="array" ref="E512">IF($A512="","",IFERROR(IF($D512="TSE",INDEX(Accounts!$G$2:$G$21,MATCH($A512,Accounts!$B$2:$B$21,0))&amp;"",IF($D512="PS",INDEX(Accounts!$F$2:$F$21,MATCH($A512,Accounts!$B$2:$B$21,0))&amp;"",IF($D512="Named engineer",INDEX(Accounts!$I$2:$I$21,MATCH($A512,Accounts!$B$2:$B$21,0))&amp;"",IF($D512="TSE + PS",IF(INDEX(Accounts!$G$2:$G$21,MATCH($A512,Accounts!$B$2:$B$21,0))&amp;""="","(no TSE)",INDEX(Accounts!$G$2:$G$21,MATCH($A512,Accounts!$B$2:$B$21,0))&amp;"")&amp;" / "&amp;IF(INDEX(Accounts!$F$2:$F$21,MATCH($A512,Accounts!$B$2:$B$21,0))&amp;""="","(no PS)",INDEX(Accounts!$F$2:$F$21,MATCH($A512,Accounts!$B$2:$B$21,0))&amp;""),"")))),""))</f>
        <v/>
      </c>
      <c r="F512" s="42" t="s">
        <v>104</v>
      </c>
      <c r="I512" s="42" t="s">
        <v>34</v>
      </c>
      <c r="K512" s="44" t="str">
        <f t="shared" si="1"/>
        <v>Owner missing </v>
      </c>
    </row>
    <row r="513" ht="15.75" customHeight="1">
      <c r="E513" s="43" t="str">
        <f t="array" ref="E513">IF($A513="","",IFERROR(IF($D513="TSE",INDEX(Accounts!$G$2:$G$21,MATCH($A513,Accounts!$B$2:$B$21,0))&amp;"",IF($D513="PS",INDEX(Accounts!$F$2:$F$21,MATCH($A513,Accounts!$B$2:$B$21,0))&amp;"",IF($D513="Named engineer",INDEX(Accounts!$I$2:$I$21,MATCH($A513,Accounts!$B$2:$B$21,0))&amp;"",IF($D513="TSE + PS",IF(INDEX(Accounts!$G$2:$G$21,MATCH($A513,Accounts!$B$2:$B$21,0))&amp;""="","(no TSE)",INDEX(Accounts!$G$2:$G$21,MATCH($A513,Accounts!$B$2:$B$21,0))&amp;"")&amp;" / "&amp;IF(INDEX(Accounts!$F$2:$F$21,MATCH($A513,Accounts!$B$2:$B$21,0))&amp;""="","(no PS)",INDEX(Accounts!$F$2:$F$21,MATCH($A513,Accounts!$B$2:$B$21,0))&amp;""),"")))),""))</f>
        <v/>
      </c>
      <c r="F513" s="42" t="s">
        <v>104</v>
      </c>
      <c r="I513" s="42" t="s">
        <v>34</v>
      </c>
      <c r="K513" s="44" t="str">
        <f t="shared" si="1"/>
        <v>Owner missing </v>
      </c>
    </row>
    <row r="514" ht="15.75" customHeight="1">
      <c r="E514" s="43" t="str">
        <f t="array" ref="E514">IF($A514="","",IFERROR(IF($D514="TSE",INDEX(Accounts!$G$2:$G$21,MATCH($A514,Accounts!$B$2:$B$21,0))&amp;"",IF($D514="PS",INDEX(Accounts!$F$2:$F$21,MATCH($A514,Accounts!$B$2:$B$21,0))&amp;"",IF($D514="Named engineer",INDEX(Accounts!$I$2:$I$21,MATCH($A514,Accounts!$B$2:$B$21,0))&amp;"",IF($D514="TSE + PS",IF(INDEX(Accounts!$G$2:$G$21,MATCH($A514,Accounts!$B$2:$B$21,0))&amp;""="","(no TSE)",INDEX(Accounts!$G$2:$G$21,MATCH($A514,Accounts!$B$2:$B$21,0))&amp;"")&amp;" / "&amp;IF(INDEX(Accounts!$F$2:$F$21,MATCH($A514,Accounts!$B$2:$B$21,0))&amp;""="","(no PS)",INDEX(Accounts!$F$2:$F$21,MATCH($A514,Accounts!$B$2:$B$21,0))&amp;""),"")))),""))</f>
        <v/>
      </c>
      <c r="F514" s="42" t="s">
        <v>104</v>
      </c>
      <c r="I514" s="42" t="s">
        <v>34</v>
      </c>
      <c r="K514" s="44" t="str">
        <f t="shared" si="1"/>
        <v>Owner missing </v>
      </c>
    </row>
    <row r="515" ht="15.75" customHeight="1">
      <c r="E515" s="43" t="str">
        <f t="array" ref="E515">IF($A515="","",IFERROR(IF($D515="TSE",INDEX(Accounts!$G$2:$G$21,MATCH($A515,Accounts!$B$2:$B$21,0))&amp;"",IF($D515="PS",INDEX(Accounts!$F$2:$F$21,MATCH($A515,Accounts!$B$2:$B$21,0))&amp;"",IF($D515="Named engineer",INDEX(Accounts!$I$2:$I$21,MATCH($A515,Accounts!$B$2:$B$21,0))&amp;"",IF($D515="TSE + PS",IF(INDEX(Accounts!$G$2:$G$21,MATCH($A515,Accounts!$B$2:$B$21,0))&amp;""="","(no TSE)",INDEX(Accounts!$G$2:$G$21,MATCH($A515,Accounts!$B$2:$B$21,0))&amp;"")&amp;" / "&amp;IF(INDEX(Accounts!$F$2:$F$21,MATCH($A515,Accounts!$B$2:$B$21,0))&amp;""="","(no PS)",INDEX(Accounts!$F$2:$F$21,MATCH($A515,Accounts!$B$2:$B$21,0))&amp;""),"")))),""))</f>
        <v/>
      </c>
      <c r="F515" s="42" t="s">
        <v>104</v>
      </c>
      <c r="I515" s="42" t="s">
        <v>34</v>
      </c>
      <c r="K515" s="44" t="str">
        <f t="shared" si="1"/>
        <v>Owner missing </v>
      </c>
    </row>
    <row r="516" ht="15.75" customHeight="1">
      <c r="E516" s="43" t="str">
        <f t="array" ref="E516">IF($A516="","",IFERROR(IF($D516="TSE",INDEX(Accounts!$G$2:$G$21,MATCH($A516,Accounts!$B$2:$B$21,0))&amp;"",IF($D516="PS",INDEX(Accounts!$F$2:$F$21,MATCH($A516,Accounts!$B$2:$B$21,0))&amp;"",IF($D516="Named engineer",INDEX(Accounts!$I$2:$I$21,MATCH($A516,Accounts!$B$2:$B$21,0))&amp;"",IF($D516="TSE + PS",IF(INDEX(Accounts!$G$2:$G$21,MATCH($A516,Accounts!$B$2:$B$21,0))&amp;""="","(no TSE)",INDEX(Accounts!$G$2:$G$21,MATCH($A516,Accounts!$B$2:$B$21,0))&amp;"")&amp;" / "&amp;IF(INDEX(Accounts!$F$2:$F$21,MATCH($A516,Accounts!$B$2:$B$21,0))&amp;""="","(no PS)",INDEX(Accounts!$F$2:$F$21,MATCH($A516,Accounts!$B$2:$B$21,0))&amp;""),"")))),""))</f>
        <v/>
      </c>
      <c r="F516" s="42" t="s">
        <v>104</v>
      </c>
      <c r="I516" s="42" t="s">
        <v>34</v>
      </c>
      <c r="K516" s="44" t="str">
        <f t="shared" si="1"/>
        <v>Owner missing </v>
      </c>
    </row>
    <row r="517" ht="15.75" customHeight="1">
      <c r="E517" s="43" t="str">
        <f t="array" ref="E517">IF($A517="","",IFERROR(IF($D517="TSE",INDEX(Accounts!$G$2:$G$21,MATCH($A517,Accounts!$B$2:$B$21,0))&amp;"",IF($D517="PS",INDEX(Accounts!$F$2:$F$21,MATCH($A517,Accounts!$B$2:$B$21,0))&amp;"",IF($D517="Named engineer",INDEX(Accounts!$I$2:$I$21,MATCH($A517,Accounts!$B$2:$B$21,0))&amp;"",IF($D517="TSE + PS",IF(INDEX(Accounts!$G$2:$G$21,MATCH($A517,Accounts!$B$2:$B$21,0))&amp;""="","(no TSE)",INDEX(Accounts!$G$2:$G$21,MATCH($A517,Accounts!$B$2:$B$21,0))&amp;"")&amp;" / "&amp;IF(INDEX(Accounts!$F$2:$F$21,MATCH($A517,Accounts!$B$2:$B$21,0))&amp;""="","(no PS)",INDEX(Accounts!$F$2:$F$21,MATCH($A517,Accounts!$B$2:$B$21,0))&amp;""),"")))),""))</f>
        <v/>
      </c>
      <c r="F517" s="42" t="s">
        <v>104</v>
      </c>
      <c r="I517" s="42" t="s">
        <v>34</v>
      </c>
      <c r="K517" s="44" t="str">
        <f t="shared" si="1"/>
        <v>Owner missing </v>
      </c>
    </row>
    <row r="518" ht="15.75" customHeight="1">
      <c r="E518" s="43" t="str">
        <f t="array" ref="E518">IF($A518="","",IFERROR(IF($D518="TSE",INDEX(Accounts!$G$2:$G$21,MATCH($A518,Accounts!$B$2:$B$21,0))&amp;"",IF($D518="PS",INDEX(Accounts!$F$2:$F$21,MATCH($A518,Accounts!$B$2:$B$21,0))&amp;"",IF($D518="Named engineer",INDEX(Accounts!$I$2:$I$21,MATCH($A518,Accounts!$B$2:$B$21,0))&amp;"",IF($D518="TSE + PS",IF(INDEX(Accounts!$G$2:$G$21,MATCH($A518,Accounts!$B$2:$B$21,0))&amp;""="","(no TSE)",INDEX(Accounts!$G$2:$G$21,MATCH($A518,Accounts!$B$2:$B$21,0))&amp;"")&amp;" / "&amp;IF(INDEX(Accounts!$F$2:$F$21,MATCH($A518,Accounts!$B$2:$B$21,0))&amp;""="","(no PS)",INDEX(Accounts!$F$2:$F$21,MATCH($A518,Accounts!$B$2:$B$21,0))&amp;""),"")))),""))</f>
        <v/>
      </c>
      <c r="F518" s="42" t="s">
        <v>104</v>
      </c>
      <c r="I518" s="42" t="s">
        <v>34</v>
      </c>
      <c r="K518" s="44" t="str">
        <f t="shared" si="1"/>
        <v>Owner missing </v>
      </c>
    </row>
    <row r="519" ht="15.75" customHeight="1">
      <c r="E519" s="43" t="str">
        <f t="array" ref="E519">IF($A519="","",IFERROR(IF($D519="TSE",INDEX(Accounts!$G$2:$G$21,MATCH($A519,Accounts!$B$2:$B$21,0))&amp;"",IF($D519="PS",INDEX(Accounts!$F$2:$F$21,MATCH($A519,Accounts!$B$2:$B$21,0))&amp;"",IF($D519="Named engineer",INDEX(Accounts!$I$2:$I$21,MATCH($A519,Accounts!$B$2:$B$21,0))&amp;"",IF($D519="TSE + PS",IF(INDEX(Accounts!$G$2:$G$21,MATCH($A519,Accounts!$B$2:$B$21,0))&amp;""="","(no TSE)",INDEX(Accounts!$G$2:$G$21,MATCH($A519,Accounts!$B$2:$B$21,0))&amp;"")&amp;" / "&amp;IF(INDEX(Accounts!$F$2:$F$21,MATCH($A519,Accounts!$B$2:$B$21,0))&amp;""="","(no PS)",INDEX(Accounts!$F$2:$F$21,MATCH($A519,Accounts!$B$2:$B$21,0))&amp;""),"")))),""))</f>
        <v/>
      </c>
      <c r="F519" s="42" t="s">
        <v>104</v>
      </c>
      <c r="I519" s="42" t="s">
        <v>34</v>
      </c>
      <c r="K519" s="44" t="str">
        <f t="shared" si="1"/>
        <v>Owner missing </v>
      </c>
    </row>
    <row r="520" ht="15.75" customHeight="1">
      <c r="E520" s="43" t="str">
        <f t="array" ref="E520">IF($A520="","",IFERROR(IF($D520="TSE",INDEX(Accounts!$G$2:$G$21,MATCH($A520,Accounts!$B$2:$B$21,0))&amp;"",IF($D520="PS",INDEX(Accounts!$F$2:$F$21,MATCH($A520,Accounts!$B$2:$B$21,0))&amp;"",IF($D520="Named engineer",INDEX(Accounts!$I$2:$I$21,MATCH($A520,Accounts!$B$2:$B$21,0))&amp;"",IF($D520="TSE + PS",IF(INDEX(Accounts!$G$2:$G$21,MATCH($A520,Accounts!$B$2:$B$21,0))&amp;""="","(no TSE)",INDEX(Accounts!$G$2:$G$21,MATCH($A520,Accounts!$B$2:$B$21,0))&amp;"")&amp;" / "&amp;IF(INDEX(Accounts!$F$2:$F$21,MATCH($A520,Accounts!$B$2:$B$21,0))&amp;""="","(no PS)",INDEX(Accounts!$F$2:$F$21,MATCH($A520,Accounts!$B$2:$B$21,0))&amp;""),"")))),""))</f>
        <v/>
      </c>
      <c r="F520" s="42" t="s">
        <v>104</v>
      </c>
      <c r="I520" s="42" t="s">
        <v>34</v>
      </c>
      <c r="K520" s="44" t="str">
        <f t="shared" si="1"/>
        <v>Owner missing </v>
      </c>
    </row>
    <row r="521" ht="15.75" customHeight="1">
      <c r="E521" s="43" t="str">
        <f t="array" ref="E521">IF($A521="","",IFERROR(IF($D521="TSE",INDEX(Accounts!$G$2:$G$21,MATCH($A521,Accounts!$B$2:$B$21,0))&amp;"",IF($D521="PS",INDEX(Accounts!$F$2:$F$21,MATCH($A521,Accounts!$B$2:$B$21,0))&amp;"",IF($D521="Named engineer",INDEX(Accounts!$I$2:$I$21,MATCH($A521,Accounts!$B$2:$B$21,0))&amp;"",IF($D521="TSE + PS",IF(INDEX(Accounts!$G$2:$G$21,MATCH($A521,Accounts!$B$2:$B$21,0))&amp;""="","(no TSE)",INDEX(Accounts!$G$2:$G$21,MATCH($A521,Accounts!$B$2:$B$21,0))&amp;"")&amp;" / "&amp;IF(INDEX(Accounts!$F$2:$F$21,MATCH($A521,Accounts!$B$2:$B$21,0))&amp;""="","(no PS)",INDEX(Accounts!$F$2:$F$21,MATCH($A521,Accounts!$B$2:$B$21,0))&amp;""),"")))),""))</f>
        <v/>
      </c>
      <c r="F521" s="42" t="s">
        <v>104</v>
      </c>
      <c r="I521" s="42" t="s">
        <v>34</v>
      </c>
      <c r="K521" s="44" t="str">
        <f t="shared" si="1"/>
        <v>Owner missing </v>
      </c>
    </row>
    <row r="522" ht="15.75" customHeight="1">
      <c r="E522" s="43" t="str">
        <f t="array" ref="E522">IF($A522="","",IFERROR(IF($D522="TSE",INDEX(Accounts!$G$2:$G$21,MATCH($A522,Accounts!$B$2:$B$21,0))&amp;"",IF($D522="PS",INDEX(Accounts!$F$2:$F$21,MATCH($A522,Accounts!$B$2:$B$21,0))&amp;"",IF($D522="Named engineer",INDEX(Accounts!$I$2:$I$21,MATCH($A522,Accounts!$B$2:$B$21,0))&amp;"",IF($D522="TSE + PS",IF(INDEX(Accounts!$G$2:$G$21,MATCH($A522,Accounts!$B$2:$B$21,0))&amp;""="","(no TSE)",INDEX(Accounts!$G$2:$G$21,MATCH($A522,Accounts!$B$2:$B$21,0))&amp;"")&amp;" / "&amp;IF(INDEX(Accounts!$F$2:$F$21,MATCH($A522,Accounts!$B$2:$B$21,0))&amp;""="","(no PS)",INDEX(Accounts!$F$2:$F$21,MATCH($A522,Accounts!$B$2:$B$21,0))&amp;""),"")))),""))</f>
        <v/>
      </c>
      <c r="F522" s="42" t="s">
        <v>104</v>
      </c>
      <c r="I522" s="42" t="s">
        <v>34</v>
      </c>
      <c r="K522" s="44" t="str">
        <f t="shared" si="1"/>
        <v>Owner missing </v>
      </c>
    </row>
    <row r="523" ht="15.75" customHeight="1">
      <c r="E523" s="43" t="str">
        <f t="array" ref="E523">IF($A523="","",IFERROR(IF($D523="TSE",INDEX(Accounts!$G$2:$G$21,MATCH($A523,Accounts!$B$2:$B$21,0))&amp;"",IF($D523="PS",INDEX(Accounts!$F$2:$F$21,MATCH($A523,Accounts!$B$2:$B$21,0))&amp;"",IF($D523="Named engineer",INDEX(Accounts!$I$2:$I$21,MATCH($A523,Accounts!$B$2:$B$21,0))&amp;"",IF($D523="TSE + PS",IF(INDEX(Accounts!$G$2:$G$21,MATCH($A523,Accounts!$B$2:$B$21,0))&amp;""="","(no TSE)",INDEX(Accounts!$G$2:$G$21,MATCH($A523,Accounts!$B$2:$B$21,0))&amp;"")&amp;" / "&amp;IF(INDEX(Accounts!$F$2:$F$21,MATCH($A523,Accounts!$B$2:$B$21,0))&amp;""="","(no PS)",INDEX(Accounts!$F$2:$F$21,MATCH($A523,Accounts!$B$2:$B$21,0))&amp;""),"")))),""))</f>
        <v/>
      </c>
      <c r="F523" s="42" t="s">
        <v>104</v>
      </c>
      <c r="I523" s="42" t="s">
        <v>34</v>
      </c>
      <c r="K523" s="44" t="str">
        <f t="shared" si="1"/>
        <v>Owner missing </v>
      </c>
    </row>
    <row r="524" ht="15.75" customHeight="1">
      <c r="E524" s="43" t="str">
        <f t="array" ref="E524">IF($A524="","",IFERROR(IF($D524="TSE",INDEX(Accounts!$G$2:$G$21,MATCH($A524,Accounts!$B$2:$B$21,0))&amp;"",IF($D524="PS",INDEX(Accounts!$F$2:$F$21,MATCH($A524,Accounts!$B$2:$B$21,0))&amp;"",IF($D524="Named engineer",INDEX(Accounts!$I$2:$I$21,MATCH($A524,Accounts!$B$2:$B$21,0))&amp;"",IF($D524="TSE + PS",IF(INDEX(Accounts!$G$2:$G$21,MATCH($A524,Accounts!$B$2:$B$21,0))&amp;""="","(no TSE)",INDEX(Accounts!$G$2:$G$21,MATCH($A524,Accounts!$B$2:$B$21,0))&amp;"")&amp;" / "&amp;IF(INDEX(Accounts!$F$2:$F$21,MATCH($A524,Accounts!$B$2:$B$21,0))&amp;""="","(no PS)",INDEX(Accounts!$F$2:$F$21,MATCH($A524,Accounts!$B$2:$B$21,0))&amp;""),"")))),""))</f>
        <v/>
      </c>
      <c r="F524" s="42" t="s">
        <v>104</v>
      </c>
      <c r="I524" s="42" t="s">
        <v>34</v>
      </c>
      <c r="K524" s="44" t="str">
        <f t="shared" si="1"/>
        <v>Owner missing </v>
      </c>
    </row>
    <row r="525" ht="15.75" customHeight="1">
      <c r="E525" s="43" t="str">
        <f t="array" ref="E525">IF($A525="","",IFERROR(IF($D525="TSE",INDEX(Accounts!$G$2:$G$21,MATCH($A525,Accounts!$B$2:$B$21,0))&amp;"",IF($D525="PS",INDEX(Accounts!$F$2:$F$21,MATCH($A525,Accounts!$B$2:$B$21,0))&amp;"",IF($D525="Named engineer",INDEX(Accounts!$I$2:$I$21,MATCH($A525,Accounts!$B$2:$B$21,0))&amp;"",IF($D525="TSE + PS",IF(INDEX(Accounts!$G$2:$G$21,MATCH($A525,Accounts!$B$2:$B$21,0))&amp;""="","(no TSE)",INDEX(Accounts!$G$2:$G$21,MATCH($A525,Accounts!$B$2:$B$21,0))&amp;"")&amp;" / "&amp;IF(INDEX(Accounts!$F$2:$F$21,MATCH($A525,Accounts!$B$2:$B$21,0))&amp;""="","(no PS)",INDEX(Accounts!$F$2:$F$21,MATCH($A525,Accounts!$B$2:$B$21,0))&amp;""),"")))),""))</f>
        <v/>
      </c>
      <c r="F525" s="42" t="s">
        <v>104</v>
      </c>
      <c r="I525" s="42" t="s">
        <v>34</v>
      </c>
      <c r="K525" s="44" t="str">
        <f t="shared" si="1"/>
        <v>Owner missing </v>
      </c>
    </row>
    <row r="526" ht="15.75" customHeight="1">
      <c r="E526" s="43" t="str">
        <f t="array" ref="E526">IF($A526="","",IFERROR(IF($D526="TSE",INDEX(Accounts!$G$2:$G$21,MATCH($A526,Accounts!$B$2:$B$21,0))&amp;"",IF($D526="PS",INDEX(Accounts!$F$2:$F$21,MATCH($A526,Accounts!$B$2:$B$21,0))&amp;"",IF($D526="Named engineer",INDEX(Accounts!$I$2:$I$21,MATCH($A526,Accounts!$B$2:$B$21,0))&amp;"",IF($D526="TSE + PS",IF(INDEX(Accounts!$G$2:$G$21,MATCH($A526,Accounts!$B$2:$B$21,0))&amp;""="","(no TSE)",INDEX(Accounts!$G$2:$G$21,MATCH($A526,Accounts!$B$2:$B$21,0))&amp;"")&amp;" / "&amp;IF(INDEX(Accounts!$F$2:$F$21,MATCH($A526,Accounts!$B$2:$B$21,0))&amp;""="","(no PS)",INDEX(Accounts!$F$2:$F$21,MATCH($A526,Accounts!$B$2:$B$21,0))&amp;""),"")))),""))</f>
        <v/>
      </c>
      <c r="F526" s="42" t="s">
        <v>104</v>
      </c>
      <c r="I526" s="42" t="s">
        <v>34</v>
      </c>
      <c r="K526" s="44" t="str">
        <f t="shared" si="1"/>
        <v>Owner missing </v>
      </c>
    </row>
    <row r="527" ht="15.75" customHeight="1">
      <c r="E527" s="43" t="str">
        <f t="array" ref="E527">IF($A527="","",IFERROR(IF($D527="TSE",INDEX(Accounts!$G$2:$G$21,MATCH($A527,Accounts!$B$2:$B$21,0))&amp;"",IF($D527="PS",INDEX(Accounts!$F$2:$F$21,MATCH($A527,Accounts!$B$2:$B$21,0))&amp;"",IF($D527="Named engineer",INDEX(Accounts!$I$2:$I$21,MATCH($A527,Accounts!$B$2:$B$21,0))&amp;"",IF($D527="TSE + PS",IF(INDEX(Accounts!$G$2:$G$21,MATCH($A527,Accounts!$B$2:$B$21,0))&amp;""="","(no TSE)",INDEX(Accounts!$G$2:$G$21,MATCH($A527,Accounts!$B$2:$B$21,0))&amp;"")&amp;" / "&amp;IF(INDEX(Accounts!$F$2:$F$21,MATCH($A527,Accounts!$B$2:$B$21,0))&amp;""="","(no PS)",INDEX(Accounts!$F$2:$F$21,MATCH($A527,Accounts!$B$2:$B$21,0))&amp;""),"")))),""))</f>
        <v/>
      </c>
      <c r="F527" s="42" t="s">
        <v>104</v>
      </c>
      <c r="I527" s="42" t="s">
        <v>34</v>
      </c>
      <c r="K527" s="44" t="str">
        <f t="shared" si="1"/>
        <v>Owner missing </v>
      </c>
    </row>
    <row r="528" ht="15.75" customHeight="1">
      <c r="E528" s="43" t="str">
        <f t="array" ref="E528">IF($A528="","",IFERROR(IF($D528="TSE",INDEX(Accounts!$G$2:$G$21,MATCH($A528,Accounts!$B$2:$B$21,0))&amp;"",IF($D528="PS",INDEX(Accounts!$F$2:$F$21,MATCH($A528,Accounts!$B$2:$B$21,0))&amp;"",IF($D528="Named engineer",INDEX(Accounts!$I$2:$I$21,MATCH($A528,Accounts!$B$2:$B$21,0))&amp;"",IF($D528="TSE + PS",IF(INDEX(Accounts!$G$2:$G$21,MATCH($A528,Accounts!$B$2:$B$21,0))&amp;""="","(no TSE)",INDEX(Accounts!$G$2:$G$21,MATCH($A528,Accounts!$B$2:$B$21,0))&amp;"")&amp;" / "&amp;IF(INDEX(Accounts!$F$2:$F$21,MATCH($A528,Accounts!$B$2:$B$21,0))&amp;""="","(no PS)",INDEX(Accounts!$F$2:$F$21,MATCH($A528,Accounts!$B$2:$B$21,0))&amp;""),"")))),""))</f>
        <v/>
      </c>
      <c r="F528" s="42" t="s">
        <v>104</v>
      </c>
      <c r="I528" s="42" t="s">
        <v>34</v>
      </c>
      <c r="K528" s="44" t="str">
        <f t="shared" si="1"/>
        <v>Owner missing </v>
      </c>
    </row>
    <row r="529" ht="15.75" customHeight="1">
      <c r="E529" s="43" t="str">
        <f t="array" ref="E529">IF($A529="","",IFERROR(IF($D529="TSE",INDEX(Accounts!$G$2:$G$21,MATCH($A529,Accounts!$B$2:$B$21,0))&amp;"",IF($D529="PS",INDEX(Accounts!$F$2:$F$21,MATCH($A529,Accounts!$B$2:$B$21,0))&amp;"",IF($D529="Named engineer",INDEX(Accounts!$I$2:$I$21,MATCH($A529,Accounts!$B$2:$B$21,0))&amp;"",IF($D529="TSE + PS",IF(INDEX(Accounts!$G$2:$G$21,MATCH($A529,Accounts!$B$2:$B$21,0))&amp;""="","(no TSE)",INDEX(Accounts!$G$2:$G$21,MATCH($A529,Accounts!$B$2:$B$21,0))&amp;"")&amp;" / "&amp;IF(INDEX(Accounts!$F$2:$F$21,MATCH($A529,Accounts!$B$2:$B$21,0))&amp;""="","(no PS)",INDEX(Accounts!$F$2:$F$21,MATCH($A529,Accounts!$B$2:$B$21,0))&amp;""),"")))),""))</f>
        <v/>
      </c>
      <c r="F529" s="42" t="s">
        <v>104</v>
      </c>
      <c r="I529" s="42" t="s">
        <v>34</v>
      </c>
      <c r="K529" s="44" t="str">
        <f t="shared" si="1"/>
        <v>Owner missing </v>
      </c>
    </row>
    <row r="530" ht="15.75" customHeight="1">
      <c r="E530" s="43" t="str">
        <f t="array" ref="E530">IF($A530="","",IFERROR(IF($D530="TSE",INDEX(Accounts!$G$2:$G$21,MATCH($A530,Accounts!$B$2:$B$21,0))&amp;"",IF($D530="PS",INDEX(Accounts!$F$2:$F$21,MATCH($A530,Accounts!$B$2:$B$21,0))&amp;"",IF($D530="Named engineer",INDEX(Accounts!$I$2:$I$21,MATCH($A530,Accounts!$B$2:$B$21,0))&amp;"",IF($D530="TSE + PS",IF(INDEX(Accounts!$G$2:$G$21,MATCH($A530,Accounts!$B$2:$B$21,0))&amp;""="","(no TSE)",INDEX(Accounts!$G$2:$G$21,MATCH($A530,Accounts!$B$2:$B$21,0))&amp;"")&amp;" / "&amp;IF(INDEX(Accounts!$F$2:$F$21,MATCH($A530,Accounts!$B$2:$B$21,0))&amp;""="","(no PS)",INDEX(Accounts!$F$2:$F$21,MATCH($A530,Accounts!$B$2:$B$21,0))&amp;""),"")))),""))</f>
        <v/>
      </c>
      <c r="F530" s="42" t="s">
        <v>104</v>
      </c>
      <c r="I530" s="42" t="s">
        <v>34</v>
      </c>
      <c r="K530" s="44" t="str">
        <f t="shared" si="1"/>
        <v>Owner missing </v>
      </c>
    </row>
    <row r="531" ht="15.75" customHeight="1">
      <c r="E531" s="43" t="str">
        <f t="array" ref="E531">IF($A531="","",IFERROR(IF($D531="TSE",INDEX(Accounts!$G$2:$G$21,MATCH($A531,Accounts!$B$2:$B$21,0))&amp;"",IF($D531="PS",INDEX(Accounts!$F$2:$F$21,MATCH($A531,Accounts!$B$2:$B$21,0))&amp;"",IF($D531="Named engineer",INDEX(Accounts!$I$2:$I$21,MATCH($A531,Accounts!$B$2:$B$21,0))&amp;"",IF($D531="TSE + PS",IF(INDEX(Accounts!$G$2:$G$21,MATCH($A531,Accounts!$B$2:$B$21,0))&amp;""="","(no TSE)",INDEX(Accounts!$G$2:$G$21,MATCH($A531,Accounts!$B$2:$B$21,0))&amp;"")&amp;" / "&amp;IF(INDEX(Accounts!$F$2:$F$21,MATCH($A531,Accounts!$B$2:$B$21,0))&amp;""="","(no PS)",INDEX(Accounts!$F$2:$F$21,MATCH($A531,Accounts!$B$2:$B$21,0))&amp;""),"")))),""))</f>
        <v/>
      </c>
      <c r="F531" s="42" t="s">
        <v>104</v>
      </c>
      <c r="I531" s="42" t="s">
        <v>34</v>
      </c>
      <c r="K531" s="44" t="str">
        <f t="shared" si="1"/>
        <v>Owner missing </v>
      </c>
    </row>
    <row r="532" ht="15.75" customHeight="1">
      <c r="E532" s="43" t="str">
        <f t="array" ref="E532">IF($A532="","",IFERROR(IF($D532="TSE",INDEX(Accounts!$G$2:$G$21,MATCH($A532,Accounts!$B$2:$B$21,0))&amp;"",IF($D532="PS",INDEX(Accounts!$F$2:$F$21,MATCH($A532,Accounts!$B$2:$B$21,0))&amp;"",IF($D532="Named engineer",INDEX(Accounts!$I$2:$I$21,MATCH($A532,Accounts!$B$2:$B$21,0))&amp;"",IF($D532="TSE + PS",IF(INDEX(Accounts!$G$2:$G$21,MATCH($A532,Accounts!$B$2:$B$21,0))&amp;""="","(no TSE)",INDEX(Accounts!$G$2:$G$21,MATCH($A532,Accounts!$B$2:$B$21,0))&amp;"")&amp;" / "&amp;IF(INDEX(Accounts!$F$2:$F$21,MATCH($A532,Accounts!$B$2:$B$21,0))&amp;""="","(no PS)",INDEX(Accounts!$F$2:$F$21,MATCH($A532,Accounts!$B$2:$B$21,0))&amp;""),"")))),""))</f>
        <v/>
      </c>
      <c r="F532" s="42" t="s">
        <v>104</v>
      </c>
      <c r="I532" s="42" t="s">
        <v>34</v>
      </c>
      <c r="K532" s="44" t="str">
        <f t="shared" si="1"/>
        <v>Owner missing </v>
      </c>
    </row>
    <row r="533" ht="15.75" customHeight="1">
      <c r="E533" s="43" t="str">
        <f t="array" ref="E533">IF($A533="","",IFERROR(IF($D533="TSE",INDEX(Accounts!$G$2:$G$21,MATCH($A533,Accounts!$B$2:$B$21,0))&amp;"",IF($D533="PS",INDEX(Accounts!$F$2:$F$21,MATCH($A533,Accounts!$B$2:$B$21,0))&amp;"",IF($D533="Named engineer",INDEX(Accounts!$I$2:$I$21,MATCH($A533,Accounts!$B$2:$B$21,0))&amp;"",IF($D533="TSE + PS",IF(INDEX(Accounts!$G$2:$G$21,MATCH($A533,Accounts!$B$2:$B$21,0))&amp;""="","(no TSE)",INDEX(Accounts!$G$2:$G$21,MATCH($A533,Accounts!$B$2:$B$21,0))&amp;"")&amp;" / "&amp;IF(INDEX(Accounts!$F$2:$F$21,MATCH($A533,Accounts!$B$2:$B$21,0))&amp;""="","(no PS)",INDEX(Accounts!$F$2:$F$21,MATCH($A533,Accounts!$B$2:$B$21,0))&amp;""),"")))),""))</f>
        <v/>
      </c>
      <c r="F533" s="42" t="s">
        <v>104</v>
      </c>
      <c r="I533" s="42" t="s">
        <v>34</v>
      </c>
      <c r="K533" s="44" t="str">
        <f t="shared" si="1"/>
        <v>Owner missing </v>
      </c>
    </row>
    <row r="534" ht="15.75" customHeight="1">
      <c r="E534" s="43" t="str">
        <f t="array" ref="E534">IF($A534="","",IFERROR(IF($D534="TSE",INDEX(Accounts!$G$2:$G$21,MATCH($A534,Accounts!$B$2:$B$21,0))&amp;"",IF($D534="PS",INDEX(Accounts!$F$2:$F$21,MATCH($A534,Accounts!$B$2:$B$21,0))&amp;"",IF($D534="Named engineer",INDEX(Accounts!$I$2:$I$21,MATCH($A534,Accounts!$B$2:$B$21,0))&amp;"",IF($D534="TSE + PS",IF(INDEX(Accounts!$G$2:$G$21,MATCH($A534,Accounts!$B$2:$B$21,0))&amp;""="","(no TSE)",INDEX(Accounts!$G$2:$G$21,MATCH($A534,Accounts!$B$2:$B$21,0))&amp;"")&amp;" / "&amp;IF(INDEX(Accounts!$F$2:$F$21,MATCH($A534,Accounts!$B$2:$B$21,0))&amp;""="","(no PS)",INDEX(Accounts!$F$2:$F$21,MATCH($A534,Accounts!$B$2:$B$21,0))&amp;""),"")))),""))</f>
        <v/>
      </c>
      <c r="F534" s="42" t="s">
        <v>104</v>
      </c>
      <c r="I534" s="42" t="s">
        <v>34</v>
      </c>
      <c r="K534" s="44" t="str">
        <f t="shared" si="1"/>
        <v>Owner missing </v>
      </c>
    </row>
    <row r="535" ht="15.75" customHeight="1">
      <c r="E535" s="43" t="str">
        <f t="array" ref="E535">IF($A535="","",IFERROR(IF($D535="TSE",INDEX(Accounts!$G$2:$G$21,MATCH($A535,Accounts!$B$2:$B$21,0))&amp;"",IF($D535="PS",INDEX(Accounts!$F$2:$F$21,MATCH($A535,Accounts!$B$2:$B$21,0))&amp;"",IF($D535="Named engineer",INDEX(Accounts!$I$2:$I$21,MATCH($A535,Accounts!$B$2:$B$21,0))&amp;"",IF($D535="TSE + PS",IF(INDEX(Accounts!$G$2:$G$21,MATCH($A535,Accounts!$B$2:$B$21,0))&amp;""="","(no TSE)",INDEX(Accounts!$G$2:$G$21,MATCH($A535,Accounts!$B$2:$B$21,0))&amp;"")&amp;" / "&amp;IF(INDEX(Accounts!$F$2:$F$21,MATCH($A535,Accounts!$B$2:$B$21,0))&amp;""="","(no PS)",INDEX(Accounts!$F$2:$F$21,MATCH($A535,Accounts!$B$2:$B$21,0))&amp;""),"")))),""))</f>
        <v/>
      </c>
      <c r="F535" s="42" t="s">
        <v>104</v>
      </c>
      <c r="I535" s="42" t="s">
        <v>34</v>
      </c>
      <c r="K535" s="44" t="str">
        <f t="shared" si="1"/>
        <v>Owner missing </v>
      </c>
    </row>
    <row r="536" ht="15.75" customHeight="1">
      <c r="E536" s="43" t="str">
        <f t="array" ref="E536">IF($A536="","",IFERROR(IF($D536="TSE",INDEX(Accounts!$G$2:$G$21,MATCH($A536,Accounts!$B$2:$B$21,0))&amp;"",IF($D536="PS",INDEX(Accounts!$F$2:$F$21,MATCH($A536,Accounts!$B$2:$B$21,0))&amp;"",IF($D536="Named engineer",INDEX(Accounts!$I$2:$I$21,MATCH($A536,Accounts!$B$2:$B$21,0))&amp;"",IF($D536="TSE + PS",IF(INDEX(Accounts!$G$2:$G$21,MATCH($A536,Accounts!$B$2:$B$21,0))&amp;""="","(no TSE)",INDEX(Accounts!$G$2:$G$21,MATCH($A536,Accounts!$B$2:$B$21,0))&amp;"")&amp;" / "&amp;IF(INDEX(Accounts!$F$2:$F$21,MATCH($A536,Accounts!$B$2:$B$21,0))&amp;""="","(no PS)",INDEX(Accounts!$F$2:$F$21,MATCH($A536,Accounts!$B$2:$B$21,0))&amp;""),"")))),""))</f>
        <v/>
      </c>
      <c r="F536" s="42" t="s">
        <v>104</v>
      </c>
      <c r="I536" s="42" t="s">
        <v>34</v>
      </c>
      <c r="K536" s="44" t="str">
        <f t="shared" si="1"/>
        <v>Owner missing </v>
      </c>
    </row>
    <row r="537" ht="15.75" customHeight="1">
      <c r="E537" s="43" t="str">
        <f t="array" ref="E537">IF($A537="","",IFERROR(IF($D537="TSE",INDEX(Accounts!$G$2:$G$21,MATCH($A537,Accounts!$B$2:$B$21,0))&amp;"",IF($D537="PS",INDEX(Accounts!$F$2:$F$21,MATCH($A537,Accounts!$B$2:$B$21,0))&amp;"",IF($D537="Named engineer",INDEX(Accounts!$I$2:$I$21,MATCH($A537,Accounts!$B$2:$B$21,0))&amp;"",IF($D537="TSE + PS",IF(INDEX(Accounts!$G$2:$G$21,MATCH($A537,Accounts!$B$2:$B$21,0))&amp;""="","(no TSE)",INDEX(Accounts!$G$2:$G$21,MATCH($A537,Accounts!$B$2:$B$21,0))&amp;"")&amp;" / "&amp;IF(INDEX(Accounts!$F$2:$F$21,MATCH($A537,Accounts!$B$2:$B$21,0))&amp;""="","(no PS)",INDEX(Accounts!$F$2:$F$21,MATCH($A537,Accounts!$B$2:$B$21,0))&amp;""),"")))),""))</f>
        <v/>
      </c>
      <c r="F537" s="42" t="s">
        <v>104</v>
      </c>
      <c r="I537" s="42" t="s">
        <v>34</v>
      </c>
      <c r="K537" s="44" t="str">
        <f t="shared" si="1"/>
        <v>Owner missing </v>
      </c>
    </row>
    <row r="538" ht="15.75" customHeight="1">
      <c r="E538" s="43" t="str">
        <f t="array" ref="E538">IF($A538="","",IFERROR(IF($D538="TSE",INDEX(Accounts!$G$2:$G$21,MATCH($A538,Accounts!$B$2:$B$21,0))&amp;"",IF($D538="PS",INDEX(Accounts!$F$2:$F$21,MATCH($A538,Accounts!$B$2:$B$21,0))&amp;"",IF($D538="Named engineer",INDEX(Accounts!$I$2:$I$21,MATCH($A538,Accounts!$B$2:$B$21,0))&amp;"",IF($D538="TSE + PS",IF(INDEX(Accounts!$G$2:$G$21,MATCH($A538,Accounts!$B$2:$B$21,0))&amp;""="","(no TSE)",INDEX(Accounts!$G$2:$G$21,MATCH($A538,Accounts!$B$2:$B$21,0))&amp;"")&amp;" / "&amp;IF(INDEX(Accounts!$F$2:$F$21,MATCH($A538,Accounts!$B$2:$B$21,0))&amp;""="","(no PS)",INDEX(Accounts!$F$2:$F$21,MATCH($A538,Accounts!$B$2:$B$21,0))&amp;""),"")))),""))</f>
        <v/>
      </c>
      <c r="F538" s="42" t="s">
        <v>104</v>
      </c>
      <c r="I538" s="42" t="s">
        <v>34</v>
      </c>
      <c r="K538" s="44" t="str">
        <f t="shared" si="1"/>
        <v>Owner missing </v>
      </c>
    </row>
    <row r="539" ht="15.75" customHeight="1">
      <c r="E539" s="43" t="str">
        <f t="array" ref="E539">IF($A539="","",IFERROR(IF($D539="TSE",INDEX(Accounts!$G$2:$G$21,MATCH($A539,Accounts!$B$2:$B$21,0))&amp;"",IF($D539="PS",INDEX(Accounts!$F$2:$F$21,MATCH($A539,Accounts!$B$2:$B$21,0))&amp;"",IF($D539="Named engineer",INDEX(Accounts!$I$2:$I$21,MATCH($A539,Accounts!$B$2:$B$21,0))&amp;"",IF($D539="TSE + PS",IF(INDEX(Accounts!$G$2:$G$21,MATCH($A539,Accounts!$B$2:$B$21,0))&amp;""="","(no TSE)",INDEX(Accounts!$G$2:$G$21,MATCH($A539,Accounts!$B$2:$B$21,0))&amp;"")&amp;" / "&amp;IF(INDEX(Accounts!$F$2:$F$21,MATCH($A539,Accounts!$B$2:$B$21,0))&amp;""="","(no PS)",INDEX(Accounts!$F$2:$F$21,MATCH($A539,Accounts!$B$2:$B$21,0))&amp;""),"")))),""))</f>
        <v/>
      </c>
      <c r="F539" s="42" t="s">
        <v>104</v>
      </c>
      <c r="I539" s="42" t="s">
        <v>34</v>
      </c>
      <c r="K539" s="44" t="str">
        <f t="shared" si="1"/>
        <v>Owner missing </v>
      </c>
    </row>
    <row r="540" ht="15.75" customHeight="1">
      <c r="E540" s="43" t="str">
        <f t="array" ref="E540">IF($A540="","",IFERROR(IF($D540="TSE",INDEX(Accounts!$G$2:$G$21,MATCH($A540,Accounts!$B$2:$B$21,0))&amp;"",IF($D540="PS",INDEX(Accounts!$F$2:$F$21,MATCH($A540,Accounts!$B$2:$B$21,0))&amp;"",IF($D540="Named engineer",INDEX(Accounts!$I$2:$I$21,MATCH($A540,Accounts!$B$2:$B$21,0))&amp;"",IF($D540="TSE + PS",IF(INDEX(Accounts!$G$2:$G$21,MATCH($A540,Accounts!$B$2:$B$21,0))&amp;""="","(no TSE)",INDEX(Accounts!$G$2:$G$21,MATCH($A540,Accounts!$B$2:$B$21,0))&amp;"")&amp;" / "&amp;IF(INDEX(Accounts!$F$2:$F$21,MATCH($A540,Accounts!$B$2:$B$21,0))&amp;""="","(no PS)",INDEX(Accounts!$F$2:$F$21,MATCH($A540,Accounts!$B$2:$B$21,0))&amp;""),"")))),""))</f>
        <v/>
      </c>
      <c r="F540" s="42" t="s">
        <v>104</v>
      </c>
      <c r="I540" s="42" t="s">
        <v>34</v>
      </c>
      <c r="K540" s="44" t="str">
        <f t="shared" si="1"/>
        <v>Owner missing </v>
      </c>
    </row>
    <row r="541" ht="15.75" customHeight="1">
      <c r="E541" s="43" t="str">
        <f t="array" ref="E541">IF($A541="","",IFERROR(IF($D541="TSE",INDEX(Accounts!$G$2:$G$21,MATCH($A541,Accounts!$B$2:$B$21,0))&amp;"",IF($D541="PS",INDEX(Accounts!$F$2:$F$21,MATCH($A541,Accounts!$B$2:$B$21,0))&amp;"",IF($D541="Named engineer",INDEX(Accounts!$I$2:$I$21,MATCH($A541,Accounts!$B$2:$B$21,0))&amp;"",IF($D541="TSE + PS",IF(INDEX(Accounts!$G$2:$G$21,MATCH($A541,Accounts!$B$2:$B$21,0))&amp;""="","(no TSE)",INDEX(Accounts!$G$2:$G$21,MATCH($A541,Accounts!$B$2:$B$21,0))&amp;"")&amp;" / "&amp;IF(INDEX(Accounts!$F$2:$F$21,MATCH($A541,Accounts!$B$2:$B$21,0))&amp;""="","(no PS)",INDEX(Accounts!$F$2:$F$21,MATCH($A541,Accounts!$B$2:$B$21,0))&amp;""),"")))),""))</f>
        <v/>
      </c>
      <c r="F541" s="42" t="s">
        <v>104</v>
      </c>
      <c r="I541" s="42" t="s">
        <v>34</v>
      </c>
      <c r="K541" s="44" t="str">
        <f t="shared" si="1"/>
        <v>Owner missing </v>
      </c>
    </row>
    <row r="542" ht="15.75" customHeight="1">
      <c r="E542" s="43" t="str">
        <f t="array" ref="E542">IF($A542="","",IFERROR(IF($D542="TSE",INDEX(Accounts!$G$2:$G$21,MATCH($A542,Accounts!$B$2:$B$21,0))&amp;"",IF($D542="PS",INDEX(Accounts!$F$2:$F$21,MATCH($A542,Accounts!$B$2:$B$21,0))&amp;"",IF($D542="Named engineer",INDEX(Accounts!$I$2:$I$21,MATCH($A542,Accounts!$B$2:$B$21,0))&amp;"",IF($D542="TSE + PS",IF(INDEX(Accounts!$G$2:$G$21,MATCH($A542,Accounts!$B$2:$B$21,0))&amp;""="","(no TSE)",INDEX(Accounts!$G$2:$G$21,MATCH($A542,Accounts!$B$2:$B$21,0))&amp;"")&amp;" / "&amp;IF(INDEX(Accounts!$F$2:$F$21,MATCH($A542,Accounts!$B$2:$B$21,0))&amp;""="","(no PS)",INDEX(Accounts!$F$2:$F$21,MATCH($A542,Accounts!$B$2:$B$21,0))&amp;""),"")))),""))</f>
        <v/>
      </c>
      <c r="F542" s="42" t="s">
        <v>104</v>
      </c>
      <c r="I542" s="42" t="s">
        <v>34</v>
      </c>
      <c r="K542" s="44" t="str">
        <f t="shared" si="1"/>
        <v>Owner missing </v>
      </c>
    </row>
    <row r="543" ht="15.75" customHeight="1">
      <c r="E543" s="43" t="str">
        <f t="array" ref="E543">IF($A543="","",IFERROR(IF($D543="TSE",INDEX(Accounts!$G$2:$G$21,MATCH($A543,Accounts!$B$2:$B$21,0))&amp;"",IF($D543="PS",INDEX(Accounts!$F$2:$F$21,MATCH($A543,Accounts!$B$2:$B$21,0))&amp;"",IF($D543="Named engineer",INDEX(Accounts!$I$2:$I$21,MATCH($A543,Accounts!$B$2:$B$21,0))&amp;"",IF($D543="TSE + PS",IF(INDEX(Accounts!$G$2:$G$21,MATCH($A543,Accounts!$B$2:$B$21,0))&amp;""="","(no TSE)",INDEX(Accounts!$G$2:$G$21,MATCH($A543,Accounts!$B$2:$B$21,0))&amp;"")&amp;" / "&amp;IF(INDEX(Accounts!$F$2:$F$21,MATCH($A543,Accounts!$B$2:$B$21,0))&amp;""="","(no PS)",INDEX(Accounts!$F$2:$F$21,MATCH($A543,Accounts!$B$2:$B$21,0))&amp;""),"")))),""))</f>
        <v/>
      </c>
      <c r="F543" s="42" t="s">
        <v>104</v>
      </c>
      <c r="I543" s="42" t="s">
        <v>34</v>
      </c>
      <c r="K543" s="44" t="str">
        <f t="shared" si="1"/>
        <v>Owner missing </v>
      </c>
    </row>
    <row r="544" ht="15.75" customHeight="1">
      <c r="E544" s="43" t="str">
        <f t="array" ref="E544">IF($A544="","",IFERROR(IF($D544="TSE",INDEX(Accounts!$G$2:$G$21,MATCH($A544,Accounts!$B$2:$B$21,0))&amp;"",IF($D544="PS",INDEX(Accounts!$F$2:$F$21,MATCH($A544,Accounts!$B$2:$B$21,0))&amp;"",IF($D544="Named engineer",INDEX(Accounts!$I$2:$I$21,MATCH($A544,Accounts!$B$2:$B$21,0))&amp;"",IF($D544="TSE + PS",IF(INDEX(Accounts!$G$2:$G$21,MATCH($A544,Accounts!$B$2:$B$21,0))&amp;""="","(no TSE)",INDEX(Accounts!$G$2:$G$21,MATCH($A544,Accounts!$B$2:$B$21,0))&amp;"")&amp;" / "&amp;IF(INDEX(Accounts!$F$2:$F$21,MATCH($A544,Accounts!$B$2:$B$21,0))&amp;""="","(no PS)",INDEX(Accounts!$F$2:$F$21,MATCH($A544,Accounts!$B$2:$B$21,0))&amp;""),"")))),""))</f>
        <v/>
      </c>
      <c r="F544" s="42" t="s">
        <v>104</v>
      </c>
      <c r="I544" s="42" t="s">
        <v>34</v>
      </c>
      <c r="K544" s="44" t="str">
        <f t="shared" si="1"/>
        <v>Owner missing </v>
      </c>
    </row>
    <row r="545" ht="15.75" customHeight="1">
      <c r="E545" s="43" t="str">
        <f t="array" ref="E545">IF($A545="","",IFERROR(IF($D545="TSE",INDEX(Accounts!$G$2:$G$21,MATCH($A545,Accounts!$B$2:$B$21,0))&amp;"",IF($D545="PS",INDEX(Accounts!$F$2:$F$21,MATCH($A545,Accounts!$B$2:$B$21,0))&amp;"",IF($D545="Named engineer",INDEX(Accounts!$I$2:$I$21,MATCH($A545,Accounts!$B$2:$B$21,0))&amp;"",IF($D545="TSE + PS",IF(INDEX(Accounts!$G$2:$G$21,MATCH($A545,Accounts!$B$2:$B$21,0))&amp;""="","(no TSE)",INDEX(Accounts!$G$2:$G$21,MATCH($A545,Accounts!$B$2:$B$21,0))&amp;"")&amp;" / "&amp;IF(INDEX(Accounts!$F$2:$F$21,MATCH($A545,Accounts!$B$2:$B$21,0))&amp;""="","(no PS)",INDEX(Accounts!$F$2:$F$21,MATCH($A545,Accounts!$B$2:$B$21,0))&amp;""),"")))),""))</f>
        <v/>
      </c>
      <c r="F545" s="42" t="s">
        <v>104</v>
      </c>
      <c r="I545" s="42" t="s">
        <v>34</v>
      </c>
      <c r="K545" s="44" t="str">
        <f t="shared" si="1"/>
        <v>Owner missing </v>
      </c>
    </row>
    <row r="546" ht="15.75" customHeight="1">
      <c r="E546" s="43" t="str">
        <f t="array" ref="E546">IF($A546="","",IFERROR(IF($D546="TSE",INDEX(Accounts!$G$2:$G$21,MATCH($A546,Accounts!$B$2:$B$21,0))&amp;"",IF($D546="PS",INDEX(Accounts!$F$2:$F$21,MATCH($A546,Accounts!$B$2:$B$21,0))&amp;"",IF($D546="Named engineer",INDEX(Accounts!$I$2:$I$21,MATCH($A546,Accounts!$B$2:$B$21,0))&amp;"",IF($D546="TSE + PS",IF(INDEX(Accounts!$G$2:$G$21,MATCH($A546,Accounts!$B$2:$B$21,0))&amp;""="","(no TSE)",INDEX(Accounts!$G$2:$G$21,MATCH($A546,Accounts!$B$2:$B$21,0))&amp;"")&amp;" / "&amp;IF(INDEX(Accounts!$F$2:$F$21,MATCH($A546,Accounts!$B$2:$B$21,0))&amp;""="","(no PS)",INDEX(Accounts!$F$2:$F$21,MATCH($A546,Accounts!$B$2:$B$21,0))&amp;""),"")))),""))</f>
        <v/>
      </c>
      <c r="F546" s="42" t="s">
        <v>104</v>
      </c>
      <c r="I546" s="42" t="s">
        <v>34</v>
      </c>
      <c r="K546" s="44" t="str">
        <f t="shared" si="1"/>
        <v>Owner missing </v>
      </c>
    </row>
    <row r="547" ht="15.75" customHeight="1">
      <c r="E547" s="43" t="str">
        <f t="array" ref="E547">IF($A547="","",IFERROR(IF($D547="TSE",INDEX(Accounts!$G$2:$G$21,MATCH($A547,Accounts!$B$2:$B$21,0))&amp;"",IF($D547="PS",INDEX(Accounts!$F$2:$F$21,MATCH($A547,Accounts!$B$2:$B$21,0))&amp;"",IF($D547="Named engineer",INDEX(Accounts!$I$2:$I$21,MATCH($A547,Accounts!$B$2:$B$21,0))&amp;"",IF($D547="TSE + PS",IF(INDEX(Accounts!$G$2:$G$21,MATCH($A547,Accounts!$B$2:$B$21,0))&amp;""="","(no TSE)",INDEX(Accounts!$G$2:$G$21,MATCH($A547,Accounts!$B$2:$B$21,0))&amp;"")&amp;" / "&amp;IF(INDEX(Accounts!$F$2:$F$21,MATCH($A547,Accounts!$B$2:$B$21,0))&amp;""="","(no PS)",INDEX(Accounts!$F$2:$F$21,MATCH($A547,Accounts!$B$2:$B$21,0))&amp;""),"")))),""))</f>
        <v/>
      </c>
      <c r="F547" s="42" t="s">
        <v>104</v>
      </c>
      <c r="I547" s="42" t="s">
        <v>34</v>
      </c>
      <c r="K547" s="44" t="str">
        <f t="shared" si="1"/>
        <v>Owner missing </v>
      </c>
    </row>
    <row r="548" ht="15.75" customHeight="1">
      <c r="E548" s="43" t="str">
        <f t="array" ref="E548">IF($A548="","",IFERROR(IF($D548="TSE",INDEX(Accounts!$G$2:$G$21,MATCH($A548,Accounts!$B$2:$B$21,0))&amp;"",IF($D548="PS",INDEX(Accounts!$F$2:$F$21,MATCH($A548,Accounts!$B$2:$B$21,0))&amp;"",IF($D548="Named engineer",INDEX(Accounts!$I$2:$I$21,MATCH($A548,Accounts!$B$2:$B$21,0))&amp;"",IF($D548="TSE + PS",IF(INDEX(Accounts!$G$2:$G$21,MATCH($A548,Accounts!$B$2:$B$21,0))&amp;""="","(no TSE)",INDEX(Accounts!$G$2:$G$21,MATCH($A548,Accounts!$B$2:$B$21,0))&amp;"")&amp;" / "&amp;IF(INDEX(Accounts!$F$2:$F$21,MATCH($A548,Accounts!$B$2:$B$21,0))&amp;""="","(no PS)",INDEX(Accounts!$F$2:$F$21,MATCH($A548,Accounts!$B$2:$B$21,0))&amp;""),"")))),""))</f>
        <v/>
      </c>
      <c r="F548" s="42" t="s">
        <v>104</v>
      </c>
      <c r="I548" s="42" t="s">
        <v>34</v>
      </c>
      <c r="K548" s="44" t="str">
        <f t="shared" si="1"/>
        <v>Owner missing </v>
      </c>
    </row>
    <row r="549" ht="15.75" customHeight="1">
      <c r="E549" s="43" t="str">
        <f t="array" ref="E549">IF($A549="","",IFERROR(IF($D549="TSE",INDEX(Accounts!$G$2:$G$21,MATCH($A549,Accounts!$B$2:$B$21,0))&amp;"",IF($D549="PS",INDEX(Accounts!$F$2:$F$21,MATCH($A549,Accounts!$B$2:$B$21,0))&amp;"",IF($D549="Named engineer",INDEX(Accounts!$I$2:$I$21,MATCH($A549,Accounts!$B$2:$B$21,0))&amp;"",IF($D549="TSE + PS",IF(INDEX(Accounts!$G$2:$G$21,MATCH($A549,Accounts!$B$2:$B$21,0))&amp;""="","(no TSE)",INDEX(Accounts!$G$2:$G$21,MATCH($A549,Accounts!$B$2:$B$21,0))&amp;"")&amp;" / "&amp;IF(INDEX(Accounts!$F$2:$F$21,MATCH($A549,Accounts!$B$2:$B$21,0))&amp;""="","(no PS)",INDEX(Accounts!$F$2:$F$21,MATCH($A549,Accounts!$B$2:$B$21,0))&amp;""),"")))),""))</f>
        <v/>
      </c>
      <c r="F549" s="42" t="s">
        <v>104</v>
      </c>
      <c r="I549" s="42" t="s">
        <v>34</v>
      </c>
      <c r="K549" s="44" t="str">
        <f t="shared" si="1"/>
        <v>Owner missing </v>
      </c>
    </row>
    <row r="550" ht="15.75" customHeight="1">
      <c r="E550" s="43" t="str">
        <f t="array" ref="E550">IF($A550="","",IFERROR(IF($D550="TSE",INDEX(Accounts!$G$2:$G$21,MATCH($A550,Accounts!$B$2:$B$21,0))&amp;"",IF($D550="PS",INDEX(Accounts!$F$2:$F$21,MATCH($A550,Accounts!$B$2:$B$21,0))&amp;"",IF($D550="Named engineer",INDEX(Accounts!$I$2:$I$21,MATCH($A550,Accounts!$B$2:$B$21,0))&amp;"",IF($D550="TSE + PS",IF(INDEX(Accounts!$G$2:$G$21,MATCH($A550,Accounts!$B$2:$B$21,0))&amp;""="","(no TSE)",INDEX(Accounts!$G$2:$G$21,MATCH($A550,Accounts!$B$2:$B$21,0))&amp;"")&amp;" / "&amp;IF(INDEX(Accounts!$F$2:$F$21,MATCH($A550,Accounts!$B$2:$B$21,0))&amp;""="","(no PS)",INDEX(Accounts!$F$2:$F$21,MATCH($A550,Accounts!$B$2:$B$21,0))&amp;""),"")))),""))</f>
        <v/>
      </c>
      <c r="F550" s="42" t="s">
        <v>104</v>
      </c>
      <c r="I550" s="42" t="s">
        <v>34</v>
      </c>
      <c r="K550" s="44" t="str">
        <f t="shared" si="1"/>
        <v>Owner missing </v>
      </c>
    </row>
    <row r="551" ht="15.75" customHeight="1">
      <c r="E551" s="43" t="str">
        <f t="array" ref="E551">IF($A551="","",IFERROR(IF($D551="TSE",INDEX(Accounts!$G$2:$G$21,MATCH($A551,Accounts!$B$2:$B$21,0))&amp;"",IF($D551="PS",INDEX(Accounts!$F$2:$F$21,MATCH($A551,Accounts!$B$2:$B$21,0))&amp;"",IF($D551="Named engineer",INDEX(Accounts!$I$2:$I$21,MATCH($A551,Accounts!$B$2:$B$21,0))&amp;"",IF($D551="TSE + PS",IF(INDEX(Accounts!$G$2:$G$21,MATCH($A551,Accounts!$B$2:$B$21,0))&amp;""="","(no TSE)",INDEX(Accounts!$G$2:$G$21,MATCH($A551,Accounts!$B$2:$B$21,0))&amp;"")&amp;" / "&amp;IF(INDEX(Accounts!$F$2:$F$21,MATCH($A551,Accounts!$B$2:$B$21,0))&amp;""="","(no PS)",INDEX(Accounts!$F$2:$F$21,MATCH($A551,Accounts!$B$2:$B$21,0))&amp;""),"")))),""))</f>
        <v/>
      </c>
      <c r="F551" s="42" t="s">
        <v>104</v>
      </c>
      <c r="I551" s="42" t="s">
        <v>34</v>
      </c>
      <c r="K551" s="44" t="str">
        <f t="shared" si="1"/>
        <v>Owner missing </v>
      </c>
    </row>
    <row r="552" ht="15.75" customHeight="1">
      <c r="E552" s="43" t="str">
        <f t="array" ref="E552">IF($A552="","",IFERROR(IF($D552="TSE",INDEX(Accounts!$G$2:$G$21,MATCH($A552,Accounts!$B$2:$B$21,0))&amp;"",IF($D552="PS",INDEX(Accounts!$F$2:$F$21,MATCH($A552,Accounts!$B$2:$B$21,0))&amp;"",IF($D552="Named engineer",INDEX(Accounts!$I$2:$I$21,MATCH($A552,Accounts!$B$2:$B$21,0))&amp;"",IF($D552="TSE + PS",IF(INDEX(Accounts!$G$2:$G$21,MATCH($A552,Accounts!$B$2:$B$21,0))&amp;""="","(no TSE)",INDEX(Accounts!$G$2:$G$21,MATCH($A552,Accounts!$B$2:$B$21,0))&amp;"")&amp;" / "&amp;IF(INDEX(Accounts!$F$2:$F$21,MATCH($A552,Accounts!$B$2:$B$21,0))&amp;""="","(no PS)",INDEX(Accounts!$F$2:$F$21,MATCH($A552,Accounts!$B$2:$B$21,0))&amp;""),"")))),""))</f>
        <v/>
      </c>
      <c r="F552" s="42" t="s">
        <v>104</v>
      </c>
      <c r="I552" s="42" t="s">
        <v>34</v>
      </c>
      <c r="K552" s="44" t="str">
        <f t="shared" si="1"/>
        <v>Owner missing </v>
      </c>
    </row>
    <row r="553" ht="15.75" customHeight="1">
      <c r="E553" s="43" t="str">
        <f t="array" ref="E553">IF($A553="","",IFERROR(IF($D553="TSE",INDEX(Accounts!$G$2:$G$21,MATCH($A553,Accounts!$B$2:$B$21,0))&amp;"",IF($D553="PS",INDEX(Accounts!$F$2:$F$21,MATCH($A553,Accounts!$B$2:$B$21,0))&amp;"",IF($D553="Named engineer",INDEX(Accounts!$I$2:$I$21,MATCH($A553,Accounts!$B$2:$B$21,0))&amp;"",IF($D553="TSE + PS",IF(INDEX(Accounts!$G$2:$G$21,MATCH($A553,Accounts!$B$2:$B$21,0))&amp;""="","(no TSE)",INDEX(Accounts!$G$2:$G$21,MATCH($A553,Accounts!$B$2:$B$21,0))&amp;"")&amp;" / "&amp;IF(INDEX(Accounts!$F$2:$F$21,MATCH($A553,Accounts!$B$2:$B$21,0))&amp;""="","(no PS)",INDEX(Accounts!$F$2:$F$21,MATCH($A553,Accounts!$B$2:$B$21,0))&amp;""),"")))),""))</f>
        <v/>
      </c>
      <c r="F553" s="42" t="s">
        <v>104</v>
      </c>
      <c r="I553" s="42" t="s">
        <v>34</v>
      </c>
      <c r="K553" s="44" t="str">
        <f t="shared" si="1"/>
        <v>Owner missing </v>
      </c>
    </row>
    <row r="554" ht="15.75" customHeight="1">
      <c r="E554" s="43" t="str">
        <f t="array" ref="E554">IF($A554="","",IFERROR(IF($D554="TSE",INDEX(Accounts!$G$2:$G$21,MATCH($A554,Accounts!$B$2:$B$21,0))&amp;"",IF($D554="PS",INDEX(Accounts!$F$2:$F$21,MATCH($A554,Accounts!$B$2:$B$21,0))&amp;"",IF($D554="Named engineer",INDEX(Accounts!$I$2:$I$21,MATCH($A554,Accounts!$B$2:$B$21,0))&amp;"",IF($D554="TSE + PS",IF(INDEX(Accounts!$G$2:$G$21,MATCH($A554,Accounts!$B$2:$B$21,0))&amp;""="","(no TSE)",INDEX(Accounts!$G$2:$G$21,MATCH($A554,Accounts!$B$2:$B$21,0))&amp;"")&amp;" / "&amp;IF(INDEX(Accounts!$F$2:$F$21,MATCH($A554,Accounts!$B$2:$B$21,0))&amp;""="","(no PS)",INDEX(Accounts!$F$2:$F$21,MATCH($A554,Accounts!$B$2:$B$21,0))&amp;""),"")))),""))</f>
        <v/>
      </c>
      <c r="F554" s="42" t="s">
        <v>104</v>
      </c>
      <c r="I554" s="42" t="s">
        <v>34</v>
      </c>
      <c r="K554" s="44" t="str">
        <f t="shared" si="1"/>
        <v>Owner missing </v>
      </c>
    </row>
    <row r="555" ht="15.75" customHeight="1">
      <c r="E555" s="43" t="str">
        <f t="array" ref="E555">IF($A555="","",IFERROR(IF($D555="TSE",INDEX(Accounts!$G$2:$G$21,MATCH($A555,Accounts!$B$2:$B$21,0))&amp;"",IF($D555="PS",INDEX(Accounts!$F$2:$F$21,MATCH($A555,Accounts!$B$2:$B$21,0))&amp;"",IF($D555="Named engineer",INDEX(Accounts!$I$2:$I$21,MATCH($A555,Accounts!$B$2:$B$21,0))&amp;"",IF($D555="TSE + PS",IF(INDEX(Accounts!$G$2:$G$21,MATCH($A555,Accounts!$B$2:$B$21,0))&amp;""="","(no TSE)",INDEX(Accounts!$G$2:$G$21,MATCH($A555,Accounts!$B$2:$B$21,0))&amp;"")&amp;" / "&amp;IF(INDEX(Accounts!$F$2:$F$21,MATCH($A555,Accounts!$B$2:$B$21,0))&amp;""="","(no PS)",INDEX(Accounts!$F$2:$F$21,MATCH($A555,Accounts!$B$2:$B$21,0))&amp;""),"")))),""))</f>
        <v/>
      </c>
      <c r="F555" s="42" t="s">
        <v>104</v>
      </c>
      <c r="I555" s="42" t="s">
        <v>34</v>
      </c>
      <c r="K555" s="44" t="str">
        <f t="shared" si="1"/>
        <v>Owner missing </v>
      </c>
    </row>
    <row r="556" ht="15.75" customHeight="1">
      <c r="E556" s="43" t="str">
        <f t="array" ref="E556">IF($A556="","",IFERROR(IF($D556="TSE",INDEX(Accounts!$G$2:$G$21,MATCH($A556,Accounts!$B$2:$B$21,0))&amp;"",IF($D556="PS",INDEX(Accounts!$F$2:$F$21,MATCH($A556,Accounts!$B$2:$B$21,0))&amp;"",IF($D556="Named engineer",INDEX(Accounts!$I$2:$I$21,MATCH($A556,Accounts!$B$2:$B$21,0))&amp;"",IF($D556="TSE + PS",IF(INDEX(Accounts!$G$2:$G$21,MATCH($A556,Accounts!$B$2:$B$21,0))&amp;""="","(no TSE)",INDEX(Accounts!$G$2:$G$21,MATCH($A556,Accounts!$B$2:$B$21,0))&amp;"")&amp;" / "&amp;IF(INDEX(Accounts!$F$2:$F$21,MATCH($A556,Accounts!$B$2:$B$21,0))&amp;""="","(no PS)",INDEX(Accounts!$F$2:$F$21,MATCH($A556,Accounts!$B$2:$B$21,0))&amp;""),"")))),""))</f>
        <v/>
      </c>
      <c r="F556" s="42" t="s">
        <v>104</v>
      </c>
      <c r="I556" s="42" t="s">
        <v>34</v>
      </c>
      <c r="K556" s="44" t="str">
        <f t="shared" si="1"/>
        <v>Owner missing </v>
      </c>
    </row>
    <row r="557" ht="15.75" customHeight="1">
      <c r="E557" s="43" t="str">
        <f t="array" ref="E557">IF($A557="","",IFERROR(IF($D557="TSE",INDEX(Accounts!$G$2:$G$21,MATCH($A557,Accounts!$B$2:$B$21,0))&amp;"",IF($D557="PS",INDEX(Accounts!$F$2:$F$21,MATCH($A557,Accounts!$B$2:$B$21,0))&amp;"",IF($D557="Named engineer",INDEX(Accounts!$I$2:$I$21,MATCH($A557,Accounts!$B$2:$B$21,0))&amp;"",IF($D557="TSE + PS",IF(INDEX(Accounts!$G$2:$G$21,MATCH($A557,Accounts!$B$2:$B$21,0))&amp;""="","(no TSE)",INDEX(Accounts!$G$2:$G$21,MATCH($A557,Accounts!$B$2:$B$21,0))&amp;"")&amp;" / "&amp;IF(INDEX(Accounts!$F$2:$F$21,MATCH($A557,Accounts!$B$2:$B$21,0))&amp;""="","(no PS)",INDEX(Accounts!$F$2:$F$21,MATCH($A557,Accounts!$B$2:$B$21,0))&amp;""),"")))),""))</f>
        <v/>
      </c>
      <c r="F557" s="42" t="s">
        <v>104</v>
      </c>
      <c r="I557" s="42" t="s">
        <v>34</v>
      </c>
      <c r="K557" s="44" t="str">
        <f t="shared" si="1"/>
        <v>Owner missing </v>
      </c>
    </row>
    <row r="558" ht="15.75" customHeight="1">
      <c r="E558" s="43" t="str">
        <f t="array" ref="E558">IF($A558="","",IFERROR(IF($D558="TSE",INDEX(Accounts!$G$2:$G$21,MATCH($A558,Accounts!$B$2:$B$21,0))&amp;"",IF($D558="PS",INDEX(Accounts!$F$2:$F$21,MATCH($A558,Accounts!$B$2:$B$21,0))&amp;"",IF($D558="Named engineer",INDEX(Accounts!$I$2:$I$21,MATCH($A558,Accounts!$B$2:$B$21,0))&amp;"",IF($D558="TSE + PS",IF(INDEX(Accounts!$G$2:$G$21,MATCH($A558,Accounts!$B$2:$B$21,0))&amp;""="","(no TSE)",INDEX(Accounts!$G$2:$G$21,MATCH($A558,Accounts!$B$2:$B$21,0))&amp;"")&amp;" / "&amp;IF(INDEX(Accounts!$F$2:$F$21,MATCH($A558,Accounts!$B$2:$B$21,0))&amp;""="","(no PS)",INDEX(Accounts!$F$2:$F$21,MATCH($A558,Accounts!$B$2:$B$21,0))&amp;""),"")))),""))</f>
        <v/>
      </c>
      <c r="F558" s="42" t="s">
        <v>104</v>
      </c>
      <c r="I558" s="42" t="s">
        <v>34</v>
      </c>
      <c r="K558" s="44" t="str">
        <f t="shared" si="1"/>
        <v>Owner missing </v>
      </c>
    </row>
    <row r="559" ht="15.75" customHeight="1">
      <c r="E559" s="43" t="str">
        <f t="array" ref="E559">IF($A559="","",IFERROR(IF($D559="TSE",INDEX(Accounts!$G$2:$G$21,MATCH($A559,Accounts!$B$2:$B$21,0))&amp;"",IF($D559="PS",INDEX(Accounts!$F$2:$F$21,MATCH($A559,Accounts!$B$2:$B$21,0))&amp;"",IF($D559="Named engineer",INDEX(Accounts!$I$2:$I$21,MATCH($A559,Accounts!$B$2:$B$21,0))&amp;"",IF($D559="TSE + PS",IF(INDEX(Accounts!$G$2:$G$21,MATCH($A559,Accounts!$B$2:$B$21,0))&amp;""="","(no TSE)",INDEX(Accounts!$G$2:$G$21,MATCH($A559,Accounts!$B$2:$B$21,0))&amp;"")&amp;" / "&amp;IF(INDEX(Accounts!$F$2:$F$21,MATCH($A559,Accounts!$B$2:$B$21,0))&amp;""="","(no PS)",INDEX(Accounts!$F$2:$F$21,MATCH($A559,Accounts!$B$2:$B$21,0))&amp;""),"")))),""))</f>
        <v/>
      </c>
      <c r="F559" s="42" t="s">
        <v>104</v>
      </c>
      <c r="I559" s="42" t="s">
        <v>34</v>
      </c>
      <c r="K559" s="44" t="str">
        <f t="shared" si="1"/>
        <v>Owner missing </v>
      </c>
    </row>
    <row r="560" ht="15.75" customHeight="1">
      <c r="E560" s="43" t="str">
        <f t="array" ref="E560">IF($A560="","",IFERROR(IF($D560="TSE",INDEX(Accounts!$G$2:$G$21,MATCH($A560,Accounts!$B$2:$B$21,0))&amp;"",IF($D560="PS",INDEX(Accounts!$F$2:$F$21,MATCH($A560,Accounts!$B$2:$B$21,0))&amp;"",IF($D560="Named engineer",INDEX(Accounts!$I$2:$I$21,MATCH($A560,Accounts!$B$2:$B$21,0))&amp;"",IF($D560="TSE + PS",IF(INDEX(Accounts!$G$2:$G$21,MATCH($A560,Accounts!$B$2:$B$21,0))&amp;""="","(no TSE)",INDEX(Accounts!$G$2:$G$21,MATCH($A560,Accounts!$B$2:$B$21,0))&amp;"")&amp;" / "&amp;IF(INDEX(Accounts!$F$2:$F$21,MATCH($A560,Accounts!$B$2:$B$21,0))&amp;""="","(no PS)",INDEX(Accounts!$F$2:$F$21,MATCH($A560,Accounts!$B$2:$B$21,0))&amp;""),"")))),""))</f>
        <v/>
      </c>
      <c r="F560" s="42" t="s">
        <v>104</v>
      </c>
      <c r="I560" s="42" t="s">
        <v>34</v>
      </c>
      <c r="K560" s="44" t="str">
        <f t="shared" si="1"/>
        <v>Owner missing </v>
      </c>
    </row>
    <row r="561" ht="15.75" customHeight="1">
      <c r="E561" s="43" t="str">
        <f t="array" ref="E561">IF($A561="","",IFERROR(IF($D561="TSE",INDEX(Accounts!$G$2:$G$21,MATCH($A561,Accounts!$B$2:$B$21,0))&amp;"",IF($D561="PS",INDEX(Accounts!$F$2:$F$21,MATCH($A561,Accounts!$B$2:$B$21,0))&amp;"",IF($D561="Named engineer",INDEX(Accounts!$I$2:$I$21,MATCH($A561,Accounts!$B$2:$B$21,0))&amp;"",IF($D561="TSE + PS",IF(INDEX(Accounts!$G$2:$G$21,MATCH($A561,Accounts!$B$2:$B$21,0))&amp;""="","(no TSE)",INDEX(Accounts!$G$2:$G$21,MATCH($A561,Accounts!$B$2:$B$21,0))&amp;"")&amp;" / "&amp;IF(INDEX(Accounts!$F$2:$F$21,MATCH($A561,Accounts!$B$2:$B$21,0))&amp;""="","(no PS)",INDEX(Accounts!$F$2:$F$21,MATCH($A561,Accounts!$B$2:$B$21,0))&amp;""),"")))),""))</f>
        <v/>
      </c>
      <c r="F561" s="42" t="s">
        <v>104</v>
      </c>
      <c r="I561" s="42" t="s">
        <v>34</v>
      </c>
      <c r="K561" s="44" t="str">
        <f t="shared" si="1"/>
        <v>Owner missing </v>
      </c>
    </row>
    <row r="562" ht="15.75" customHeight="1">
      <c r="E562" s="43" t="str">
        <f t="array" ref="E562">IF($A562="","",IFERROR(IF($D562="TSE",INDEX(Accounts!$G$2:$G$21,MATCH($A562,Accounts!$B$2:$B$21,0))&amp;"",IF($D562="PS",INDEX(Accounts!$F$2:$F$21,MATCH($A562,Accounts!$B$2:$B$21,0))&amp;"",IF($D562="Named engineer",INDEX(Accounts!$I$2:$I$21,MATCH($A562,Accounts!$B$2:$B$21,0))&amp;"",IF($D562="TSE + PS",IF(INDEX(Accounts!$G$2:$G$21,MATCH($A562,Accounts!$B$2:$B$21,0))&amp;""="","(no TSE)",INDEX(Accounts!$G$2:$G$21,MATCH($A562,Accounts!$B$2:$B$21,0))&amp;"")&amp;" / "&amp;IF(INDEX(Accounts!$F$2:$F$21,MATCH($A562,Accounts!$B$2:$B$21,0))&amp;""="","(no PS)",INDEX(Accounts!$F$2:$F$21,MATCH($A562,Accounts!$B$2:$B$21,0))&amp;""),"")))),""))</f>
        <v/>
      </c>
      <c r="F562" s="42" t="s">
        <v>104</v>
      </c>
      <c r="I562" s="42" t="s">
        <v>34</v>
      </c>
      <c r="K562" s="44" t="str">
        <f t="shared" si="1"/>
        <v>Owner missing </v>
      </c>
    </row>
    <row r="563" ht="15.75" customHeight="1">
      <c r="E563" s="43" t="str">
        <f t="array" ref="E563">IF($A563="","",IFERROR(IF($D563="TSE",INDEX(Accounts!$G$2:$G$21,MATCH($A563,Accounts!$B$2:$B$21,0))&amp;"",IF($D563="PS",INDEX(Accounts!$F$2:$F$21,MATCH($A563,Accounts!$B$2:$B$21,0))&amp;"",IF($D563="Named engineer",INDEX(Accounts!$I$2:$I$21,MATCH($A563,Accounts!$B$2:$B$21,0))&amp;"",IF($D563="TSE + PS",IF(INDEX(Accounts!$G$2:$G$21,MATCH($A563,Accounts!$B$2:$B$21,0))&amp;""="","(no TSE)",INDEX(Accounts!$G$2:$G$21,MATCH($A563,Accounts!$B$2:$B$21,0))&amp;"")&amp;" / "&amp;IF(INDEX(Accounts!$F$2:$F$21,MATCH($A563,Accounts!$B$2:$B$21,0))&amp;""="","(no PS)",INDEX(Accounts!$F$2:$F$21,MATCH($A563,Accounts!$B$2:$B$21,0))&amp;""),"")))),""))</f>
        <v/>
      </c>
      <c r="F563" s="42" t="s">
        <v>104</v>
      </c>
      <c r="I563" s="42" t="s">
        <v>34</v>
      </c>
      <c r="K563" s="44" t="str">
        <f t="shared" si="1"/>
        <v>Owner missing </v>
      </c>
    </row>
    <row r="564" ht="15.75" customHeight="1">
      <c r="E564" s="43" t="str">
        <f t="array" ref="E564">IF($A564="","",IFERROR(IF($D564="TSE",INDEX(Accounts!$G$2:$G$21,MATCH($A564,Accounts!$B$2:$B$21,0))&amp;"",IF($D564="PS",INDEX(Accounts!$F$2:$F$21,MATCH($A564,Accounts!$B$2:$B$21,0))&amp;"",IF($D564="Named engineer",INDEX(Accounts!$I$2:$I$21,MATCH($A564,Accounts!$B$2:$B$21,0))&amp;"",IF($D564="TSE + PS",IF(INDEX(Accounts!$G$2:$G$21,MATCH($A564,Accounts!$B$2:$B$21,0))&amp;""="","(no TSE)",INDEX(Accounts!$G$2:$G$21,MATCH($A564,Accounts!$B$2:$B$21,0))&amp;"")&amp;" / "&amp;IF(INDEX(Accounts!$F$2:$F$21,MATCH($A564,Accounts!$B$2:$B$21,0))&amp;""="","(no PS)",INDEX(Accounts!$F$2:$F$21,MATCH($A564,Accounts!$B$2:$B$21,0))&amp;""),"")))),""))</f>
        <v/>
      </c>
      <c r="F564" s="42" t="s">
        <v>104</v>
      </c>
      <c r="I564" s="42" t="s">
        <v>34</v>
      </c>
      <c r="K564" s="44" t="str">
        <f t="shared" si="1"/>
        <v>Owner missing </v>
      </c>
    </row>
    <row r="565" ht="15.75" customHeight="1">
      <c r="E565" s="43" t="str">
        <f t="array" ref="E565">IF($A565="","",IFERROR(IF($D565="TSE",INDEX(Accounts!$G$2:$G$21,MATCH($A565,Accounts!$B$2:$B$21,0))&amp;"",IF($D565="PS",INDEX(Accounts!$F$2:$F$21,MATCH($A565,Accounts!$B$2:$B$21,0))&amp;"",IF($D565="Named engineer",INDEX(Accounts!$I$2:$I$21,MATCH($A565,Accounts!$B$2:$B$21,0))&amp;"",IF($D565="TSE + PS",IF(INDEX(Accounts!$G$2:$G$21,MATCH($A565,Accounts!$B$2:$B$21,0))&amp;""="","(no TSE)",INDEX(Accounts!$G$2:$G$21,MATCH($A565,Accounts!$B$2:$B$21,0))&amp;"")&amp;" / "&amp;IF(INDEX(Accounts!$F$2:$F$21,MATCH($A565,Accounts!$B$2:$B$21,0))&amp;""="","(no PS)",INDEX(Accounts!$F$2:$F$21,MATCH($A565,Accounts!$B$2:$B$21,0))&amp;""),"")))),""))</f>
        <v/>
      </c>
      <c r="F565" s="42" t="s">
        <v>104</v>
      </c>
      <c r="I565" s="42" t="s">
        <v>34</v>
      </c>
      <c r="K565" s="44" t="str">
        <f t="shared" si="1"/>
        <v>Owner missing </v>
      </c>
    </row>
    <row r="566" ht="15.75" customHeight="1">
      <c r="E566" s="43" t="str">
        <f t="array" ref="E566">IF($A566="","",IFERROR(IF($D566="TSE",INDEX(Accounts!$G$2:$G$21,MATCH($A566,Accounts!$B$2:$B$21,0))&amp;"",IF($D566="PS",INDEX(Accounts!$F$2:$F$21,MATCH($A566,Accounts!$B$2:$B$21,0))&amp;"",IF($D566="Named engineer",INDEX(Accounts!$I$2:$I$21,MATCH($A566,Accounts!$B$2:$B$21,0))&amp;"",IF($D566="TSE + PS",IF(INDEX(Accounts!$G$2:$G$21,MATCH($A566,Accounts!$B$2:$B$21,0))&amp;""="","(no TSE)",INDEX(Accounts!$G$2:$G$21,MATCH($A566,Accounts!$B$2:$B$21,0))&amp;"")&amp;" / "&amp;IF(INDEX(Accounts!$F$2:$F$21,MATCH($A566,Accounts!$B$2:$B$21,0))&amp;""="","(no PS)",INDEX(Accounts!$F$2:$F$21,MATCH($A566,Accounts!$B$2:$B$21,0))&amp;""),"")))),""))</f>
        <v/>
      </c>
      <c r="F566" s="42" t="s">
        <v>104</v>
      </c>
      <c r="I566" s="42" t="s">
        <v>34</v>
      </c>
      <c r="K566" s="44" t="str">
        <f t="shared" si="1"/>
        <v>Owner missing </v>
      </c>
    </row>
    <row r="567" ht="15.75" customHeight="1">
      <c r="E567" s="43" t="str">
        <f t="array" ref="E567">IF($A567="","",IFERROR(IF($D567="TSE",INDEX(Accounts!$G$2:$G$21,MATCH($A567,Accounts!$B$2:$B$21,0))&amp;"",IF($D567="PS",INDEX(Accounts!$F$2:$F$21,MATCH($A567,Accounts!$B$2:$B$21,0))&amp;"",IF($D567="Named engineer",INDEX(Accounts!$I$2:$I$21,MATCH($A567,Accounts!$B$2:$B$21,0))&amp;"",IF($D567="TSE + PS",IF(INDEX(Accounts!$G$2:$G$21,MATCH($A567,Accounts!$B$2:$B$21,0))&amp;""="","(no TSE)",INDEX(Accounts!$G$2:$G$21,MATCH($A567,Accounts!$B$2:$B$21,0))&amp;"")&amp;" / "&amp;IF(INDEX(Accounts!$F$2:$F$21,MATCH($A567,Accounts!$B$2:$B$21,0))&amp;""="","(no PS)",INDEX(Accounts!$F$2:$F$21,MATCH($A567,Accounts!$B$2:$B$21,0))&amp;""),"")))),""))</f>
        <v/>
      </c>
      <c r="F567" s="42" t="s">
        <v>104</v>
      </c>
      <c r="I567" s="42" t="s">
        <v>34</v>
      </c>
      <c r="K567" s="44" t="str">
        <f t="shared" si="1"/>
        <v>Owner missing </v>
      </c>
    </row>
    <row r="568" ht="15.75" customHeight="1">
      <c r="E568" s="43" t="str">
        <f t="array" ref="E568">IF($A568="","",IFERROR(IF($D568="TSE",INDEX(Accounts!$G$2:$G$21,MATCH($A568,Accounts!$B$2:$B$21,0))&amp;"",IF($D568="PS",INDEX(Accounts!$F$2:$F$21,MATCH($A568,Accounts!$B$2:$B$21,0))&amp;"",IF($D568="Named engineer",INDEX(Accounts!$I$2:$I$21,MATCH($A568,Accounts!$B$2:$B$21,0))&amp;"",IF($D568="TSE + PS",IF(INDEX(Accounts!$G$2:$G$21,MATCH($A568,Accounts!$B$2:$B$21,0))&amp;""="","(no TSE)",INDEX(Accounts!$G$2:$G$21,MATCH($A568,Accounts!$B$2:$B$21,0))&amp;"")&amp;" / "&amp;IF(INDEX(Accounts!$F$2:$F$21,MATCH($A568,Accounts!$B$2:$B$21,0))&amp;""="","(no PS)",INDEX(Accounts!$F$2:$F$21,MATCH($A568,Accounts!$B$2:$B$21,0))&amp;""),"")))),""))</f>
        <v/>
      </c>
      <c r="F568" s="42" t="s">
        <v>104</v>
      </c>
      <c r="I568" s="42" t="s">
        <v>34</v>
      </c>
      <c r="K568" s="44" t="str">
        <f t="shared" si="1"/>
        <v>Owner missing </v>
      </c>
    </row>
    <row r="569" ht="15.75" customHeight="1">
      <c r="E569" s="43" t="str">
        <f t="array" ref="E569">IF($A569="","",IFERROR(IF($D569="TSE",INDEX(Accounts!$G$2:$G$21,MATCH($A569,Accounts!$B$2:$B$21,0))&amp;"",IF($D569="PS",INDEX(Accounts!$F$2:$F$21,MATCH($A569,Accounts!$B$2:$B$21,0))&amp;"",IF($D569="Named engineer",INDEX(Accounts!$I$2:$I$21,MATCH($A569,Accounts!$B$2:$B$21,0))&amp;"",IF($D569="TSE + PS",IF(INDEX(Accounts!$G$2:$G$21,MATCH($A569,Accounts!$B$2:$B$21,0))&amp;""="","(no TSE)",INDEX(Accounts!$G$2:$G$21,MATCH($A569,Accounts!$B$2:$B$21,0))&amp;"")&amp;" / "&amp;IF(INDEX(Accounts!$F$2:$F$21,MATCH($A569,Accounts!$B$2:$B$21,0))&amp;""="","(no PS)",INDEX(Accounts!$F$2:$F$21,MATCH($A569,Accounts!$B$2:$B$21,0))&amp;""),"")))),""))</f>
        <v/>
      </c>
      <c r="F569" s="42" t="s">
        <v>104</v>
      </c>
      <c r="I569" s="42" t="s">
        <v>34</v>
      </c>
      <c r="K569" s="44" t="str">
        <f t="shared" si="1"/>
        <v>Owner missing </v>
      </c>
    </row>
    <row r="570" ht="15.75" customHeight="1">
      <c r="E570" s="43" t="str">
        <f t="array" ref="E570">IF($A570="","",IFERROR(IF($D570="TSE",INDEX(Accounts!$G$2:$G$21,MATCH($A570,Accounts!$B$2:$B$21,0))&amp;"",IF($D570="PS",INDEX(Accounts!$F$2:$F$21,MATCH($A570,Accounts!$B$2:$B$21,0))&amp;"",IF($D570="Named engineer",INDEX(Accounts!$I$2:$I$21,MATCH($A570,Accounts!$B$2:$B$21,0))&amp;"",IF($D570="TSE + PS",IF(INDEX(Accounts!$G$2:$G$21,MATCH($A570,Accounts!$B$2:$B$21,0))&amp;""="","(no TSE)",INDEX(Accounts!$G$2:$G$21,MATCH($A570,Accounts!$B$2:$B$21,0))&amp;"")&amp;" / "&amp;IF(INDEX(Accounts!$F$2:$F$21,MATCH($A570,Accounts!$B$2:$B$21,0))&amp;""="","(no PS)",INDEX(Accounts!$F$2:$F$21,MATCH($A570,Accounts!$B$2:$B$21,0))&amp;""),"")))),""))</f>
        <v/>
      </c>
      <c r="F570" s="42" t="s">
        <v>104</v>
      </c>
      <c r="I570" s="42" t="s">
        <v>34</v>
      </c>
      <c r="K570" s="44" t="str">
        <f t="shared" si="1"/>
        <v>Owner missing </v>
      </c>
    </row>
    <row r="571" ht="15.75" customHeight="1">
      <c r="E571" s="43" t="str">
        <f t="array" ref="E571">IF($A571="","",IFERROR(IF($D571="TSE",INDEX(Accounts!$G$2:$G$21,MATCH($A571,Accounts!$B$2:$B$21,0))&amp;"",IF($D571="PS",INDEX(Accounts!$F$2:$F$21,MATCH($A571,Accounts!$B$2:$B$21,0))&amp;"",IF($D571="Named engineer",INDEX(Accounts!$I$2:$I$21,MATCH($A571,Accounts!$B$2:$B$21,0))&amp;"",IF($D571="TSE + PS",IF(INDEX(Accounts!$G$2:$G$21,MATCH($A571,Accounts!$B$2:$B$21,0))&amp;""="","(no TSE)",INDEX(Accounts!$G$2:$G$21,MATCH($A571,Accounts!$B$2:$B$21,0))&amp;"")&amp;" / "&amp;IF(INDEX(Accounts!$F$2:$F$21,MATCH($A571,Accounts!$B$2:$B$21,0))&amp;""="","(no PS)",INDEX(Accounts!$F$2:$F$21,MATCH($A571,Accounts!$B$2:$B$21,0))&amp;""),"")))),""))</f>
        <v/>
      </c>
      <c r="F571" s="42" t="s">
        <v>104</v>
      </c>
      <c r="I571" s="42" t="s">
        <v>34</v>
      </c>
      <c r="K571" s="44" t="str">
        <f t="shared" si="1"/>
        <v>Owner missing </v>
      </c>
    </row>
    <row r="572" ht="15.75" customHeight="1">
      <c r="E572" s="43" t="str">
        <f t="array" ref="E572">IF($A572="","",IFERROR(IF($D572="TSE",INDEX(Accounts!$G$2:$G$21,MATCH($A572,Accounts!$B$2:$B$21,0))&amp;"",IF($D572="PS",INDEX(Accounts!$F$2:$F$21,MATCH($A572,Accounts!$B$2:$B$21,0))&amp;"",IF($D572="Named engineer",INDEX(Accounts!$I$2:$I$21,MATCH($A572,Accounts!$B$2:$B$21,0))&amp;"",IF($D572="TSE + PS",IF(INDEX(Accounts!$G$2:$G$21,MATCH($A572,Accounts!$B$2:$B$21,0))&amp;""="","(no TSE)",INDEX(Accounts!$G$2:$G$21,MATCH($A572,Accounts!$B$2:$B$21,0))&amp;"")&amp;" / "&amp;IF(INDEX(Accounts!$F$2:$F$21,MATCH($A572,Accounts!$B$2:$B$21,0))&amp;""="","(no PS)",INDEX(Accounts!$F$2:$F$21,MATCH($A572,Accounts!$B$2:$B$21,0))&amp;""),"")))),""))</f>
        <v/>
      </c>
      <c r="F572" s="42" t="s">
        <v>104</v>
      </c>
      <c r="I572" s="42" t="s">
        <v>34</v>
      </c>
      <c r="K572" s="44" t="str">
        <f t="shared" si="1"/>
        <v>Owner missing </v>
      </c>
    </row>
    <row r="573" ht="15.75" customHeight="1">
      <c r="E573" s="43" t="str">
        <f t="array" ref="E573">IF($A573="","",IFERROR(IF($D573="TSE",INDEX(Accounts!$G$2:$G$21,MATCH($A573,Accounts!$B$2:$B$21,0))&amp;"",IF($D573="PS",INDEX(Accounts!$F$2:$F$21,MATCH($A573,Accounts!$B$2:$B$21,0))&amp;"",IF($D573="Named engineer",INDEX(Accounts!$I$2:$I$21,MATCH($A573,Accounts!$B$2:$B$21,0))&amp;"",IF($D573="TSE + PS",IF(INDEX(Accounts!$G$2:$G$21,MATCH($A573,Accounts!$B$2:$B$21,0))&amp;""="","(no TSE)",INDEX(Accounts!$G$2:$G$21,MATCH($A573,Accounts!$B$2:$B$21,0))&amp;"")&amp;" / "&amp;IF(INDEX(Accounts!$F$2:$F$21,MATCH($A573,Accounts!$B$2:$B$21,0))&amp;""="","(no PS)",INDEX(Accounts!$F$2:$F$21,MATCH($A573,Accounts!$B$2:$B$21,0))&amp;""),"")))),""))</f>
        <v/>
      </c>
      <c r="F573" s="42" t="s">
        <v>104</v>
      </c>
      <c r="I573" s="42" t="s">
        <v>34</v>
      </c>
      <c r="K573" s="44" t="str">
        <f t="shared" si="1"/>
        <v>Owner missing </v>
      </c>
    </row>
    <row r="574" ht="15.75" customHeight="1">
      <c r="E574" s="43" t="str">
        <f t="array" ref="E574">IF($A574="","",IFERROR(IF($D574="TSE",INDEX(Accounts!$G$2:$G$21,MATCH($A574,Accounts!$B$2:$B$21,0))&amp;"",IF($D574="PS",INDEX(Accounts!$F$2:$F$21,MATCH($A574,Accounts!$B$2:$B$21,0))&amp;"",IF($D574="Named engineer",INDEX(Accounts!$I$2:$I$21,MATCH($A574,Accounts!$B$2:$B$21,0))&amp;"",IF($D574="TSE + PS",IF(INDEX(Accounts!$G$2:$G$21,MATCH($A574,Accounts!$B$2:$B$21,0))&amp;""="","(no TSE)",INDEX(Accounts!$G$2:$G$21,MATCH($A574,Accounts!$B$2:$B$21,0))&amp;"")&amp;" / "&amp;IF(INDEX(Accounts!$F$2:$F$21,MATCH($A574,Accounts!$B$2:$B$21,0))&amp;""="","(no PS)",INDEX(Accounts!$F$2:$F$21,MATCH($A574,Accounts!$B$2:$B$21,0))&amp;""),"")))),""))</f>
        <v/>
      </c>
      <c r="F574" s="42" t="s">
        <v>104</v>
      </c>
      <c r="I574" s="42" t="s">
        <v>34</v>
      </c>
      <c r="K574" s="44" t="str">
        <f t="shared" si="1"/>
        <v>Owner missing </v>
      </c>
    </row>
    <row r="575" ht="15.75" customHeight="1">
      <c r="E575" s="43" t="str">
        <f t="array" ref="E575">IF($A575="","",IFERROR(IF($D575="TSE",INDEX(Accounts!$G$2:$G$21,MATCH($A575,Accounts!$B$2:$B$21,0))&amp;"",IF($D575="PS",INDEX(Accounts!$F$2:$F$21,MATCH($A575,Accounts!$B$2:$B$21,0))&amp;"",IF($D575="Named engineer",INDEX(Accounts!$I$2:$I$21,MATCH($A575,Accounts!$B$2:$B$21,0))&amp;"",IF($D575="TSE + PS",IF(INDEX(Accounts!$G$2:$G$21,MATCH($A575,Accounts!$B$2:$B$21,0))&amp;""="","(no TSE)",INDEX(Accounts!$G$2:$G$21,MATCH($A575,Accounts!$B$2:$B$21,0))&amp;"")&amp;" / "&amp;IF(INDEX(Accounts!$F$2:$F$21,MATCH($A575,Accounts!$B$2:$B$21,0))&amp;""="","(no PS)",INDEX(Accounts!$F$2:$F$21,MATCH($A575,Accounts!$B$2:$B$21,0))&amp;""),"")))),""))</f>
        <v/>
      </c>
      <c r="F575" s="42" t="s">
        <v>104</v>
      </c>
      <c r="I575" s="42" t="s">
        <v>34</v>
      </c>
      <c r="K575" s="44" t="str">
        <f t="shared" si="1"/>
        <v>Owner missing </v>
      </c>
    </row>
    <row r="576" ht="15.75" customHeight="1">
      <c r="E576" s="43" t="str">
        <f t="array" ref="E576">IF($A576="","",IFERROR(IF($D576="TSE",INDEX(Accounts!$G$2:$G$21,MATCH($A576,Accounts!$B$2:$B$21,0))&amp;"",IF($D576="PS",INDEX(Accounts!$F$2:$F$21,MATCH($A576,Accounts!$B$2:$B$21,0))&amp;"",IF($D576="Named engineer",INDEX(Accounts!$I$2:$I$21,MATCH($A576,Accounts!$B$2:$B$21,0))&amp;"",IF($D576="TSE + PS",IF(INDEX(Accounts!$G$2:$G$21,MATCH($A576,Accounts!$B$2:$B$21,0))&amp;""="","(no TSE)",INDEX(Accounts!$G$2:$G$21,MATCH($A576,Accounts!$B$2:$B$21,0))&amp;"")&amp;" / "&amp;IF(INDEX(Accounts!$F$2:$F$21,MATCH($A576,Accounts!$B$2:$B$21,0))&amp;""="","(no PS)",INDEX(Accounts!$F$2:$F$21,MATCH($A576,Accounts!$B$2:$B$21,0))&amp;""),"")))),""))</f>
        <v/>
      </c>
      <c r="F576" s="42" t="s">
        <v>104</v>
      </c>
      <c r="I576" s="42" t="s">
        <v>34</v>
      </c>
      <c r="K576" s="44" t="str">
        <f t="shared" si="1"/>
        <v>Owner missing </v>
      </c>
    </row>
    <row r="577" ht="15.75" customHeight="1">
      <c r="E577" s="43" t="str">
        <f t="array" ref="E577">IF($A577="","",IFERROR(IF($D577="TSE",INDEX(Accounts!$G$2:$G$21,MATCH($A577,Accounts!$B$2:$B$21,0))&amp;"",IF($D577="PS",INDEX(Accounts!$F$2:$F$21,MATCH($A577,Accounts!$B$2:$B$21,0))&amp;"",IF($D577="Named engineer",INDEX(Accounts!$I$2:$I$21,MATCH($A577,Accounts!$B$2:$B$21,0))&amp;"",IF($D577="TSE + PS",IF(INDEX(Accounts!$G$2:$G$21,MATCH($A577,Accounts!$B$2:$B$21,0))&amp;""="","(no TSE)",INDEX(Accounts!$G$2:$G$21,MATCH($A577,Accounts!$B$2:$B$21,0))&amp;"")&amp;" / "&amp;IF(INDEX(Accounts!$F$2:$F$21,MATCH($A577,Accounts!$B$2:$B$21,0))&amp;""="","(no PS)",INDEX(Accounts!$F$2:$F$21,MATCH($A577,Accounts!$B$2:$B$21,0))&amp;""),"")))),""))</f>
        <v/>
      </c>
      <c r="F577" s="42" t="s">
        <v>104</v>
      </c>
      <c r="I577" s="42" t="s">
        <v>34</v>
      </c>
      <c r="K577" s="44" t="str">
        <f t="shared" si="1"/>
        <v>Owner missing </v>
      </c>
    </row>
    <row r="578" ht="15.75" customHeight="1">
      <c r="E578" s="43" t="str">
        <f t="array" ref="E578">IF($A578="","",IFERROR(IF($D578="TSE",INDEX(Accounts!$G$2:$G$21,MATCH($A578,Accounts!$B$2:$B$21,0))&amp;"",IF($D578="PS",INDEX(Accounts!$F$2:$F$21,MATCH($A578,Accounts!$B$2:$B$21,0))&amp;"",IF($D578="Named engineer",INDEX(Accounts!$I$2:$I$21,MATCH($A578,Accounts!$B$2:$B$21,0))&amp;"",IF($D578="TSE + PS",IF(INDEX(Accounts!$G$2:$G$21,MATCH($A578,Accounts!$B$2:$B$21,0))&amp;""="","(no TSE)",INDEX(Accounts!$G$2:$G$21,MATCH($A578,Accounts!$B$2:$B$21,0))&amp;"")&amp;" / "&amp;IF(INDEX(Accounts!$F$2:$F$21,MATCH($A578,Accounts!$B$2:$B$21,0))&amp;""="","(no PS)",INDEX(Accounts!$F$2:$F$21,MATCH($A578,Accounts!$B$2:$B$21,0))&amp;""),"")))),""))</f>
        <v/>
      </c>
      <c r="F578" s="42" t="s">
        <v>104</v>
      </c>
      <c r="I578" s="42" t="s">
        <v>34</v>
      </c>
      <c r="K578" s="44" t="str">
        <f t="shared" si="1"/>
        <v>Owner missing </v>
      </c>
    </row>
    <row r="579" ht="15.75" customHeight="1">
      <c r="E579" s="43" t="str">
        <f t="array" ref="E579">IF($A579="","",IFERROR(IF($D579="TSE",INDEX(Accounts!$G$2:$G$21,MATCH($A579,Accounts!$B$2:$B$21,0))&amp;"",IF($D579="PS",INDEX(Accounts!$F$2:$F$21,MATCH($A579,Accounts!$B$2:$B$21,0))&amp;"",IF($D579="Named engineer",INDEX(Accounts!$I$2:$I$21,MATCH($A579,Accounts!$B$2:$B$21,0))&amp;"",IF($D579="TSE + PS",IF(INDEX(Accounts!$G$2:$G$21,MATCH($A579,Accounts!$B$2:$B$21,0))&amp;""="","(no TSE)",INDEX(Accounts!$G$2:$G$21,MATCH($A579,Accounts!$B$2:$B$21,0))&amp;"")&amp;" / "&amp;IF(INDEX(Accounts!$F$2:$F$21,MATCH($A579,Accounts!$B$2:$B$21,0))&amp;""="","(no PS)",INDEX(Accounts!$F$2:$F$21,MATCH($A579,Accounts!$B$2:$B$21,0))&amp;""),"")))),""))</f>
        <v/>
      </c>
      <c r="F579" s="42" t="s">
        <v>104</v>
      </c>
      <c r="I579" s="42" t="s">
        <v>34</v>
      </c>
      <c r="K579" s="44" t="str">
        <f t="shared" si="1"/>
        <v>Owner missing </v>
      </c>
    </row>
    <row r="580" ht="15.75" customHeight="1">
      <c r="E580" s="43" t="str">
        <f t="array" ref="E580">IF($A580="","",IFERROR(IF($D580="TSE",INDEX(Accounts!$G$2:$G$21,MATCH($A580,Accounts!$B$2:$B$21,0))&amp;"",IF($D580="PS",INDEX(Accounts!$F$2:$F$21,MATCH($A580,Accounts!$B$2:$B$21,0))&amp;"",IF($D580="Named engineer",INDEX(Accounts!$I$2:$I$21,MATCH($A580,Accounts!$B$2:$B$21,0))&amp;"",IF($D580="TSE + PS",IF(INDEX(Accounts!$G$2:$G$21,MATCH($A580,Accounts!$B$2:$B$21,0))&amp;""="","(no TSE)",INDEX(Accounts!$G$2:$G$21,MATCH($A580,Accounts!$B$2:$B$21,0))&amp;"")&amp;" / "&amp;IF(INDEX(Accounts!$F$2:$F$21,MATCH($A580,Accounts!$B$2:$B$21,0))&amp;""="","(no PS)",INDEX(Accounts!$F$2:$F$21,MATCH($A580,Accounts!$B$2:$B$21,0))&amp;""),"")))),""))</f>
        <v/>
      </c>
      <c r="F580" s="42" t="s">
        <v>104</v>
      </c>
      <c r="I580" s="42" t="s">
        <v>34</v>
      </c>
      <c r="K580" s="44" t="str">
        <f t="shared" si="1"/>
        <v>Owner missing </v>
      </c>
    </row>
    <row r="581" ht="15.75" customHeight="1">
      <c r="E581" s="43" t="str">
        <f t="array" ref="E581">IF($A581="","",IFERROR(IF($D581="TSE",INDEX(Accounts!$G$2:$G$21,MATCH($A581,Accounts!$B$2:$B$21,0))&amp;"",IF($D581="PS",INDEX(Accounts!$F$2:$F$21,MATCH($A581,Accounts!$B$2:$B$21,0))&amp;"",IF($D581="Named engineer",INDEX(Accounts!$I$2:$I$21,MATCH($A581,Accounts!$B$2:$B$21,0))&amp;"",IF($D581="TSE + PS",IF(INDEX(Accounts!$G$2:$G$21,MATCH($A581,Accounts!$B$2:$B$21,0))&amp;""="","(no TSE)",INDEX(Accounts!$G$2:$G$21,MATCH($A581,Accounts!$B$2:$B$21,0))&amp;"")&amp;" / "&amp;IF(INDEX(Accounts!$F$2:$F$21,MATCH($A581,Accounts!$B$2:$B$21,0))&amp;""="","(no PS)",INDEX(Accounts!$F$2:$F$21,MATCH($A581,Accounts!$B$2:$B$21,0))&amp;""),"")))),""))</f>
        <v/>
      </c>
      <c r="F581" s="42" t="s">
        <v>104</v>
      </c>
      <c r="I581" s="42" t="s">
        <v>34</v>
      </c>
      <c r="K581" s="44" t="str">
        <f t="shared" si="1"/>
        <v>Owner missing </v>
      </c>
    </row>
    <row r="582" ht="15.75" customHeight="1">
      <c r="E582" s="43" t="str">
        <f t="array" ref="E582">IF($A582="","",IFERROR(IF($D582="TSE",INDEX(Accounts!$G$2:$G$21,MATCH($A582,Accounts!$B$2:$B$21,0))&amp;"",IF($D582="PS",INDEX(Accounts!$F$2:$F$21,MATCH($A582,Accounts!$B$2:$B$21,0))&amp;"",IF($D582="Named engineer",INDEX(Accounts!$I$2:$I$21,MATCH($A582,Accounts!$B$2:$B$21,0))&amp;"",IF($D582="TSE + PS",IF(INDEX(Accounts!$G$2:$G$21,MATCH($A582,Accounts!$B$2:$B$21,0))&amp;""="","(no TSE)",INDEX(Accounts!$G$2:$G$21,MATCH($A582,Accounts!$B$2:$B$21,0))&amp;"")&amp;" / "&amp;IF(INDEX(Accounts!$F$2:$F$21,MATCH($A582,Accounts!$B$2:$B$21,0))&amp;""="","(no PS)",INDEX(Accounts!$F$2:$F$21,MATCH($A582,Accounts!$B$2:$B$21,0))&amp;""),"")))),""))</f>
        <v/>
      </c>
      <c r="F582" s="42" t="s">
        <v>104</v>
      </c>
      <c r="I582" s="42" t="s">
        <v>34</v>
      </c>
      <c r="K582" s="44" t="str">
        <f t="shared" si="1"/>
        <v>Owner missing </v>
      </c>
    </row>
    <row r="583" ht="15.75" customHeight="1">
      <c r="E583" s="43" t="str">
        <f t="array" ref="E583">IF($A583="","",IFERROR(IF($D583="TSE",INDEX(Accounts!$G$2:$G$21,MATCH($A583,Accounts!$B$2:$B$21,0))&amp;"",IF($D583="PS",INDEX(Accounts!$F$2:$F$21,MATCH($A583,Accounts!$B$2:$B$21,0))&amp;"",IF($D583="Named engineer",INDEX(Accounts!$I$2:$I$21,MATCH($A583,Accounts!$B$2:$B$21,0))&amp;"",IF($D583="TSE + PS",IF(INDEX(Accounts!$G$2:$G$21,MATCH($A583,Accounts!$B$2:$B$21,0))&amp;""="","(no TSE)",INDEX(Accounts!$G$2:$G$21,MATCH($A583,Accounts!$B$2:$B$21,0))&amp;"")&amp;" / "&amp;IF(INDEX(Accounts!$F$2:$F$21,MATCH($A583,Accounts!$B$2:$B$21,0))&amp;""="","(no PS)",INDEX(Accounts!$F$2:$F$21,MATCH($A583,Accounts!$B$2:$B$21,0))&amp;""),"")))),""))</f>
        <v/>
      </c>
      <c r="F583" s="42" t="s">
        <v>104</v>
      </c>
      <c r="I583" s="42" t="s">
        <v>34</v>
      </c>
      <c r="K583" s="44" t="str">
        <f t="shared" si="1"/>
        <v>Owner missing </v>
      </c>
    </row>
    <row r="584" ht="15.75" customHeight="1">
      <c r="E584" s="43" t="str">
        <f t="array" ref="E584">IF($A584="","",IFERROR(IF($D584="TSE",INDEX(Accounts!$G$2:$G$21,MATCH($A584,Accounts!$B$2:$B$21,0))&amp;"",IF($D584="PS",INDEX(Accounts!$F$2:$F$21,MATCH($A584,Accounts!$B$2:$B$21,0))&amp;"",IF($D584="Named engineer",INDEX(Accounts!$I$2:$I$21,MATCH($A584,Accounts!$B$2:$B$21,0))&amp;"",IF($D584="TSE + PS",IF(INDEX(Accounts!$G$2:$G$21,MATCH($A584,Accounts!$B$2:$B$21,0))&amp;""="","(no TSE)",INDEX(Accounts!$G$2:$G$21,MATCH($A584,Accounts!$B$2:$B$21,0))&amp;"")&amp;" / "&amp;IF(INDEX(Accounts!$F$2:$F$21,MATCH($A584,Accounts!$B$2:$B$21,0))&amp;""="","(no PS)",INDEX(Accounts!$F$2:$F$21,MATCH($A584,Accounts!$B$2:$B$21,0))&amp;""),"")))),""))</f>
        <v/>
      </c>
      <c r="F584" s="42" t="s">
        <v>104</v>
      </c>
      <c r="I584" s="42" t="s">
        <v>34</v>
      </c>
      <c r="K584" s="44" t="str">
        <f t="shared" si="1"/>
        <v>Owner missing </v>
      </c>
    </row>
    <row r="585" ht="15.75" customHeight="1">
      <c r="E585" s="43" t="str">
        <f t="array" ref="E585">IF($A585="","",IFERROR(IF($D585="TSE",INDEX(Accounts!$G$2:$G$21,MATCH($A585,Accounts!$B$2:$B$21,0))&amp;"",IF($D585="PS",INDEX(Accounts!$F$2:$F$21,MATCH($A585,Accounts!$B$2:$B$21,0))&amp;"",IF($D585="Named engineer",INDEX(Accounts!$I$2:$I$21,MATCH($A585,Accounts!$B$2:$B$21,0))&amp;"",IF($D585="TSE + PS",IF(INDEX(Accounts!$G$2:$G$21,MATCH($A585,Accounts!$B$2:$B$21,0))&amp;""="","(no TSE)",INDEX(Accounts!$G$2:$G$21,MATCH($A585,Accounts!$B$2:$B$21,0))&amp;"")&amp;" / "&amp;IF(INDEX(Accounts!$F$2:$F$21,MATCH($A585,Accounts!$B$2:$B$21,0))&amp;""="","(no PS)",INDEX(Accounts!$F$2:$F$21,MATCH($A585,Accounts!$B$2:$B$21,0))&amp;""),"")))),""))</f>
        <v/>
      </c>
      <c r="F585" s="42" t="s">
        <v>104</v>
      </c>
      <c r="I585" s="42" t="s">
        <v>34</v>
      </c>
      <c r="K585" s="44" t="str">
        <f t="shared" si="1"/>
        <v>Owner missing </v>
      </c>
    </row>
    <row r="586" ht="15.75" customHeight="1">
      <c r="E586" s="43" t="str">
        <f t="array" ref="E586">IF($A586="","",IFERROR(IF($D586="TSE",INDEX(Accounts!$G$2:$G$21,MATCH($A586,Accounts!$B$2:$B$21,0))&amp;"",IF($D586="PS",INDEX(Accounts!$F$2:$F$21,MATCH($A586,Accounts!$B$2:$B$21,0))&amp;"",IF($D586="Named engineer",INDEX(Accounts!$I$2:$I$21,MATCH($A586,Accounts!$B$2:$B$21,0))&amp;"",IF($D586="TSE + PS",IF(INDEX(Accounts!$G$2:$G$21,MATCH($A586,Accounts!$B$2:$B$21,0))&amp;""="","(no TSE)",INDEX(Accounts!$G$2:$G$21,MATCH($A586,Accounts!$B$2:$B$21,0))&amp;"")&amp;" / "&amp;IF(INDEX(Accounts!$F$2:$F$21,MATCH($A586,Accounts!$B$2:$B$21,0))&amp;""="","(no PS)",INDEX(Accounts!$F$2:$F$21,MATCH($A586,Accounts!$B$2:$B$21,0))&amp;""),"")))),""))</f>
        <v/>
      </c>
      <c r="F586" s="42" t="s">
        <v>104</v>
      </c>
      <c r="I586" s="42" t="s">
        <v>34</v>
      </c>
      <c r="K586" s="44" t="str">
        <f t="shared" si="1"/>
        <v>Owner missing </v>
      </c>
    </row>
    <row r="587" ht="15.75" customHeight="1">
      <c r="E587" s="43" t="str">
        <f t="array" ref="E587">IF($A587="","",IFERROR(IF($D587="TSE",INDEX(Accounts!$G$2:$G$21,MATCH($A587,Accounts!$B$2:$B$21,0))&amp;"",IF($D587="PS",INDEX(Accounts!$F$2:$F$21,MATCH($A587,Accounts!$B$2:$B$21,0))&amp;"",IF($D587="Named engineer",INDEX(Accounts!$I$2:$I$21,MATCH($A587,Accounts!$B$2:$B$21,0))&amp;"",IF($D587="TSE + PS",IF(INDEX(Accounts!$G$2:$G$21,MATCH($A587,Accounts!$B$2:$B$21,0))&amp;""="","(no TSE)",INDEX(Accounts!$G$2:$G$21,MATCH($A587,Accounts!$B$2:$B$21,0))&amp;"")&amp;" / "&amp;IF(INDEX(Accounts!$F$2:$F$21,MATCH($A587,Accounts!$B$2:$B$21,0))&amp;""="","(no PS)",INDEX(Accounts!$F$2:$F$21,MATCH($A587,Accounts!$B$2:$B$21,0))&amp;""),"")))),""))</f>
        <v/>
      </c>
      <c r="F587" s="42" t="s">
        <v>104</v>
      </c>
      <c r="I587" s="42" t="s">
        <v>34</v>
      </c>
      <c r="K587" s="44" t="str">
        <f t="shared" si="1"/>
        <v>Owner missing </v>
      </c>
    </row>
    <row r="588" ht="15.75" customHeight="1">
      <c r="E588" s="43" t="str">
        <f t="array" ref="E588">IF($A588="","",IFERROR(IF($D588="TSE",INDEX(Accounts!$G$2:$G$21,MATCH($A588,Accounts!$B$2:$B$21,0))&amp;"",IF($D588="PS",INDEX(Accounts!$F$2:$F$21,MATCH($A588,Accounts!$B$2:$B$21,0))&amp;"",IF($D588="Named engineer",INDEX(Accounts!$I$2:$I$21,MATCH($A588,Accounts!$B$2:$B$21,0))&amp;"",IF($D588="TSE + PS",IF(INDEX(Accounts!$G$2:$G$21,MATCH($A588,Accounts!$B$2:$B$21,0))&amp;""="","(no TSE)",INDEX(Accounts!$G$2:$G$21,MATCH($A588,Accounts!$B$2:$B$21,0))&amp;"")&amp;" / "&amp;IF(INDEX(Accounts!$F$2:$F$21,MATCH($A588,Accounts!$B$2:$B$21,0))&amp;""="","(no PS)",INDEX(Accounts!$F$2:$F$21,MATCH($A588,Accounts!$B$2:$B$21,0))&amp;""),"")))),""))</f>
        <v/>
      </c>
      <c r="F588" s="42" t="s">
        <v>104</v>
      </c>
      <c r="I588" s="42" t="s">
        <v>34</v>
      </c>
      <c r="K588" s="44" t="str">
        <f t="shared" si="1"/>
        <v>Owner missing </v>
      </c>
    </row>
    <row r="589" ht="15.75" customHeight="1">
      <c r="E589" s="43" t="str">
        <f t="array" ref="E589">IF($A589="","",IFERROR(IF($D589="TSE",INDEX(Accounts!$G$2:$G$21,MATCH($A589,Accounts!$B$2:$B$21,0))&amp;"",IF($D589="PS",INDEX(Accounts!$F$2:$F$21,MATCH($A589,Accounts!$B$2:$B$21,0))&amp;"",IF($D589="Named engineer",INDEX(Accounts!$I$2:$I$21,MATCH($A589,Accounts!$B$2:$B$21,0))&amp;"",IF($D589="TSE + PS",IF(INDEX(Accounts!$G$2:$G$21,MATCH($A589,Accounts!$B$2:$B$21,0))&amp;""="","(no TSE)",INDEX(Accounts!$G$2:$G$21,MATCH($A589,Accounts!$B$2:$B$21,0))&amp;"")&amp;" / "&amp;IF(INDEX(Accounts!$F$2:$F$21,MATCH($A589,Accounts!$B$2:$B$21,0))&amp;""="","(no PS)",INDEX(Accounts!$F$2:$F$21,MATCH($A589,Accounts!$B$2:$B$21,0))&amp;""),"")))),""))</f>
        <v/>
      </c>
      <c r="F589" s="42" t="s">
        <v>104</v>
      </c>
      <c r="I589" s="42" t="s">
        <v>34</v>
      </c>
      <c r="K589" s="44" t="str">
        <f t="shared" si="1"/>
        <v>Owner missing </v>
      </c>
    </row>
    <row r="590" ht="15.75" customHeight="1">
      <c r="E590" s="43" t="str">
        <f t="array" ref="E590">IF($A590="","",IFERROR(IF($D590="TSE",INDEX(Accounts!$G$2:$G$21,MATCH($A590,Accounts!$B$2:$B$21,0))&amp;"",IF($D590="PS",INDEX(Accounts!$F$2:$F$21,MATCH($A590,Accounts!$B$2:$B$21,0))&amp;"",IF($D590="Named engineer",INDEX(Accounts!$I$2:$I$21,MATCH($A590,Accounts!$B$2:$B$21,0))&amp;"",IF($D590="TSE + PS",IF(INDEX(Accounts!$G$2:$G$21,MATCH($A590,Accounts!$B$2:$B$21,0))&amp;""="","(no TSE)",INDEX(Accounts!$G$2:$G$21,MATCH($A590,Accounts!$B$2:$B$21,0))&amp;"")&amp;" / "&amp;IF(INDEX(Accounts!$F$2:$F$21,MATCH($A590,Accounts!$B$2:$B$21,0))&amp;""="","(no PS)",INDEX(Accounts!$F$2:$F$21,MATCH($A590,Accounts!$B$2:$B$21,0))&amp;""),"")))),""))</f>
        <v/>
      </c>
      <c r="F590" s="42" t="s">
        <v>104</v>
      </c>
      <c r="I590" s="42" t="s">
        <v>34</v>
      </c>
      <c r="K590" s="44" t="str">
        <f t="shared" si="1"/>
        <v>Owner missing </v>
      </c>
    </row>
    <row r="591" ht="15.75" customHeight="1">
      <c r="E591" s="43" t="str">
        <f t="array" ref="E591">IF($A591="","",IFERROR(IF($D591="TSE",INDEX(Accounts!$G$2:$G$21,MATCH($A591,Accounts!$B$2:$B$21,0))&amp;"",IF($D591="PS",INDEX(Accounts!$F$2:$F$21,MATCH($A591,Accounts!$B$2:$B$21,0))&amp;"",IF($D591="Named engineer",INDEX(Accounts!$I$2:$I$21,MATCH($A591,Accounts!$B$2:$B$21,0))&amp;"",IF($D591="TSE + PS",IF(INDEX(Accounts!$G$2:$G$21,MATCH($A591,Accounts!$B$2:$B$21,0))&amp;""="","(no TSE)",INDEX(Accounts!$G$2:$G$21,MATCH($A591,Accounts!$B$2:$B$21,0))&amp;"")&amp;" / "&amp;IF(INDEX(Accounts!$F$2:$F$21,MATCH($A591,Accounts!$B$2:$B$21,0))&amp;""="","(no PS)",INDEX(Accounts!$F$2:$F$21,MATCH($A591,Accounts!$B$2:$B$21,0))&amp;""),"")))),""))</f>
        <v/>
      </c>
      <c r="F591" s="42" t="s">
        <v>104</v>
      </c>
      <c r="I591" s="42" t="s">
        <v>34</v>
      </c>
      <c r="K591" s="44" t="str">
        <f t="shared" si="1"/>
        <v>Owner missing </v>
      </c>
    </row>
    <row r="592" ht="15.75" customHeight="1">
      <c r="E592" s="43" t="str">
        <f t="array" ref="E592">IF($A592="","",IFERROR(IF($D592="TSE",INDEX(Accounts!$G$2:$G$21,MATCH($A592,Accounts!$B$2:$B$21,0))&amp;"",IF($D592="PS",INDEX(Accounts!$F$2:$F$21,MATCH($A592,Accounts!$B$2:$B$21,0))&amp;"",IF($D592="Named engineer",INDEX(Accounts!$I$2:$I$21,MATCH($A592,Accounts!$B$2:$B$21,0))&amp;"",IF($D592="TSE + PS",IF(INDEX(Accounts!$G$2:$G$21,MATCH($A592,Accounts!$B$2:$B$21,0))&amp;""="","(no TSE)",INDEX(Accounts!$G$2:$G$21,MATCH($A592,Accounts!$B$2:$B$21,0))&amp;"")&amp;" / "&amp;IF(INDEX(Accounts!$F$2:$F$21,MATCH($A592,Accounts!$B$2:$B$21,0))&amp;""="","(no PS)",INDEX(Accounts!$F$2:$F$21,MATCH($A592,Accounts!$B$2:$B$21,0))&amp;""),"")))),""))</f>
        <v/>
      </c>
      <c r="F592" s="42" t="s">
        <v>104</v>
      </c>
      <c r="I592" s="42" t="s">
        <v>34</v>
      </c>
      <c r="K592" s="44" t="str">
        <f t="shared" si="1"/>
        <v>Owner missing </v>
      </c>
    </row>
    <row r="593" ht="15.75" customHeight="1">
      <c r="E593" s="43" t="str">
        <f t="array" ref="E593">IF($A593="","",IFERROR(IF($D593="TSE",INDEX(Accounts!$G$2:$G$21,MATCH($A593,Accounts!$B$2:$B$21,0))&amp;"",IF($D593="PS",INDEX(Accounts!$F$2:$F$21,MATCH($A593,Accounts!$B$2:$B$21,0))&amp;"",IF($D593="Named engineer",INDEX(Accounts!$I$2:$I$21,MATCH($A593,Accounts!$B$2:$B$21,0))&amp;"",IF($D593="TSE + PS",IF(INDEX(Accounts!$G$2:$G$21,MATCH($A593,Accounts!$B$2:$B$21,0))&amp;""="","(no TSE)",INDEX(Accounts!$G$2:$G$21,MATCH($A593,Accounts!$B$2:$B$21,0))&amp;"")&amp;" / "&amp;IF(INDEX(Accounts!$F$2:$F$21,MATCH($A593,Accounts!$B$2:$B$21,0))&amp;""="","(no PS)",INDEX(Accounts!$F$2:$F$21,MATCH($A593,Accounts!$B$2:$B$21,0))&amp;""),"")))),""))</f>
        <v/>
      </c>
      <c r="F593" s="42" t="s">
        <v>104</v>
      </c>
      <c r="I593" s="42" t="s">
        <v>34</v>
      </c>
      <c r="K593" s="44" t="str">
        <f t="shared" si="1"/>
        <v>Owner missing </v>
      </c>
    </row>
    <row r="594" ht="15.75" customHeight="1">
      <c r="E594" s="43" t="str">
        <f t="array" ref="E594">IF($A594="","",IFERROR(IF($D594="TSE",INDEX(Accounts!$G$2:$G$21,MATCH($A594,Accounts!$B$2:$B$21,0))&amp;"",IF($D594="PS",INDEX(Accounts!$F$2:$F$21,MATCH($A594,Accounts!$B$2:$B$21,0))&amp;"",IF($D594="Named engineer",INDEX(Accounts!$I$2:$I$21,MATCH($A594,Accounts!$B$2:$B$21,0))&amp;"",IF($D594="TSE + PS",IF(INDEX(Accounts!$G$2:$G$21,MATCH($A594,Accounts!$B$2:$B$21,0))&amp;""="","(no TSE)",INDEX(Accounts!$G$2:$G$21,MATCH($A594,Accounts!$B$2:$B$21,0))&amp;"")&amp;" / "&amp;IF(INDEX(Accounts!$F$2:$F$21,MATCH($A594,Accounts!$B$2:$B$21,0))&amp;""="","(no PS)",INDEX(Accounts!$F$2:$F$21,MATCH($A594,Accounts!$B$2:$B$21,0))&amp;""),"")))),""))</f>
        <v/>
      </c>
      <c r="F594" s="42" t="s">
        <v>104</v>
      </c>
      <c r="I594" s="42" t="s">
        <v>34</v>
      </c>
      <c r="K594" s="44" t="str">
        <f t="shared" si="1"/>
        <v>Owner missing </v>
      </c>
    </row>
    <row r="595" ht="15.75" customHeight="1">
      <c r="E595" s="43" t="str">
        <f t="array" ref="E595">IF($A595="","",IFERROR(IF($D595="TSE",INDEX(Accounts!$G$2:$G$21,MATCH($A595,Accounts!$B$2:$B$21,0))&amp;"",IF($D595="PS",INDEX(Accounts!$F$2:$F$21,MATCH($A595,Accounts!$B$2:$B$21,0))&amp;"",IF($D595="Named engineer",INDEX(Accounts!$I$2:$I$21,MATCH($A595,Accounts!$B$2:$B$21,0))&amp;"",IF($D595="TSE + PS",IF(INDEX(Accounts!$G$2:$G$21,MATCH($A595,Accounts!$B$2:$B$21,0))&amp;""="","(no TSE)",INDEX(Accounts!$G$2:$G$21,MATCH($A595,Accounts!$B$2:$B$21,0))&amp;"")&amp;" / "&amp;IF(INDEX(Accounts!$F$2:$F$21,MATCH($A595,Accounts!$B$2:$B$21,0))&amp;""="","(no PS)",INDEX(Accounts!$F$2:$F$21,MATCH($A595,Accounts!$B$2:$B$21,0))&amp;""),"")))),""))</f>
        <v/>
      </c>
      <c r="F595" s="42" t="s">
        <v>104</v>
      </c>
      <c r="I595" s="42" t="s">
        <v>34</v>
      </c>
      <c r="K595" s="44" t="str">
        <f t="shared" si="1"/>
        <v>Owner missing </v>
      </c>
    </row>
    <row r="596" ht="15.75" customHeight="1">
      <c r="E596" s="43" t="str">
        <f t="array" ref="E596">IF($A596="","",IFERROR(IF($D596="TSE",INDEX(Accounts!$G$2:$G$21,MATCH($A596,Accounts!$B$2:$B$21,0))&amp;"",IF($D596="PS",INDEX(Accounts!$F$2:$F$21,MATCH($A596,Accounts!$B$2:$B$21,0))&amp;"",IF($D596="Named engineer",INDEX(Accounts!$I$2:$I$21,MATCH($A596,Accounts!$B$2:$B$21,0))&amp;"",IF($D596="TSE + PS",IF(INDEX(Accounts!$G$2:$G$21,MATCH($A596,Accounts!$B$2:$B$21,0))&amp;""="","(no TSE)",INDEX(Accounts!$G$2:$G$21,MATCH($A596,Accounts!$B$2:$B$21,0))&amp;"")&amp;" / "&amp;IF(INDEX(Accounts!$F$2:$F$21,MATCH($A596,Accounts!$B$2:$B$21,0))&amp;""="","(no PS)",INDEX(Accounts!$F$2:$F$21,MATCH($A596,Accounts!$B$2:$B$21,0))&amp;""),"")))),""))</f>
        <v/>
      </c>
      <c r="F596" s="42" t="s">
        <v>104</v>
      </c>
      <c r="I596" s="42" t="s">
        <v>34</v>
      </c>
      <c r="K596" s="44" t="str">
        <f t="shared" si="1"/>
        <v>Owner missing </v>
      </c>
    </row>
    <row r="597" ht="15.75" customHeight="1">
      <c r="E597" s="43" t="str">
        <f t="array" ref="E597">IF($A597="","",IFERROR(IF($D597="TSE",INDEX(Accounts!$G$2:$G$21,MATCH($A597,Accounts!$B$2:$B$21,0))&amp;"",IF($D597="PS",INDEX(Accounts!$F$2:$F$21,MATCH($A597,Accounts!$B$2:$B$21,0))&amp;"",IF($D597="Named engineer",INDEX(Accounts!$I$2:$I$21,MATCH($A597,Accounts!$B$2:$B$21,0))&amp;"",IF($D597="TSE + PS",IF(INDEX(Accounts!$G$2:$G$21,MATCH($A597,Accounts!$B$2:$B$21,0))&amp;""="","(no TSE)",INDEX(Accounts!$G$2:$G$21,MATCH($A597,Accounts!$B$2:$B$21,0))&amp;"")&amp;" / "&amp;IF(INDEX(Accounts!$F$2:$F$21,MATCH($A597,Accounts!$B$2:$B$21,0))&amp;""="","(no PS)",INDEX(Accounts!$F$2:$F$21,MATCH($A597,Accounts!$B$2:$B$21,0))&amp;""),"")))),""))</f>
        <v/>
      </c>
      <c r="F597" s="42" t="s">
        <v>104</v>
      </c>
      <c r="I597" s="42" t="s">
        <v>34</v>
      </c>
      <c r="K597" s="44" t="str">
        <f t="shared" si="1"/>
        <v>Owner missing </v>
      </c>
    </row>
    <row r="598" ht="15.75" customHeight="1">
      <c r="E598" s="43" t="str">
        <f t="array" ref="E598">IF($A598="","",IFERROR(IF($D598="TSE",INDEX(Accounts!$G$2:$G$21,MATCH($A598,Accounts!$B$2:$B$21,0))&amp;"",IF($D598="PS",INDEX(Accounts!$F$2:$F$21,MATCH($A598,Accounts!$B$2:$B$21,0))&amp;"",IF($D598="Named engineer",INDEX(Accounts!$I$2:$I$21,MATCH($A598,Accounts!$B$2:$B$21,0))&amp;"",IF($D598="TSE + PS",IF(INDEX(Accounts!$G$2:$G$21,MATCH($A598,Accounts!$B$2:$B$21,0))&amp;""="","(no TSE)",INDEX(Accounts!$G$2:$G$21,MATCH($A598,Accounts!$B$2:$B$21,0))&amp;"")&amp;" / "&amp;IF(INDEX(Accounts!$F$2:$F$21,MATCH($A598,Accounts!$B$2:$B$21,0))&amp;""="","(no PS)",INDEX(Accounts!$F$2:$F$21,MATCH($A598,Accounts!$B$2:$B$21,0))&amp;""),"")))),""))</f>
        <v/>
      </c>
      <c r="F598" s="42" t="s">
        <v>104</v>
      </c>
      <c r="I598" s="42" t="s">
        <v>34</v>
      </c>
      <c r="K598" s="44" t="str">
        <f t="shared" si="1"/>
        <v>Owner missing </v>
      </c>
    </row>
    <row r="599" ht="15.75" customHeight="1">
      <c r="E599" s="43" t="str">
        <f t="array" ref="E599">IF($A599="","",IFERROR(IF($D599="TSE",INDEX(Accounts!$G$2:$G$21,MATCH($A599,Accounts!$B$2:$B$21,0))&amp;"",IF($D599="PS",INDEX(Accounts!$F$2:$F$21,MATCH($A599,Accounts!$B$2:$B$21,0))&amp;"",IF($D599="Named engineer",INDEX(Accounts!$I$2:$I$21,MATCH($A599,Accounts!$B$2:$B$21,0))&amp;"",IF($D599="TSE + PS",IF(INDEX(Accounts!$G$2:$G$21,MATCH($A599,Accounts!$B$2:$B$21,0))&amp;""="","(no TSE)",INDEX(Accounts!$G$2:$G$21,MATCH($A599,Accounts!$B$2:$B$21,0))&amp;"")&amp;" / "&amp;IF(INDEX(Accounts!$F$2:$F$21,MATCH($A599,Accounts!$B$2:$B$21,0))&amp;""="","(no PS)",INDEX(Accounts!$F$2:$F$21,MATCH($A599,Accounts!$B$2:$B$21,0))&amp;""),"")))),""))</f>
        <v/>
      </c>
      <c r="F599" s="42" t="s">
        <v>104</v>
      </c>
      <c r="I599" s="42" t="s">
        <v>34</v>
      </c>
      <c r="K599" s="44" t="str">
        <f t="shared" si="1"/>
        <v>Owner missing </v>
      </c>
    </row>
    <row r="600" ht="15.75" customHeight="1">
      <c r="E600" s="43" t="str">
        <f t="array" ref="E600">IF($A600="","",IFERROR(IF($D600="TSE",INDEX(Accounts!$G$2:$G$21,MATCH($A600,Accounts!$B$2:$B$21,0))&amp;"",IF($D600="PS",INDEX(Accounts!$F$2:$F$21,MATCH($A600,Accounts!$B$2:$B$21,0))&amp;"",IF($D600="Named engineer",INDEX(Accounts!$I$2:$I$21,MATCH($A600,Accounts!$B$2:$B$21,0))&amp;"",IF($D600="TSE + PS",IF(INDEX(Accounts!$G$2:$G$21,MATCH($A600,Accounts!$B$2:$B$21,0))&amp;""="","(no TSE)",INDEX(Accounts!$G$2:$G$21,MATCH($A600,Accounts!$B$2:$B$21,0))&amp;"")&amp;" / "&amp;IF(INDEX(Accounts!$F$2:$F$21,MATCH($A600,Accounts!$B$2:$B$21,0))&amp;""="","(no PS)",INDEX(Accounts!$F$2:$F$21,MATCH($A600,Accounts!$B$2:$B$21,0))&amp;""),"")))),""))</f>
        <v/>
      </c>
      <c r="F600" s="42" t="s">
        <v>104</v>
      </c>
      <c r="I600" s="42" t="s">
        <v>34</v>
      </c>
      <c r="K600" s="44" t="str">
        <f t="shared" si="1"/>
        <v>Owner missing </v>
      </c>
    </row>
    <row r="601" ht="15.75" customHeight="1">
      <c r="E601" s="43" t="str">
        <f t="array" ref="E601">IF($A601="","",IFERROR(IF($D601="TSE",INDEX(Accounts!$G$2:$G$21,MATCH($A601,Accounts!$B$2:$B$21,0))&amp;"",IF($D601="PS",INDEX(Accounts!$F$2:$F$21,MATCH($A601,Accounts!$B$2:$B$21,0))&amp;"",IF($D601="Named engineer",INDEX(Accounts!$I$2:$I$21,MATCH($A601,Accounts!$B$2:$B$21,0))&amp;"",IF($D601="TSE + PS",IF(INDEX(Accounts!$G$2:$G$21,MATCH($A601,Accounts!$B$2:$B$21,0))&amp;""="","(no TSE)",INDEX(Accounts!$G$2:$G$21,MATCH($A601,Accounts!$B$2:$B$21,0))&amp;"")&amp;" / "&amp;IF(INDEX(Accounts!$F$2:$F$21,MATCH($A601,Accounts!$B$2:$B$21,0))&amp;""="","(no PS)",INDEX(Accounts!$F$2:$F$21,MATCH($A601,Accounts!$B$2:$B$21,0))&amp;""),"")))),""))</f>
        <v/>
      </c>
      <c r="F601" s="42" t="s">
        <v>104</v>
      </c>
      <c r="I601" s="42" t="s">
        <v>34</v>
      </c>
      <c r="K601" s="44" t="str">
        <f t="shared" si="1"/>
        <v>Owner missing </v>
      </c>
    </row>
    <row r="602" ht="15.75" customHeight="1">
      <c r="E602" s="43" t="str">
        <f t="array" ref="E602">IF($A602="","",IFERROR(IF($D602="TSE",INDEX(Accounts!$G$2:$G$21,MATCH($A602,Accounts!$B$2:$B$21,0))&amp;"",IF($D602="PS",INDEX(Accounts!$F$2:$F$21,MATCH($A602,Accounts!$B$2:$B$21,0))&amp;"",IF($D602="Named engineer",INDEX(Accounts!$I$2:$I$21,MATCH($A602,Accounts!$B$2:$B$21,0))&amp;"",IF($D602="TSE + PS",IF(INDEX(Accounts!$G$2:$G$21,MATCH($A602,Accounts!$B$2:$B$21,0))&amp;""="","(no TSE)",INDEX(Accounts!$G$2:$G$21,MATCH($A602,Accounts!$B$2:$B$21,0))&amp;"")&amp;" / "&amp;IF(INDEX(Accounts!$F$2:$F$21,MATCH($A602,Accounts!$B$2:$B$21,0))&amp;""="","(no PS)",INDEX(Accounts!$F$2:$F$21,MATCH($A602,Accounts!$B$2:$B$21,0))&amp;""),"")))),""))</f>
        <v/>
      </c>
      <c r="F602" s="42" t="s">
        <v>104</v>
      </c>
      <c r="I602" s="42" t="s">
        <v>34</v>
      </c>
      <c r="K602" s="44" t="str">
        <f t="shared" si="1"/>
        <v>Owner missing </v>
      </c>
    </row>
    <row r="603" ht="15.75" customHeight="1">
      <c r="E603" s="43" t="str">
        <f t="array" ref="E603">IF($A603="","",IFERROR(IF($D603="TSE",INDEX(Accounts!$G$2:$G$21,MATCH($A603,Accounts!$B$2:$B$21,0))&amp;"",IF($D603="PS",INDEX(Accounts!$F$2:$F$21,MATCH($A603,Accounts!$B$2:$B$21,0))&amp;"",IF($D603="Named engineer",INDEX(Accounts!$I$2:$I$21,MATCH($A603,Accounts!$B$2:$B$21,0))&amp;"",IF($D603="TSE + PS",IF(INDEX(Accounts!$G$2:$G$21,MATCH($A603,Accounts!$B$2:$B$21,0))&amp;""="","(no TSE)",INDEX(Accounts!$G$2:$G$21,MATCH($A603,Accounts!$B$2:$B$21,0))&amp;"")&amp;" / "&amp;IF(INDEX(Accounts!$F$2:$F$21,MATCH($A603,Accounts!$B$2:$B$21,0))&amp;""="","(no PS)",INDEX(Accounts!$F$2:$F$21,MATCH($A603,Accounts!$B$2:$B$21,0))&amp;""),"")))),""))</f>
        <v/>
      </c>
      <c r="F603" s="42" t="s">
        <v>104</v>
      </c>
      <c r="I603" s="42" t="s">
        <v>34</v>
      </c>
      <c r="K603" s="44" t="str">
        <f t="shared" si="1"/>
        <v>Owner missing </v>
      </c>
    </row>
    <row r="604" ht="15.75" customHeight="1">
      <c r="E604" s="43" t="str">
        <f t="array" ref="E604">IF($A604="","",IFERROR(IF($D604="TSE",INDEX(Accounts!$G$2:$G$21,MATCH($A604,Accounts!$B$2:$B$21,0))&amp;"",IF($D604="PS",INDEX(Accounts!$F$2:$F$21,MATCH($A604,Accounts!$B$2:$B$21,0))&amp;"",IF($D604="Named engineer",INDEX(Accounts!$I$2:$I$21,MATCH($A604,Accounts!$B$2:$B$21,0))&amp;"",IF($D604="TSE + PS",IF(INDEX(Accounts!$G$2:$G$21,MATCH($A604,Accounts!$B$2:$B$21,0))&amp;""="","(no TSE)",INDEX(Accounts!$G$2:$G$21,MATCH($A604,Accounts!$B$2:$B$21,0))&amp;"")&amp;" / "&amp;IF(INDEX(Accounts!$F$2:$F$21,MATCH($A604,Accounts!$B$2:$B$21,0))&amp;""="","(no PS)",INDEX(Accounts!$F$2:$F$21,MATCH($A604,Accounts!$B$2:$B$21,0))&amp;""),"")))),""))</f>
        <v/>
      </c>
      <c r="F604" s="42" t="s">
        <v>104</v>
      </c>
      <c r="I604" s="42" t="s">
        <v>34</v>
      </c>
      <c r="K604" s="44" t="str">
        <f t="shared" si="1"/>
        <v>Owner missing </v>
      </c>
    </row>
    <row r="605" ht="15.75" customHeight="1">
      <c r="E605" s="43" t="str">
        <f t="array" ref="E605">IF($A605="","",IFERROR(IF($D605="TSE",INDEX(Accounts!$G$2:$G$21,MATCH($A605,Accounts!$B$2:$B$21,0))&amp;"",IF($D605="PS",INDEX(Accounts!$F$2:$F$21,MATCH($A605,Accounts!$B$2:$B$21,0))&amp;"",IF($D605="Named engineer",INDEX(Accounts!$I$2:$I$21,MATCH($A605,Accounts!$B$2:$B$21,0))&amp;"",IF($D605="TSE + PS",IF(INDEX(Accounts!$G$2:$G$21,MATCH($A605,Accounts!$B$2:$B$21,0))&amp;""="","(no TSE)",INDEX(Accounts!$G$2:$G$21,MATCH($A605,Accounts!$B$2:$B$21,0))&amp;"")&amp;" / "&amp;IF(INDEX(Accounts!$F$2:$F$21,MATCH($A605,Accounts!$B$2:$B$21,0))&amp;""="","(no PS)",INDEX(Accounts!$F$2:$F$21,MATCH($A605,Accounts!$B$2:$B$21,0))&amp;""),"")))),""))</f>
        <v/>
      </c>
      <c r="F605" s="42" t="s">
        <v>104</v>
      </c>
      <c r="I605" s="42" t="s">
        <v>34</v>
      </c>
      <c r="K605" s="44" t="str">
        <f t="shared" si="1"/>
        <v>Owner missing </v>
      </c>
    </row>
    <row r="606" ht="15.75" customHeight="1">
      <c r="E606" s="43" t="str">
        <f t="array" ref="E606">IF($A606="","",IFERROR(IF($D606="TSE",INDEX(Accounts!$G$2:$G$21,MATCH($A606,Accounts!$B$2:$B$21,0))&amp;"",IF($D606="PS",INDEX(Accounts!$F$2:$F$21,MATCH($A606,Accounts!$B$2:$B$21,0))&amp;"",IF($D606="Named engineer",INDEX(Accounts!$I$2:$I$21,MATCH($A606,Accounts!$B$2:$B$21,0))&amp;"",IF($D606="TSE + PS",IF(INDEX(Accounts!$G$2:$G$21,MATCH($A606,Accounts!$B$2:$B$21,0))&amp;""="","(no TSE)",INDEX(Accounts!$G$2:$G$21,MATCH($A606,Accounts!$B$2:$B$21,0))&amp;"")&amp;" / "&amp;IF(INDEX(Accounts!$F$2:$F$21,MATCH($A606,Accounts!$B$2:$B$21,0))&amp;""="","(no PS)",INDEX(Accounts!$F$2:$F$21,MATCH($A606,Accounts!$B$2:$B$21,0))&amp;""),"")))),""))</f>
        <v/>
      </c>
      <c r="F606" s="42" t="s">
        <v>104</v>
      </c>
      <c r="I606" s="42" t="s">
        <v>34</v>
      </c>
      <c r="K606" s="44" t="str">
        <f t="shared" si="1"/>
        <v>Owner missing </v>
      </c>
    </row>
    <row r="607" ht="15.75" customHeight="1">
      <c r="E607" s="43" t="str">
        <f t="array" ref="E607">IF($A607="","",IFERROR(IF($D607="TSE",INDEX(Accounts!$G$2:$G$21,MATCH($A607,Accounts!$B$2:$B$21,0))&amp;"",IF($D607="PS",INDEX(Accounts!$F$2:$F$21,MATCH($A607,Accounts!$B$2:$B$21,0))&amp;"",IF($D607="Named engineer",INDEX(Accounts!$I$2:$I$21,MATCH($A607,Accounts!$B$2:$B$21,0))&amp;"",IF($D607="TSE + PS",IF(INDEX(Accounts!$G$2:$G$21,MATCH($A607,Accounts!$B$2:$B$21,0))&amp;""="","(no TSE)",INDEX(Accounts!$G$2:$G$21,MATCH($A607,Accounts!$B$2:$B$21,0))&amp;"")&amp;" / "&amp;IF(INDEX(Accounts!$F$2:$F$21,MATCH($A607,Accounts!$B$2:$B$21,0))&amp;""="","(no PS)",INDEX(Accounts!$F$2:$F$21,MATCH($A607,Accounts!$B$2:$B$21,0))&amp;""),"")))),""))</f>
        <v/>
      </c>
      <c r="F607" s="42" t="s">
        <v>104</v>
      </c>
      <c r="I607" s="42" t="s">
        <v>34</v>
      </c>
      <c r="K607" s="44" t="str">
        <f t="shared" si="1"/>
        <v>Owner missing </v>
      </c>
    </row>
    <row r="608" ht="15.75" customHeight="1">
      <c r="E608" s="43" t="str">
        <f t="array" ref="E608">IF($A608="","",IFERROR(IF($D608="TSE",INDEX(Accounts!$G$2:$G$21,MATCH($A608,Accounts!$B$2:$B$21,0))&amp;"",IF($D608="PS",INDEX(Accounts!$F$2:$F$21,MATCH($A608,Accounts!$B$2:$B$21,0))&amp;"",IF($D608="Named engineer",INDEX(Accounts!$I$2:$I$21,MATCH($A608,Accounts!$B$2:$B$21,0))&amp;"",IF($D608="TSE + PS",IF(INDEX(Accounts!$G$2:$G$21,MATCH($A608,Accounts!$B$2:$B$21,0))&amp;""="","(no TSE)",INDEX(Accounts!$G$2:$G$21,MATCH($A608,Accounts!$B$2:$B$21,0))&amp;"")&amp;" / "&amp;IF(INDEX(Accounts!$F$2:$F$21,MATCH($A608,Accounts!$B$2:$B$21,0))&amp;""="","(no PS)",INDEX(Accounts!$F$2:$F$21,MATCH($A608,Accounts!$B$2:$B$21,0))&amp;""),"")))),""))</f>
        <v/>
      </c>
      <c r="F608" s="42" t="s">
        <v>104</v>
      </c>
      <c r="I608" s="42" t="s">
        <v>34</v>
      </c>
      <c r="K608" s="44" t="str">
        <f t="shared" si="1"/>
        <v>Owner missing </v>
      </c>
    </row>
    <row r="609" ht="15.75" customHeight="1">
      <c r="E609" s="43" t="str">
        <f t="array" ref="E609">IF($A609="","",IFERROR(IF($D609="TSE",INDEX(Accounts!$G$2:$G$21,MATCH($A609,Accounts!$B$2:$B$21,0))&amp;"",IF($D609="PS",INDEX(Accounts!$F$2:$F$21,MATCH($A609,Accounts!$B$2:$B$21,0))&amp;"",IF($D609="Named engineer",INDEX(Accounts!$I$2:$I$21,MATCH($A609,Accounts!$B$2:$B$21,0))&amp;"",IF($D609="TSE + PS",IF(INDEX(Accounts!$G$2:$G$21,MATCH($A609,Accounts!$B$2:$B$21,0))&amp;""="","(no TSE)",INDEX(Accounts!$G$2:$G$21,MATCH($A609,Accounts!$B$2:$B$21,0))&amp;"")&amp;" / "&amp;IF(INDEX(Accounts!$F$2:$F$21,MATCH($A609,Accounts!$B$2:$B$21,0))&amp;""="","(no PS)",INDEX(Accounts!$F$2:$F$21,MATCH($A609,Accounts!$B$2:$B$21,0))&amp;""),"")))),""))</f>
        <v/>
      </c>
      <c r="F609" s="42" t="s">
        <v>104</v>
      </c>
      <c r="I609" s="42" t="s">
        <v>34</v>
      </c>
      <c r="K609" s="44" t="str">
        <f t="shared" si="1"/>
        <v>Owner missing </v>
      </c>
    </row>
    <row r="610" ht="15.75" customHeight="1">
      <c r="E610" s="43" t="str">
        <f t="array" ref="E610">IF($A610="","",IFERROR(IF($D610="TSE",INDEX(Accounts!$G$2:$G$21,MATCH($A610,Accounts!$B$2:$B$21,0))&amp;"",IF($D610="PS",INDEX(Accounts!$F$2:$F$21,MATCH($A610,Accounts!$B$2:$B$21,0))&amp;"",IF($D610="Named engineer",INDEX(Accounts!$I$2:$I$21,MATCH($A610,Accounts!$B$2:$B$21,0))&amp;"",IF($D610="TSE + PS",IF(INDEX(Accounts!$G$2:$G$21,MATCH($A610,Accounts!$B$2:$B$21,0))&amp;""="","(no TSE)",INDEX(Accounts!$G$2:$G$21,MATCH($A610,Accounts!$B$2:$B$21,0))&amp;"")&amp;" / "&amp;IF(INDEX(Accounts!$F$2:$F$21,MATCH($A610,Accounts!$B$2:$B$21,0))&amp;""="","(no PS)",INDEX(Accounts!$F$2:$F$21,MATCH($A610,Accounts!$B$2:$B$21,0))&amp;""),"")))),""))</f>
        <v/>
      </c>
      <c r="F610" s="42" t="s">
        <v>104</v>
      </c>
      <c r="I610" s="42" t="s">
        <v>34</v>
      </c>
      <c r="K610" s="44" t="str">
        <f t="shared" si="1"/>
        <v>Owner missing </v>
      </c>
    </row>
    <row r="611" ht="15.75" customHeight="1">
      <c r="E611" s="43" t="str">
        <f t="array" ref="E611">IF($A611="","",IFERROR(IF($D611="TSE",INDEX(Accounts!$G$2:$G$21,MATCH($A611,Accounts!$B$2:$B$21,0))&amp;"",IF($D611="PS",INDEX(Accounts!$F$2:$F$21,MATCH($A611,Accounts!$B$2:$B$21,0))&amp;"",IF($D611="Named engineer",INDEX(Accounts!$I$2:$I$21,MATCH($A611,Accounts!$B$2:$B$21,0))&amp;"",IF($D611="TSE + PS",IF(INDEX(Accounts!$G$2:$G$21,MATCH($A611,Accounts!$B$2:$B$21,0))&amp;""="","(no TSE)",INDEX(Accounts!$G$2:$G$21,MATCH($A611,Accounts!$B$2:$B$21,0))&amp;"")&amp;" / "&amp;IF(INDEX(Accounts!$F$2:$F$21,MATCH($A611,Accounts!$B$2:$B$21,0))&amp;""="","(no PS)",INDEX(Accounts!$F$2:$F$21,MATCH($A611,Accounts!$B$2:$B$21,0))&amp;""),"")))),""))</f>
        <v/>
      </c>
      <c r="F611" s="42" t="s">
        <v>104</v>
      </c>
      <c r="I611" s="42" t="s">
        <v>34</v>
      </c>
      <c r="K611" s="44" t="str">
        <f t="shared" si="1"/>
        <v>Owner missing </v>
      </c>
    </row>
    <row r="612" ht="15.75" customHeight="1">
      <c r="E612" s="43" t="str">
        <f t="array" ref="E612">IF($A612="","",IFERROR(IF($D612="TSE",INDEX(Accounts!$G$2:$G$21,MATCH($A612,Accounts!$B$2:$B$21,0))&amp;"",IF($D612="PS",INDEX(Accounts!$F$2:$F$21,MATCH($A612,Accounts!$B$2:$B$21,0))&amp;"",IF($D612="Named engineer",INDEX(Accounts!$I$2:$I$21,MATCH($A612,Accounts!$B$2:$B$21,0))&amp;"",IF($D612="TSE + PS",IF(INDEX(Accounts!$G$2:$G$21,MATCH($A612,Accounts!$B$2:$B$21,0))&amp;""="","(no TSE)",INDEX(Accounts!$G$2:$G$21,MATCH($A612,Accounts!$B$2:$B$21,0))&amp;"")&amp;" / "&amp;IF(INDEX(Accounts!$F$2:$F$21,MATCH($A612,Accounts!$B$2:$B$21,0))&amp;""="","(no PS)",INDEX(Accounts!$F$2:$F$21,MATCH($A612,Accounts!$B$2:$B$21,0))&amp;""),"")))),""))</f>
        <v/>
      </c>
      <c r="F612" s="42" t="s">
        <v>104</v>
      </c>
      <c r="I612" s="42" t="s">
        <v>34</v>
      </c>
      <c r="K612" s="44" t="str">
        <f t="shared" si="1"/>
        <v>Owner missing </v>
      </c>
    </row>
    <row r="613" ht="15.75" customHeight="1">
      <c r="E613" s="43" t="str">
        <f t="array" ref="E613">IF($A613="","",IFERROR(IF($D613="TSE",INDEX(Accounts!$G$2:$G$21,MATCH($A613,Accounts!$B$2:$B$21,0))&amp;"",IF($D613="PS",INDEX(Accounts!$F$2:$F$21,MATCH($A613,Accounts!$B$2:$B$21,0))&amp;"",IF($D613="Named engineer",INDEX(Accounts!$I$2:$I$21,MATCH($A613,Accounts!$B$2:$B$21,0))&amp;"",IF($D613="TSE + PS",IF(INDEX(Accounts!$G$2:$G$21,MATCH($A613,Accounts!$B$2:$B$21,0))&amp;""="","(no TSE)",INDEX(Accounts!$G$2:$G$21,MATCH($A613,Accounts!$B$2:$B$21,0))&amp;"")&amp;" / "&amp;IF(INDEX(Accounts!$F$2:$F$21,MATCH($A613,Accounts!$B$2:$B$21,0))&amp;""="","(no PS)",INDEX(Accounts!$F$2:$F$21,MATCH($A613,Accounts!$B$2:$B$21,0))&amp;""),"")))),""))</f>
        <v/>
      </c>
      <c r="F613" s="42" t="s">
        <v>104</v>
      </c>
      <c r="I613" s="42" t="s">
        <v>34</v>
      </c>
      <c r="K613" s="44" t="str">
        <f t="shared" si="1"/>
        <v>Owner missing </v>
      </c>
    </row>
    <row r="614" ht="15.75" customHeight="1">
      <c r="E614" s="43" t="str">
        <f t="array" ref="E614">IF($A614="","",IFERROR(IF($D614="TSE",INDEX(Accounts!$G$2:$G$21,MATCH($A614,Accounts!$B$2:$B$21,0))&amp;"",IF($D614="PS",INDEX(Accounts!$F$2:$F$21,MATCH($A614,Accounts!$B$2:$B$21,0))&amp;"",IF($D614="Named engineer",INDEX(Accounts!$I$2:$I$21,MATCH($A614,Accounts!$B$2:$B$21,0))&amp;"",IF($D614="TSE + PS",IF(INDEX(Accounts!$G$2:$G$21,MATCH($A614,Accounts!$B$2:$B$21,0))&amp;""="","(no TSE)",INDEX(Accounts!$G$2:$G$21,MATCH($A614,Accounts!$B$2:$B$21,0))&amp;"")&amp;" / "&amp;IF(INDEX(Accounts!$F$2:$F$21,MATCH($A614,Accounts!$B$2:$B$21,0))&amp;""="","(no PS)",INDEX(Accounts!$F$2:$F$21,MATCH($A614,Accounts!$B$2:$B$21,0))&amp;""),"")))),""))</f>
        <v/>
      </c>
      <c r="F614" s="42" t="s">
        <v>104</v>
      </c>
      <c r="I614" s="42" t="s">
        <v>34</v>
      </c>
      <c r="K614" s="44" t="str">
        <f t="shared" si="1"/>
        <v>Owner missing </v>
      </c>
    </row>
    <row r="615" ht="15.75" customHeight="1">
      <c r="E615" s="43" t="str">
        <f t="array" ref="E615">IF($A615="","",IFERROR(IF($D615="TSE",INDEX(Accounts!$G$2:$G$21,MATCH($A615,Accounts!$B$2:$B$21,0))&amp;"",IF($D615="PS",INDEX(Accounts!$F$2:$F$21,MATCH($A615,Accounts!$B$2:$B$21,0))&amp;"",IF($D615="Named engineer",INDEX(Accounts!$I$2:$I$21,MATCH($A615,Accounts!$B$2:$B$21,0))&amp;"",IF($D615="TSE + PS",IF(INDEX(Accounts!$G$2:$G$21,MATCH($A615,Accounts!$B$2:$B$21,0))&amp;""="","(no TSE)",INDEX(Accounts!$G$2:$G$21,MATCH($A615,Accounts!$B$2:$B$21,0))&amp;"")&amp;" / "&amp;IF(INDEX(Accounts!$F$2:$F$21,MATCH($A615,Accounts!$B$2:$B$21,0))&amp;""="","(no PS)",INDEX(Accounts!$F$2:$F$21,MATCH($A615,Accounts!$B$2:$B$21,0))&amp;""),"")))),""))</f>
        <v/>
      </c>
      <c r="F615" s="42" t="s">
        <v>104</v>
      </c>
      <c r="I615" s="42" t="s">
        <v>34</v>
      </c>
      <c r="K615" s="44" t="str">
        <f t="shared" si="1"/>
        <v>Owner missing </v>
      </c>
    </row>
    <row r="616" ht="15.75" customHeight="1">
      <c r="E616" s="43" t="str">
        <f t="array" ref="E616">IF($A616="","",IFERROR(IF($D616="TSE",INDEX(Accounts!$G$2:$G$21,MATCH($A616,Accounts!$B$2:$B$21,0))&amp;"",IF($D616="PS",INDEX(Accounts!$F$2:$F$21,MATCH($A616,Accounts!$B$2:$B$21,0))&amp;"",IF($D616="Named engineer",INDEX(Accounts!$I$2:$I$21,MATCH($A616,Accounts!$B$2:$B$21,0))&amp;"",IF($D616="TSE + PS",IF(INDEX(Accounts!$G$2:$G$21,MATCH($A616,Accounts!$B$2:$B$21,0))&amp;""="","(no TSE)",INDEX(Accounts!$G$2:$G$21,MATCH($A616,Accounts!$B$2:$B$21,0))&amp;"")&amp;" / "&amp;IF(INDEX(Accounts!$F$2:$F$21,MATCH($A616,Accounts!$B$2:$B$21,0))&amp;""="","(no PS)",INDEX(Accounts!$F$2:$F$21,MATCH($A616,Accounts!$B$2:$B$21,0))&amp;""),"")))),""))</f>
        <v/>
      </c>
      <c r="F616" s="42" t="s">
        <v>104</v>
      </c>
      <c r="I616" s="42" t="s">
        <v>34</v>
      </c>
      <c r="K616" s="44" t="str">
        <f t="shared" si="1"/>
        <v>Owner missing </v>
      </c>
    </row>
    <row r="617" ht="15.75" customHeight="1">
      <c r="E617" s="43" t="str">
        <f t="array" ref="E617">IF($A617="","",IFERROR(IF($D617="TSE",INDEX(Accounts!$G$2:$G$21,MATCH($A617,Accounts!$B$2:$B$21,0))&amp;"",IF($D617="PS",INDEX(Accounts!$F$2:$F$21,MATCH($A617,Accounts!$B$2:$B$21,0))&amp;"",IF($D617="Named engineer",INDEX(Accounts!$I$2:$I$21,MATCH($A617,Accounts!$B$2:$B$21,0))&amp;"",IF($D617="TSE + PS",IF(INDEX(Accounts!$G$2:$G$21,MATCH($A617,Accounts!$B$2:$B$21,0))&amp;""="","(no TSE)",INDEX(Accounts!$G$2:$G$21,MATCH($A617,Accounts!$B$2:$B$21,0))&amp;"")&amp;" / "&amp;IF(INDEX(Accounts!$F$2:$F$21,MATCH($A617,Accounts!$B$2:$B$21,0))&amp;""="","(no PS)",INDEX(Accounts!$F$2:$F$21,MATCH($A617,Accounts!$B$2:$B$21,0))&amp;""),"")))),""))</f>
        <v/>
      </c>
      <c r="F617" s="42" t="s">
        <v>104</v>
      </c>
      <c r="I617" s="42" t="s">
        <v>34</v>
      </c>
      <c r="K617" s="44" t="str">
        <f t="shared" si="1"/>
        <v>Owner missing </v>
      </c>
    </row>
    <row r="618" ht="15.75" customHeight="1">
      <c r="E618" s="43" t="str">
        <f t="array" ref="E618">IF($A618="","",IFERROR(IF($D618="TSE",INDEX(Accounts!$G$2:$G$21,MATCH($A618,Accounts!$B$2:$B$21,0))&amp;"",IF($D618="PS",INDEX(Accounts!$F$2:$F$21,MATCH($A618,Accounts!$B$2:$B$21,0))&amp;"",IF($D618="Named engineer",INDEX(Accounts!$I$2:$I$21,MATCH($A618,Accounts!$B$2:$B$21,0))&amp;"",IF($D618="TSE + PS",IF(INDEX(Accounts!$G$2:$G$21,MATCH($A618,Accounts!$B$2:$B$21,0))&amp;""="","(no TSE)",INDEX(Accounts!$G$2:$G$21,MATCH($A618,Accounts!$B$2:$B$21,0))&amp;"")&amp;" / "&amp;IF(INDEX(Accounts!$F$2:$F$21,MATCH($A618,Accounts!$B$2:$B$21,0))&amp;""="","(no PS)",INDEX(Accounts!$F$2:$F$21,MATCH($A618,Accounts!$B$2:$B$21,0))&amp;""),"")))),""))</f>
        <v/>
      </c>
      <c r="F618" s="42" t="s">
        <v>104</v>
      </c>
      <c r="I618" s="42" t="s">
        <v>34</v>
      </c>
      <c r="K618" s="44" t="str">
        <f t="shared" si="1"/>
        <v>Owner missing </v>
      </c>
    </row>
    <row r="619" ht="15.75" customHeight="1">
      <c r="E619" s="43" t="str">
        <f t="array" ref="E619">IF($A619="","",IFERROR(IF($D619="TSE",INDEX(Accounts!$G$2:$G$21,MATCH($A619,Accounts!$B$2:$B$21,0))&amp;"",IF($D619="PS",INDEX(Accounts!$F$2:$F$21,MATCH($A619,Accounts!$B$2:$B$21,0))&amp;"",IF($D619="Named engineer",INDEX(Accounts!$I$2:$I$21,MATCH($A619,Accounts!$B$2:$B$21,0))&amp;"",IF($D619="TSE + PS",IF(INDEX(Accounts!$G$2:$G$21,MATCH($A619,Accounts!$B$2:$B$21,0))&amp;""="","(no TSE)",INDEX(Accounts!$G$2:$G$21,MATCH($A619,Accounts!$B$2:$B$21,0))&amp;"")&amp;" / "&amp;IF(INDEX(Accounts!$F$2:$F$21,MATCH($A619,Accounts!$B$2:$B$21,0))&amp;""="","(no PS)",INDEX(Accounts!$F$2:$F$21,MATCH($A619,Accounts!$B$2:$B$21,0))&amp;""),"")))),""))</f>
        <v/>
      </c>
      <c r="F619" s="42" t="s">
        <v>104</v>
      </c>
      <c r="I619" s="42" t="s">
        <v>34</v>
      </c>
      <c r="K619" s="44" t="str">
        <f t="shared" si="1"/>
        <v>Owner missing </v>
      </c>
    </row>
    <row r="620" ht="15.75" customHeight="1">
      <c r="E620" s="43" t="str">
        <f t="array" ref="E620">IF($A620="","",IFERROR(IF($D620="TSE",INDEX(Accounts!$G$2:$G$21,MATCH($A620,Accounts!$B$2:$B$21,0))&amp;"",IF($D620="PS",INDEX(Accounts!$F$2:$F$21,MATCH($A620,Accounts!$B$2:$B$21,0))&amp;"",IF($D620="Named engineer",INDEX(Accounts!$I$2:$I$21,MATCH($A620,Accounts!$B$2:$B$21,0))&amp;"",IF($D620="TSE + PS",IF(INDEX(Accounts!$G$2:$G$21,MATCH($A620,Accounts!$B$2:$B$21,0))&amp;""="","(no TSE)",INDEX(Accounts!$G$2:$G$21,MATCH($A620,Accounts!$B$2:$B$21,0))&amp;"")&amp;" / "&amp;IF(INDEX(Accounts!$F$2:$F$21,MATCH($A620,Accounts!$B$2:$B$21,0))&amp;""="","(no PS)",INDEX(Accounts!$F$2:$F$21,MATCH($A620,Accounts!$B$2:$B$21,0))&amp;""),"")))),""))</f>
        <v/>
      </c>
      <c r="F620" s="42" t="s">
        <v>104</v>
      </c>
      <c r="I620" s="42" t="s">
        <v>34</v>
      </c>
      <c r="K620" s="44" t="str">
        <f t="shared" si="1"/>
        <v>Owner missing </v>
      </c>
    </row>
    <row r="621" ht="15.75" customHeight="1">
      <c r="E621" s="43" t="str">
        <f t="array" ref="E621">IF($A621="","",IFERROR(IF($D621="TSE",INDEX(Accounts!$G$2:$G$21,MATCH($A621,Accounts!$B$2:$B$21,0))&amp;"",IF($D621="PS",INDEX(Accounts!$F$2:$F$21,MATCH($A621,Accounts!$B$2:$B$21,0))&amp;"",IF($D621="Named engineer",INDEX(Accounts!$I$2:$I$21,MATCH($A621,Accounts!$B$2:$B$21,0))&amp;"",IF($D621="TSE + PS",IF(INDEX(Accounts!$G$2:$G$21,MATCH($A621,Accounts!$B$2:$B$21,0))&amp;""="","(no TSE)",INDEX(Accounts!$G$2:$G$21,MATCH($A621,Accounts!$B$2:$B$21,0))&amp;"")&amp;" / "&amp;IF(INDEX(Accounts!$F$2:$F$21,MATCH($A621,Accounts!$B$2:$B$21,0))&amp;""="","(no PS)",INDEX(Accounts!$F$2:$F$21,MATCH($A621,Accounts!$B$2:$B$21,0))&amp;""),"")))),""))</f>
        <v/>
      </c>
      <c r="F621" s="42" t="s">
        <v>104</v>
      </c>
      <c r="I621" s="42" t="s">
        <v>34</v>
      </c>
      <c r="K621" s="44" t="str">
        <f t="shared" si="1"/>
        <v>Owner missing </v>
      </c>
    </row>
    <row r="622" ht="15.75" customHeight="1">
      <c r="E622" s="43" t="str">
        <f t="array" ref="E622">IF($A622="","",IFERROR(IF($D622="TSE",INDEX(Accounts!$G$2:$G$21,MATCH($A622,Accounts!$B$2:$B$21,0))&amp;"",IF($D622="PS",INDEX(Accounts!$F$2:$F$21,MATCH($A622,Accounts!$B$2:$B$21,0))&amp;"",IF($D622="Named engineer",INDEX(Accounts!$I$2:$I$21,MATCH($A622,Accounts!$B$2:$B$21,0))&amp;"",IF($D622="TSE + PS",IF(INDEX(Accounts!$G$2:$G$21,MATCH($A622,Accounts!$B$2:$B$21,0))&amp;""="","(no TSE)",INDEX(Accounts!$G$2:$G$21,MATCH($A622,Accounts!$B$2:$B$21,0))&amp;"")&amp;" / "&amp;IF(INDEX(Accounts!$F$2:$F$21,MATCH($A622,Accounts!$B$2:$B$21,0))&amp;""="","(no PS)",INDEX(Accounts!$F$2:$F$21,MATCH($A622,Accounts!$B$2:$B$21,0))&amp;""),"")))),""))</f>
        <v/>
      </c>
      <c r="F622" s="42" t="s">
        <v>104</v>
      </c>
      <c r="I622" s="42" t="s">
        <v>34</v>
      </c>
      <c r="K622" s="44" t="str">
        <f t="shared" si="1"/>
        <v>Owner missing </v>
      </c>
    </row>
    <row r="623" ht="15.75" customHeight="1">
      <c r="E623" s="43" t="str">
        <f t="array" ref="E623">IF($A623="","",IFERROR(IF($D623="TSE",INDEX(Accounts!$G$2:$G$21,MATCH($A623,Accounts!$B$2:$B$21,0))&amp;"",IF($D623="PS",INDEX(Accounts!$F$2:$F$21,MATCH($A623,Accounts!$B$2:$B$21,0))&amp;"",IF($D623="Named engineer",INDEX(Accounts!$I$2:$I$21,MATCH($A623,Accounts!$B$2:$B$21,0))&amp;"",IF($D623="TSE + PS",IF(INDEX(Accounts!$G$2:$G$21,MATCH($A623,Accounts!$B$2:$B$21,0))&amp;""="","(no TSE)",INDEX(Accounts!$G$2:$G$21,MATCH($A623,Accounts!$B$2:$B$21,0))&amp;"")&amp;" / "&amp;IF(INDEX(Accounts!$F$2:$F$21,MATCH($A623,Accounts!$B$2:$B$21,0))&amp;""="","(no PS)",INDEX(Accounts!$F$2:$F$21,MATCH($A623,Accounts!$B$2:$B$21,0))&amp;""),"")))),""))</f>
        <v/>
      </c>
      <c r="F623" s="42" t="s">
        <v>104</v>
      </c>
      <c r="I623" s="42" t="s">
        <v>34</v>
      </c>
      <c r="K623" s="44" t="str">
        <f t="shared" si="1"/>
        <v>Owner missing </v>
      </c>
    </row>
    <row r="624" ht="15.75" customHeight="1">
      <c r="E624" s="43" t="str">
        <f t="array" ref="E624">IF($A624="","",IFERROR(IF($D624="TSE",INDEX(Accounts!$G$2:$G$21,MATCH($A624,Accounts!$B$2:$B$21,0))&amp;"",IF($D624="PS",INDEX(Accounts!$F$2:$F$21,MATCH($A624,Accounts!$B$2:$B$21,0))&amp;"",IF($D624="Named engineer",INDEX(Accounts!$I$2:$I$21,MATCH($A624,Accounts!$B$2:$B$21,0))&amp;"",IF($D624="TSE + PS",IF(INDEX(Accounts!$G$2:$G$21,MATCH($A624,Accounts!$B$2:$B$21,0))&amp;""="","(no TSE)",INDEX(Accounts!$G$2:$G$21,MATCH($A624,Accounts!$B$2:$B$21,0))&amp;"")&amp;" / "&amp;IF(INDEX(Accounts!$F$2:$F$21,MATCH($A624,Accounts!$B$2:$B$21,0))&amp;""="","(no PS)",INDEX(Accounts!$F$2:$F$21,MATCH($A624,Accounts!$B$2:$B$21,0))&amp;""),"")))),""))</f>
        <v/>
      </c>
      <c r="F624" s="42" t="s">
        <v>104</v>
      </c>
      <c r="I624" s="42" t="s">
        <v>34</v>
      </c>
      <c r="K624" s="44" t="str">
        <f t="shared" si="1"/>
        <v>Owner missing </v>
      </c>
    </row>
    <row r="625" ht="15.75" customHeight="1">
      <c r="E625" s="43" t="str">
        <f t="array" ref="E625">IF($A625="","",IFERROR(IF($D625="TSE",INDEX(Accounts!$G$2:$G$21,MATCH($A625,Accounts!$B$2:$B$21,0))&amp;"",IF($D625="PS",INDEX(Accounts!$F$2:$F$21,MATCH($A625,Accounts!$B$2:$B$21,0))&amp;"",IF($D625="Named engineer",INDEX(Accounts!$I$2:$I$21,MATCH($A625,Accounts!$B$2:$B$21,0))&amp;"",IF($D625="TSE + PS",IF(INDEX(Accounts!$G$2:$G$21,MATCH($A625,Accounts!$B$2:$B$21,0))&amp;""="","(no TSE)",INDEX(Accounts!$G$2:$G$21,MATCH($A625,Accounts!$B$2:$B$21,0))&amp;"")&amp;" / "&amp;IF(INDEX(Accounts!$F$2:$F$21,MATCH($A625,Accounts!$B$2:$B$21,0))&amp;""="","(no PS)",INDEX(Accounts!$F$2:$F$21,MATCH($A625,Accounts!$B$2:$B$21,0))&amp;""),"")))),""))</f>
        <v/>
      </c>
      <c r="F625" s="42" t="s">
        <v>104</v>
      </c>
      <c r="I625" s="42" t="s">
        <v>34</v>
      </c>
      <c r="K625" s="44" t="str">
        <f t="shared" si="1"/>
        <v>Owner missing </v>
      </c>
    </row>
    <row r="626" ht="15.75" customHeight="1">
      <c r="E626" s="43" t="str">
        <f t="array" ref="E626">IF($A626="","",IFERROR(IF($D626="TSE",INDEX(Accounts!$G$2:$G$21,MATCH($A626,Accounts!$B$2:$B$21,0))&amp;"",IF($D626="PS",INDEX(Accounts!$F$2:$F$21,MATCH($A626,Accounts!$B$2:$B$21,0))&amp;"",IF($D626="Named engineer",INDEX(Accounts!$I$2:$I$21,MATCH($A626,Accounts!$B$2:$B$21,0))&amp;"",IF($D626="TSE + PS",IF(INDEX(Accounts!$G$2:$G$21,MATCH($A626,Accounts!$B$2:$B$21,0))&amp;""="","(no TSE)",INDEX(Accounts!$G$2:$G$21,MATCH($A626,Accounts!$B$2:$B$21,0))&amp;"")&amp;" / "&amp;IF(INDEX(Accounts!$F$2:$F$21,MATCH($A626,Accounts!$B$2:$B$21,0))&amp;""="","(no PS)",INDEX(Accounts!$F$2:$F$21,MATCH($A626,Accounts!$B$2:$B$21,0))&amp;""),"")))),""))</f>
        <v/>
      </c>
      <c r="F626" s="42" t="s">
        <v>104</v>
      </c>
      <c r="I626" s="42" t="s">
        <v>34</v>
      </c>
      <c r="K626" s="44" t="str">
        <f t="shared" si="1"/>
        <v>Owner missing </v>
      </c>
    </row>
    <row r="627" ht="15.75" customHeight="1">
      <c r="E627" s="43" t="str">
        <f t="array" ref="E627">IF($A627="","",IFERROR(IF($D627="TSE",INDEX(Accounts!$G$2:$G$21,MATCH($A627,Accounts!$B$2:$B$21,0))&amp;"",IF($D627="PS",INDEX(Accounts!$F$2:$F$21,MATCH($A627,Accounts!$B$2:$B$21,0))&amp;"",IF($D627="Named engineer",INDEX(Accounts!$I$2:$I$21,MATCH($A627,Accounts!$B$2:$B$21,0))&amp;"",IF($D627="TSE + PS",IF(INDEX(Accounts!$G$2:$G$21,MATCH($A627,Accounts!$B$2:$B$21,0))&amp;""="","(no TSE)",INDEX(Accounts!$G$2:$G$21,MATCH($A627,Accounts!$B$2:$B$21,0))&amp;"")&amp;" / "&amp;IF(INDEX(Accounts!$F$2:$F$21,MATCH($A627,Accounts!$B$2:$B$21,0))&amp;""="","(no PS)",INDEX(Accounts!$F$2:$F$21,MATCH($A627,Accounts!$B$2:$B$21,0))&amp;""),"")))),""))</f>
        <v/>
      </c>
      <c r="F627" s="42" t="s">
        <v>104</v>
      </c>
      <c r="I627" s="42" t="s">
        <v>34</v>
      </c>
      <c r="K627" s="44" t="str">
        <f t="shared" si="1"/>
        <v>Owner missing </v>
      </c>
    </row>
    <row r="628" ht="15.75" customHeight="1">
      <c r="E628" s="43" t="str">
        <f t="array" ref="E628">IF($A628="","",IFERROR(IF($D628="TSE",INDEX(Accounts!$G$2:$G$21,MATCH($A628,Accounts!$B$2:$B$21,0))&amp;"",IF($D628="PS",INDEX(Accounts!$F$2:$F$21,MATCH($A628,Accounts!$B$2:$B$21,0))&amp;"",IF($D628="Named engineer",INDEX(Accounts!$I$2:$I$21,MATCH($A628,Accounts!$B$2:$B$21,0))&amp;"",IF($D628="TSE + PS",IF(INDEX(Accounts!$G$2:$G$21,MATCH($A628,Accounts!$B$2:$B$21,0))&amp;""="","(no TSE)",INDEX(Accounts!$G$2:$G$21,MATCH($A628,Accounts!$B$2:$B$21,0))&amp;"")&amp;" / "&amp;IF(INDEX(Accounts!$F$2:$F$21,MATCH($A628,Accounts!$B$2:$B$21,0))&amp;""="","(no PS)",INDEX(Accounts!$F$2:$F$21,MATCH($A628,Accounts!$B$2:$B$21,0))&amp;""),"")))),""))</f>
        <v/>
      </c>
      <c r="F628" s="42" t="s">
        <v>104</v>
      </c>
      <c r="I628" s="42" t="s">
        <v>34</v>
      </c>
      <c r="K628" s="44" t="str">
        <f t="shared" si="1"/>
        <v>Owner missing </v>
      </c>
    </row>
    <row r="629" ht="15.75" customHeight="1">
      <c r="E629" s="43" t="str">
        <f t="array" ref="E629">IF($A629="","",IFERROR(IF($D629="TSE",INDEX(Accounts!$G$2:$G$21,MATCH($A629,Accounts!$B$2:$B$21,0))&amp;"",IF($D629="PS",INDEX(Accounts!$F$2:$F$21,MATCH($A629,Accounts!$B$2:$B$21,0))&amp;"",IF($D629="Named engineer",INDEX(Accounts!$I$2:$I$21,MATCH($A629,Accounts!$B$2:$B$21,0))&amp;"",IF($D629="TSE + PS",IF(INDEX(Accounts!$G$2:$G$21,MATCH($A629,Accounts!$B$2:$B$21,0))&amp;""="","(no TSE)",INDEX(Accounts!$G$2:$G$21,MATCH($A629,Accounts!$B$2:$B$21,0))&amp;"")&amp;" / "&amp;IF(INDEX(Accounts!$F$2:$F$21,MATCH($A629,Accounts!$B$2:$B$21,0))&amp;""="","(no PS)",INDEX(Accounts!$F$2:$F$21,MATCH($A629,Accounts!$B$2:$B$21,0))&amp;""),"")))),""))</f>
        <v/>
      </c>
      <c r="F629" s="42" t="s">
        <v>104</v>
      </c>
      <c r="I629" s="42" t="s">
        <v>34</v>
      </c>
      <c r="K629" s="44" t="str">
        <f t="shared" si="1"/>
        <v>Owner missing </v>
      </c>
    </row>
    <row r="630" ht="15.75" customHeight="1">
      <c r="E630" s="43" t="str">
        <f t="array" ref="E630">IF($A630="","",IFERROR(IF($D630="TSE",INDEX(Accounts!$G$2:$G$21,MATCH($A630,Accounts!$B$2:$B$21,0))&amp;"",IF($D630="PS",INDEX(Accounts!$F$2:$F$21,MATCH($A630,Accounts!$B$2:$B$21,0))&amp;"",IF($D630="Named engineer",INDEX(Accounts!$I$2:$I$21,MATCH($A630,Accounts!$B$2:$B$21,0))&amp;"",IF($D630="TSE + PS",IF(INDEX(Accounts!$G$2:$G$21,MATCH($A630,Accounts!$B$2:$B$21,0))&amp;""="","(no TSE)",INDEX(Accounts!$G$2:$G$21,MATCH($A630,Accounts!$B$2:$B$21,0))&amp;"")&amp;" / "&amp;IF(INDEX(Accounts!$F$2:$F$21,MATCH($A630,Accounts!$B$2:$B$21,0))&amp;""="","(no PS)",INDEX(Accounts!$F$2:$F$21,MATCH($A630,Accounts!$B$2:$B$21,0))&amp;""),"")))),""))</f>
        <v/>
      </c>
      <c r="F630" s="42" t="s">
        <v>104</v>
      </c>
      <c r="I630" s="42" t="s">
        <v>34</v>
      </c>
      <c r="K630" s="44" t="str">
        <f t="shared" si="1"/>
        <v>Owner missing </v>
      </c>
    </row>
    <row r="631" ht="15.75" customHeight="1">
      <c r="E631" s="43" t="str">
        <f t="array" ref="E631">IF($A631="","",IFERROR(IF($D631="TSE",INDEX(Accounts!$G$2:$G$21,MATCH($A631,Accounts!$B$2:$B$21,0))&amp;"",IF($D631="PS",INDEX(Accounts!$F$2:$F$21,MATCH($A631,Accounts!$B$2:$B$21,0))&amp;"",IF($D631="Named engineer",INDEX(Accounts!$I$2:$I$21,MATCH($A631,Accounts!$B$2:$B$21,0))&amp;"",IF($D631="TSE + PS",IF(INDEX(Accounts!$G$2:$G$21,MATCH($A631,Accounts!$B$2:$B$21,0))&amp;""="","(no TSE)",INDEX(Accounts!$G$2:$G$21,MATCH($A631,Accounts!$B$2:$B$21,0))&amp;"")&amp;" / "&amp;IF(INDEX(Accounts!$F$2:$F$21,MATCH($A631,Accounts!$B$2:$B$21,0))&amp;""="","(no PS)",INDEX(Accounts!$F$2:$F$21,MATCH($A631,Accounts!$B$2:$B$21,0))&amp;""),"")))),""))</f>
        <v/>
      </c>
      <c r="F631" s="42" t="s">
        <v>104</v>
      </c>
      <c r="I631" s="42" t="s">
        <v>34</v>
      </c>
      <c r="K631" s="44" t="str">
        <f t="shared" si="1"/>
        <v>Owner missing </v>
      </c>
    </row>
    <row r="632" ht="15.75" customHeight="1">
      <c r="E632" s="43" t="str">
        <f t="array" ref="E632">IF($A632="","",IFERROR(IF($D632="TSE",INDEX(Accounts!$G$2:$G$21,MATCH($A632,Accounts!$B$2:$B$21,0))&amp;"",IF($D632="PS",INDEX(Accounts!$F$2:$F$21,MATCH($A632,Accounts!$B$2:$B$21,0))&amp;"",IF($D632="Named engineer",INDEX(Accounts!$I$2:$I$21,MATCH($A632,Accounts!$B$2:$B$21,0))&amp;"",IF($D632="TSE + PS",IF(INDEX(Accounts!$G$2:$G$21,MATCH($A632,Accounts!$B$2:$B$21,0))&amp;""="","(no TSE)",INDEX(Accounts!$G$2:$G$21,MATCH($A632,Accounts!$B$2:$B$21,0))&amp;"")&amp;" / "&amp;IF(INDEX(Accounts!$F$2:$F$21,MATCH($A632,Accounts!$B$2:$B$21,0))&amp;""="","(no PS)",INDEX(Accounts!$F$2:$F$21,MATCH($A632,Accounts!$B$2:$B$21,0))&amp;""),"")))),""))</f>
        <v/>
      </c>
      <c r="F632" s="42" t="s">
        <v>104</v>
      </c>
      <c r="I632" s="42" t="s">
        <v>34</v>
      </c>
      <c r="K632" s="44" t="str">
        <f t="shared" si="1"/>
        <v>Owner missing </v>
      </c>
    </row>
    <row r="633" ht="15.75" customHeight="1">
      <c r="E633" s="43" t="str">
        <f t="array" ref="E633">IF($A633="","",IFERROR(IF($D633="TSE",INDEX(Accounts!$G$2:$G$21,MATCH($A633,Accounts!$B$2:$B$21,0))&amp;"",IF($D633="PS",INDEX(Accounts!$F$2:$F$21,MATCH($A633,Accounts!$B$2:$B$21,0))&amp;"",IF($D633="Named engineer",INDEX(Accounts!$I$2:$I$21,MATCH($A633,Accounts!$B$2:$B$21,0))&amp;"",IF($D633="TSE + PS",IF(INDEX(Accounts!$G$2:$G$21,MATCH($A633,Accounts!$B$2:$B$21,0))&amp;""="","(no TSE)",INDEX(Accounts!$G$2:$G$21,MATCH($A633,Accounts!$B$2:$B$21,0))&amp;"")&amp;" / "&amp;IF(INDEX(Accounts!$F$2:$F$21,MATCH($A633,Accounts!$B$2:$B$21,0))&amp;""="","(no PS)",INDEX(Accounts!$F$2:$F$21,MATCH($A633,Accounts!$B$2:$B$21,0))&amp;""),"")))),""))</f>
        <v/>
      </c>
      <c r="F633" s="42" t="s">
        <v>104</v>
      </c>
      <c r="I633" s="42" t="s">
        <v>34</v>
      </c>
      <c r="K633" s="44" t="str">
        <f t="shared" si="1"/>
        <v>Owner missing </v>
      </c>
    </row>
    <row r="634" ht="15.75" customHeight="1">
      <c r="E634" s="43" t="str">
        <f t="array" ref="E634">IF($A634="","",IFERROR(IF($D634="TSE",INDEX(Accounts!$G$2:$G$21,MATCH($A634,Accounts!$B$2:$B$21,0))&amp;"",IF($D634="PS",INDEX(Accounts!$F$2:$F$21,MATCH($A634,Accounts!$B$2:$B$21,0))&amp;"",IF($D634="Named engineer",INDEX(Accounts!$I$2:$I$21,MATCH($A634,Accounts!$B$2:$B$21,0))&amp;"",IF($D634="TSE + PS",IF(INDEX(Accounts!$G$2:$G$21,MATCH($A634,Accounts!$B$2:$B$21,0))&amp;""="","(no TSE)",INDEX(Accounts!$G$2:$G$21,MATCH($A634,Accounts!$B$2:$B$21,0))&amp;"")&amp;" / "&amp;IF(INDEX(Accounts!$F$2:$F$21,MATCH($A634,Accounts!$B$2:$B$21,0))&amp;""="","(no PS)",INDEX(Accounts!$F$2:$F$21,MATCH($A634,Accounts!$B$2:$B$21,0))&amp;""),"")))),""))</f>
        <v/>
      </c>
      <c r="F634" s="42" t="s">
        <v>104</v>
      </c>
      <c r="I634" s="42" t="s">
        <v>34</v>
      </c>
      <c r="K634" s="44" t="str">
        <f t="shared" si="1"/>
        <v>Owner missing </v>
      </c>
    </row>
    <row r="635" ht="15.75" customHeight="1">
      <c r="E635" s="43" t="str">
        <f t="array" ref="E635">IF($A635="","",IFERROR(IF($D635="TSE",INDEX(Accounts!$G$2:$G$21,MATCH($A635,Accounts!$B$2:$B$21,0))&amp;"",IF($D635="PS",INDEX(Accounts!$F$2:$F$21,MATCH($A635,Accounts!$B$2:$B$21,0))&amp;"",IF($D635="Named engineer",INDEX(Accounts!$I$2:$I$21,MATCH($A635,Accounts!$B$2:$B$21,0))&amp;"",IF($D635="TSE + PS",IF(INDEX(Accounts!$G$2:$G$21,MATCH($A635,Accounts!$B$2:$B$21,0))&amp;""="","(no TSE)",INDEX(Accounts!$G$2:$G$21,MATCH($A635,Accounts!$B$2:$B$21,0))&amp;"")&amp;" / "&amp;IF(INDEX(Accounts!$F$2:$F$21,MATCH($A635,Accounts!$B$2:$B$21,0))&amp;""="","(no PS)",INDEX(Accounts!$F$2:$F$21,MATCH($A635,Accounts!$B$2:$B$21,0))&amp;""),"")))),""))</f>
        <v/>
      </c>
      <c r="F635" s="42" t="s">
        <v>104</v>
      </c>
      <c r="I635" s="42" t="s">
        <v>34</v>
      </c>
      <c r="K635" s="44" t="str">
        <f t="shared" si="1"/>
        <v>Owner missing </v>
      </c>
    </row>
    <row r="636" ht="15.75" customHeight="1">
      <c r="E636" s="43" t="str">
        <f t="array" ref="E636">IF($A636="","",IFERROR(IF($D636="TSE",INDEX(Accounts!$G$2:$G$21,MATCH($A636,Accounts!$B$2:$B$21,0))&amp;"",IF($D636="PS",INDEX(Accounts!$F$2:$F$21,MATCH($A636,Accounts!$B$2:$B$21,0))&amp;"",IF($D636="Named engineer",INDEX(Accounts!$I$2:$I$21,MATCH($A636,Accounts!$B$2:$B$21,0))&amp;"",IF($D636="TSE + PS",IF(INDEX(Accounts!$G$2:$G$21,MATCH($A636,Accounts!$B$2:$B$21,0))&amp;""="","(no TSE)",INDEX(Accounts!$G$2:$G$21,MATCH($A636,Accounts!$B$2:$B$21,0))&amp;"")&amp;" / "&amp;IF(INDEX(Accounts!$F$2:$F$21,MATCH($A636,Accounts!$B$2:$B$21,0))&amp;""="","(no PS)",INDEX(Accounts!$F$2:$F$21,MATCH($A636,Accounts!$B$2:$B$21,0))&amp;""),"")))),""))</f>
        <v/>
      </c>
      <c r="F636" s="42" t="s">
        <v>104</v>
      </c>
      <c r="I636" s="42" t="s">
        <v>34</v>
      </c>
      <c r="K636" s="44" t="str">
        <f t="shared" si="1"/>
        <v>Owner missing </v>
      </c>
    </row>
    <row r="637" ht="15.75" customHeight="1">
      <c r="E637" s="43" t="str">
        <f t="array" ref="E637">IF($A637="","",IFERROR(IF($D637="TSE",INDEX(Accounts!$G$2:$G$21,MATCH($A637,Accounts!$B$2:$B$21,0))&amp;"",IF($D637="PS",INDEX(Accounts!$F$2:$F$21,MATCH($A637,Accounts!$B$2:$B$21,0))&amp;"",IF($D637="Named engineer",INDEX(Accounts!$I$2:$I$21,MATCH($A637,Accounts!$B$2:$B$21,0))&amp;"",IF($D637="TSE + PS",IF(INDEX(Accounts!$G$2:$G$21,MATCH($A637,Accounts!$B$2:$B$21,0))&amp;""="","(no TSE)",INDEX(Accounts!$G$2:$G$21,MATCH($A637,Accounts!$B$2:$B$21,0))&amp;"")&amp;" / "&amp;IF(INDEX(Accounts!$F$2:$F$21,MATCH($A637,Accounts!$B$2:$B$21,0))&amp;""="","(no PS)",INDEX(Accounts!$F$2:$F$21,MATCH($A637,Accounts!$B$2:$B$21,0))&amp;""),"")))),""))</f>
        <v/>
      </c>
      <c r="F637" s="42" t="s">
        <v>104</v>
      </c>
      <c r="I637" s="42" t="s">
        <v>34</v>
      </c>
      <c r="K637" s="44" t="str">
        <f t="shared" si="1"/>
        <v>Owner missing </v>
      </c>
    </row>
    <row r="638" ht="15.75" customHeight="1">
      <c r="E638" s="43" t="str">
        <f t="array" ref="E638">IF($A638="","",IFERROR(IF($D638="TSE",INDEX(Accounts!$G$2:$G$21,MATCH($A638,Accounts!$B$2:$B$21,0))&amp;"",IF($D638="PS",INDEX(Accounts!$F$2:$F$21,MATCH($A638,Accounts!$B$2:$B$21,0))&amp;"",IF($D638="Named engineer",INDEX(Accounts!$I$2:$I$21,MATCH($A638,Accounts!$B$2:$B$21,0))&amp;"",IF($D638="TSE + PS",IF(INDEX(Accounts!$G$2:$G$21,MATCH($A638,Accounts!$B$2:$B$21,0))&amp;""="","(no TSE)",INDEX(Accounts!$G$2:$G$21,MATCH($A638,Accounts!$B$2:$B$21,0))&amp;"")&amp;" / "&amp;IF(INDEX(Accounts!$F$2:$F$21,MATCH($A638,Accounts!$B$2:$B$21,0))&amp;""="","(no PS)",INDEX(Accounts!$F$2:$F$21,MATCH($A638,Accounts!$B$2:$B$21,0))&amp;""),"")))),""))</f>
        <v/>
      </c>
      <c r="F638" s="42" t="s">
        <v>104</v>
      </c>
      <c r="I638" s="42" t="s">
        <v>34</v>
      </c>
      <c r="K638" s="44" t="str">
        <f t="shared" si="1"/>
        <v>Owner missing </v>
      </c>
    </row>
    <row r="639" ht="15.75" customHeight="1">
      <c r="E639" s="43" t="str">
        <f t="array" ref="E639">IF($A639="","",IFERROR(IF($D639="TSE",INDEX(Accounts!$G$2:$G$21,MATCH($A639,Accounts!$B$2:$B$21,0))&amp;"",IF($D639="PS",INDEX(Accounts!$F$2:$F$21,MATCH($A639,Accounts!$B$2:$B$21,0))&amp;"",IF($D639="Named engineer",INDEX(Accounts!$I$2:$I$21,MATCH($A639,Accounts!$B$2:$B$21,0))&amp;"",IF($D639="TSE + PS",IF(INDEX(Accounts!$G$2:$G$21,MATCH($A639,Accounts!$B$2:$B$21,0))&amp;""="","(no TSE)",INDEX(Accounts!$G$2:$G$21,MATCH($A639,Accounts!$B$2:$B$21,0))&amp;"")&amp;" / "&amp;IF(INDEX(Accounts!$F$2:$F$21,MATCH($A639,Accounts!$B$2:$B$21,0))&amp;""="","(no PS)",INDEX(Accounts!$F$2:$F$21,MATCH($A639,Accounts!$B$2:$B$21,0))&amp;""),"")))),""))</f>
        <v/>
      </c>
      <c r="F639" s="42" t="s">
        <v>104</v>
      </c>
      <c r="I639" s="42" t="s">
        <v>34</v>
      </c>
      <c r="K639" s="44" t="str">
        <f t="shared" si="1"/>
        <v>Owner missing </v>
      </c>
    </row>
    <row r="640" ht="15.75" customHeight="1">
      <c r="E640" s="43" t="str">
        <f t="array" ref="E640">IF($A640="","",IFERROR(IF($D640="TSE",INDEX(Accounts!$G$2:$G$21,MATCH($A640,Accounts!$B$2:$B$21,0))&amp;"",IF($D640="PS",INDEX(Accounts!$F$2:$F$21,MATCH($A640,Accounts!$B$2:$B$21,0))&amp;"",IF($D640="Named engineer",INDEX(Accounts!$I$2:$I$21,MATCH($A640,Accounts!$B$2:$B$21,0))&amp;"",IF($D640="TSE + PS",IF(INDEX(Accounts!$G$2:$G$21,MATCH($A640,Accounts!$B$2:$B$21,0))&amp;""="","(no TSE)",INDEX(Accounts!$G$2:$G$21,MATCH($A640,Accounts!$B$2:$B$21,0))&amp;"")&amp;" / "&amp;IF(INDEX(Accounts!$F$2:$F$21,MATCH($A640,Accounts!$B$2:$B$21,0))&amp;""="","(no PS)",INDEX(Accounts!$F$2:$F$21,MATCH($A640,Accounts!$B$2:$B$21,0))&amp;""),"")))),""))</f>
        <v/>
      </c>
      <c r="F640" s="42" t="s">
        <v>104</v>
      </c>
      <c r="I640" s="42" t="s">
        <v>34</v>
      </c>
      <c r="K640" s="44" t="str">
        <f t="shared" si="1"/>
        <v>Owner missing </v>
      </c>
    </row>
    <row r="641" ht="15.75" customHeight="1">
      <c r="E641" s="43" t="str">
        <f t="array" ref="E641">IF($A641="","",IFERROR(IF($D641="TSE",INDEX(Accounts!$G$2:$G$21,MATCH($A641,Accounts!$B$2:$B$21,0))&amp;"",IF($D641="PS",INDEX(Accounts!$F$2:$F$21,MATCH($A641,Accounts!$B$2:$B$21,0))&amp;"",IF($D641="Named engineer",INDEX(Accounts!$I$2:$I$21,MATCH($A641,Accounts!$B$2:$B$21,0))&amp;"",IF($D641="TSE + PS",IF(INDEX(Accounts!$G$2:$G$21,MATCH($A641,Accounts!$B$2:$B$21,0))&amp;""="","(no TSE)",INDEX(Accounts!$G$2:$G$21,MATCH($A641,Accounts!$B$2:$B$21,0))&amp;"")&amp;" / "&amp;IF(INDEX(Accounts!$F$2:$F$21,MATCH($A641,Accounts!$B$2:$B$21,0))&amp;""="","(no PS)",INDEX(Accounts!$F$2:$F$21,MATCH($A641,Accounts!$B$2:$B$21,0))&amp;""),"")))),""))</f>
        <v/>
      </c>
      <c r="F641" s="42" t="s">
        <v>104</v>
      </c>
      <c r="I641" s="42" t="s">
        <v>34</v>
      </c>
      <c r="K641" s="44" t="str">
        <f t="shared" si="1"/>
        <v>Owner missing </v>
      </c>
    </row>
    <row r="642" ht="15.75" customHeight="1">
      <c r="E642" s="43" t="str">
        <f t="array" ref="E642">IF($A642="","",IFERROR(IF($D642="TSE",INDEX(Accounts!$G$2:$G$21,MATCH($A642,Accounts!$B$2:$B$21,0))&amp;"",IF($D642="PS",INDEX(Accounts!$F$2:$F$21,MATCH($A642,Accounts!$B$2:$B$21,0))&amp;"",IF($D642="Named engineer",INDEX(Accounts!$I$2:$I$21,MATCH($A642,Accounts!$B$2:$B$21,0))&amp;"",IF($D642="TSE + PS",IF(INDEX(Accounts!$G$2:$G$21,MATCH($A642,Accounts!$B$2:$B$21,0))&amp;""="","(no TSE)",INDEX(Accounts!$G$2:$G$21,MATCH($A642,Accounts!$B$2:$B$21,0))&amp;"")&amp;" / "&amp;IF(INDEX(Accounts!$F$2:$F$21,MATCH($A642,Accounts!$B$2:$B$21,0))&amp;""="","(no PS)",INDEX(Accounts!$F$2:$F$21,MATCH($A642,Accounts!$B$2:$B$21,0))&amp;""),"")))),""))</f>
        <v/>
      </c>
      <c r="F642" s="42" t="s">
        <v>104</v>
      </c>
      <c r="I642" s="42" t="s">
        <v>34</v>
      </c>
      <c r="K642" s="44" t="str">
        <f t="shared" si="1"/>
        <v>Owner missing </v>
      </c>
    </row>
    <row r="643" ht="15.75" customHeight="1">
      <c r="E643" s="43" t="str">
        <f t="array" ref="E643">IF($A643="","",IFERROR(IF($D643="TSE",INDEX(Accounts!$G$2:$G$21,MATCH($A643,Accounts!$B$2:$B$21,0))&amp;"",IF($D643="PS",INDEX(Accounts!$F$2:$F$21,MATCH($A643,Accounts!$B$2:$B$21,0))&amp;"",IF($D643="Named engineer",INDEX(Accounts!$I$2:$I$21,MATCH($A643,Accounts!$B$2:$B$21,0))&amp;"",IF($D643="TSE + PS",IF(INDEX(Accounts!$G$2:$G$21,MATCH($A643,Accounts!$B$2:$B$21,0))&amp;""="","(no TSE)",INDEX(Accounts!$G$2:$G$21,MATCH($A643,Accounts!$B$2:$B$21,0))&amp;"")&amp;" / "&amp;IF(INDEX(Accounts!$F$2:$F$21,MATCH($A643,Accounts!$B$2:$B$21,0))&amp;""="","(no PS)",INDEX(Accounts!$F$2:$F$21,MATCH($A643,Accounts!$B$2:$B$21,0))&amp;""),"")))),""))</f>
        <v/>
      </c>
      <c r="F643" s="42" t="s">
        <v>104</v>
      </c>
      <c r="I643" s="42" t="s">
        <v>34</v>
      </c>
      <c r="K643" s="44" t="str">
        <f t="shared" si="1"/>
        <v>Owner missing </v>
      </c>
    </row>
    <row r="644" ht="15.75" customHeight="1">
      <c r="E644" s="43" t="str">
        <f t="array" ref="E644">IF($A644="","",IFERROR(IF($D644="TSE",INDEX(Accounts!$G$2:$G$21,MATCH($A644,Accounts!$B$2:$B$21,0))&amp;"",IF($D644="PS",INDEX(Accounts!$F$2:$F$21,MATCH($A644,Accounts!$B$2:$B$21,0))&amp;"",IF($D644="Named engineer",INDEX(Accounts!$I$2:$I$21,MATCH($A644,Accounts!$B$2:$B$21,0))&amp;"",IF($D644="TSE + PS",IF(INDEX(Accounts!$G$2:$G$21,MATCH($A644,Accounts!$B$2:$B$21,0))&amp;""="","(no TSE)",INDEX(Accounts!$G$2:$G$21,MATCH($A644,Accounts!$B$2:$B$21,0))&amp;"")&amp;" / "&amp;IF(INDEX(Accounts!$F$2:$F$21,MATCH($A644,Accounts!$B$2:$B$21,0))&amp;""="","(no PS)",INDEX(Accounts!$F$2:$F$21,MATCH($A644,Accounts!$B$2:$B$21,0))&amp;""),"")))),""))</f>
        <v/>
      </c>
      <c r="F644" s="42" t="s">
        <v>104</v>
      </c>
      <c r="I644" s="42" t="s">
        <v>34</v>
      </c>
      <c r="K644" s="44" t="str">
        <f t="shared" si="1"/>
        <v>Owner missing </v>
      </c>
    </row>
    <row r="645" ht="15.75" customHeight="1">
      <c r="E645" s="43" t="str">
        <f t="array" ref="E645">IF($A645="","",IFERROR(IF($D645="TSE",INDEX(Accounts!$G$2:$G$21,MATCH($A645,Accounts!$B$2:$B$21,0))&amp;"",IF($D645="PS",INDEX(Accounts!$F$2:$F$21,MATCH($A645,Accounts!$B$2:$B$21,0))&amp;"",IF($D645="Named engineer",INDEX(Accounts!$I$2:$I$21,MATCH($A645,Accounts!$B$2:$B$21,0))&amp;"",IF($D645="TSE + PS",IF(INDEX(Accounts!$G$2:$G$21,MATCH($A645,Accounts!$B$2:$B$21,0))&amp;""="","(no TSE)",INDEX(Accounts!$G$2:$G$21,MATCH($A645,Accounts!$B$2:$B$21,0))&amp;"")&amp;" / "&amp;IF(INDEX(Accounts!$F$2:$F$21,MATCH($A645,Accounts!$B$2:$B$21,0))&amp;""="","(no PS)",INDEX(Accounts!$F$2:$F$21,MATCH($A645,Accounts!$B$2:$B$21,0))&amp;""),"")))),""))</f>
        <v/>
      </c>
      <c r="F645" s="42" t="s">
        <v>104</v>
      </c>
      <c r="I645" s="42" t="s">
        <v>34</v>
      </c>
      <c r="K645" s="44" t="str">
        <f t="shared" si="1"/>
        <v>Owner missing </v>
      </c>
    </row>
    <row r="646" ht="15.75" customHeight="1">
      <c r="E646" s="43" t="str">
        <f t="array" ref="E646">IF($A646="","",IFERROR(IF($D646="TSE",INDEX(Accounts!$G$2:$G$21,MATCH($A646,Accounts!$B$2:$B$21,0))&amp;"",IF($D646="PS",INDEX(Accounts!$F$2:$F$21,MATCH($A646,Accounts!$B$2:$B$21,0))&amp;"",IF($D646="Named engineer",INDEX(Accounts!$I$2:$I$21,MATCH($A646,Accounts!$B$2:$B$21,0))&amp;"",IF($D646="TSE + PS",IF(INDEX(Accounts!$G$2:$G$21,MATCH($A646,Accounts!$B$2:$B$21,0))&amp;""="","(no TSE)",INDEX(Accounts!$G$2:$G$21,MATCH($A646,Accounts!$B$2:$B$21,0))&amp;"")&amp;" / "&amp;IF(INDEX(Accounts!$F$2:$F$21,MATCH($A646,Accounts!$B$2:$B$21,0))&amp;""="","(no PS)",INDEX(Accounts!$F$2:$F$21,MATCH($A646,Accounts!$B$2:$B$21,0))&amp;""),"")))),""))</f>
        <v/>
      </c>
      <c r="F646" s="42" t="s">
        <v>104</v>
      </c>
      <c r="I646" s="42" t="s">
        <v>34</v>
      </c>
      <c r="K646" s="44" t="str">
        <f t="shared" si="1"/>
        <v>Owner missing </v>
      </c>
    </row>
    <row r="647" ht="15.75" customHeight="1">
      <c r="E647" s="43" t="str">
        <f t="array" ref="E647">IF($A647="","",IFERROR(IF($D647="TSE",INDEX(Accounts!$G$2:$G$21,MATCH($A647,Accounts!$B$2:$B$21,0))&amp;"",IF($D647="PS",INDEX(Accounts!$F$2:$F$21,MATCH($A647,Accounts!$B$2:$B$21,0))&amp;"",IF($D647="Named engineer",INDEX(Accounts!$I$2:$I$21,MATCH($A647,Accounts!$B$2:$B$21,0))&amp;"",IF($D647="TSE + PS",IF(INDEX(Accounts!$G$2:$G$21,MATCH($A647,Accounts!$B$2:$B$21,0))&amp;""="","(no TSE)",INDEX(Accounts!$G$2:$G$21,MATCH($A647,Accounts!$B$2:$B$21,0))&amp;"")&amp;" / "&amp;IF(INDEX(Accounts!$F$2:$F$21,MATCH($A647,Accounts!$B$2:$B$21,0))&amp;""="","(no PS)",INDEX(Accounts!$F$2:$F$21,MATCH($A647,Accounts!$B$2:$B$21,0))&amp;""),"")))),""))</f>
        <v/>
      </c>
      <c r="F647" s="42" t="s">
        <v>104</v>
      </c>
      <c r="I647" s="42" t="s">
        <v>34</v>
      </c>
      <c r="K647" s="44" t="str">
        <f t="shared" si="1"/>
        <v>Owner missing </v>
      </c>
    </row>
    <row r="648" ht="15.75" customHeight="1">
      <c r="E648" s="43" t="str">
        <f t="array" ref="E648">IF($A648="","",IFERROR(IF($D648="TSE",INDEX(Accounts!$G$2:$G$21,MATCH($A648,Accounts!$B$2:$B$21,0))&amp;"",IF($D648="PS",INDEX(Accounts!$F$2:$F$21,MATCH($A648,Accounts!$B$2:$B$21,0))&amp;"",IF($D648="Named engineer",INDEX(Accounts!$I$2:$I$21,MATCH($A648,Accounts!$B$2:$B$21,0))&amp;"",IF($D648="TSE + PS",IF(INDEX(Accounts!$G$2:$G$21,MATCH($A648,Accounts!$B$2:$B$21,0))&amp;""="","(no TSE)",INDEX(Accounts!$G$2:$G$21,MATCH($A648,Accounts!$B$2:$B$21,0))&amp;"")&amp;" / "&amp;IF(INDEX(Accounts!$F$2:$F$21,MATCH($A648,Accounts!$B$2:$B$21,0))&amp;""="","(no PS)",INDEX(Accounts!$F$2:$F$21,MATCH($A648,Accounts!$B$2:$B$21,0))&amp;""),"")))),""))</f>
        <v/>
      </c>
      <c r="F648" s="42" t="s">
        <v>104</v>
      </c>
      <c r="I648" s="42" t="s">
        <v>34</v>
      </c>
      <c r="K648" s="44" t="str">
        <f t="shared" si="1"/>
        <v>Owner missing </v>
      </c>
    </row>
    <row r="649" ht="15.75" customHeight="1">
      <c r="E649" s="43" t="str">
        <f t="array" ref="E649">IF($A649="","",IFERROR(IF($D649="TSE",INDEX(Accounts!$G$2:$G$21,MATCH($A649,Accounts!$B$2:$B$21,0))&amp;"",IF($D649="PS",INDEX(Accounts!$F$2:$F$21,MATCH($A649,Accounts!$B$2:$B$21,0))&amp;"",IF($D649="Named engineer",INDEX(Accounts!$I$2:$I$21,MATCH($A649,Accounts!$B$2:$B$21,0))&amp;"",IF($D649="TSE + PS",IF(INDEX(Accounts!$G$2:$G$21,MATCH($A649,Accounts!$B$2:$B$21,0))&amp;""="","(no TSE)",INDEX(Accounts!$G$2:$G$21,MATCH($A649,Accounts!$B$2:$B$21,0))&amp;"")&amp;" / "&amp;IF(INDEX(Accounts!$F$2:$F$21,MATCH($A649,Accounts!$B$2:$B$21,0))&amp;""="","(no PS)",INDEX(Accounts!$F$2:$F$21,MATCH($A649,Accounts!$B$2:$B$21,0))&amp;""),"")))),""))</f>
        <v/>
      </c>
      <c r="F649" s="42" t="s">
        <v>104</v>
      </c>
      <c r="I649" s="42" t="s">
        <v>34</v>
      </c>
      <c r="K649" s="44" t="str">
        <f t="shared" si="1"/>
        <v>Owner missing </v>
      </c>
    </row>
    <row r="650" ht="15.75" customHeight="1">
      <c r="E650" s="43" t="str">
        <f t="array" ref="E650">IF($A650="","",IFERROR(IF($D650="TSE",INDEX(Accounts!$G$2:$G$21,MATCH($A650,Accounts!$B$2:$B$21,0))&amp;"",IF($D650="PS",INDEX(Accounts!$F$2:$F$21,MATCH($A650,Accounts!$B$2:$B$21,0))&amp;"",IF($D650="Named engineer",INDEX(Accounts!$I$2:$I$21,MATCH($A650,Accounts!$B$2:$B$21,0))&amp;"",IF($D650="TSE + PS",IF(INDEX(Accounts!$G$2:$G$21,MATCH($A650,Accounts!$B$2:$B$21,0))&amp;""="","(no TSE)",INDEX(Accounts!$G$2:$G$21,MATCH($A650,Accounts!$B$2:$B$21,0))&amp;"")&amp;" / "&amp;IF(INDEX(Accounts!$F$2:$F$21,MATCH($A650,Accounts!$B$2:$B$21,0))&amp;""="","(no PS)",INDEX(Accounts!$F$2:$F$21,MATCH($A650,Accounts!$B$2:$B$21,0))&amp;""),"")))),""))</f>
        <v/>
      </c>
      <c r="F650" s="42" t="s">
        <v>104</v>
      </c>
      <c r="I650" s="42" t="s">
        <v>34</v>
      </c>
      <c r="K650" s="44" t="str">
        <f t="shared" si="1"/>
        <v>Owner missing </v>
      </c>
    </row>
    <row r="651" ht="15.75" customHeight="1">
      <c r="E651" s="43" t="str">
        <f t="array" ref="E651">IF($A651="","",IFERROR(IF($D651="TSE",INDEX(Accounts!$G$2:$G$21,MATCH($A651,Accounts!$B$2:$B$21,0))&amp;"",IF($D651="PS",INDEX(Accounts!$F$2:$F$21,MATCH($A651,Accounts!$B$2:$B$21,0))&amp;"",IF($D651="Named engineer",INDEX(Accounts!$I$2:$I$21,MATCH($A651,Accounts!$B$2:$B$21,0))&amp;"",IF($D651="TSE + PS",IF(INDEX(Accounts!$G$2:$G$21,MATCH($A651,Accounts!$B$2:$B$21,0))&amp;""="","(no TSE)",INDEX(Accounts!$G$2:$G$21,MATCH($A651,Accounts!$B$2:$B$21,0))&amp;"")&amp;" / "&amp;IF(INDEX(Accounts!$F$2:$F$21,MATCH($A651,Accounts!$B$2:$B$21,0))&amp;""="","(no PS)",INDEX(Accounts!$F$2:$F$21,MATCH($A651,Accounts!$B$2:$B$21,0))&amp;""),"")))),""))</f>
        <v/>
      </c>
      <c r="F651" s="42" t="s">
        <v>104</v>
      </c>
      <c r="I651" s="42" t="s">
        <v>34</v>
      </c>
      <c r="K651" s="44" t="str">
        <f t="shared" si="1"/>
        <v>Owner missing </v>
      </c>
    </row>
    <row r="652" ht="15.75" customHeight="1">
      <c r="E652" s="43" t="str">
        <f t="array" ref="E652">IF($A652="","",IFERROR(IF($D652="TSE",INDEX(Accounts!$G$2:$G$21,MATCH($A652,Accounts!$B$2:$B$21,0))&amp;"",IF($D652="PS",INDEX(Accounts!$F$2:$F$21,MATCH($A652,Accounts!$B$2:$B$21,0))&amp;"",IF($D652="Named engineer",INDEX(Accounts!$I$2:$I$21,MATCH($A652,Accounts!$B$2:$B$21,0))&amp;"",IF($D652="TSE + PS",IF(INDEX(Accounts!$G$2:$G$21,MATCH($A652,Accounts!$B$2:$B$21,0))&amp;""="","(no TSE)",INDEX(Accounts!$G$2:$G$21,MATCH($A652,Accounts!$B$2:$B$21,0))&amp;"")&amp;" / "&amp;IF(INDEX(Accounts!$F$2:$F$21,MATCH($A652,Accounts!$B$2:$B$21,0))&amp;""="","(no PS)",INDEX(Accounts!$F$2:$F$21,MATCH($A652,Accounts!$B$2:$B$21,0))&amp;""),"")))),""))</f>
        <v/>
      </c>
      <c r="F652" s="42" t="s">
        <v>104</v>
      </c>
      <c r="I652" s="42" t="s">
        <v>34</v>
      </c>
      <c r="K652" s="44" t="str">
        <f t="shared" si="1"/>
        <v>Owner missing </v>
      </c>
    </row>
    <row r="653" ht="15.75" customHeight="1">
      <c r="E653" s="43" t="str">
        <f t="array" ref="E653">IF($A653="","",IFERROR(IF($D653="TSE",INDEX(Accounts!$G$2:$G$21,MATCH($A653,Accounts!$B$2:$B$21,0))&amp;"",IF($D653="PS",INDEX(Accounts!$F$2:$F$21,MATCH($A653,Accounts!$B$2:$B$21,0))&amp;"",IF($D653="Named engineer",INDEX(Accounts!$I$2:$I$21,MATCH($A653,Accounts!$B$2:$B$21,0))&amp;"",IF($D653="TSE + PS",IF(INDEX(Accounts!$G$2:$G$21,MATCH($A653,Accounts!$B$2:$B$21,0))&amp;""="","(no TSE)",INDEX(Accounts!$G$2:$G$21,MATCH($A653,Accounts!$B$2:$B$21,0))&amp;"")&amp;" / "&amp;IF(INDEX(Accounts!$F$2:$F$21,MATCH($A653,Accounts!$B$2:$B$21,0))&amp;""="","(no PS)",INDEX(Accounts!$F$2:$F$21,MATCH($A653,Accounts!$B$2:$B$21,0))&amp;""),"")))),""))</f>
        <v/>
      </c>
      <c r="F653" s="42" t="s">
        <v>104</v>
      </c>
      <c r="I653" s="42" t="s">
        <v>34</v>
      </c>
      <c r="K653" s="44" t="str">
        <f t="shared" si="1"/>
        <v>Owner missing </v>
      </c>
    </row>
    <row r="654" ht="15.75" customHeight="1">
      <c r="E654" s="43" t="str">
        <f t="array" ref="E654">IF($A654="","",IFERROR(IF($D654="TSE",INDEX(Accounts!$G$2:$G$21,MATCH($A654,Accounts!$B$2:$B$21,0))&amp;"",IF($D654="PS",INDEX(Accounts!$F$2:$F$21,MATCH($A654,Accounts!$B$2:$B$21,0))&amp;"",IF($D654="Named engineer",INDEX(Accounts!$I$2:$I$21,MATCH($A654,Accounts!$B$2:$B$21,0))&amp;"",IF($D654="TSE + PS",IF(INDEX(Accounts!$G$2:$G$21,MATCH($A654,Accounts!$B$2:$B$21,0))&amp;""="","(no TSE)",INDEX(Accounts!$G$2:$G$21,MATCH($A654,Accounts!$B$2:$B$21,0))&amp;"")&amp;" / "&amp;IF(INDEX(Accounts!$F$2:$F$21,MATCH($A654,Accounts!$B$2:$B$21,0))&amp;""="","(no PS)",INDEX(Accounts!$F$2:$F$21,MATCH($A654,Accounts!$B$2:$B$21,0))&amp;""),"")))),""))</f>
        <v/>
      </c>
      <c r="F654" s="42" t="s">
        <v>104</v>
      </c>
      <c r="I654" s="42" t="s">
        <v>34</v>
      </c>
      <c r="K654" s="44" t="str">
        <f t="shared" si="1"/>
        <v>Owner missing </v>
      </c>
    </row>
    <row r="655" ht="15.75" customHeight="1">
      <c r="E655" s="43" t="str">
        <f t="array" ref="E655">IF($A655="","",IFERROR(IF($D655="TSE",INDEX(Accounts!$G$2:$G$21,MATCH($A655,Accounts!$B$2:$B$21,0))&amp;"",IF($D655="PS",INDEX(Accounts!$F$2:$F$21,MATCH($A655,Accounts!$B$2:$B$21,0))&amp;"",IF($D655="Named engineer",INDEX(Accounts!$I$2:$I$21,MATCH($A655,Accounts!$B$2:$B$21,0))&amp;"",IF($D655="TSE + PS",IF(INDEX(Accounts!$G$2:$G$21,MATCH($A655,Accounts!$B$2:$B$21,0))&amp;""="","(no TSE)",INDEX(Accounts!$G$2:$G$21,MATCH($A655,Accounts!$B$2:$B$21,0))&amp;"")&amp;" / "&amp;IF(INDEX(Accounts!$F$2:$F$21,MATCH($A655,Accounts!$B$2:$B$21,0))&amp;""="","(no PS)",INDEX(Accounts!$F$2:$F$21,MATCH($A655,Accounts!$B$2:$B$21,0))&amp;""),"")))),""))</f>
        <v/>
      </c>
      <c r="F655" s="42" t="s">
        <v>104</v>
      </c>
      <c r="I655" s="42" t="s">
        <v>34</v>
      </c>
      <c r="K655" s="44" t="str">
        <f t="shared" si="1"/>
        <v>Owner missing </v>
      </c>
    </row>
    <row r="656" ht="15.75" customHeight="1">
      <c r="E656" s="43" t="str">
        <f t="array" ref="E656">IF($A656="","",IFERROR(IF($D656="TSE",INDEX(Accounts!$G$2:$G$21,MATCH($A656,Accounts!$B$2:$B$21,0))&amp;"",IF($D656="PS",INDEX(Accounts!$F$2:$F$21,MATCH($A656,Accounts!$B$2:$B$21,0))&amp;"",IF($D656="Named engineer",INDEX(Accounts!$I$2:$I$21,MATCH($A656,Accounts!$B$2:$B$21,0))&amp;"",IF($D656="TSE + PS",IF(INDEX(Accounts!$G$2:$G$21,MATCH($A656,Accounts!$B$2:$B$21,0))&amp;""="","(no TSE)",INDEX(Accounts!$G$2:$G$21,MATCH($A656,Accounts!$B$2:$B$21,0))&amp;"")&amp;" / "&amp;IF(INDEX(Accounts!$F$2:$F$21,MATCH($A656,Accounts!$B$2:$B$21,0))&amp;""="","(no PS)",INDEX(Accounts!$F$2:$F$21,MATCH($A656,Accounts!$B$2:$B$21,0))&amp;""),"")))),""))</f>
        <v/>
      </c>
      <c r="F656" s="42" t="s">
        <v>104</v>
      </c>
      <c r="I656" s="42" t="s">
        <v>34</v>
      </c>
      <c r="K656" s="44" t="str">
        <f t="shared" si="1"/>
        <v>Owner missing </v>
      </c>
    </row>
    <row r="657" ht="15.75" customHeight="1">
      <c r="E657" s="43" t="str">
        <f t="array" ref="E657">IF($A657="","",IFERROR(IF($D657="TSE",INDEX(Accounts!$G$2:$G$21,MATCH($A657,Accounts!$B$2:$B$21,0))&amp;"",IF($D657="PS",INDEX(Accounts!$F$2:$F$21,MATCH($A657,Accounts!$B$2:$B$21,0))&amp;"",IF($D657="Named engineer",INDEX(Accounts!$I$2:$I$21,MATCH($A657,Accounts!$B$2:$B$21,0))&amp;"",IF($D657="TSE + PS",IF(INDEX(Accounts!$G$2:$G$21,MATCH($A657,Accounts!$B$2:$B$21,0))&amp;""="","(no TSE)",INDEX(Accounts!$G$2:$G$21,MATCH($A657,Accounts!$B$2:$B$21,0))&amp;"")&amp;" / "&amp;IF(INDEX(Accounts!$F$2:$F$21,MATCH($A657,Accounts!$B$2:$B$21,0))&amp;""="","(no PS)",INDEX(Accounts!$F$2:$F$21,MATCH($A657,Accounts!$B$2:$B$21,0))&amp;""),"")))),""))</f>
        <v/>
      </c>
      <c r="F657" s="42" t="s">
        <v>104</v>
      </c>
      <c r="I657" s="42" t="s">
        <v>34</v>
      </c>
      <c r="K657" s="44" t="str">
        <f t="shared" si="1"/>
        <v>Owner missing </v>
      </c>
    </row>
    <row r="658" ht="15.75" customHeight="1">
      <c r="E658" s="43" t="str">
        <f t="array" ref="E658">IF($A658="","",IFERROR(IF($D658="TSE",INDEX(Accounts!$G$2:$G$21,MATCH($A658,Accounts!$B$2:$B$21,0))&amp;"",IF($D658="PS",INDEX(Accounts!$F$2:$F$21,MATCH($A658,Accounts!$B$2:$B$21,0))&amp;"",IF($D658="Named engineer",INDEX(Accounts!$I$2:$I$21,MATCH($A658,Accounts!$B$2:$B$21,0))&amp;"",IF($D658="TSE + PS",IF(INDEX(Accounts!$G$2:$G$21,MATCH($A658,Accounts!$B$2:$B$21,0))&amp;""="","(no TSE)",INDEX(Accounts!$G$2:$G$21,MATCH($A658,Accounts!$B$2:$B$21,0))&amp;"")&amp;" / "&amp;IF(INDEX(Accounts!$F$2:$F$21,MATCH($A658,Accounts!$B$2:$B$21,0))&amp;""="","(no PS)",INDEX(Accounts!$F$2:$F$21,MATCH($A658,Accounts!$B$2:$B$21,0))&amp;""),"")))),""))</f>
        <v/>
      </c>
      <c r="F658" s="42" t="s">
        <v>104</v>
      </c>
      <c r="I658" s="42" t="s">
        <v>34</v>
      </c>
      <c r="K658" s="44" t="str">
        <f t="shared" si="1"/>
        <v>Owner missing </v>
      </c>
    </row>
    <row r="659" ht="15.75" customHeight="1">
      <c r="E659" s="43" t="str">
        <f t="array" ref="E659">IF($A659="","",IFERROR(IF($D659="TSE",INDEX(Accounts!$G$2:$G$21,MATCH($A659,Accounts!$B$2:$B$21,0))&amp;"",IF($D659="PS",INDEX(Accounts!$F$2:$F$21,MATCH($A659,Accounts!$B$2:$B$21,0))&amp;"",IF($D659="Named engineer",INDEX(Accounts!$I$2:$I$21,MATCH($A659,Accounts!$B$2:$B$21,0))&amp;"",IF($D659="TSE + PS",IF(INDEX(Accounts!$G$2:$G$21,MATCH($A659,Accounts!$B$2:$B$21,0))&amp;""="","(no TSE)",INDEX(Accounts!$G$2:$G$21,MATCH($A659,Accounts!$B$2:$B$21,0))&amp;"")&amp;" / "&amp;IF(INDEX(Accounts!$F$2:$F$21,MATCH($A659,Accounts!$B$2:$B$21,0))&amp;""="","(no PS)",INDEX(Accounts!$F$2:$F$21,MATCH($A659,Accounts!$B$2:$B$21,0))&amp;""),"")))),""))</f>
        <v/>
      </c>
      <c r="F659" s="42" t="s">
        <v>104</v>
      </c>
      <c r="I659" s="42" t="s">
        <v>34</v>
      </c>
      <c r="K659" s="44" t="str">
        <f t="shared" si="1"/>
        <v>Owner missing </v>
      </c>
    </row>
    <row r="660" ht="15.75" customHeight="1">
      <c r="E660" s="43" t="str">
        <f t="array" ref="E660">IF($A660="","",IFERROR(IF($D660="TSE",INDEX(Accounts!$G$2:$G$21,MATCH($A660,Accounts!$B$2:$B$21,0))&amp;"",IF($D660="PS",INDEX(Accounts!$F$2:$F$21,MATCH($A660,Accounts!$B$2:$B$21,0))&amp;"",IF($D660="Named engineer",INDEX(Accounts!$I$2:$I$21,MATCH($A660,Accounts!$B$2:$B$21,0))&amp;"",IF($D660="TSE + PS",IF(INDEX(Accounts!$G$2:$G$21,MATCH($A660,Accounts!$B$2:$B$21,0))&amp;""="","(no TSE)",INDEX(Accounts!$G$2:$G$21,MATCH($A660,Accounts!$B$2:$B$21,0))&amp;"")&amp;" / "&amp;IF(INDEX(Accounts!$F$2:$F$21,MATCH($A660,Accounts!$B$2:$B$21,0))&amp;""="","(no PS)",INDEX(Accounts!$F$2:$F$21,MATCH($A660,Accounts!$B$2:$B$21,0))&amp;""),"")))),""))</f>
        <v/>
      </c>
      <c r="F660" s="42" t="s">
        <v>104</v>
      </c>
      <c r="I660" s="42" t="s">
        <v>34</v>
      </c>
      <c r="K660" s="44" t="str">
        <f t="shared" si="1"/>
        <v>Owner missing </v>
      </c>
    </row>
    <row r="661" ht="15.75" customHeight="1">
      <c r="E661" s="43" t="str">
        <f t="array" ref="E661">IF($A661="","",IFERROR(IF($D661="TSE",INDEX(Accounts!$G$2:$G$21,MATCH($A661,Accounts!$B$2:$B$21,0))&amp;"",IF($D661="PS",INDEX(Accounts!$F$2:$F$21,MATCH($A661,Accounts!$B$2:$B$21,0))&amp;"",IF($D661="Named engineer",INDEX(Accounts!$I$2:$I$21,MATCH($A661,Accounts!$B$2:$B$21,0))&amp;"",IF($D661="TSE + PS",IF(INDEX(Accounts!$G$2:$G$21,MATCH($A661,Accounts!$B$2:$B$21,0))&amp;""="","(no TSE)",INDEX(Accounts!$G$2:$G$21,MATCH($A661,Accounts!$B$2:$B$21,0))&amp;"")&amp;" / "&amp;IF(INDEX(Accounts!$F$2:$F$21,MATCH($A661,Accounts!$B$2:$B$21,0))&amp;""="","(no PS)",INDEX(Accounts!$F$2:$F$21,MATCH($A661,Accounts!$B$2:$B$21,0))&amp;""),"")))),""))</f>
        <v/>
      </c>
      <c r="F661" s="42" t="s">
        <v>104</v>
      </c>
      <c r="I661" s="42" t="s">
        <v>34</v>
      </c>
      <c r="K661" s="44" t="str">
        <f t="shared" si="1"/>
        <v>Owner missing </v>
      </c>
    </row>
    <row r="662" ht="15.75" customHeight="1">
      <c r="E662" s="43" t="str">
        <f t="array" ref="E662">IF($A662="","",IFERROR(IF($D662="TSE",INDEX(Accounts!$G$2:$G$21,MATCH($A662,Accounts!$B$2:$B$21,0))&amp;"",IF($D662="PS",INDEX(Accounts!$F$2:$F$21,MATCH($A662,Accounts!$B$2:$B$21,0))&amp;"",IF($D662="Named engineer",INDEX(Accounts!$I$2:$I$21,MATCH($A662,Accounts!$B$2:$B$21,0))&amp;"",IF($D662="TSE + PS",IF(INDEX(Accounts!$G$2:$G$21,MATCH($A662,Accounts!$B$2:$B$21,0))&amp;""="","(no TSE)",INDEX(Accounts!$G$2:$G$21,MATCH($A662,Accounts!$B$2:$B$21,0))&amp;"")&amp;" / "&amp;IF(INDEX(Accounts!$F$2:$F$21,MATCH($A662,Accounts!$B$2:$B$21,0))&amp;""="","(no PS)",INDEX(Accounts!$F$2:$F$21,MATCH($A662,Accounts!$B$2:$B$21,0))&amp;""),"")))),""))</f>
        <v/>
      </c>
      <c r="F662" s="42" t="s">
        <v>104</v>
      </c>
      <c r="I662" s="42" t="s">
        <v>34</v>
      </c>
      <c r="K662" s="44" t="str">
        <f t="shared" si="1"/>
        <v>Owner missing </v>
      </c>
    </row>
    <row r="663" ht="15.75" customHeight="1">
      <c r="E663" s="43" t="str">
        <f t="array" ref="E663">IF($A663="","",IFERROR(IF($D663="TSE",INDEX(Accounts!$G$2:$G$21,MATCH($A663,Accounts!$B$2:$B$21,0))&amp;"",IF($D663="PS",INDEX(Accounts!$F$2:$F$21,MATCH($A663,Accounts!$B$2:$B$21,0))&amp;"",IF($D663="Named engineer",INDEX(Accounts!$I$2:$I$21,MATCH($A663,Accounts!$B$2:$B$21,0))&amp;"",IF($D663="TSE + PS",IF(INDEX(Accounts!$G$2:$G$21,MATCH($A663,Accounts!$B$2:$B$21,0))&amp;""="","(no TSE)",INDEX(Accounts!$G$2:$G$21,MATCH($A663,Accounts!$B$2:$B$21,0))&amp;"")&amp;" / "&amp;IF(INDEX(Accounts!$F$2:$F$21,MATCH($A663,Accounts!$B$2:$B$21,0))&amp;""="","(no PS)",INDEX(Accounts!$F$2:$F$21,MATCH($A663,Accounts!$B$2:$B$21,0))&amp;""),"")))),""))</f>
        <v/>
      </c>
      <c r="F663" s="42" t="s">
        <v>104</v>
      </c>
      <c r="I663" s="42" t="s">
        <v>34</v>
      </c>
      <c r="K663" s="44" t="str">
        <f t="shared" si="1"/>
        <v>Owner missing </v>
      </c>
    </row>
    <row r="664" ht="15.75" customHeight="1">
      <c r="E664" s="43" t="str">
        <f t="array" ref="E664">IF($A664="","",IFERROR(IF($D664="TSE",INDEX(Accounts!$G$2:$G$21,MATCH($A664,Accounts!$B$2:$B$21,0))&amp;"",IF($D664="PS",INDEX(Accounts!$F$2:$F$21,MATCH($A664,Accounts!$B$2:$B$21,0))&amp;"",IF($D664="Named engineer",INDEX(Accounts!$I$2:$I$21,MATCH($A664,Accounts!$B$2:$B$21,0))&amp;"",IF($D664="TSE + PS",IF(INDEX(Accounts!$G$2:$G$21,MATCH($A664,Accounts!$B$2:$B$21,0))&amp;""="","(no TSE)",INDEX(Accounts!$G$2:$G$21,MATCH($A664,Accounts!$B$2:$B$21,0))&amp;"")&amp;" / "&amp;IF(INDEX(Accounts!$F$2:$F$21,MATCH($A664,Accounts!$B$2:$B$21,0))&amp;""="","(no PS)",INDEX(Accounts!$F$2:$F$21,MATCH($A664,Accounts!$B$2:$B$21,0))&amp;""),"")))),""))</f>
        <v/>
      </c>
      <c r="F664" s="42" t="s">
        <v>104</v>
      </c>
      <c r="I664" s="42" t="s">
        <v>34</v>
      </c>
      <c r="K664" s="44" t="str">
        <f t="shared" si="1"/>
        <v>Owner missing </v>
      </c>
    </row>
    <row r="665" ht="15.75" customHeight="1">
      <c r="E665" s="43" t="str">
        <f t="array" ref="E665">IF($A665="","",IFERROR(IF($D665="TSE",INDEX(Accounts!$G$2:$G$21,MATCH($A665,Accounts!$B$2:$B$21,0))&amp;"",IF($D665="PS",INDEX(Accounts!$F$2:$F$21,MATCH($A665,Accounts!$B$2:$B$21,0))&amp;"",IF($D665="Named engineer",INDEX(Accounts!$I$2:$I$21,MATCH($A665,Accounts!$B$2:$B$21,0))&amp;"",IF($D665="TSE + PS",IF(INDEX(Accounts!$G$2:$G$21,MATCH($A665,Accounts!$B$2:$B$21,0))&amp;""="","(no TSE)",INDEX(Accounts!$G$2:$G$21,MATCH($A665,Accounts!$B$2:$B$21,0))&amp;"")&amp;" / "&amp;IF(INDEX(Accounts!$F$2:$F$21,MATCH($A665,Accounts!$B$2:$B$21,0))&amp;""="","(no PS)",INDEX(Accounts!$F$2:$F$21,MATCH($A665,Accounts!$B$2:$B$21,0))&amp;""),"")))),""))</f>
        <v/>
      </c>
      <c r="F665" s="42" t="s">
        <v>104</v>
      </c>
      <c r="I665" s="42" t="s">
        <v>34</v>
      </c>
      <c r="K665" s="44" t="str">
        <f t="shared" si="1"/>
        <v>Owner missing </v>
      </c>
    </row>
    <row r="666" ht="15.75" customHeight="1">
      <c r="E666" s="43" t="str">
        <f t="array" ref="E666">IF($A666="","",IFERROR(IF($D666="TSE",INDEX(Accounts!$G$2:$G$21,MATCH($A666,Accounts!$B$2:$B$21,0))&amp;"",IF($D666="PS",INDEX(Accounts!$F$2:$F$21,MATCH($A666,Accounts!$B$2:$B$21,0))&amp;"",IF($D666="Named engineer",INDEX(Accounts!$I$2:$I$21,MATCH($A666,Accounts!$B$2:$B$21,0))&amp;"",IF($D666="TSE + PS",IF(INDEX(Accounts!$G$2:$G$21,MATCH($A666,Accounts!$B$2:$B$21,0))&amp;""="","(no TSE)",INDEX(Accounts!$G$2:$G$21,MATCH($A666,Accounts!$B$2:$B$21,0))&amp;"")&amp;" / "&amp;IF(INDEX(Accounts!$F$2:$F$21,MATCH($A666,Accounts!$B$2:$B$21,0))&amp;""="","(no PS)",INDEX(Accounts!$F$2:$F$21,MATCH($A666,Accounts!$B$2:$B$21,0))&amp;""),"")))),""))</f>
        <v/>
      </c>
      <c r="F666" s="42" t="s">
        <v>104</v>
      </c>
      <c r="I666" s="42" t="s">
        <v>34</v>
      </c>
      <c r="K666" s="44" t="str">
        <f t="shared" si="1"/>
        <v>Owner missing </v>
      </c>
    </row>
    <row r="667" ht="15.75" customHeight="1">
      <c r="E667" s="43" t="str">
        <f t="array" ref="E667">IF($A667="","",IFERROR(IF($D667="TSE",INDEX(Accounts!$G$2:$G$21,MATCH($A667,Accounts!$B$2:$B$21,0))&amp;"",IF($D667="PS",INDEX(Accounts!$F$2:$F$21,MATCH($A667,Accounts!$B$2:$B$21,0))&amp;"",IF($D667="Named engineer",INDEX(Accounts!$I$2:$I$21,MATCH($A667,Accounts!$B$2:$B$21,0))&amp;"",IF($D667="TSE + PS",IF(INDEX(Accounts!$G$2:$G$21,MATCH($A667,Accounts!$B$2:$B$21,0))&amp;""="","(no TSE)",INDEX(Accounts!$G$2:$G$21,MATCH($A667,Accounts!$B$2:$B$21,0))&amp;"")&amp;" / "&amp;IF(INDEX(Accounts!$F$2:$F$21,MATCH($A667,Accounts!$B$2:$B$21,0))&amp;""="","(no PS)",INDEX(Accounts!$F$2:$F$21,MATCH($A667,Accounts!$B$2:$B$21,0))&amp;""),"")))),""))</f>
        <v/>
      </c>
      <c r="F667" s="42" t="s">
        <v>104</v>
      </c>
      <c r="I667" s="42" t="s">
        <v>34</v>
      </c>
      <c r="K667" s="44" t="str">
        <f t="shared" si="1"/>
        <v>Owner missing </v>
      </c>
    </row>
    <row r="668" ht="15.75" customHeight="1">
      <c r="E668" s="43" t="str">
        <f t="array" ref="E668">IF($A668="","",IFERROR(IF($D668="TSE",INDEX(Accounts!$G$2:$G$21,MATCH($A668,Accounts!$B$2:$B$21,0))&amp;"",IF($D668="PS",INDEX(Accounts!$F$2:$F$21,MATCH($A668,Accounts!$B$2:$B$21,0))&amp;"",IF($D668="Named engineer",INDEX(Accounts!$I$2:$I$21,MATCH($A668,Accounts!$B$2:$B$21,0))&amp;"",IF($D668="TSE + PS",IF(INDEX(Accounts!$G$2:$G$21,MATCH($A668,Accounts!$B$2:$B$21,0))&amp;""="","(no TSE)",INDEX(Accounts!$G$2:$G$21,MATCH($A668,Accounts!$B$2:$B$21,0))&amp;"")&amp;" / "&amp;IF(INDEX(Accounts!$F$2:$F$21,MATCH($A668,Accounts!$B$2:$B$21,0))&amp;""="","(no PS)",INDEX(Accounts!$F$2:$F$21,MATCH($A668,Accounts!$B$2:$B$21,0))&amp;""),"")))),""))</f>
        <v/>
      </c>
      <c r="F668" s="42" t="s">
        <v>104</v>
      </c>
      <c r="I668" s="42" t="s">
        <v>34</v>
      </c>
      <c r="K668" s="44" t="str">
        <f t="shared" si="1"/>
        <v>Owner missing </v>
      </c>
    </row>
    <row r="669" ht="15.75" customHeight="1">
      <c r="E669" s="43" t="str">
        <f t="array" ref="E669">IF($A669="","",IFERROR(IF($D669="TSE",INDEX(Accounts!$G$2:$G$21,MATCH($A669,Accounts!$B$2:$B$21,0))&amp;"",IF($D669="PS",INDEX(Accounts!$F$2:$F$21,MATCH($A669,Accounts!$B$2:$B$21,0))&amp;"",IF($D669="Named engineer",INDEX(Accounts!$I$2:$I$21,MATCH($A669,Accounts!$B$2:$B$21,0))&amp;"",IF($D669="TSE + PS",IF(INDEX(Accounts!$G$2:$G$21,MATCH($A669,Accounts!$B$2:$B$21,0))&amp;""="","(no TSE)",INDEX(Accounts!$G$2:$G$21,MATCH($A669,Accounts!$B$2:$B$21,0))&amp;"")&amp;" / "&amp;IF(INDEX(Accounts!$F$2:$F$21,MATCH($A669,Accounts!$B$2:$B$21,0))&amp;""="","(no PS)",INDEX(Accounts!$F$2:$F$21,MATCH($A669,Accounts!$B$2:$B$21,0))&amp;""),"")))),""))</f>
        <v/>
      </c>
      <c r="F669" s="42" t="s">
        <v>104</v>
      </c>
      <c r="I669" s="42" t="s">
        <v>34</v>
      </c>
      <c r="K669" s="44" t="str">
        <f t="shared" si="1"/>
        <v>Owner missing </v>
      </c>
    </row>
    <row r="670" ht="15.75" customHeight="1">
      <c r="E670" s="43" t="str">
        <f t="array" ref="E670">IF($A670="","",IFERROR(IF($D670="TSE",INDEX(Accounts!$G$2:$G$21,MATCH($A670,Accounts!$B$2:$B$21,0))&amp;"",IF($D670="PS",INDEX(Accounts!$F$2:$F$21,MATCH($A670,Accounts!$B$2:$B$21,0))&amp;"",IF($D670="Named engineer",INDEX(Accounts!$I$2:$I$21,MATCH($A670,Accounts!$B$2:$B$21,0))&amp;"",IF($D670="TSE + PS",IF(INDEX(Accounts!$G$2:$G$21,MATCH($A670,Accounts!$B$2:$B$21,0))&amp;""="","(no TSE)",INDEX(Accounts!$G$2:$G$21,MATCH($A670,Accounts!$B$2:$B$21,0))&amp;"")&amp;" / "&amp;IF(INDEX(Accounts!$F$2:$F$21,MATCH($A670,Accounts!$B$2:$B$21,0))&amp;""="","(no PS)",INDEX(Accounts!$F$2:$F$21,MATCH($A670,Accounts!$B$2:$B$21,0))&amp;""),"")))),""))</f>
        <v/>
      </c>
      <c r="F670" s="42" t="s">
        <v>104</v>
      </c>
      <c r="I670" s="42" t="s">
        <v>34</v>
      </c>
      <c r="K670" s="44" t="str">
        <f t="shared" si="1"/>
        <v>Owner missing </v>
      </c>
    </row>
    <row r="671" ht="15.75" customHeight="1">
      <c r="E671" s="43" t="str">
        <f t="array" ref="E671">IF($A671="","",IFERROR(IF($D671="TSE",INDEX(Accounts!$G$2:$G$21,MATCH($A671,Accounts!$B$2:$B$21,0))&amp;"",IF($D671="PS",INDEX(Accounts!$F$2:$F$21,MATCH($A671,Accounts!$B$2:$B$21,0))&amp;"",IF($D671="Named engineer",INDEX(Accounts!$I$2:$I$21,MATCH($A671,Accounts!$B$2:$B$21,0))&amp;"",IF($D671="TSE + PS",IF(INDEX(Accounts!$G$2:$G$21,MATCH($A671,Accounts!$B$2:$B$21,0))&amp;""="","(no TSE)",INDEX(Accounts!$G$2:$G$21,MATCH($A671,Accounts!$B$2:$B$21,0))&amp;"")&amp;" / "&amp;IF(INDEX(Accounts!$F$2:$F$21,MATCH($A671,Accounts!$B$2:$B$21,0))&amp;""="","(no PS)",INDEX(Accounts!$F$2:$F$21,MATCH($A671,Accounts!$B$2:$B$21,0))&amp;""),"")))),""))</f>
        <v/>
      </c>
      <c r="F671" s="42" t="s">
        <v>104</v>
      </c>
      <c r="I671" s="42" t="s">
        <v>34</v>
      </c>
      <c r="K671" s="44" t="str">
        <f t="shared" si="1"/>
        <v>Owner missing </v>
      </c>
    </row>
    <row r="672" ht="15.75" customHeight="1">
      <c r="E672" s="43" t="str">
        <f t="array" ref="E672">IF($A672="","",IFERROR(IF($D672="TSE",INDEX(Accounts!$G$2:$G$21,MATCH($A672,Accounts!$B$2:$B$21,0))&amp;"",IF($D672="PS",INDEX(Accounts!$F$2:$F$21,MATCH($A672,Accounts!$B$2:$B$21,0))&amp;"",IF($D672="Named engineer",INDEX(Accounts!$I$2:$I$21,MATCH($A672,Accounts!$B$2:$B$21,0))&amp;"",IF($D672="TSE + PS",IF(INDEX(Accounts!$G$2:$G$21,MATCH($A672,Accounts!$B$2:$B$21,0))&amp;""="","(no TSE)",INDEX(Accounts!$G$2:$G$21,MATCH($A672,Accounts!$B$2:$B$21,0))&amp;"")&amp;" / "&amp;IF(INDEX(Accounts!$F$2:$F$21,MATCH($A672,Accounts!$B$2:$B$21,0))&amp;""="","(no PS)",INDEX(Accounts!$F$2:$F$21,MATCH($A672,Accounts!$B$2:$B$21,0))&amp;""),"")))),""))</f>
        <v/>
      </c>
      <c r="F672" s="42" t="s">
        <v>104</v>
      </c>
      <c r="I672" s="42" t="s">
        <v>34</v>
      </c>
      <c r="K672" s="44" t="str">
        <f t="shared" si="1"/>
        <v>Owner missing </v>
      </c>
    </row>
    <row r="673" ht="15.75" customHeight="1">
      <c r="E673" s="43" t="str">
        <f t="array" ref="E673">IF($A673="","",IFERROR(IF($D673="TSE",INDEX(Accounts!$G$2:$G$21,MATCH($A673,Accounts!$B$2:$B$21,0))&amp;"",IF($D673="PS",INDEX(Accounts!$F$2:$F$21,MATCH($A673,Accounts!$B$2:$B$21,0))&amp;"",IF($D673="Named engineer",INDEX(Accounts!$I$2:$I$21,MATCH($A673,Accounts!$B$2:$B$21,0))&amp;"",IF($D673="TSE + PS",IF(INDEX(Accounts!$G$2:$G$21,MATCH($A673,Accounts!$B$2:$B$21,0))&amp;""="","(no TSE)",INDEX(Accounts!$G$2:$G$21,MATCH($A673,Accounts!$B$2:$B$21,0))&amp;"")&amp;" / "&amp;IF(INDEX(Accounts!$F$2:$F$21,MATCH($A673,Accounts!$B$2:$B$21,0))&amp;""="","(no PS)",INDEX(Accounts!$F$2:$F$21,MATCH($A673,Accounts!$B$2:$B$21,0))&amp;""),"")))),""))</f>
        <v/>
      </c>
      <c r="F673" s="42" t="s">
        <v>104</v>
      </c>
      <c r="I673" s="42" t="s">
        <v>34</v>
      </c>
      <c r="K673" s="44" t="str">
        <f t="shared" si="1"/>
        <v>Owner missing </v>
      </c>
    </row>
    <row r="674" ht="15.75" customHeight="1">
      <c r="E674" s="43" t="str">
        <f t="array" ref="E674">IF($A674="","",IFERROR(IF($D674="TSE",INDEX(Accounts!$G$2:$G$21,MATCH($A674,Accounts!$B$2:$B$21,0))&amp;"",IF($D674="PS",INDEX(Accounts!$F$2:$F$21,MATCH($A674,Accounts!$B$2:$B$21,0))&amp;"",IF($D674="Named engineer",INDEX(Accounts!$I$2:$I$21,MATCH($A674,Accounts!$B$2:$B$21,0))&amp;"",IF($D674="TSE + PS",IF(INDEX(Accounts!$G$2:$G$21,MATCH($A674,Accounts!$B$2:$B$21,0))&amp;""="","(no TSE)",INDEX(Accounts!$G$2:$G$21,MATCH($A674,Accounts!$B$2:$B$21,0))&amp;"")&amp;" / "&amp;IF(INDEX(Accounts!$F$2:$F$21,MATCH($A674,Accounts!$B$2:$B$21,0))&amp;""="","(no PS)",INDEX(Accounts!$F$2:$F$21,MATCH($A674,Accounts!$B$2:$B$21,0))&amp;""),"")))),""))</f>
        <v/>
      </c>
      <c r="F674" s="42" t="s">
        <v>104</v>
      </c>
      <c r="I674" s="42" t="s">
        <v>34</v>
      </c>
      <c r="K674" s="44" t="str">
        <f t="shared" si="1"/>
        <v>Owner missing </v>
      </c>
    </row>
    <row r="675" ht="15.75" customHeight="1">
      <c r="E675" s="43" t="str">
        <f t="array" ref="E675">IF($A675="","",IFERROR(IF($D675="TSE",INDEX(Accounts!$G$2:$G$21,MATCH($A675,Accounts!$B$2:$B$21,0))&amp;"",IF($D675="PS",INDEX(Accounts!$F$2:$F$21,MATCH($A675,Accounts!$B$2:$B$21,0))&amp;"",IF($D675="Named engineer",INDEX(Accounts!$I$2:$I$21,MATCH($A675,Accounts!$B$2:$B$21,0))&amp;"",IF($D675="TSE + PS",IF(INDEX(Accounts!$G$2:$G$21,MATCH($A675,Accounts!$B$2:$B$21,0))&amp;""="","(no TSE)",INDEX(Accounts!$G$2:$G$21,MATCH($A675,Accounts!$B$2:$B$21,0))&amp;"")&amp;" / "&amp;IF(INDEX(Accounts!$F$2:$F$21,MATCH($A675,Accounts!$B$2:$B$21,0))&amp;""="","(no PS)",INDEX(Accounts!$F$2:$F$21,MATCH($A675,Accounts!$B$2:$B$21,0))&amp;""),"")))),""))</f>
        <v/>
      </c>
      <c r="F675" s="42" t="s">
        <v>104</v>
      </c>
      <c r="I675" s="42" t="s">
        <v>34</v>
      </c>
      <c r="K675" s="44" t="str">
        <f t="shared" si="1"/>
        <v>Owner missing </v>
      </c>
    </row>
    <row r="676" ht="15.75" customHeight="1">
      <c r="E676" s="43" t="str">
        <f t="array" ref="E676">IF($A676="","",IFERROR(IF($D676="TSE",INDEX(Accounts!$G$2:$G$21,MATCH($A676,Accounts!$B$2:$B$21,0))&amp;"",IF($D676="PS",INDEX(Accounts!$F$2:$F$21,MATCH($A676,Accounts!$B$2:$B$21,0))&amp;"",IF($D676="Named engineer",INDEX(Accounts!$I$2:$I$21,MATCH($A676,Accounts!$B$2:$B$21,0))&amp;"",IF($D676="TSE + PS",IF(INDEX(Accounts!$G$2:$G$21,MATCH($A676,Accounts!$B$2:$B$21,0))&amp;""="","(no TSE)",INDEX(Accounts!$G$2:$G$21,MATCH($A676,Accounts!$B$2:$B$21,0))&amp;"")&amp;" / "&amp;IF(INDEX(Accounts!$F$2:$F$21,MATCH($A676,Accounts!$B$2:$B$21,0))&amp;""="","(no PS)",INDEX(Accounts!$F$2:$F$21,MATCH($A676,Accounts!$B$2:$B$21,0))&amp;""),"")))),""))</f>
        <v/>
      </c>
      <c r="F676" s="42" t="s">
        <v>104</v>
      </c>
      <c r="I676" s="42" t="s">
        <v>34</v>
      </c>
      <c r="K676" s="44" t="str">
        <f t="shared" si="1"/>
        <v>Owner missing </v>
      </c>
    </row>
    <row r="677" ht="15.75" customHeight="1">
      <c r="E677" s="43" t="str">
        <f t="array" ref="E677">IF($A677="","",IFERROR(IF($D677="TSE",INDEX(Accounts!$G$2:$G$21,MATCH($A677,Accounts!$B$2:$B$21,0))&amp;"",IF($D677="PS",INDEX(Accounts!$F$2:$F$21,MATCH($A677,Accounts!$B$2:$B$21,0))&amp;"",IF($D677="Named engineer",INDEX(Accounts!$I$2:$I$21,MATCH($A677,Accounts!$B$2:$B$21,0))&amp;"",IF($D677="TSE + PS",IF(INDEX(Accounts!$G$2:$G$21,MATCH($A677,Accounts!$B$2:$B$21,0))&amp;""="","(no TSE)",INDEX(Accounts!$G$2:$G$21,MATCH($A677,Accounts!$B$2:$B$21,0))&amp;"")&amp;" / "&amp;IF(INDEX(Accounts!$F$2:$F$21,MATCH($A677,Accounts!$B$2:$B$21,0))&amp;""="","(no PS)",INDEX(Accounts!$F$2:$F$21,MATCH($A677,Accounts!$B$2:$B$21,0))&amp;""),"")))),""))</f>
        <v/>
      </c>
      <c r="F677" s="42" t="s">
        <v>104</v>
      </c>
      <c r="I677" s="42" t="s">
        <v>34</v>
      </c>
      <c r="K677" s="44" t="str">
        <f t="shared" si="1"/>
        <v>Owner missing </v>
      </c>
    </row>
    <row r="678" ht="15.75" customHeight="1">
      <c r="E678" s="43" t="str">
        <f t="array" ref="E678">IF($A678="","",IFERROR(IF($D678="TSE",INDEX(Accounts!$G$2:$G$21,MATCH($A678,Accounts!$B$2:$B$21,0))&amp;"",IF($D678="PS",INDEX(Accounts!$F$2:$F$21,MATCH($A678,Accounts!$B$2:$B$21,0))&amp;"",IF($D678="Named engineer",INDEX(Accounts!$I$2:$I$21,MATCH($A678,Accounts!$B$2:$B$21,0))&amp;"",IF($D678="TSE + PS",IF(INDEX(Accounts!$G$2:$G$21,MATCH($A678,Accounts!$B$2:$B$21,0))&amp;""="","(no TSE)",INDEX(Accounts!$G$2:$G$21,MATCH($A678,Accounts!$B$2:$B$21,0))&amp;"")&amp;" / "&amp;IF(INDEX(Accounts!$F$2:$F$21,MATCH($A678,Accounts!$B$2:$B$21,0))&amp;""="","(no PS)",INDEX(Accounts!$F$2:$F$21,MATCH($A678,Accounts!$B$2:$B$21,0))&amp;""),"")))),""))</f>
        <v/>
      </c>
      <c r="F678" s="42" t="s">
        <v>104</v>
      </c>
      <c r="I678" s="42" t="s">
        <v>34</v>
      </c>
      <c r="K678" s="44" t="str">
        <f t="shared" si="1"/>
        <v>Owner missing </v>
      </c>
    </row>
    <row r="679" ht="15.75" customHeight="1">
      <c r="E679" s="43" t="str">
        <f t="array" ref="E679">IF($A679="","",IFERROR(IF($D679="TSE",INDEX(Accounts!$G$2:$G$21,MATCH($A679,Accounts!$B$2:$B$21,0))&amp;"",IF($D679="PS",INDEX(Accounts!$F$2:$F$21,MATCH($A679,Accounts!$B$2:$B$21,0))&amp;"",IF($D679="Named engineer",INDEX(Accounts!$I$2:$I$21,MATCH($A679,Accounts!$B$2:$B$21,0))&amp;"",IF($D679="TSE + PS",IF(INDEX(Accounts!$G$2:$G$21,MATCH($A679,Accounts!$B$2:$B$21,0))&amp;""="","(no TSE)",INDEX(Accounts!$G$2:$G$21,MATCH($A679,Accounts!$B$2:$B$21,0))&amp;"")&amp;" / "&amp;IF(INDEX(Accounts!$F$2:$F$21,MATCH($A679,Accounts!$B$2:$B$21,0))&amp;""="","(no PS)",INDEX(Accounts!$F$2:$F$21,MATCH($A679,Accounts!$B$2:$B$21,0))&amp;""),"")))),""))</f>
        <v/>
      </c>
      <c r="F679" s="42" t="s">
        <v>104</v>
      </c>
      <c r="I679" s="42" t="s">
        <v>34</v>
      </c>
      <c r="K679" s="44" t="str">
        <f t="shared" si="1"/>
        <v>Owner missing </v>
      </c>
    </row>
    <row r="680" ht="15.75" customHeight="1">
      <c r="E680" s="43" t="str">
        <f t="array" ref="E680">IF($A680="","",IFERROR(IF($D680="TSE",INDEX(Accounts!$G$2:$G$21,MATCH($A680,Accounts!$B$2:$B$21,0))&amp;"",IF($D680="PS",INDEX(Accounts!$F$2:$F$21,MATCH($A680,Accounts!$B$2:$B$21,0))&amp;"",IF($D680="Named engineer",INDEX(Accounts!$I$2:$I$21,MATCH($A680,Accounts!$B$2:$B$21,0))&amp;"",IF($D680="TSE + PS",IF(INDEX(Accounts!$G$2:$G$21,MATCH($A680,Accounts!$B$2:$B$21,0))&amp;""="","(no TSE)",INDEX(Accounts!$G$2:$G$21,MATCH($A680,Accounts!$B$2:$B$21,0))&amp;"")&amp;" / "&amp;IF(INDEX(Accounts!$F$2:$F$21,MATCH($A680,Accounts!$B$2:$B$21,0))&amp;""="","(no PS)",INDEX(Accounts!$F$2:$F$21,MATCH($A680,Accounts!$B$2:$B$21,0))&amp;""),"")))),""))</f>
        <v/>
      </c>
      <c r="F680" s="42" t="s">
        <v>104</v>
      </c>
      <c r="I680" s="42" t="s">
        <v>34</v>
      </c>
      <c r="K680" s="44" t="str">
        <f t="shared" si="1"/>
        <v>Owner missing </v>
      </c>
    </row>
    <row r="681" ht="15.75" customHeight="1">
      <c r="E681" s="43" t="str">
        <f t="array" ref="E681">IF($A681="","",IFERROR(IF($D681="TSE",INDEX(Accounts!$G$2:$G$21,MATCH($A681,Accounts!$B$2:$B$21,0))&amp;"",IF($D681="PS",INDEX(Accounts!$F$2:$F$21,MATCH($A681,Accounts!$B$2:$B$21,0))&amp;"",IF($D681="Named engineer",INDEX(Accounts!$I$2:$I$21,MATCH($A681,Accounts!$B$2:$B$21,0))&amp;"",IF($D681="TSE + PS",IF(INDEX(Accounts!$G$2:$G$21,MATCH($A681,Accounts!$B$2:$B$21,0))&amp;""="","(no TSE)",INDEX(Accounts!$G$2:$G$21,MATCH($A681,Accounts!$B$2:$B$21,0))&amp;"")&amp;" / "&amp;IF(INDEX(Accounts!$F$2:$F$21,MATCH($A681,Accounts!$B$2:$B$21,0))&amp;""="","(no PS)",INDEX(Accounts!$F$2:$F$21,MATCH($A681,Accounts!$B$2:$B$21,0))&amp;""),"")))),""))</f>
        <v/>
      </c>
      <c r="F681" s="42" t="s">
        <v>104</v>
      </c>
      <c r="I681" s="42" t="s">
        <v>34</v>
      </c>
      <c r="K681" s="44" t="str">
        <f t="shared" si="1"/>
        <v>Owner missing </v>
      </c>
    </row>
    <row r="682" ht="15.75" customHeight="1">
      <c r="E682" s="43" t="str">
        <f t="array" ref="E682">IF($A682="","",IFERROR(IF($D682="TSE",INDEX(Accounts!$G$2:$G$21,MATCH($A682,Accounts!$B$2:$B$21,0))&amp;"",IF($D682="PS",INDEX(Accounts!$F$2:$F$21,MATCH($A682,Accounts!$B$2:$B$21,0))&amp;"",IF($D682="Named engineer",INDEX(Accounts!$I$2:$I$21,MATCH($A682,Accounts!$B$2:$B$21,0))&amp;"",IF($D682="TSE + PS",IF(INDEX(Accounts!$G$2:$G$21,MATCH($A682,Accounts!$B$2:$B$21,0))&amp;""="","(no TSE)",INDEX(Accounts!$G$2:$G$21,MATCH($A682,Accounts!$B$2:$B$21,0))&amp;"")&amp;" / "&amp;IF(INDEX(Accounts!$F$2:$F$21,MATCH($A682,Accounts!$B$2:$B$21,0))&amp;""="","(no PS)",INDEX(Accounts!$F$2:$F$21,MATCH($A682,Accounts!$B$2:$B$21,0))&amp;""),"")))),""))</f>
        <v/>
      </c>
      <c r="F682" s="42" t="s">
        <v>104</v>
      </c>
      <c r="I682" s="42" t="s">
        <v>34</v>
      </c>
      <c r="K682" s="44" t="str">
        <f t="shared" si="1"/>
        <v>Owner missing </v>
      </c>
    </row>
    <row r="683" ht="15.75" customHeight="1">
      <c r="E683" s="43" t="str">
        <f t="array" ref="E683">IF($A683="","",IFERROR(IF($D683="TSE",INDEX(Accounts!$G$2:$G$21,MATCH($A683,Accounts!$B$2:$B$21,0))&amp;"",IF($D683="PS",INDEX(Accounts!$F$2:$F$21,MATCH($A683,Accounts!$B$2:$B$21,0))&amp;"",IF($D683="Named engineer",INDEX(Accounts!$I$2:$I$21,MATCH($A683,Accounts!$B$2:$B$21,0))&amp;"",IF($D683="TSE + PS",IF(INDEX(Accounts!$G$2:$G$21,MATCH($A683,Accounts!$B$2:$B$21,0))&amp;""="","(no TSE)",INDEX(Accounts!$G$2:$G$21,MATCH($A683,Accounts!$B$2:$B$21,0))&amp;"")&amp;" / "&amp;IF(INDEX(Accounts!$F$2:$F$21,MATCH($A683,Accounts!$B$2:$B$21,0))&amp;""="","(no PS)",INDEX(Accounts!$F$2:$F$21,MATCH($A683,Accounts!$B$2:$B$21,0))&amp;""),"")))),""))</f>
        <v/>
      </c>
      <c r="F683" s="42" t="s">
        <v>104</v>
      </c>
      <c r="I683" s="42" t="s">
        <v>34</v>
      </c>
      <c r="K683" s="44" t="str">
        <f t="shared" si="1"/>
        <v>Owner missing </v>
      </c>
    </row>
    <row r="684" ht="15.75" customHeight="1">
      <c r="E684" s="43" t="str">
        <f t="array" ref="E684">IF($A684="","",IFERROR(IF($D684="TSE",INDEX(Accounts!$G$2:$G$21,MATCH($A684,Accounts!$B$2:$B$21,0))&amp;"",IF($D684="PS",INDEX(Accounts!$F$2:$F$21,MATCH($A684,Accounts!$B$2:$B$21,0))&amp;"",IF($D684="Named engineer",INDEX(Accounts!$I$2:$I$21,MATCH($A684,Accounts!$B$2:$B$21,0))&amp;"",IF($D684="TSE + PS",IF(INDEX(Accounts!$G$2:$G$21,MATCH($A684,Accounts!$B$2:$B$21,0))&amp;""="","(no TSE)",INDEX(Accounts!$G$2:$G$21,MATCH($A684,Accounts!$B$2:$B$21,0))&amp;"")&amp;" / "&amp;IF(INDEX(Accounts!$F$2:$F$21,MATCH($A684,Accounts!$B$2:$B$21,0))&amp;""="","(no PS)",INDEX(Accounts!$F$2:$F$21,MATCH($A684,Accounts!$B$2:$B$21,0))&amp;""),"")))),""))</f>
        <v/>
      </c>
      <c r="F684" s="42" t="s">
        <v>104</v>
      </c>
      <c r="I684" s="42" t="s">
        <v>34</v>
      </c>
      <c r="K684" s="44" t="str">
        <f t="shared" si="1"/>
        <v>Owner missing </v>
      </c>
    </row>
    <row r="685" ht="15.75" customHeight="1">
      <c r="E685" s="43" t="str">
        <f t="array" ref="E685">IF($A685="","",IFERROR(IF($D685="TSE",INDEX(Accounts!$G$2:$G$21,MATCH($A685,Accounts!$B$2:$B$21,0))&amp;"",IF($D685="PS",INDEX(Accounts!$F$2:$F$21,MATCH($A685,Accounts!$B$2:$B$21,0))&amp;"",IF($D685="Named engineer",INDEX(Accounts!$I$2:$I$21,MATCH($A685,Accounts!$B$2:$B$21,0))&amp;"",IF($D685="TSE + PS",IF(INDEX(Accounts!$G$2:$G$21,MATCH($A685,Accounts!$B$2:$B$21,0))&amp;""="","(no TSE)",INDEX(Accounts!$G$2:$G$21,MATCH($A685,Accounts!$B$2:$B$21,0))&amp;"")&amp;" / "&amp;IF(INDEX(Accounts!$F$2:$F$21,MATCH($A685,Accounts!$B$2:$B$21,0))&amp;""="","(no PS)",INDEX(Accounts!$F$2:$F$21,MATCH($A685,Accounts!$B$2:$B$21,0))&amp;""),"")))),""))</f>
        <v/>
      </c>
      <c r="F685" s="42" t="s">
        <v>104</v>
      </c>
      <c r="I685" s="42" t="s">
        <v>34</v>
      </c>
      <c r="K685" s="44" t="str">
        <f t="shared" si="1"/>
        <v>Owner missing </v>
      </c>
    </row>
    <row r="686" ht="15.75" customHeight="1">
      <c r="E686" s="43" t="str">
        <f t="array" ref="E686">IF($A686="","",IFERROR(IF($D686="TSE",INDEX(Accounts!$G$2:$G$21,MATCH($A686,Accounts!$B$2:$B$21,0))&amp;"",IF($D686="PS",INDEX(Accounts!$F$2:$F$21,MATCH($A686,Accounts!$B$2:$B$21,0))&amp;"",IF($D686="Named engineer",INDEX(Accounts!$I$2:$I$21,MATCH($A686,Accounts!$B$2:$B$21,0))&amp;"",IF($D686="TSE + PS",IF(INDEX(Accounts!$G$2:$G$21,MATCH($A686,Accounts!$B$2:$B$21,0))&amp;""="","(no TSE)",INDEX(Accounts!$G$2:$G$21,MATCH($A686,Accounts!$B$2:$B$21,0))&amp;"")&amp;" / "&amp;IF(INDEX(Accounts!$F$2:$F$21,MATCH($A686,Accounts!$B$2:$B$21,0))&amp;""="","(no PS)",INDEX(Accounts!$F$2:$F$21,MATCH($A686,Accounts!$B$2:$B$21,0))&amp;""),"")))),""))</f>
        <v/>
      </c>
      <c r="F686" s="42" t="s">
        <v>104</v>
      </c>
      <c r="I686" s="42" t="s">
        <v>34</v>
      </c>
      <c r="K686" s="44" t="str">
        <f t="shared" si="1"/>
        <v>Owner missing </v>
      </c>
    </row>
    <row r="687" ht="15.75" customHeight="1">
      <c r="E687" s="43" t="str">
        <f t="array" ref="E687">IF($A687="","",IFERROR(IF($D687="TSE",INDEX(Accounts!$G$2:$G$21,MATCH($A687,Accounts!$B$2:$B$21,0))&amp;"",IF($D687="PS",INDEX(Accounts!$F$2:$F$21,MATCH($A687,Accounts!$B$2:$B$21,0))&amp;"",IF($D687="Named engineer",INDEX(Accounts!$I$2:$I$21,MATCH($A687,Accounts!$B$2:$B$21,0))&amp;"",IF($D687="TSE + PS",IF(INDEX(Accounts!$G$2:$G$21,MATCH($A687,Accounts!$B$2:$B$21,0))&amp;""="","(no TSE)",INDEX(Accounts!$G$2:$G$21,MATCH($A687,Accounts!$B$2:$B$21,0))&amp;"")&amp;" / "&amp;IF(INDEX(Accounts!$F$2:$F$21,MATCH($A687,Accounts!$B$2:$B$21,0))&amp;""="","(no PS)",INDEX(Accounts!$F$2:$F$21,MATCH($A687,Accounts!$B$2:$B$21,0))&amp;""),"")))),""))</f>
        <v/>
      </c>
      <c r="F687" s="42" t="s">
        <v>104</v>
      </c>
      <c r="I687" s="42" t="s">
        <v>34</v>
      </c>
      <c r="K687" s="44" t="str">
        <f t="shared" si="1"/>
        <v>Owner missing </v>
      </c>
    </row>
    <row r="688" ht="15.75" customHeight="1">
      <c r="E688" s="43" t="str">
        <f t="array" ref="E688">IF($A688="","",IFERROR(IF($D688="TSE",INDEX(Accounts!$G$2:$G$21,MATCH($A688,Accounts!$B$2:$B$21,0))&amp;"",IF($D688="PS",INDEX(Accounts!$F$2:$F$21,MATCH($A688,Accounts!$B$2:$B$21,0))&amp;"",IF($D688="Named engineer",INDEX(Accounts!$I$2:$I$21,MATCH($A688,Accounts!$B$2:$B$21,0))&amp;"",IF($D688="TSE + PS",IF(INDEX(Accounts!$G$2:$G$21,MATCH($A688,Accounts!$B$2:$B$21,0))&amp;""="","(no TSE)",INDEX(Accounts!$G$2:$G$21,MATCH($A688,Accounts!$B$2:$B$21,0))&amp;"")&amp;" / "&amp;IF(INDEX(Accounts!$F$2:$F$21,MATCH($A688,Accounts!$B$2:$B$21,0))&amp;""="","(no PS)",INDEX(Accounts!$F$2:$F$21,MATCH($A688,Accounts!$B$2:$B$21,0))&amp;""),"")))),""))</f>
        <v/>
      </c>
      <c r="F688" s="42" t="s">
        <v>104</v>
      </c>
      <c r="I688" s="42" t="s">
        <v>34</v>
      </c>
      <c r="K688" s="44" t="str">
        <f t="shared" si="1"/>
        <v>Owner missing </v>
      </c>
    </row>
    <row r="689" ht="15.75" customHeight="1">
      <c r="E689" s="43" t="str">
        <f t="array" ref="E689">IF($A689="","",IFERROR(IF($D689="TSE",INDEX(Accounts!$G$2:$G$21,MATCH($A689,Accounts!$B$2:$B$21,0))&amp;"",IF($D689="PS",INDEX(Accounts!$F$2:$F$21,MATCH($A689,Accounts!$B$2:$B$21,0))&amp;"",IF($D689="Named engineer",INDEX(Accounts!$I$2:$I$21,MATCH($A689,Accounts!$B$2:$B$21,0))&amp;"",IF($D689="TSE + PS",IF(INDEX(Accounts!$G$2:$G$21,MATCH($A689,Accounts!$B$2:$B$21,0))&amp;""="","(no TSE)",INDEX(Accounts!$G$2:$G$21,MATCH($A689,Accounts!$B$2:$B$21,0))&amp;"")&amp;" / "&amp;IF(INDEX(Accounts!$F$2:$F$21,MATCH($A689,Accounts!$B$2:$B$21,0))&amp;""="","(no PS)",INDEX(Accounts!$F$2:$F$21,MATCH($A689,Accounts!$B$2:$B$21,0))&amp;""),"")))),""))</f>
        <v/>
      </c>
      <c r="F689" s="42" t="s">
        <v>104</v>
      </c>
      <c r="I689" s="42" t="s">
        <v>34</v>
      </c>
      <c r="K689" s="44" t="str">
        <f t="shared" si="1"/>
        <v>Owner missing </v>
      </c>
    </row>
    <row r="690" ht="15.75" customHeight="1">
      <c r="E690" s="43" t="str">
        <f t="array" ref="E690">IF($A690="","",IFERROR(IF($D690="TSE",INDEX(Accounts!$G$2:$G$21,MATCH($A690,Accounts!$B$2:$B$21,0))&amp;"",IF($D690="PS",INDEX(Accounts!$F$2:$F$21,MATCH($A690,Accounts!$B$2:$B$21,0))&amp;"",IF($D690="Named engineer",INDEX(Accounts!$I$2:$I$21,MATCH($A690,Accounts!$B$2:$B$21,0))&amp;"",IF($D690="TSE + PS",IF(INDEX(Accounts!$G$2:$G$21,MATCH($A690,Accounts!$B$2:$B$21,0))&amp;""="","(no TSE)",INDEX(Accounts!$G$2:$G$21,MATCH($A690,Accounts!$B$2:$B$21,0))&amp;"")&amp;" / "&amp;IF(INDEX(Accounts!$F$2:$F$21,MATCH($A690,Accounts!$B$2:$B$21,0))&amp;""="","(no PS)",INDEX(Accounts!$F$2:$F$21,MATCH($A690,Accounts!$B$2:$B$21,0))&amp;""),"")))),""))</f>
        <v/>
      </c>
      <c r="F690" s="42" t="s">
        <v>104</v>
      </c>
      <c r="I690" s="42" t="s">
        <v>34</v>
      </c>
      <c r="K690" s="44" t="str">
        <f t="shared" si="1"/>
        <v>Owner missing </v>
      </c>
    </row>
    <row r="691" ht="15.75" customHeight="1">
      <c r="E691" s="43" t="str">
        <f t="array" ref="E691">IF($A691="","",IFERROR(IF($D691="TSE",INDEX(Accounts!$G$2:$G$21,MATCH($A691,Accounts!$B$2:$B$21,0))&amp;"",IF($D691="PS",INDEX(Accounts!$F$2:$F$21,MATCH($A691,Accounts!$B$2:$B$21,0))&amp;"",IF($D691="Named engineer",INDEX(Accounts!$I$2:$I$21,MATCH($A691,Accounts!$B$2:$B$21,0))&amp;"",IF($D691="TSE + PS",IF(INDEX(Accounts!$G$2:$G$21,MATCH($A691,Accounts!$B$2:$B$21,0))&amp;""="","(no TSE)",INDEX(Accounts!$G$2:$G$21,MATCH($A691,Accounts!$B$2:$B$21,0))&amp;"")&amp;" / "&amp;IF(INDEX(Accounts!$F$2:$F$21,MATCH($A691,Accounts!$B$2:$B$21,0))&amp;""="","(no PS)",INDEX(Accounts!$F$2:$F$21,MATCH($A691,Accounts!$B$2:$B$21,0))&amp;""),"")))),""))</f>
        <v/>
      </c>
      <c r="F691" s="42" t="s">
        <v>104</v>
      </c>
      <c r="I691" s="42" t="s">
        <v>34</v>
      </c>
      <c r="K691" s="44" t="str">
        <f t="shared" si="1"/>
        <v>Owner missing </v>
      </c>
    </row>
    <row r="692" ht="15.75" customHeight="1">
      <c r="E692" s="43" t="str">
        <f t="array" ref="E692">IF($A692="","",IFERROR(IF($D692="TSE",INDEX(Accounts!$G$2:$G$21,MATCH($A692,Accounts!$B$2:$B$21,0))&amp;"",IF($D692="PS",INDEX(Accounts!$F$2:$F$21,MATCH($A692,Accounts!$B$2:$B$21,0))&amp;"",IF($D692="Named engineer",INDEX(Accounts!$I$2:$I$21,MATCH($A692,Accounts!$B$2:$B$21,0))&amp;"",IF($D692="TSE + PS",IF(INDEX(Accounts!$G$2:$G$21,MATCH($A692,Accounts!$B$2:$B$21,0))&amp;""="","(no TSE)",INDEX(Accounts!$G$2:$G$21,MATCH($A692,Accounts!$B$2:$B$21,0))&amp;"")&amp;" / "&amp;IF(INDEX(Accounts!$F$2:$F$21,MATCH($A692,Accounts!$B$2:$B$21,0))&amp;""="","(no PS)",INDEX(Accounts!$F$2:$F$21,MATCH($A692,Accounts!$B$2:$B$21,0))&amp;""),"")))),""))</f>
        <v/>
      </c>
      <c r="F692" s="42" t="s">
        <v>104</v>
      </c>
      <c r="I692" s="42" t="s">
        <v>34</v>
      </c>
      <c r="K692" s="44" t="str">
        <f t="shared" si="1"/>
        <v>Owner missing </v>
      </c>
    </row>
    <row r="693" ht="15.75" customHeight="1">
      <c r="E693" s="43" t="str">
        <f t="array" ref="E693">IF($A693="","",IFERROR(IF($D693="TSE",INDEX(Accounts!$G$2:$G$21,MATCH($A693,Accounts!$B$2:$B$21,0))&amp;"",IF($D693="PS",INDEX(Accounts!$F$2:$F$21,MATCH($A693,Accounts!$B$2:$B$21,0))&amp;"",IF($D693="Named engineer",INDEX(Accounts!$I$2:$I$21,MATCH($A693,Accounts!$B$2:$B$21,0))&amp;"",IF($D693="TSE + PS",IF(INDEX(Accounts!$G$2:$G$21,MATCH($A693,Accounts!$B$2:$B$21,0))&amp;""="","(no TSE)",INDEX(Accounts!$G$2:$G$21,MATCH($A693,Accounts!$B$2:$B$21,0))&amp;"")&amp;" / "&amp;IF(INDEX(Accounts!$F$2:$F$21,MATCH($A693,Accounts!$B$2:$B$21,0))&amp;""="","(no PS)",INDEX(Accounts!$F$2:$F$21,MATCH($A693,Accounts!$B$2:$B$21,0))&amp;""),"")))),""))</f>
        <v/>
      </c>
      <c r="F693" s="42" t="s">
        <v>104</v>
      </c>
      <c r="I693" s="42" t="s">
        <v>34</v>
      </c>
      <c r="K693" s="44" t="str">
        <f t="shared" si="1"/>
        <v>Owner missing </v>
      </c>
    </row>
    <row r="694" ht="15.75" customHeight="1">
      <c r="E694" s="43" t="str">
        <f t="array" ref="E694">IF($A694="","",IFERROR(IF($D694="TSE",INDEX(Accounts!$G$2:$G$21,MATCH($A694,Accounts!$B$2:$B$21,0))&amp;"",IF($D694="PS",INDEX(Accounts!$F$2:$F$21,MATCH($A694,Accounts!$B$2:$B$21,0))&amp;"",IF($D694="Named engineer",INDEX(Accounts!$I$2:$I$21,MATCH($A694,Accounts!$B$2:$B$21,0))&amp;"",IF($D694="TSE + PS",IF(INDEX(Accounts!$G$2:$G$21,MATCH($A694,Accounts!$B$2:$B$21,0))&amp;""="","(no TSE)",INDEX(Accounts!$G$2:$G$21,MATCH($A694,Accounts!$B$2:$B$21,0))&amp;"")&amp;" / "&amp;IF(INDEX(Accounts!$F$2:$F$21,MATCH($A694,Accounts!$B$2:$B$21,0))&amp;""="","(no PS)",INDEX(Accounts!$F$2:$F$21,MATCH($A694,Accounts!$B$2:$B$21,0))&amp;""),"")))),""))</f>
        <v/>
      </c>
      <c r="F694" s="42" t="s">
        <v>104</v>
      </c>
      <c r="I694" s="42" t="s">
        <v>34</v>
      </c>
      <c r="K694" s="44" t="str">
        <f t="shared" si="1"/>
        <v>Owner missing </v>
      </c>
    </row>
    <row r="695" ht="15.75" customHeight="1">
      <c r="E695" s="43" t="str">
        <f t="array" ref="E695">IF($A695="","",IFERROR(IF($D695="TSE",INDEX(Accounts!$G$2:$G$21,MATCH($A695,Accounts!$B$2:$B$21,0))&amp;"",IF($D695="PS",INDEX(Accounts!$F$2:$F$21,MATCH($A695,Accounts!$B$2:$B$21,0))&amp;"",IF($D695="Named engineer",INDEX(Accounts!$I$2:$I$21,MATCH($A695,Accounts!$B$2:$B$21,0))&amp;"",IF($D695="TSE + PS",IF(INDEX(Accounts!$G$2:$G$21,MATCH($A695,Accounts!$B$2:$B$21,0))&amp;""="","(no TSE)",INDEX(Accounts!$G$2:$G$21,MATCH($A695,Accounts!$B$2:$B$21,0))&amp;"")&amp;" / "&amp;IF(INDEX(Accounts!$F$2:$F$21,MATCH($A695,Accounts!$B$2:$B$21,0))&amp;""="","(no PS)",INDEX(Accounts!$F$2:$F$21,MATCH($A695,Accounts!$B$2:$B$21,0))&amp;""),"")))),""))</f>
        <v/>
      </c>
      <c r="F695" s="42" t="s">
        <v>104</v>
      </c>
      <c r="I695" s="42" t="s">
        <v>34</v>
      </c>
      <c r="K695" s="44" t="str">
        <f t="shared" si="1"/>
        <v>Owner missing </v>
      </c>
    </row>
    <row r="696" ht="15.75" customHeight="1">
      <c r="E696" s="43" t="str">
        <f t="array" ref="E696">IF($A696="","",IFERROR(IF($D696="TSE",INDEX(Accounts!$G$2:$G$21,MATCH($A696,Accounts!$B$2:$B$21,0))&amp;"",IF($D696="PS",INDEX(Accounts!$F$2:$F$21,MATCH($A696,Accounts!$B$2:$B$21,0))&amp;"",IF($D696="Named engineer",INDEX(Accounts!$I$2:$I$21,MATCH($A696,Accounts!$B$2:$B$21,0))&amp;"",IF($D696="TSE + PS",IF(INDEX(Accounts!$G$2:$G$21,MATCH($A696,Accounts!$B$2:$B$21,0))&amp;""="","(no TSE)",INDEX(Accounts!$G$2:$G$21,MATCH($A696,Accounts!$B$2:$B$21,0))&amp;"")&amp;" / "&amp;IF(INDEX(Accounts!$F$2:$F$21,MATCH($A696,Accounts!$B$2:$B$21,0))&amp;""="","(no PS)",INDEX(Accounts!$F$2:$F$21,MATCH($A696,Accounts!$B$2:$B$21,0))&amp;""),"")))),""))</f>
        <v/>
      </c>
      <c r="F696" s="42" t="s">
        <v>104</v>
      </c>
      <c r="I696" s="42" t="s">
        <v>34</v>
      </c>
      <c r="K696" s="44" t="str">
        <f t="shared" si="1"/>
        <v>Owner missing </v>
      </c>
    </row>
    <row r="697" ht="15.75" customHeight="1">
      <c r="E697" s="43" t="str">
        <f t="array" ref="E697">IF($A697="","",IFERROR(IF($D697="TSE",INDEX(Accounts!$G$2:$G$21,MATCH($A697,Accounts!$B$2:$B$21,0))&amp;"",IF($D697="PS",INDEX(Accounts!$F$2:$F$21,MATCH($A697,Accounts!$B$2:$B$21,0))&amp;"",IF($D697="Named engineer",INDEX(Accounts!$I$2:$I$21,MATCH($A697,Accounts!$B$2:$B$21,0))&amp;"",IF($D697="TSE + PS",IF(INDEX(Accounts!$G$2:$G$21,MATCH($A697,Accounts!$B$2:$B$21,0))&amp;""="","(no TSE)",INDEX(Accounts!$G$2:$G$21,MATCH($A697,Accounts!$B$2:$B$21,0))&amp;"")&amp;" / "&amp;IF(INDEX(Accounts!$F$2:$F$21,MATCH($A697,Accounts!$B$2:$B$21,0))&amp;""="","(no PS)",INDEX(Accounts!$F$2:$F$21,MATCH($A697,Accounts!$B$2:$B$21,0))&amp;""),"")))),""))</f>
        <v/>
      </c>
      <c r="F697" s="42" t="s">
        <v>104</v>
      </c>
      <c r="I697" s="42" t="s">
        <v>34</v>
      </c>
      <c r="K697" s="44" t="str">
        <f t="shared" si="1"/>
        <v>Owner missing </v>
      </c>
    </row>
    <row r="698" ht="15.75" customHeight="1">
      <c r="E698" s="43" t="str">
        <f t="array" ref="E698">IF($A698="","",IFERROR(IF($D698="TSE",INDEX(Accounts!$G$2:$G$21,MATCH($A698,Accounts!$B$2:$B$21,0))&amp;"",IF($D698="PS",INDEX(Accounts!$F$2:$F$21,MATCH($A698,Accounts!$B$2:$B$21,0))&amp;"",IF($D698="Named engineer",INDEX(Accounts!$I$2:$I$21,MATCH($A698,Accounts!$B$2:$B$21,0))&amp;"",IF($D698="TSE + PS",IF(INDEX(Accounts!$G$2:$G$21,MATCH($A698,Accounts!$B$2:$B$21,0))&amp;""="","(no TSE)",INDEX(Accounts!$G$2:$G$21,MATCH($A698,Accounts!$B$2:$B$21,0))&amp;"")&amp;" / "&amp;IF(INDEX(Accounts!$F$2:$F$21,MATCH($A698,Accounts!$B$2:$B$21,0))&amp;""="","(no PS)",INDEX(Accounts!$F$2:$F$21,MATCH($A698,Accounts!$B$2:$B$21,0))&amp;""),"")))),""))</f>
        <v/>
      </c>
      <c r="F698" s="42" t="s">
        <v>104</v>
      </c>
      <c r="I698" s="42" t="s">
        <v>34</v>
      </c>
      <c r="K698" s="44" t="str">
        <f t="shared" si="1"/>
        <v>Owner missing </v>
      </c>
    </row>
    <row r="699" ht="15.75" customHeight="1">
      <c r="E699" s="43" t="str">
        <f t="array" ref="E699">IF($A699="","",IFERROR(IF($D699="TSE",INDEX(Accounts!$G$2:$G$21,MATCH($A699,Accounts!$B$2:$B$21,0))&amp;"",IF($D699="PS",INDEX(Accounts!$F$2:$F$21,MATCH($A699,Accounts!$B$2:$B$21,0))&amp;"",IF($D699="Named engineer",INDEX(Accounts!$I$2:$I$21,MATCH($A699,Accounts!$B$2:$B$21,0))&amp;"",IF($D699="TSE + PS",IF(INDEX(Accounts!$G$2:$G$21,MATCH($A699,Accounts!$B$2:$B$21,0))&amp;""="","(no TSE)",INDEX(Accounts!$G$2:$G$21,MATCH($A699,Accounts!$B$2:$B$21,0))&amp;"")&amp;" / "&amp;IF(INDEX(Accounts!$F$2:$F$21,MATCH($A699,Accounts!$B$2:$B$21,0))&amp;""="","(no PS)",INDEX(Accounts!$F$2:$F$21,MATCH($A699,Accounts!$B$2:$B$21,0))&amp;""),"")))),""))</f>
        <v/>
      </c>
      <c r="F699" s="42" t="s">
        <v>104</v>
      </c>
      <c r="I699" s="42" t="s">
        <v>34</v>
      </c>
      <c r="K699" s="44" t="str">
        <f t="shared" si="1"/>
        <v>Owner missing </v>
      </c>
    </row>
    <row r="700" ht="15.75" customHeight="1">
      <c r="E700" s="43" t="str">
        <f t="array" ref="E700">IF($A700="","",IFERROR(IF($D700="TSE",INDEX(Accounts!$G$2:$G$21,MATCH($A700,Accounts!$B$2:$B$21,0))&amp;"",IF($D700="PS",INDEX(Accounts!$F$2:$F$21,MATCH($A700,Accounts!$B$2:$B$21,0))&amp;"",IF($D700="Named engineer",INDEX(Accounts!$I$2:$I$21,MATCH($A700,Accounts!$B$2:$B$21,0))&amp;"",IF($D700="TSE + PS",IF(INDEX(Accounts!$G$2:$G$21,MATCH($A700,Accounts!$B$2:$B$21,0))&amp;""="","(no TSE)",INDEX(Accounts!$G$2:$G$21,MATCH($A700,Accounts!$B$2:$B$21,0))&amp;"")&amp;" / "&amp;IF(INDEX(Accounts!$F$2:$F$21,MATCH($A700,Accounts!$B$2:$B$21,0))&amp;""="","(no PS)",INDEX(Accounts!$F$2:$F$21,MATCH($A700,Accounts!$B$2:$B$21,0))&amp;""),"")))),""))</f>
        <v/>
      </c>
      <c r="F700" s="42" t="s">
        <v>104</v>
      </c>
      <c r="I700" s="42" t="s">
        <v>34</v>
      </c>
      <c r="K700" s="44" t="str">
        <f t="shared" si="1"/>
        <v>Owner missing </v>
      </c>
    </row>
    <row r="701" ht="15.75" customHeight="1">
      <c r="E701" s="43" t="str">
        <f t="array" ref="E701">IF($A701="","",IFERROR(IF($D701="TSE",INDEX(Accounts!$G$2:$G$21,MATCH($A701,Accounts!$B$2:$B$21,0))&amp;"",IF($D701="PS",INDEX(Accounts!$F$2:$F$21,MATCH($A701,Accounts!$B$2:$B$21,0))&amp;"",IF($D701="Named engineer",INDEX(Accounts!$I$2:$I$21,MATCH($A701,Accounts!$B$2:$B$21,0))&amp;"",IF($D701="TSE + PS",IF(INDEX(Accounts!$G$2:$G$21,MATCH($A701,Accounts!$B$2:$B$21,0))&amp;""="","(no TSE)",INDEX(Accounts!$G$2:$G$21,MATCH($A701,Accounts!$B$2:$B$21,0))&amp;"")&amp;" / "&amp;IF(INDEX(Accounts!$F$2:$F$21,MATCH($A701,Accounts!$B$2:$B$21,0))&amp;""="","(no PS)",INDEX(Accounts!$F$2:$F$21,MATCH($A701,Accounts!$B$2:$B$21,0))&amp;""),"")))),""))</f>
        <v/>
      </c>
      <c r="F701" s="42" t="s">
        <v>104</v>
      </c>
      <c r="I701" s="42" t="s">
        <v>34</v>
      </c>
      <c r="K701" s="44" t="str">
        <f t="shared" si="1"/>
        <v>Owner missing </v>
      </c>
    </row>
    <row r="702" ht="15.75" customHeight="1">
      <c r="E702" s="43" t="str">
        <f t="array" ref="E702">IF($A702="","",IFERROR(IF($D702="TSE",INDEX(Accounts!$G$2:$G$21,MATCH($A702,Accounts!$B$2:$B$21,0))&amp;"",IF($D702="PS",INDEX(Accounts!$F$2:$F$21,MATCH($A702,Accounts!$B$2:$B$21,0))&amp;"",IF($D702="Named engineer",INDEX(Accounts!$I$2:$I$21,MATCH($A702,Accounts!$B$2:$B$21,0))&amp;"",IF($D702="TSE + PS",IF(INDEX(Accounts!$G$2:$G$21,MATCH($A702,Accounts!$B$2:$B$21,0))&amp;""="","(no TSE)",INDEX(Accounts!$G$2:$G$21,MATCH($A702,Accounts!$B$2:$B$21,0))&amp;"")&amp;" / "&amp;IF(INDEX(Accounts!$F$2:$F$21,MATCH($A702,Accounts!$B$2:$B$21,0))&amp;""="","(no PS)",INDEX(Accounts!$F$2:$F$21,MATCH($A702,Accounts!$B$2:$B$21,0))&amp;""),"")))),""))</f>
        <v/>
      </c>
      <c r="F702" s="42" t="s">
        <v>104</v>
      </c>
      <c r="I702" s="42" t="s">
        <v>34</v>
      </c>
      <c r="K702" s="44" t="str">
        <f t="shared" si="1"/>
        <v>Owner missing </v>
      </c>
    </row>
    <row r="703" ht="15.75" customHeight="1">
      <c r="E703" s="43" t="str">
        <f t="array" ref="E703">IF($A703="","",IFERROR(IF($D703="TSE",INDEX(Accounts!$G$2:$G$21,MATCH($A703,Accounts!$B$2:$B$21,0))&amp;"",IF($D703="PS",INDEX(Accounts!$F$2:$F$21,MATCH($A703,Accounts!$B$2:$B$21,0))&amp;"",IF($D703="Named engineer",INDEX(Accounts!$I$2:$I$21,MATCH($A703,Accounts!$B$2:$B$21,0))&amp;"",IF($D703="TSE + PS",IF(INDEX(Accounts!$G$2:$G$21,MATCH($A703,Accounts!$B$2:$B$21,0))&amp;""="","(no TSE)",INDEX(Accounts!$G$2:$G$21,MATCH($A703,Accounts!$B$2:$B$21,0))&amp;"")&amp;" / "&amp;IF(INDEX(Accounts!$F$2:$F$21,MATCH($A703,Accounts!$B$2:$B$21,0))&amp;""="","(no PS)",INDEX(Accounts!$F$2:$F$21,MATCH($A703,Accounts!$B$2:$B$21,0))&amp;""),"")))),""))</f>
        <v/>
      </c>
      <c r="F703" s="42" t="s">
        <v>104</v>
      </c>
      <c r="I703" s="42" t="s">
        <v>34</v>
      </c>
      <c r="K703" s="44" t="str">
        <f t="shared" si="1"/>
        <v>Owner missing </v>
      </c>
    </row>
    <row r="704" ht="15.75" customHeight="1">
      <c r="E704" s="43" t="str">
        <f t="array" ref="E704">IF($A704="","",IFERROR(IF($D704="TSE",INDEX(Accounts!$G$2:$G$21,MATCH($A704,Accounts!$B$2:$B$21,0))&amp;"",IF($D704="PS",INDEX(Accounts!$F$2:$F$21,MATCH($A704,Accounts!$B$2:$B$21,0))&amp;"",IF($D704="Named engineer",INDEX(Accounts!$I$2:$I$21,MATCH($A704,Accounts!$B$2:$B$21,0))&amp;"",IF($D704="TSE + PS",IF(INDEX(Accounts!$G$2:$G$21,MATCH($A704,Accounts!$B$2:$B$21,0))&amp;""="","(no TSE)",INDEX(Accounts!$G$2:$G$21,MATCH($A704,Accounts!$B$2:$B$21,0))&amp;"")&amp;" / "&amp;IF(INDEX(Accounts!$F$2:$F$21,MATCH($A704,Accounts!$B$2:$B$21,0))&amp;""="","(no PS)",INDEX(Accounts!$F$2:$F$21,MATCH($A704,Accounts!$B$2:$B$21,0))&amp;""),"")))),""))</f>
        <v/>
      </c>
      <c r="F704" s="42" t="s">
        <v>104</v>
      </c>
      <c r="I704" s="42" t="s">
        <v>34</v>
      </c>
      <c r="K704" s="44" t="str">
        <f t="shared" si="1"/>
        <v>Owner missing </v>
      </c>
    </row>
    <row r="705" ht="15.75" customHeight="1">
      <c r="E705" s="43" t="str">
        <f t="array" ref="E705">IF($A705="","",IFERROR(IF($D705="TSE",INDEX(Accounts!$G$2:$G$21,MATCH($A705,Accounts!$B$2:$B$21,0))&amp;"",IF($D705="PS",INDEX(Accounts!$F$2:$F$21,MATCH($A705,Accounts!$B$2:$B$21,0))&amp;"",IF($D705="Named engineer",INDEX(Accounts!$I$2:$I$21,MATCH($A705,Accounts!$B$2:$B$21,0))&amp;"",IF($D705="TSE + PS",IF(INDEX(Accounts!$G$2:$G$21,MATCH($A705,Accounts!$B$2:$B$21,0))&amp;""="","(no TSE)",INDEX(Accounts!$G$2:$G$21,MATCH($A705,Accounts!$B$2:$B$21,0))&amp;"")&amp;" / "&amp;IF(INDEX(Accounts!$F$2:$F$21,MATCH($A705,Accounts!$B$2:$B$21,0))&amp;""="","(no PS)",INDEX(Accounts!$F$2:$F$21,MATCH($A705,Accounts!$B$2:$B$21,0))&amp;""),"")))),""))</f>
        <v/>
      </c>
      <c r="F705" s="42" t="s">
        <v>104</v>
      </c>
      <c r="I705" s="42" t="s">
        <v>34</v>
      </c>
      <c r="K705" s="44" t="str">
        <f t="shared" si="1"/>
        <v>Owner missing </v>
      </c>
    </row>
    <row r="706" ht="15.75" customHeight="1">
      <c r="E706" s="43" t="str">
        <f t="array" ref="E706">IF($A706="","",IFERROR(IF($D706="TSE",INDEX(Accounts!$G$2:$G$21,MATCH($A706,Accounts!$B$2:$B$21,0))&amp;"",IF($D706="PS",INDEX(Accounts!$F$2:$F$21,MATCH($A706,Accounts!$B$2:$B$21,0))&amp;"",IF($D706="Named engineer",INDEX(Accounts!$I$2:$I$21,MATCH($A706,Accounts!$B$2:$B$21,0))&amp;"",IF($D706="TSE + PS",IF(INDEX(Accounts!$G$2:$G$21,MATCH($A706,Accounts!$B$2:$B$21,0))&amp;""="","(no TSE)",INDEX(Accounts!$G$2:$G$21,MATCH($A706,Accounts!$B$2:$B$21,0))&amp;"")&amp;" / "&amp;IF(INDEX(Accounts!$F$2:$F$21,MATCH($A706,Accounts!$B$2:$B$21,0))&amp;""="","(no PS)",INDEX(Accounts!$F$2:$F$21,MATCH($A706,Accounts!$B$2:$B$21,0))&amp;""),"")))),""))</f>
        <v/>
      </c>
      <c r="F706" s="42" t="s">
        <v>104</v>
      </c>
      <c r="I706" s="42" t="s">
        <v>34</v>
      </c>
      <c r="K706" s="44" t="str">
        <f t="shared" si="1"/>
        <v>Owner missing </v>
      </c>
    </row>
    <row r="707" ht="15.75" customHeight="1">
      <c r="E707" s="43" t="str">
        <f t="array" ref="E707">IF($A707="","",IFERROR(IF($D707="TSE",INDEX(Accounts!$G$2:$G$21,MATCH($A707,Accounts!$B$2:$B$21,0))&amp;"",IF($D707="PS",INDEX(Accounts!$F$2:$F$21,MATCH($A707,Accounts!$B$2:$B$21,0))&amp;"",IF($D707="Named engineer",INDEX(Accounts!$I$2:$I$21,MATCH($A707,Accounts!$B$2:$B$21,0))&amp;"",IF($D707="TSE + PS",IF(INDEX(Accounts!$G$2:$G$21,MATCH($A707,Accounts!$B$2:$B$21,0))&amp;""="","(no TSE)",INDEX(Accounts!$G$2:$G$21,MATCH($A707,Accounts!$B$2:$B$21,0))&amp;"")&amp;" / "&amp;IF(INDEX(Accounts!$F$2:$F$21,MATCH($A707,Accounts!$B$2:$B$21,0))&amp;""="","(no PS)",INDEX(Accounts!$F$2:$F$21,MATCH($A707,Accounts!$B$2:$B$21,0))&amp;""),"")))),""))</f>
        <v/>
      </c>
      <c r="F707" s="42" t="s">
        <v>104</v>
      </c>
      <c r="I707" s="42" t="s">
        <v>34</v>
      </c>
      <c r="K707" s="44" t="str">
        <f t="shared" si="1"/>
        <v>Owner missing </v>
      </c>
    </row>
    <row r="708" ht="15.75" customHeight="1">
      <c r="E708" s="43" t="str">
        <f t="array" ref="E708">IF($A708="","",IFERROR(IF($D708="TSE",INDEX(Accounts!$G$2:$G$21,MATCH($A708,Accounts!$B$2:$B$21,0))&amp;"",IF($D708="PS",INDEX(Accounts!$F$2:$F$21,MATCH($A708,Accounts!$B$2:$B$21,0))&amp;"",IF($D708="Named engineer",INDEX(Accounts!$I$2:$I$21,MATCH($A708,Accounts!$B$2:$B$21,0))&amp;"",IF($D708="TSE + PS",IF(INDEX(Accounts!$G$2:$G$21,MATCH($A708,Accounts!$B$2:$B$21,0))&amp;""="","(no TSE)",INDEX(Accounts!$G$2:$G$21,MATCH($A708,Accounts!$B$2:$B$21,0))&amp;"")&amp;" / "&amp;IF(INDEX(Accounts!$F$2:$F$21,MATCH($A708,Accounts!$B$2:$B$21,0))&amp;""="","(no PS)",INDEX(Accounts!$F$2:$F$21,MATCH($A708,Accounts!$B$2:$B$21,0))&amp;""),"")))),""))</f>
        <v/>
      </c>
      <c r="F708" s="42" t="s">
        <v>104</v>
      </c>
      <c r="I708" s="42" t="s">
        <v>34</v>
      </c>
      <c r="K708" s="44" t="str">
        <f t="shared" si="1"/>
        <v>Owner missing </v>
      </c>
    </row>
    <row r="709" ht="15.75" customHeight="1">
      <c r="E709" s="43" t="str">
        <f t="array" ref="E709">IF($A709="","",IFERROR(IF($D709="TSE",INDEX(Accounts!$G$2:$G$21,MATCH($A709,Accounts!$B$2:$B$21,0))&amp;"",IF($D709="PS",INDEX(Accounts!$F$2:$F$21,MATCH($A709,Accounts!$B$2:$B$21,0))&amp;"",IF($D709="Named engineer",INDEX(Accounts!$I$2:$I$21,MATCH($A709,Accounts!$B$2:$B$21,0))&amp;"",IF($D709="TSE + PS",IF(INDEX(Accounts!$G$2:$G$21,MATCH($A709,Accounts!$B$2:$B$21,0))&amp;""="","(no TSE)",INDEX(Accounts!$G$2:$G$21,MATCH($A709,Accounts!$B$2:$B$21,0))&amp;"")&amp;" / "&amp;IF(INDEX(Accounts!$F$2:$F$21,MATCH($A709,Accounts!$B$2:$B$21,0))&amp;""="","(no PS)",INDEX(Accounts!$F$2:$F$21,MATCH($A709,Accounts!$B$2:$B$21,0))&amp;""),"")))),""))</f>
        <v/>
      </c>
      <c r="F709" s="42" t="s">
        <v>104</v>
      </c>
      <c r="I709" s="42" t="s">
        <v>34</v>
      </c>
      <c r="K709" s="44" t="str">
        <f t="shared" si="1"/>
        <v>Owner missing </v>
      </c>
    </row>
    <row r="710" ht="15.75" customHeight="1">
      <c r="E710" s="43" t="str">
        <f t="array" ref="E710">IF($A710="","",IFERROR(IF($D710="TSE",INDEX(Accounts!$G$2:$G$21,MATCH($A710,Accounts!$B$2:$B$21,0))&amp;"",IF($D710="PS",INDEX(Accounts!$F$2:$F$21,MATCH($A710,Accounts!$B$2:$B$21,0))&amp;"",IF($D710="Named engineer",INDEX(Accounts!$I$2:$I$21,MATCH($A710,Accounts!$B$2:$B$21,0))&amp;"",IF($D710="TSE + PS",IF(INDEX(Accounts!$G$2:$G$21,MATCH($A710,Accounts!$B$2:$B$21,0))&amp;""="","(no TSE)",INDEX(Accounts!$G$2:$G$21,MATCH($A710,Accounts!$B$2:$B$21,0))&amp;"")&amp;" / "&amp;IF(INDEX(Accounts!$F$2:$F$21,MATCH($A710,Accounts!$B$2:$B$21,0))&amp;""="","(no PS)",INDEX(Accounts!$F$2:$F$21,MATCH($A710,Accounts!$B$2:$B$21,0))&amp;""),"")))),""))</f>
        <v/>
      </c>
      <c r="F710" s="42" t="s">
        <v>104</v>
      </c>
      <c r="I710" s="42" t="s">
        <v>34</v>
      </c>
      <c r="K710" s="44" t="str">
        <f t="shared" si="1"/>
        <v>Owner missing </v>
      </c>
    </row>
    <row r="711" ht="15.75" customHeight="1">
      <c r="E711" s="43" t="str">
        <f t="array" ref="E711">IF($A711="","",IFERROR(IF($D711="TSE",INDEX(Accounts!$G$2:$G$21,MATCH($A711,Accounts!$B$2:$B$21,0))&amp;"",IF($D711="PS",INDEX(Accounts!$F$2:$F$21,MATCH($A711,Accounts!$B$2:$B$21,0))&amp;"",IF($D711="Named engineer",INDEX(Accounts!$I$2:$I$21,MATCH($A711,Accounts!$B$2:$B$21,0))&amp;"",IF($D711="TSE + PS",IF(INDEX(Accounts!$G$2:$G$21,MATCH($A711,Accounts!$B$2:$B$21,0))&amp;""="","(no TSE)",INDEX(Accounts!$G$2:$G$21,MATCH($A711,Accounts!$B$2:$B$21,0))&amp;"")&amp;" / "&amp;IF(INDEX(Accounts!$F$2:$F$21,MATCH($A711,Accounts!$B$2:$B$21,0))&amp;""="","(no PS)",INDEX(Accounts!$F$2:$F$21,MATCH($A711,Accounts!$B$2:$B$21,0))&amp;""),"")))),""))</f>
        <v/>
      </c>
      <c r="F711" s="42" t="s">
        <v>104</v>
      </c>
      <c r="I711" s="42" t="s">
        <v>34</v>
      </c>
      <c r="K711" s="44" t="str">
        <f t="shared" si="1"/>
        <v>Owner missing </v>
      </c>
    </row>
    <row r="712" ht="15.75" customHeight="1">
      <c r="E712" s="43" t="str">
        <f t="array" ref="E712">IF($A712="","",IFERROR(IF($D712="TSE",INDEX(Accounts!$G$2:$G$21,MATCH($A712,Accounts!$B$2:$B$21,0))&amp;"",IF($D712="PS",INDEX(Accounts!$F$2:$F$21,MATCH($A712,Accounts!$B$2:$B$21,0))&amp;"",IF($D712="Named engineer",INDEX(Accounts!$I$2:$I$21,MATCH($A712,Accounts!$B$2:$B$21,0))&amp;"",IF($D712="TSE + PS",IF(INDEX(Accounts!$G$2:$G$21,MATCH($A712,Accounts!$B$2:$B$21,0))&amp;""="","(no TSE)",INDEX(Accounts!$G$2:$G$21,MATCH($A712,Accounts!$B$2:$B$21,0))&amp;"")&amp;" / "&amp;IF(INDEX(Accounts!$F$2:$F$21,MATCH($A712,Accounts!$B$2:$B$21,0))&amp;""="","(no PS)",INDEX(Accounts!$F$2:$F$21,MATCH($A712,Accounts!$B$2:$B$21,0))&amp;""),"")))),""))</f>
        <v/>
      </c>
      <c r="F712" s="42" t="s">
        <v>104</v>
      </c>
      <c r="I712" s="42" t="s">
        <v>34</v>
      </c>
      <c r="K712" s="44" t="str">
        <f t="shared" si="1"/>
        <v>Owner missing </v>
      </c>
    </row>
    <row r="713" ht="15.75" customHeight="1">
      <c r="E713" s="43" t="str">
        <f t="array" ref="E713">IF($A713="","",IFERROR(IF($D713="TSE",INDEX(Accounts!$G$2:$G$21,MATCH($A713,Accounts!$B$2:$B$21,0))&amp;"",IF($D713="PS",INDEX(Accounts!$F$2:$F$21,MATCH($A713,Accounts!$B$2:$B$21,0))&amp;"",IF($D713="Named engineer",INDEX(Accounts!$I$2:$I$21,MATCH($A713,Accounts!$B$2:$B$21,0))&amp;"",IF($D713="TSE + PS",IF(INDEX(Accounts!$G$2:$G$21,MATCH($A713,Accounts!$B$2:$B$21,0))&amp;""="","(no TSE)",INDEX(Accounts!$G$2:$G$21,MATCH($A713,Accounts!$B$2:$B$21,0))&amp;"")&amp;" / "&amp;IF(INDEX(Accounts!$F$2:$F$21,MATCH($A713,Accounts!$B$2:$B$21,0))&amp;""="","(no PS)",INDEX(Accounts!$F$2:$F$21,MATCH($A713,Accounts!$B$2:$B$21,0))&amp;""),"")))),""))</f>
        <v/>
      </c>
      <c r="F713" s="42" t="s">
        <v>104</v>
      </c>
      <c r="I713" s="42" t="s">
        <v>34</v>
      </c>
      <c r="K713" s="44" t="str">
        <f t="shared" si="1"/>
        <v>Owner missing </v>
      </c>
    </row>
    <row r="714" ht="15.75" customHeight="1">
      <c r="E714" s="43" t="str">
        <f t="array" ref="E714">IF($A714="","",IFERROR(IF($D714="TSE",INDEX(Accounts!$G$2:$G$21,MATCH($A714,Accounts!$B$2:$B$21,0))&amp;"",IF($D714="PS",INDEX(Accounts!$F$2:$F$21,MATCH($A714,Accounts!$B$2:$B$21,0))&amp;"",IF($D714="Named engineer",INDEX(Accounts!$I$2:$I$21,MATCH($A714,Accounts!$B$2:$B$21,0))&amp;"",IF($D714="TSE + PS",IF(INDEX(Accounts!$G$2:$G$21,MATCH($A714,Accounts!$B$2:$B$21,0))&amp;""="","(no TSE)",INDEX(Accounts!$G$2:$G$21,MATCH($A714,Accounts!$B$2:$B$21,0))&amp;"")&amp;" / "&amp;IF(INDEX(Accounts!$F$2:$F$21,MATCH($A714,Accounts!$B$2:$B$21,0))&amp;""="","(no PS)",INDEX(Accounts!$F$2:$F$21,MATCH($A714,Accounts!$B$2:$B$21,0))&amp;""),"")))),""))</f>
        <v/>
      </c>
      <c r="F714" s="42" t="s">
        <v>104</v>
      </c>
      <c r="I714" s="42" t="s">
        <v>34</v>
      </c>
      <c r="K714" s="44" t="str">
        <f t="shared" si="1"/>
        <v>Owner missing </v>
      </c>
    </row>
    <row r="715" ht="15.75" customHeight="1">
      <c r="E715" s="43" t="str">
        <f t="array" ref="E715">IF($A715="","",IFERROR(IF($D715="TSE",INDEX(Accounts!$G$2:$G$21,MATCH($A715,Accounts!$B$2:$B$21,0))&amp;"",IF($D715="PS",INDEX(Accounts!$F$2:$F$21,MATCH($A715,Accounts!$B$2:$B$21,0))&amp;"",IF($D715="Named engineer",INDEX(Accounts!$I$2:$I$21,MATCH($A715,Accounts!$B$2:$B$21,0))&amp;"",IF($D715="TSE + PS",IF(INDEX(Accounts!$G$2:$G$21,MATCH($A715,Accounts!$B$2:$B$21,0))&amp;""="","(no TSE)",INDEX(Accounts!$G$2:$G$21,MATCH($A715,Accounts!$B$2:$B$21,0))&amp;"")&amp;" / "&amp;IF(INDEX(Accounts!$F$2:$F$21,MATCH($A715,Accounts!$B$2:$B$21,0))&amp;""="","(no PS)",INDEX(Accounts!$F$2:$F$21,MATCH($A715,Accounts!$B$2:$B$21,0))&amp;""),"")))),""))</f>
        <v/>
      </c>
      <c r="F715" s="42" t="s">
        <v>104</v>
      </c>
      <c r="I715" s="42" t="s">
        <v>34</v>
      </c>
      <c r="K715" s="44" t="str">
        <f t="shared" si="1"/>
        <v>Owner missing </v>
      </c>
    </row>
    <row r="716" ht="15.75" customHeight="1">
      <c r="E716" s="43" t="str">
        <f t="array" ref="E716">IF($A716="","",IFERROR(IF($D716="TSE",INDEX(Accounts!$G$2:$G$21,MATCH($A716,Accounts!$B$2:$B$21,0))&amp;"",IF($D716="PS",INDEX(Accounts!$F$2:$F$21,MATCH($A716,Accounts!$B$2:$B$21,0))&amp;"",IF($D716="Named engineer",INDEX(Accounts!$I$2:$I$21,MATCH($A716,Accounts!$B$2:$B$21,0))&amp;"",IF($D716="TSE + PS",IF(INDEX(Accounts!$G$2:$G$21,MATCH($A716,Accounts!$B$2:$B$21,0))&amp;""="","(no TSE)",INDEX(Accounts!$G$2:$G$21,MATCH($A716,Accounts!$B$2:$B$21,0))&amp;"")&amp;" / "&amp;IF(INDEX(Accounts!$F$2:$F$21,MATCH($A716,Accounts!$B$2:$B$21,0))&amp;""="","(no PS)",INDEX(Accounts!$F$2:$F$21,MATCH($A716,Accounts!$B$2:$B$21,0))&amp;""),"")))),""))</f>
        <v/>
      </c>
      <c r="F716" s="42" t="s">
        <v>104</v>
      </c>
      <c r="I716" s="42" t="s">
        <v>34</v>
      </c>
      <c r="K716" s="44" t="str">
        <f t="shared" si="1"/>
        <v>Owner missing </v>
      </c>
    </row>
    <row r="717" ht="15.75" customHeight="1">
      <c r="E717" s="43" t="str">
        <f t="array" ref="E717">IF($A717="","",IFERROR(IF($D717="TSE",INDEX(Accounts!$G$2:$G$21,MATCH($A717,Accounts!$B$2:$B$21,0))&amp;"",IF($D717="PS",INDEX(Accounts!$F$2:$F$21,MATCH($A717,Accounts!$B$2:$B$21,0))&amp;"",IF($D717="Named engineer",INDEX(Accounts!$I$2:$I$21,MATCH($A717,Accounts!$B$2:$B$21,0))&amp;"",IF($D717="TSE + PS",IF(INDEX(Accounts!$G$2:$G$21,MATCH($A717,Accounts!$B$2:$B$21,0))&amp;""="","(no TSE)",INDEX(Accounts!$G$2:$G$21,MATCH($A717,Accounts!$B$2:$B$21,0))&amp;"")&amp;" / "&amp;IF(INDEX(Accounts!$F$2:$F$21,MATCH($A717,Accounts!$B$2:$B$21,0))&amp;""="","(no PS)",INDEX(Accounts!$F$2:$F$21,MATCH($A717,Accounts!$B$2:$B$21,0))&amp;""),"")))),""))</f>
        <v/>
      </c>
      <c r="F717" s="42" t="s">
        <v>104</v>
      </c>
      <c r="I717" s="42" t="s">
        <v>34</v>
      </c>
      <c r="K717" s="44" t="str">
        <f t="shared" si="1"/>
        <v>Owner missing </v>
      </c>
    </row>
    <row r="718" ht="15.75" customHeight="1">
      <c r="E718" s="43" t="str">
        <f t="array" ref="E718">IF($A718="","",IFERROR(IF($D718="TSE",INDEX(Accounts!$G$2:$G$21,MATCH($A718,Accounts!$B$2:$B$21,0))&amp;"",IF($D718="PS",INDEX(Accounts!$F$2:$F$21,MATCH($A718,Accounts!$B$2:$B$21,0))&amp;"",IF($D718="Named engineer",INDEX(Accounts!$I$2:$I$21,MATCH($A718,Accounts!$B$2:$B$21,0))&amp;"",IF($D718="TSE + PS",IF(INDEX(Accounts!$G$2:$G$21,MATCH($A718,Accounts!$B$2:$B$21,0))&amp;""="","(no TSE)",INDEX(Accounts!$G$2:$G$21,MATCH($A718,Accounts!$B$2:$B$21,0))&amp;"")&amp;" / "&amp;IF(INDEX(Accounts!$F$2:$F$21,MATCH($A718,Accounts!$B$2:$B$21,0))&amp;""="","(no PS)",INDEX(Accounts!$F$2:$F$21,MATCH($A718,Accounts!$B$2:$B$21,0))&amp;""),"")))),""))</f>
        <v/>
      </c>
      <c r="F718" s="42" t="s">
        <v>104</v>
      </c>
      <c r="I718" s="42" t="s">
        <v>34</v>
      </c>
      <c r="K718" s="44" t="str">
        <f t="shared" si="1"/>
        <v>Owner missing </v>
      </c>
    </row>
    <row r="719" ht="15.75" customHeight="1">
      <c r="E719" s="43" t="str">
        <f t="array" ref="E719">IF($A719="","",IFERROR(IF($D719="TSE",INDEX(Accounts!$G$2:$G$21,MATCH($A719,Accounts!$B$2:$B$21,0))&amp;"",IF($D719="PS",INDEX(Accounts!$F$2:$F$21,MATCH($A719,Accounts!$B$2:$B$21,0))&amp;"",IF($D719="Named engineer",INDEX(Accounts!$I$2:$I$21,MATCH($A719,Accounts!$B$2:$B$21,0))&amp;"",IF($D719="TSE + PS",IF(INDEX(Accounts!$G$2:$G$21,MATCH($A719,Accounts!$B$2:$B$21,0))&amp;""="","(no TSE)",INDEX(Accounts!$G$2:$G$21,MATCH($A719,Accounts!$B$2:$B$21,0))&amp;"")&amp;" / "&amp;IF(INDEX(Accounts!$F$2:$F$21,MATCH($A719,Accounts!$B$2:$B$21,0))&amp;""="","(no PS)",INDEX(Accounts!$F$2:$F$21,MATCH($A719,Accounts!$B$2:$B$21,0))&amp;""),"")))),""))</f>
        <v/>
      </c>
      <c r="F719" s="42" t="s">
        <v>104</v>
      </c>
      <c r="I719" s="42" t="s">
        <v>34</v>
      </c>
      <c r="K719" s="44" t="str">
        <f t="shared" si="1"/>
        <v>Owner missing </v>
      </c>
    </row>
    <row r="720" ht="15.75" customHeight="1">
      <c r="E720" s="43" t="str">
        <f t="array" ref="E720">IF($A720="","",IFERROR(IF($D720="TSE",INDEX(Accounts!$G$2:$G$21,MATCH($A720,Accounts!$B$2:$B$21,0))&amp;"",IF($D720="PS",INDEX(Accounts!$F$2:$F$21,MATCH($A720,Accounts!$B$2:$B$21,0))&amp;"",IF($D720="Named engineer",INDEX(Accounts!$I$2:$I$21,MATCH($A720,Accounts!$B$2:$B$21,0))&amp;"",IF($D720="TSE + PS",IF(INDEX(Accounts!$G$2:$G$21,MATCH($A720,Accounts!$B$2:$B$21,0))&amp;""="","(no TSE)",INDEX(Accounts!$G$2:$G$21,MATCH($A720,Accounts!$B$2:$B$21,0))&amp;"")&amp;" / "&amp;IF(INDEX(Accounts!$F$2:$F$21,MATCH($A720,Accounts!$B$2:$B$21,0))&amp;""="","(no PS)",INDEX(Accounts!$F$2:$F$21,MATCH($A720,Accounts!$B$2:$B$21,0))&amp;""),"")))),""))</f>
        <v/>
      </c>
      <c r="F720" s="42" t="s">
        <v>104</v>
      </c>
      <c r="I720" s="42" t="s">
        <v>34</v>
      </c>
      <c r="K720" s="44" t="str">
        <f t="shared" si="1"/>
        <v>Owner missing </v>
      </c>
    </row>
    <row r="721" ht="15.75" customHeight="1">
      <c r="E721" s="43" t="str">
        <f t="array" ref="E721">IF($A721="","",IFERROR(IF($D721="TSE",INDEX(Accounts!$G$2:$G$21,MATCH($A721,Accounts!$B$2:$B$21,0))&amp;"",IF($D721="PS",INDEX(Accounts!$F$2:$F$21,MATCH($A721,Accounts!$B$2:$B$21,0))&amp;"",IF($D721="Named engineer",INDEX(Accounts!$I$2:$I$21,MATCH($A721,Accounts!$B$2:$B$21,0))&amp;"",IF($D721="TSE + PS",IF(INDEX(Accounts!$G$2:$G$21,MATCH($A721,Accounts!$B$2:$B$21,0))&amp;""="","(no TSE)",INDEX(Accounts!$G$2:$G$21,MATCH($A721,Accounts!$B$2:$B$21,0))&amp;"")&amp;" / "&amp;IF(INDEX(Accounts!$F$2:$F$21,MATCH($A721,Accounts!$B$2:$B$21,0))&amp;""="","(no PS)",INDEX(Accounts!$F$2:$F$21,MATCH($A721,Accounts!$B$2:$B$21,0))&amp;""),"")))),""))</f>
        <v/>
      </c>
      <c r="F721" s="42" t="s">
        <v>104</v>
      </c>
      <c r="I721" s="42" t="s">
        <v>34</v>
      </c>
      <c r="K721" s="44" t="str">
        <f t="shared" si="1"/>
        <v>Owner missing </v>
      </c>
    </row>
    <row r="722" ht="15.75" customHeight="1">
      <c r="E722" s="43" t="str">
        <f t="array" ref="E722">IF($A722="","",IFERROR(IF($D722="TSE",INDEX(Accounts!$G$2:$G$21,MATCH($A722,Accounts!$B$2:$B$21,0))&amp;"",IF($D722="PS",INDEX(Accounts!$F$2:$F$21,MATCH($A722,Accounts!$B$2:$B$21,0))&amp;"",IF($D722="Named engineer",INDEX(Accounts!$I$2:$I$21,MATCH($A722,Accounts!$B$2:$B$21,0))&amp;"",IF($D722="TSE + PS",IF(INDEX(Accounts!$G$2:$G$21,MATCH($A722,Accounts!$B$2:$B$21,0))&amp;""="","(no TSE)",INDEX(Accounts!$G$2:$G$21,MATCH($A722,Accounts!$B$2:$B$21,0))&amp;"")&amp;" / "&amp;IF(INDEX(Accounts!$F$2:$F$21,MATCH($A722,Accounts!$B$2:$B$21,0))&amp;""="","(no PS)",INDEX(Accounts!$F$2:$F$21,MATCH($A722,Accounts!$B$2:$B$21,0))&amp;""),"")))),""))</f>
        <v/>
      </c>
      <c r="F722" s="42" t="s">
        <v>104</v>
      </c>
      <c r="I722" s="42" t="s">
        <v>34</v>
      </c>
      <c r="K722" s="44" t="str">
        <f t="shared" si="1"/>
        <v>Owner missing </v>
      </c>
    </row>
    <row r="723" ht="15.75" customHeight="1">
      <c r="E723" s="43" t="str">
        <f t="array" ref="E723">IF($A723="","",IFERROR(IF($D723="TSE",INDEX(Accounts!$G$2:$G$21,MATCH($A723,Accounts!$B$2:$B$21,0))&amp;"",IF($D723="PS",INDEX(Accounts!$F$2:$F$21,MATCH($A723,Accounts!$B$2:$B$21,0))&amp;"",IF($D723="Named engineer",INDEX(Accounts!$I$2:$I$21,MATCH($A723,Accounts!$B$2:$B$21,0))&amp;"",IF($D723="TSE + PS",IF(INDEX(Accounts!$G$2:$G$21,MATCH($A723,Accounts!$B$2:$B$21,0))&amp;""="","(no TSE)",INDEX(Accounts!$G$2:$G$21,MATCH($A723,Accounts!$B$2:$B$21,0))&amp;"")&amp;" / "&amp;IF(INDEX(Accounts!$F$2:$F$21,MATCH($A723,Accounts!$B$2:$B$21,0))&amp;""="","(no PS)",INDEX(Accounts!$F$2:$F$21,MATCH($A723,Accounts!$B$2:$B$21,0))&amp;""),"")))),""))</f>
        <v/>
      </c>
      <c r="F723" s="42" t="s">
        <v>104</v>
      </c>
      <c r="I723" s="42" t="s">
        <v>34</v>
      </c>
      <c r="K723" s="44" t="str">
        <f t="shared" si="1"/>
        <v>Owner missing </v>
      </c>
    </row>
    <row r="724" ht="15.75" customHeight="1">
      <c r="E724" s="43" t="str">
        <f t="array" ref="E724">IF($A724="","",IFERROR(IF($D724="TSE",INDEX(Accounts!$G$2:$G$21,MATCH($A724,Accounts!$B$2:$B$21,0))&amp;"",IF($D724="PS",INDEX(Accounts!$F$2:$F$21,MATCH($A724,Accounts!$B$2:$B$21,0))&amp;"",IF($D724="Named engineer",INDEX(Accounts!$I$2:$I$21,MATCH($A724,Accounts!$B$2:$B$21,0))&amp;"",IF($D724="TSE + PS",IF(INDEX(Accounts!$G$2:$G$21,MATCH($A724,Accounts!$B$2:$B$21,0))&amp;""="","(no TSE)",INDEX(Accounts!$G$2:$G$21,MATCH($A724,Accounts!$B$2:$B$21,0))&amp;"")&amp;" / "&amp;IF(INDEX(Accounts!$F$2:$F$21,MATCH($A724,Accounts!$B$2:$B$21,0))&amp;""="","(no PS)",INDEX(Accounts!$F$2:$F$21,MATCH($A724,Accounts!$B$2:$B$21,0))&amp;""),"")))),""))</f>
        <v/>
      </c>
      <c r="F724" s="42" t="s">
        <v>104</v>
      </c>
      <c r="I724" s="42" t="s">
        <v>34</v>
      </c>
      <c r="K724" s="44" t="str">
        <f t="shared" si="1"/>
        <v>Owner missing </v>
      </c>
    </row>
    <row r="725" ht="15.75" customHeight="1">
      <c r="E725" s="43" t="str">
        <f t="array" ref="E725">IF($A725="","",IFERROR(IF($D725="TSE",INDEX(Accounts!$G$2:$G$21,MATCH($A725,Accounts!$B$2:$B$21,0))&amp;"",IF($D725="PS",INDEX(Accounts!$F$2:$F$21,MATCH($A725,Accounts!$B$2:$B$21,0))&amp;"",IF($D725="Named engineer",INDEX(Accounts!$I$2:$I$21,MATCH($A725,Accounts!$B$2:$B$21,0))&amp;"",IF($D725="TSE + PS",IF(INDEX(Accounts!$G$2:$G$21,MATCH($A725,Accounts!$B$2:$B$21,0))&amp;""="","(no TSE)",INDEX(Accounts!$G$2:$G$21,MATCH($A725,Accounts!$B$2:$B$21,0))&amp;"")&amp;" / "&amp;IF(INDEX(Accounts!$F$2:$F$21,MATCH($A725,Accounts!$B$2:$B$21,0))&amp;""="","(no PS)",INDEX(Accounts!$F$2:$F$21,MATCH($A725,Accounts!$B$2:$B$21,0))&amp;""),"")))),""))</f>
        <v/>
      </c>
      <c r="F725" s="42" t="s">
        <v>104</v>
      </c>
      <c r="I725" s="42" t="s">
        <v>34</v>
      </c>
      <c r="K725" s="44" t="str">
        <f t="shared" si="1"/>
        <v>Owner missing </v>
      </c>
    </row>
    <row r="726" ht="15.75" customHeight="1">
      <c r="E726" s="43" t="str">
        <f t="array" ref="E726">IF($A726="","",IFERROR(IF($D726="TSE",INDEX(Accounts!$G$2:$G$21,MATCH($A726,Accounts!$B$2:$B$21,0))&amp;"",IF($D726="PS",INDEX(Accounts!$F$2:$F$21,MATCH($A726,Accounts!$B$2:$B$21,0))&amp;"",IF($D726="Named engineer",INDEX(Accounts!$I$2:$I$21,MATCH($A726,Accounts!$B$2:$B$21,0))&amp;"",IF($D726="TSE + PS",IF(INDEX(Accounts!$G$2:$G$21,MATCH($A726,Accounts!$B$2:$B$21,0))&amp;""="","(no TSE)",INDEX(Accounts!$G$2:$G$21,MATCH($A726,Accounts!$B$2:$B$21,0))&amp;"")&amp;" / "&amp;IF(INDEX(Accounts!$F$2:$F$21,MATCH($A726,Accounts!$B$2:$B$21,0))&amp;""="","(no PS)",INDEX(Accounts!$F$2:$F$21,MATCH($A726,Accounts!$B$2:$B$21,0))&amp;""),"")))),""))</f>
        <v/>
      </c>
      <c r="F726" s="42" t="s">
        <v>104</v>
      </c>
      <c r="I726" s="42" t="s">
        <v>34</v>
      </c>
      <c r="K726" s="44" t="str">
        <f t="shared" si="1"/>
        <v>Owner missing </v>
      </c>
    </row>
    <row r="727" ht="15.75" customHeight="1">
      <c r="E727" s="43" t="str">
        <f t="array" ref="E727">IF($A727="","",IFERROR(IF($D727="TSE",INDEX(Accounts!$G$2:$G$21,MATCH($A727,Accounts!$B$2:$B$21,0))&amp;"",IF($D727="PS",INDEX(Accounts!$F$2:$F$21,MATCH($A727,Accounts!$B$2:$B$21,0))&amp;"",IF($D727="Named engineer",INDEX(Accounts!$I$2:$I$21,MATCH($A727,Accounts!$B$2:$B$21,0))&amp;"",IF($D727="TSE + PS",IF(INDEX(Accounts!$G$2:$G$21,MATCH($A727,Accounts!$B$2:$B$21,0))&amp;""="","(no TSE)",INDEX(Accounts!$G$2:$G$21,MATCH($A727,Accounts!$B$2:$B$21,0))&amp;"")&amp;" / "&amp;IF(INDEX(Accounts!$F$2:$F$21,MATCH($A727,Accounts!$B$2:$B$21,0))&amp;""="","(no PS)",INDEX(Accounts!$F$2:$F$21,MATCH($A727,Accounts!$B$2:$B$21,0))&amp;""),"")))),""))</f>
        <v/>
      </c>
      <c r="F727" s="42" t="s">
        <v>104</v>
      </c>
      <c r="I727" s="42" t="s">
        <v>34</v>
      </c>
      <c r="K727" s="44" t="str">
        <f t="shared" si="1"/>
        <v>Owner missing </v>
      </c>
    </row>
    <row r="728" ht="15.75" customHeight="1">
      <c r="E728" s="43" t="str">
        <f t="array" ref="E728">IF($A728="","",IFERROR(IF($D728="TSE",INDEX(Accounts!$G$2:$G$21,MATCH($A728,Accounts!$B$2:$B$21,0))&amp;"",IF($D728="PS",INDEX(Accounts!$F$2:$F$21,MATCH($A728,Accounts!$B$2:$B$21,0))&amp;"",IF($D728="Named engineer",INDEX(Accounts!$I$2:$I$21,MATCH($A728,Accounts!$B$2:$B$21,0))&amp;"",IF($D728="TSE + PS",IF(INDEX(Accounts!$G$2:$G$21,MATCH($A728,Accounts!$B$2:$B$21,0))&amp;""="","(no TSE)",INDEX(Accounts!$G$2:$G$21,MATCH($A728,Accounts!$B$2:$B$21,0))&amp;"")&amp;" / "&amp;IF(INDEX(Accounts!$F$2:$F$21,MATCH($A728,Accounts!$B$2:$B$21,0))&amp;""="","(no PS)",INDEX(Accounts!$F$2:$F$21,MATCH($A728,Accounts!$B$2:$B$21,0))&amp;""),"")))),""))</f>
        <v/>
      </c>
      <c r="F728" s="42" t="s">
        <v>104</v>
      </c>
      <c r="I728" s="42" t="s">
        <v>34</v>
      </c>
      <c r="K728" s="44" t="str">
        <f t="shared" si="1"/>
        <v>Owner missing </v>
      </c>
    </row>
    <row r="729" ht="15.75" customHeight="1">
      <c r="E729" s="43" t="str">
        <f t="array" ref="E729">IF($A729="","",IFERROR(IF($D729="TSE",INDEX(Accounts!$G$2:$G$21,MATCH($A729,Accounts!$B$2:$B$21,0))&amp;"",IF($D729="PS",INDEX(Accounts!$F$2:$F$21,MATCH($A729,Accounts!$B$2:$B$21,0))&amp;"",IF($D729="Named engineer",INDEX(Accounts!$I$2:$I$21,MATCH($A729,Accounts!$B$2:$B$21,0))&amp;"",IF($D729="TSE + PS",IF(INDEX(Accounts!$G$2:$G$21,MATCH($A729,Accounts!$B$2:$B$21,0))&amp;""="","(no TSE)",INDEX(Accounts!$G$2:$G$21,MATCH($A729,Accounts!$B$2:$B$21,0))&amp;"")&amp;" / "&amp;IF(INDEX(Accounts!$F$2:$F$21,MATCH($A729,Accounts!$B$2:$B$21,0))&amp;""="","(no PS)",INDEX(Accounts!$F$2:$F$21,MATCH($A729,Accounts!$B$2:$B$21,0))&amp;""),"")))),""))</f>
        <v/>
      </c>
      <c r="F729" s="42" t="s">
        <v>104</v>
      </c>
      <c r="I729" s="42" t="s">
        <v>34</v>
      </c>
      <c r="K729" s="44" t="str">
        <f t="shared" si="1"/>
        <v>Owner missing </v>
      </c>
    </row>
    <row r="730" ht="15.75" customHeight="1">
      <c r="E730" s="43" t="str">
        <f t="array" ref="E730">IF($A730="","",IFERROR(IF($D730="TSE",INDEX(Accounts!$G$2:$G$21,MATCH($A730,Accounts!$B$2:$B$21,0))&amp;"",IF($D730="PS",INDEX(Accounts!$F$2:$F$21,MATCH($A730,Accounts!$B$2:$B$21,0))&amp;"",IF($D730="Named engineer",INDEX(Accounts!$I$2:$I$21,MATCH($A730,Accounts!$B$2:$B$21,0))&amp;"",IF($D730="TSE + PS",IF(INDEX(Accounts!$G$2:$G$21,MATCH($A730,Accounts!$B$2:$B$21,0))&amp;""="","(no TSE)",INDEX(Accounts!$G$2:$G$21,MATCH($A730,Accounts!$B$2:$B$21,0))&amp;"")&amp;" / "&amp;IF(INDEX(Accounts!$F$2:$F$21,MATCH($A730,Accounts!$B$2:$B$21,0))&amp;""="","(no PS)",INDEX(Accounts!$F$2:$F$21,MATCH($A730,Accounts!$B$2:$B$21,0))&amp;""),"")))),""))</f>
        <v/>
      </c>
      <c r="F730" s="42" t="s">
        <v>104</v>
      </c>
      <c r="I730" s="42" t="s">
        <v>34</v>
      </c>
      <c r="K730" s="44" t="str">
        <f t="shared" si="1"/>
        <v>Owner missing </v>
      </c>
    </row>
    <row r="731" ht="15.75" customHeight="1">
      <c r="E731" s="43" t="str">
        <f t="array" ref="E731">IF($A731="","",IFERROR(IF($D731="TSE",INDEX(Accounts!$G$2:$G$21,MATCH($A731,Accounts!$B$2:$B$21,0))&amp;"",IF($D731="PS",INDEX(Accounts!$F$2:$F$21,MATCH($A731,Accounts!$B$2:$B$21,0))&amp;"",IF($D731="Named engineer",INDEX(Accounts!$I$2:$I$21,MATCH($A731,Accounts!$B$2:$B$21,0))&amp;"",IF($D731="TSE + PS",IF(INDEX(Accounts!$G$2:$G$21,MATCH($A731,Accounts!$B$2:$B$21,0))&amp;""="","(no TSE)",INDEX(Accounts!$G$2:$G$21,MATCH($A731,Accounts!$B$2:$B$21,0))&amp;"")&amp;" / "&amp;IF(INDEX(Accounts!$F$2:$F$21,MATCH($A731,Accounts!$B$2:$B$21,0))&amp;""="","(no PS)",INDEX(Accounts!$F$2:$F$21,MATCH($A731,Accounts!$B$2:$B$21,0))&amp;""),"")))),""))</f>
        <v/>
      </c>
      <c r="F731" s="42" t="s">
        <v>104</v>
      </c>
      <c r="I731" s="42" t="s">
        <v>34</v>
      </c>
      <c r="K731" s="44" t="str">
        <f t="shared" si="1"/>
        <v>Owner missing </v>
      </c>
    </row>
    <row r="732" ht="15.75" customHeight="1">
      <c r="E732" s="43" t="str">
        <f t="array" ref="E732">IF($A732="","",IFERROR(IF($D732="TSE",INDEX(Accounts!$G$2:$G$21,MATCH($A732,Accounts!$B$2:$B$21,0))&amp;"",IF($D732="PS",INDEX(Accounts!$F$2:$F$21,MATCH($A732,Accounts!$B$2:$B$21,0))&amp;"",IF($D732="Named engineer",INDEX(Accounts!$I$2:$I$21,MATCH($A732,Accounts!$B$2:$B$21,0))&amp;"",IF($D732="TSE + PS",IF(INDEX(Accounts!$G$2:$G$21,MATCH($A732,Accounts!$B$2:$B$21,0))&amp;""="","(no TSE)",INDEX(Accounts!$G$2:$G$21,MATCH($A732,Accounts!$B$2:$B$21,0))&amp;"")&amp;" / "&amp;IF(INDEX(Accounts!$F$2:$F$21,MATCH($A732,Accounts!$B$2:$B$21,0))&amp;""="","(no PS)",INDEX(Accounts!$F$2:$F$21,MATCH($A732,Accounts!$B$2:$B$21,0))&amp;""),"")))),""))</f>
        <v/>
      </c>
      <c r="F732" s="42" t="s">
        <v>104</v>
      </c>
      <c r="I732" s="42" t="s">
        <v>34</v>
      </c>
      <c r="K732" s="44" t="str">
        <f t="shared" si="1"/>
        <v>Owner missing </v>
      </c>
    </row>
    <row r="733" ht="15.75" customHeight="1">
      <c r="E733" s="43" t="str">
        <f t="array" ref="E733">IF($A733="","",IFERROR(IF($D733="TSE",INDEX(Accounts!$G$2:$G$21,MATCH($A733,Accounts!$B$2:$B$21,0))&amp;"",IF($D733="PS",INDEX(Accounts!$F$2:$F$21,MATCH($A733,Accounts!$B$2:$B$21,0))&amp;"",IF($D733="Named engineer",INDEX(Accounts!$I$2:$I$21,MATCH($A733,Accounts!$B$2:$B$21,0))&amp;"",IF($D733="TSE + PS",IF(INDEX(Accounts!$G$2:$G$21,MATCH($A733,Accounts!$B$2:$B$21,0))&amp;""="","(no TSE)",INDEX(Accounts!$G$2:$G$21,MATCH($A733,Accounts!$B$2:$B$21,0))&amp;"")&amp;" / "&amp;IF(INDEX(Accounts!$F$2:$F$21,MATCH($A733,Accounts!$B$2:$B$21,0))&amp;""="","(no PS)",INDEX(Accounts!$F$2:$F$21,MATCH($A733,Accounts!$B$2:$B$21,0))&amp;""),"")))),""))</f>
        <v/>
      </c>
      <c r="F733" s="42" t="s">
        <v>104</v>
      </c>
      <c r="I733" s="42" t="s">
        <v>34</v>
      </c>
      <c r="K733" s="44" t="str">
        <f t="shared" si="1"/>
        <v>Owner missing </v>
      </c>
    </row>
    <row r="734" ht="15.75" customHeight="1">
      <c r="E734" s="43" t="str">
        <f t="array" ref="E734">IF($A734="","",IFERROR(IF($D734="TSE",INDEX(Accounts!$G$2:$G$21,MATCH($A734,Accounts!$B$2:$B$21,0))&amp;"",IF($D734="PS",INDEX(Accounts!$F$2:$F$21,MATCH($A734,Accounts!$B$2:$B$21,0))&amp;"",IF($D734="Named engineer",INDEX(Accounts!$I$2:$I$21,MATCH($A734,Accounts!$B$2:$B$21,0))&amp;"",IF($D734="TSE + PS",IF(INDEX(Accounts!$G$2:$G$21,MATCH($A734,Accounts!$B$2:$B$21,0))&amp;""="","(no TSE)",INDEX(Accounts!$G$2:$G$21,MATCH($A734,Accounts!$B$2:$B$21,0))&amp;"")&amp;" / "&amp;IF(INDEX(Accounts!$F$2:$F$21,MATCH($A734,Accounts!$B$2:$B$21,0))&amp;""="","(no PS)",INDEX(Accounts!$F$2:$F$21,MATCH($A734,Accounts!$B$2:$B$21,0))&amp;""),"")))),""))</f>
        <v/>
      </c>
      <c r="F734" s="42" t="s">
        <v>104</v>
      </c>
      <c r="I734" s="42" t="s">
        <v>34</v>
      </c>
      <c r="K734" s="44" t="str">
        <f t="shared" si="1"/>
        <v>Owner missing </v>
      </c>
    </row>
    <row r="735" ht="15.75" customHeight="1">
      <c r="E735" s="43" t="str">
        <f t="array" ref="E735">IF($A735="","",IFERROR(IF($D735="TSE",INDEX(Accounts!$G$2:$G$21,MATCH($A735,Accounts!$B$2:$B$21,0))&amp;"",IF($D735="PS",INDEX(Accounts!$F$2:$F$21,MATCH($A735,Accounts!$B$2:$B$21,0))&amp;"",IF($D735="Named engineer",INDEX(Accounts!$I$2:$I$21,MATCH($A735,Accounts!$B$2:$B$21,0))&amp;"",IF($D735="TSE + PS",IF(INDEX(Accounts!$G$2:$G$21,MATCH($A735,Accounts!$B$2:$B$21,0))&amp;""="","(no TSE)",INDEX(Accounts!$G$2:$G$21,MATCH($A735,Accounts!$B$2:$B$21,0))&amp;"")&amp;" / "&amp;IF(INDEX(Accounts!$F$2:$F$21,MATCH($A735,Accounts!$B$2:$B$21,0))&amp;""="","(no PS)",INDEX(Accounts!$F$2:$F$21,MATCH($A735,Accounts!$B$2:$B$21,0))&amp;""),"")))),""))</f>
        <v/>
      </c>
      <c r="F735" s="42" t="s">
        <v>104</v>
      </c>
      <c r="I735" s="42" t="s">
        <v>34</v>
      </c>
      <c r="K735" s="44" t="str">
        <f t="shared" si="1"/>
        <v>Owner missing </v>
      </c>
    </row>
    <row r="736" ht="15.75" customHeight="1">
      <c r="E736" s="43" t="str">
        <f t="array" ref="E736">IF($A736="","",IFERROR(IF($D736="TSE",INDEX(Accounts!$G$2:$G$21,MATCH($A736,Accounts!$B$2:$B$21,0))&amp;"",IF($D736="PS",INDEX(Accounts!$F$2:$F$21,MATCH($A736,Accounts!$B$2:$B$21,0))&amp;"",IF($D736="Named engineer",INDEX(Accounts!$I$2:$I$21,MATCH($A736,Accounts!$B$2:$B$21,0))&amp;"",IF($D736="TSE + PS",IF(INDEX(Accounts!$G$2:$G$21,MATCH($A736,Accounts!$B$2:$B$21,0))&amp;""="","(no TSE)",INDEX(Accounts!$G$2:$G$21,MATCH($A736,Accounts!$B$2:$B$21,0))&amp;"")&amp;" / "&amp;IF(INDEX(Accounts!$F$2:$F$21,MATCH($A736,Accounts!$B$2:$B$21,0))&amp;""="","(no PS)",INDEX(Accounts!$F$2:$F$21,MATCH($A736,Accounts!$B$2:$B$21,0))&amp;""),"")))),""))</f>
        <v/>
      </c>
      <c r="F736" s="42" t="s">
        <v>104</v>
      </c>
      <c r="I736" s="42" t="s">
        <v>34</v>
      </c>
      <c r="K736" s="44" t="str">
        <f t="shared" si="1"/>
        <v>Owner missing </v>
      </c>
    </row>
    <row r="737" ht="15.75" customHeight="1">
      <c r="E737" s="43" t="str">
        <f t="array" ref="E737">IF($A737="","",IFERROR(IF($D737="TSE",INDEX(Accounts!$G$2:$G$21,MATCH($A737,Accounts!$B$2:$B$21,0))&amp;"",IF($D737="PS",INDEX(Accounts!$F$2:$F$21,MATCH($A737,Accounts!$B$2:$B$21,0))&amp;"",IF($D737="Named engineer",INDEX(Accounts!$I$2:$I$21,MATCH($A737,Accounts!$B$2:$B$21,0))&amp;"",IF($D737="TSE + PS",IF(INDEX(Accounts!$G$2:$G$21,MATCH($A737,Accounts!$B$2:$B$21,0))&amp;""="","(no TSE)",INDEX(Accounts!$G$2:$G$21,MATCH($A737,Accounts!$B$2:$B$21,0))&amp;"")&amp;" / "&amp;IF(INDEX(Accounts!$F$2:$F$21,MATCH($A737,Accounts!$B$2:$B$21,0))&amp;""="","(no PS)",INDEX(Accounts!$F$2:$F$21,MATCH($A737,Accounts!$B$2:$B$21,0))&amp;""),"")))),""))</f>
        <v/>
      </c>
      <c r="F737" s="42" t="s">
        <v>104</v>
      </c>
      <c r="I737" s="42" t="s">
        <v>34</v>
      </c>
      <c r="K737" s="44" t="str">
        <f t="shared" si="1"/>
        <v>Owner missing </v>
      </c>
    </row>
    <row r="738" ht="15.75" customHeight="1">
      <c r="E738" s="43" t="str">
        <f t="array" ref="E738">IF($A738="","",IFERROR(IF($D738="TSE",INDEX(Accounts!$G$2:$G$21,MATCH($A738,Accounts!$B$2:$B$21,0))&amp;"",IF($D738="PS",INDEX(Accounts!$F$2:$F$21,MATCH($A738,Accounts!$B$2:$B$21,0))&amp;"",IF($D738="Named engineer",INDEX(Accounts!$I$2:$I$21,MATCH($A738,Accounts!$B$2:$B$21,0))&amp;"",IF($D738="TSE + PS",IF(INDEX(Accounts!$G$2:$G$21,MATCH($A738,Accounts!$B$2:$B$21,0))&amp;""="","(no TSE)",INDEX(Accounts!$G$2:$G$21,MATCH($A738,Accounts!$B$2:$B$21,0))&amp;"")&amp;" / "&amp;IF(INDEX(Accounts!$F$2:$F$21,MATCH($A738,Accounts!$B$2:$B$21,0))&amp;""="","(no PS)",INDEX(Accounts!$F$2:$F$21,MATCH($A738,Accounts!$B$2:$B$21,0))&amp;""),"")))),""))</f>
        <v/>
      </c>
      <c r="F738" s="42" t="s">
        <v>104</v>
      </c>
      <c r="I738" s="42" t="s">
        <v>34</v>
      </c>
      <c r="K738" s="44" t="str">
        <f t="shared" si="1"/>
        <v>Owner missing </v>
      </c>
    </row>
    <row r="739" ht="15.75" customHeight="1">
      <c r="E739" s="43" t="str">
        <f t="array" ref="E739">IF($A739="","",IFERROR(IF($D739="TSE",INDEX(Accounts!$G$2:$G$21,MATCH($A739,Accounts!$B$2:$B$21,0))&amp;"",IF($D739="PS",INDEX(Accounts!$F$2:$F$21,MATCH($A739,Accounts!$B$2:$B$21,0))&amp;"",IF($D739="Named engineer",INDEX(Accounts!$I$2:$I$21,MATCH($A739,Accounts!$B$2:$B$21,0))&amp;"",IF($D739="TSE + PS",IF(INDEX(Accounts!$G$2:$G$21,MATCH($A739,Accounts!$B$2:$B$21,0))&amp;""="","(no TSE)",INDEX(Accounts!$G$2:$G$21,MATCH($A739,Accounts!$B$2:$B$21,0))&amp;"")&amp;" / "&amp;IF(INDEX(Accounts!$F$2:$F$21,MATCH($A739,Accounts!$B$2:$B$21,0))&amp;""="","(no PS)",INDEX(Accounts!$F$2:$F$21,MATCH($A739,Accounts!$B$2:$B$21,0))&amp;""),"")))),""))</f>
        <v/>
      </c>
      <c r="F739" s="42" t="s">
        <v>104</v>
      </c>
      <c r="I739" s="42" t="s">
        <v>34</v>
      </c>
      <c r="K739" s="44" t="str">
        <f t="shared" si="1"/>
        <v>Owner missing </v>
      </c>
    </row>
    <row r="740" ht="15.75" customHeight="1">
      <c r="E740" s="43" t="str">
        <f t="array" ref="E740">IF($A740="","",IFERROR(IF($D740="TSE",INDEX(Accounts!$G$2:$G$21,MATCH($A740,Accounts!$B$2:$B$21,0))&amp;"",IF($D740="PS",INDEX(Accounts!$F$2:$F$21,MATCH($A740,Accounts!$B$2:$B$21,0))&amp;"",IF($D740="Named engineer",INDEX(Accounts!$I$2:$I$21,MATCH($A740,Accounts!$B$2:$B$21,0))&amp;"",IF($D740="TSE + PS",IF(INDEX(Accounts!$G$2:$G$21,MATCH($A740,Accounts!$B$2:$B$21,0))&amp;""="","(no TSE)",INDEX(Accounts!$G$2:$G$21,MATCH($A740,Accounts!$B$2:$B$21,0))&amp;"")&amp;" / "&amp;IF(INDEX(Accounts!$F$2:$F$21,MATCH($A740,Accounts!$B$2:$B$21,0))&amp;""="","(no PS)",INDEX(Accounts!$F$2:$F$21,MATCH($A740,Accounts!$B$2:$B$21,0))&amp;""),"")))),""))</f>
        <v/>
      </c>
      <c r="F740" s="42" t="s">
        <v>104</v>
      </c>
      <c r="I740" s="42" t="s">
        <v>34</v>
      </c>
      <c r="K740" s="44" t="str">
        <f t="shared" si="1"/>
        <v>Owner missing </v>
      </c>
    </row>
    <row r="741" ht="15.75" customHeight="1">
      <c r="E741" s="43" t="str">
        <f t="array" ref="E741">IF($A741="","",IFERROR(IF($D741="TSE",INDEX(Accounts!$G$2:$G$21,MATCH($A741,Accounts!$B$2:$B$21,0))&amp;"",IF($D741="PS",INDEX(Accounts!$F$2:$F$21,MATCH($A741,Accounts!$B$2:$B$21,0))&amp;"",IF($D741="Named engineer",INDEX(Accounts!$I$2:$I$21,MATCH($A741,Accounts!$B$2:$B$21,0))&amp;"",IF($D741="TSE + PS",IF(INDEX(Accounts!$G$2:$G$21,MATCH($A741,Accounts!$B$2:$B$21,0))&amp;""="","(no TSE)",INDEX(Accounts!$G$2:$G$21,MATCH($A741,Accounts!$B$2:$B$21,0))&amp;"")&amp;" / "&amp;IF(INDEX(Accounts!$F$2:$F$21,MATCH($A741,Accounts!$B$2:$B$21,0))&amp;""="","(no PS)",INDEX(Accounts!$F$2:$F$21,MATCH($A741,Accounts!$B$2:$B$21,0))&amp;""),"")))),""))</f>
        <v/>
      </c>
      <c r="F741" s="42" t="s">
        <v>104</v>
      </c>
      <c r="I741" s="42" t="s">
        <v>34</v>
      </c>
      <c r="K741" s="44" t="str">
        <f t="shared" si="1"/>
        <v>Owner missing </v>
      </c>
    </row>
    <row r="742" ht="15.75" customHeight="1">
      <c r="E742" s="43" t="str">
        <f t="array" ref="E742">IF($A742="","",IFERROR(IF($D742="TSE",INDEX(Accounts!$G$2:$G$21,MATCH($A742,Accounts!$B$2:$B$21,0))&amp;"",IF($D742="PS",INDEX(Accounts!$F$2:$F$21,MATCH($A742,Accounts!$B$2:$B$21,0))&amp;"",IF($D742="Named engineer",INDEX(Accounts!$I$2:$I$21,MATCH($A742,Accounts!$B$2:$B$21,0))&amp;"",IF($D742="TSE + PS",IF(INDEX(Accounts!$G$2:$G$21,MATCH($A742,Accounts!$B$2:$B$21,0))&amp;""="","(no TSE)",INDEX(Accounts!$G$2:$G$21,MATCH($A742,Accounts!$B$2:$B$21,0))&amp;"")&amp;" / "&amp;IF(INDEX(Accounts!$F$2:$F$21,MATCH($A742,Accounts!$B$2:$B$21,0))&amp;""="","(no PS)",INDEX(Accounts!$F$2:$F$21,MATCH($A742,Accounts!$B$2:$B$21,0))&amp;""),"")))),""))</f>
        <v/>
      </c>
      <c r="F742" s="42" t="s">
        <v>104</v>
      </c>
      <c r="I742" s="42" t="s">
        <v>34</v>
      </c>
      <c r="K742" s="44" t="str">
        <f t="shared" si="1"/>
        <v>Owner missing </v>
      </c>
    </row>
    <row r="743" ht="15.75" customHeight="1">
      <c r="E743" s="43" t="str">
        <f t="array" ref="E743">IF($A743="","",IFERROR(IF($D743="TSE",INDEX(Accounts!$G$2:$G$21,MATCH($A743,Accounts!$B$2:$B$21,0))&amp;"",IF($D743="PS",INDEX(Accounts!$F$2:$F$21,MATCH($A743,Accounts!$B$2:$B$21,0))&amp;"",IF($D743="Named engineer",INDEX(Accounts!$I$2:$I$21,MATCH($A743,Accounts!$B$2:$B$21,0))&amp;"",IF($D743="TSE + PS",IF(INDEX(Accounts!$G$2:$G$21,MATCH($A743,Accounts!$B$2:$B$21,0))&amp;""="","(no TSE)",INDEX(Accounts!$G$2:$G$21,MATCH($A743,Accounts!$B$2:$B$21,0))&amp;"")&amp;" / "&amp;IF(INDEX(Accounts!$F$2:$F$21,MATCH($A743,Accounts!$B$2:$B$21,0))&amp;""="","(no PS)",INDEX(Accounts!$F$2:$F$21,MATCH($A743,Accounts!$B$2:$B$21,0))&amp;""),"")))),""))</f>
        <v/>
      </c>
      <c r="F743" s="42" t="s">
        <v>104</v>
      </c>
      <c r="I743" s="42" t="s">
        <v>34</v>
      </c>
      <c r="K743" s="44" t="str">
        <f t="shared" si="1"/>
        <v>Owner missing </v>
      </c>
    </row>
    <row r="744" ht="15.75" customHeight="1">
      <c r="E744" s="43" t="str">
        <f t="array" ref="E744">IF($A744="","",IFERROR(IF($D744="TSE",INDEX(Accounts!$G$2:$G$21,MATCH($A744,Accounts!$B$2:$B$21,0))&amp;"",IF($D744="PS",INDEX(Accounts!$F$2:$F$21,MATCH($A744,Accounts!$B$2:$B$21,0))&amp;"",IF($D744="Named engineer",INDEX(Accounts!$I$2:$I$21,MATCH($A744,Accounts!$B$2:$B$21,0))&amp;"",IF($D744="TSE + PS",IF(INDEX(Accounts!$G$2:$G$21,MATCH($A744,Accounts!$B$2:$B$21,0))&amp;""="","(no TSE)",INDEX(Accounts!$G$2:$G$21,MATCH($A744,Accounts!$B$2:$B$21,0))&amp;"")&amp;" / "&amp;IF(INDEX(Accounts!$F$2:$F$21,MATCH($A744,Accounts!$B$2:$B$21,0))&amp;""="","(no PS)",INDEX(Accounts!$F$2:$F$21,MATCH($A744,Accounts!$B$2:$B$21,0))&amp;""),"")))),""))</f>
        <v/>
      </c>
      <c r="F744" s="42" t="s">
        <v>104</v>
      </c>
      <c r="I744" s="42" t="s">
        <v>34</v>
      </c>
      <c r="K744" s="44" t="str">
        <f t="shared" si="1"/>
        <v>Owner missing </v>
      </c>
    </row>
    <row r="745" ht="15.75" customHeight="1">
      <c r="E745" s="43" t="str">
        <f t="array" ref="E745">IF($A745="","",IFERROR(IF($D745="TSE",INDEX(Accounts!$G$2:$G$21,MATCH($A745,Accounts!$B$2:$B$21,0))&amp;"",IF($D745="PS",INDEX(Accounts!$F$2:$F$21,MATCH($A745,Accounts!$B$2:$B$21,0))&amp;"",IF($D745="Named engineer",INDEX(Accounts!$I$2:$I$21,MATCH($A745,Accounts!$B$2:$B$21,0))&amp;"",IF($D745="TSE + PS",IF(INDEX(Accounts!$G$2:$G$21,MATCH($A745,Accounts!$B$2:$B$21,0))&amp;""="","(no TSE)",INDEX(Accounts!$G$2:$G$21,MATCH($A745,Accounts!$B$2:$B$21,0))&amp;"")&amp;" / "&amp;IF(INDEX(Accounts!$F$2:$F$21,MATCH($A745,Accounts!$B$2:$B$21,0))&amp;""="","(no PS)",INDEX(Accounts!$F$2:$F$21,MATCH($A745,Accounts!$B$2:$B$21,0))&amp;""),"")))),""))</f>
        <v/>
      </c>
      <c r="F745" s="42" t="s">
        <v>104</v>
      </c>
      <c r="I745" s="42" t="s">
        <v>34</v>
      </c>
      <c r="K745" s="44" t="str">
        <f t="shared" si="1"/>
        <v>Owner missing </v>
      </c>
    </row>
    <row r="746" ht="15.75" customHeight="1">
      <c r="E746" s="43" t="str">
        <f t="array" ref="E746">IF($A746="","",IFERROR(IF($D746="TSE",INDEX(Accounts!$G$2:$G$21,MATCH($A746,Accounts!$B$2:$B$21,0))&amp;"",IF($D746="PS",INDEX(Accounts!$F$2:$F$21,MATCH($A746,Accounts!$B$2:$B$21,0))&amp;"",IF($D746="Named engineer",INDEX(Accounts!$I$2:$I$21,MATCH($A746,Accounts!$B$2:$B$21,0))&amp;"",IF($D746="TSE + PS",IF(INDEX(Accounts!$G$2:$G$21,MATCH($A746,Accounts!$B$2:$B$21,0))&amp;""="","(no TSE)",INDEX(Accounts!$G$2:$G$21,MATCH($A746,Accounts!$B$2:$B$21,0))&amp;"")&amp;" / "&amp;IF(INDEX(Accounts!$F$2:$F$21,MATCH($A746,Accounts!$B$2:$B$21,0))&amp;""="","(no PS)",INDEX(Accounts!$F$2:$F$21,MATCH($A746,Accounts!$B$2:$B$21,0))&amp;""),"")))),""))</f>
        <v/>
      </c>
      <c r="F746" s="42" t="s">
        <v>104</v>
      </c>
      <c r="I746" s="42" t="s">
        <v>34</v>
      </c>
      <c r="K746" s="44" t="str">
        <f t="shared" si="1"/>
        <v>Owner missing </v>
      </c>
    </row>
    <row r="747" ht="15.75" customHeight="1">
      <c r="E747" s="43" t="str">
        <f t="array" ref="E747">IF($A747="","",IFERROR(IF($D747="TSE",INDEX(Accounts!$G$2:$G$21,MATCH($A747,Accounts!$B$2:$B$21,0))&amp;"",IF($D747="PS",INDEX(Accounts!$F$2:$F$21,MATCH($A747,Accounts!$B$2:$B$21,0))&amp;"",IF($D747="Named engineer",INDEX(Accounts!$I$2:$I$21,MATCH($A747,Accounts!$B$2:$B$21,0))&amp;"",IF($D747="TSE + PS",IF(INDEX(Accounts!$G$2:$G$21,MATCH($A747,Accounts!$B$2:$B$21,0))&amp;""="","(no TSE)",INDEX(Accounts!$G$2:$G$21,MATCH($A747,Accounts!$B$2:$B$21,0))&amp;"")&amp;" / "&amp;IF(INDEX(Accounts!$F$2:$F$21,MATCH($A747,Accounts!$B$2:$B$21,0))&amp;""="","(no PS)",INDEX(Accounts!$F$2:$F$21,MATCH($A747,Accounts!$B$2:$B$21,0))&amp;""),"")))),""))</f>
        <v/>
      </c>
      <c r="F747" s="42" t="s">
        <v>104</v>
      </c>
      <c r="I747" s="42" t="s">
        <v>34</v>
      </c>
      <c r="K747" s="44" t="str">
        <f t="shared" si="1"/>
        <v>Owner missing </v>
      </c>
    </row>
    <row r="748" ht="15.75" customHeight="1">
      <c r="E748" s="43" t="str">
        <f t="array" ref="E748">IF($A748="","",IFERROR(IF($D748="TSE",INDEX(Accounts!$G$2:$G$21,MATCH($A748,Accounts!$B$2:$B$21,0))&amp;"",IF($D748="PS",INDEX(Accounts!$F$2:$F$21,MATCH($A748,Accounts!$B$2:$B$21,0))&amp;"",IF($D748="Named engineer",INDEX(Accounts!$I$2:$I$21,MATCH($A748,Accounts!$B$2:$B$21,0))&amp;"",IF($D748="TSE + PS",IF(INDEX(Accounts!$G$2:$G$21,MATCH($A748,Accounts!$B$2:$B$21,0))&amp;""="","(no TSE)",INDEX(Accounts!$G$2:$G$21,MATCH($A748,Accounts!$B$2:$B$21,0))&amp;"")&amp;" / "&amp;IF(INDEX(Accounts!$F$2:$F$21,MATCH($A748,Accounts!$B$2:$B$21,0))&amp;""="","(no PS)",INDEX(Accounts!$F$2:$F$21,MATCH($A748,Accounts!$B$2:$B$21,0))&amp;""),"")))),""))</f>
        <v/>
      </c>
      <c r="F748" s="42" t="s">
        <v>104</v>
      </c>
      <c r="I748" s="42" t="s">
        <v>34</v>
      </c>
      <c r="K748" s="44" t="str">
        <f t="shared" si="1"/>
        <v>Owner missing </v>
      </c>
    </row>
    <row r="749" ht="15.75" customHeight="1">
      <c r="E749" s="43" t="str">
        <f t="array" ref="E749">IF($A749="","",IFERROR(IF($D749="TSE",INDEX(Accounts!$G$2:$G$21,MATCH($A749,Accounts!$B$2:$B$21,0))&amp;"",IF($D749="PS",INDEX(Accounts!$F$2:$F$21,MATCH($A749,Accounts!$B$2:$B$21,0))&amp;"",IF($D749="Named engineer",INDEX(Accounts!$I$2:$I$21,MATCH($A749,Accounts!$B$2:$B$21,0))&amp;"",IF($D749="TSE + PS",IF(INDEX(Accounts!$G$2:$G$21,MATCH($A749,Accounts!$B$2:$B$21,0))&amp;""="","(no TSE)",INDEX(Accounts!$G$2:$G$21,MATCH($A749,Accounts!$B$2:$B$21,0))&amp;"")&amp;" / "&amp;IF(INDEX(Accounts!$F$2:$F$21,MATCH($A749,Accounts!$B$2:$B$21,0))&amp;""="","(no PS)",INDEX(Accounts!$F$2:$F$21,MATCH($A749,Accounts!$B$2:$B$21,0))&amp;""),"")))),""))</f>
        <v/>
      </c>
      <c r="F749" s="42" t="s">
        <v>104</v>
      </c>
      <c r="I749" s="42" t="s">
        <v>34</v>
      </c>
      <c r="K749" s="44" t="str">
        <f t="shared" si="1"/>
        <v>Owner missing </v>
      </c>
    </row>
    <row r="750" ht="15.75" customHeight="1">
      <c r="E750" s="43" t="str">
        <f t="array" ref="E750">IF($A750="","",IFERROR(IF($D750="TSE",INDEX(Accounts!$G$2:$G$21,MATCH($A750,Accounts!$B$2:$B$21,0))&amp;"",IF($D750="PS",INDEX(Accounts!$F$2:$F$21,MATCH($A750,Accounts!$B$2:$B$21,0))&amp;"",IF($D750="Named engineer",INDEX(Accounts!$I$2:$I$21,MATCH($A750,Accounts!$B$2:$B$21,0))&amp;"",IF($D750="TSE + PS",IF(INDEX(Accounts!$G$2:$G$21,MATCH($A750,Accounts!$B$2:$B$21,0))&amp;""="","(no TSE)",INDEX(Accounts!$G$2:$G$21,MATCH($A750,Accounts!$B$2:$B$21,0))&amp;"")&amp;" / "&amp;IF(INDEX(Accounts!$F$2:$F$21,MATCH($A750,Accounts!$B$2:$B$21,0))&amp;""="","(no PS)",INDEX(Accounts!$F$2:$F$21,MATCH($A750,Accounts!$B$2:$B$21,0))&amp;""),"")))),""))</f>
        <v/>
      </c>
      <c r="F750" s="42" t="s">
        <v>104</v>
      </c>
      <c r="I750" s="42" t="s">
        <v>34</v>
      </c>
      <c r="K750" s="44" t="str">
        <f t="shared" si="1"/>
        <v>Owner missing </v>
      </c>
    </row>
    <row r="751" ht="15.75" customHeight="1">
      <c r="E751" s="43" t="str">
        <f t="array" ref="E751">IF($A751="","",IFERROR(IF($D751="TSE",INDEX(Accounts!$G$2:$G$21,MATCH($A751,Accounts!$B$2:$B$21,0))&amp;"",IF($D751="PS",INDEX(Accounts!$F$2:$F$21,MATCH($A751,Accounts!$B$2:$B$21,0))&amp;"",IF($D751="Named engineer",INDEX(Accounts!$I$2:$I$21,MATCH($A751,Accounts!$B$2:$B$21,0))&amp;"",IF($D751="TSE + PS",IF(INDEX(Accounts!$G$2:$G$21,MATCH($A751,Accounts!$B$2:$B$21,0))&amp;""="","(no TSE)",INDEX(Accounts!$G$2:$G$21,MATCH($A751,Accounts!$B$2:$B$21,0))&amp;"")&amp;" / "&amp;IF(INDEX(Accounts!$F$2:$F$21,MATCH($A751,Accounts!$B$2:$B$21,0))&amp;""="","(no PS)",INDEX(Accounts!$F$2:$F$21,MATCH($A751,Accounts!$B$2:$B$21,0))&amp;""),"")))),""))</f>
        <v/>
      </c>
      <c r="F751" s="42" t="s">
        <v>104</v>
      </c>
      <c r="I751" s="42" t="s">
        <v>34</v>
      </c>
      <c r="K751" s="44" t="str">
        <f t="shared" si="1"/>
        <v>Owner missing </v>
      </c>
    </row>
    <row r="752" ht="15.75" customHeight="1">
      <c r="E752" s="43" t="str">
        <f t="array" ref="E752">IF($A752="","",IFERROR(IF($D752="TSE",INDEX(Accounts!$G$2:$G$21,MATCH($A752,Accounts!$B$2:$B$21,0))&amp;"",IF($D752="PS",INDEX(Accounts!$F$2:$F$21,MATCH($A752,Accounts!$B$2:$B$21,0))&amp;"",IF($D752="Named engineer",INDEX(Accounts!$I$2:$I$21,MATCH($A752,Accounts!$B$2:$B$21,0))&amp;"",IF($D752="TSE + PS",IF(INDEX(Accounts!$G$2:$G$21,MATCH($A752,Accounts!$B$2:$B$21,0))&amp;""="","(no TSE)",INDEX(Accounts!$G$2:$G$21,MATCH($A752,Accounts!$B$2:$B$21,0))&amp;"")&amp;" / "&amp;IF(INDEX(Accounts!$F$2:$F$21,MATCH($A752,Accounts!$B$2:$B$21,0))&amp;""="","(no PS)",INDEX(Accounts!$F$2:$F$21,MATCH($A752,Accounts!$B$2:$B$21,0))&amp;""),"")))),""))</f>
        <v/>
      </c>
      <c r="F752" s="42" t="s">
        <v>104</v>
      </c>
      <c r="I752" s="42" t="s">
        <v>34</v>
      </c>
      <c r="K752" s="44" t="str">
        <f t="shared" si="1"/>
        <v>Owner missing </v>
      </c>
    </row>
    <row r="753" ht="15.75" customHeight="1">
      <c r="E753" s="43" t="str">
        <f t="array" ref="E753">IF($A753="","",IFERROR(IF($D753="TSE",INDEX(Accounts!$G$2:$G$21,MATCH($A753,Accounts!$B$2:$B$21,0))&amp;"",IF($D753="PS",INDEX(Accounts!$F$2:$F$21,MATCH($A753,Accounts!$B$2:$B$21,0))&amp;"",IF($D753="Named engineer",INDEX(Accounts!$I$2:$I$21,MATCH($A753,Accounts!$B$2:$B$21,0))&amp;"",IF($D753="TSE + PS",IF(INDEX(Accounts!$G$2:$G$21,MATCH($A753,Accounts!$B$2:$B$21,0))&amp;""="","(no TSE)",INDEX(Accounts!$G$2:$G$21,MATCH($A753,Accounts!$B$2:$B$21,0))&amp;"")&amp;" / "&amp;IF(INDEX(Accounts!$F$2:$F$21,MATCH($A753,Accounts!$B$2:$B$21,0))&amp;""="","(no PS)",INDEX(Accounts!$F$2:$F$21,MATCH($A753,Accounts!$B$2:$B$21,0))&amp;""),"")))),""))</f>
        <v/>
      </c>
      <c r="F753" s="42" t="s">
        <v>104</v>
      </c>
      <c r="I753" s="42" t="s">
        <v>34</v>
      </c>
      <c r="K753" s="44" t="str">
        <f t="shared" si="1"/>
        <v>Owner missing </v>
      </c>
    </row>
    <row r="754" ht="15.75" customHeight="1">
      <c r="E754" s="43" t="str">
        <f t="array" ref="E754">IF($A754="","",IFERROR(IF($D754="TSE",INDEX(Accounts!$G$2:$G$21,MATCH($A754,Accounts!$B$2:$B$21,0))&amp;"",IF($D754="PS",INDEX(Accounts!$F$2:$F$21,MATCH($A754,Accounts!$B$2:$B$21,0))&amp;"",IF($D754="Named engineer",INDEX(Accounts!$I$2:$I$21,MATCH($A754,Accounts!$B$2:$B$21,0))&amp;"",IF($D754="TSE + PS",IF(INDEX(Accounts!$G$2:$G$21,MATCH($A754,Accounts!$B$2:$B$21,0))&amp;""="","(no TSE)",INDEX(Accounts!$G$2:$G$21,MATCH($A754,Accounts!$B$2:$B$21,0))&amp;"")&amp;" / "&amp;IF(INDEX(Accounts!$F$2:$F$21,MATCH($A754,Accounts!$B$2:$B$21,0))&amp;""="","(no PS)",INDEX(Accounts!$F$2:$F$21,MATCH($A754,Accounts!$B$2:$B$21,0))&amp;""),"")))),""))</f>
        <v/>
      </c>
      <c r="F754" s="42" t="s">
        <v>104</v>
      </c>
      <c r="I754" s="42" t="s">
        <v>34</v>
      </c>
      <c r="K754" s="44" t="str">
        <f t="shared" si="1"/>
        <v>Owner missing </v>
      </c>
    </row>
    <row r="755" ht="15.75" customHeight="1">
      <c r="E755" s="43" t="str">
        <f t="array" ref="E755">IF($A755="","",IFERROR(IF($D755="TSE",INDEX(Accounts!$G$2:$G$21,MATCH($A755,Accounts!$B$2:$B$21,0))&amp;"",IF($D755="PS",INDEX(Accounts!$F$2:$F$21,MATCH($A755,Accounts!$B$2:$B$21,0))&amp;"",IF($D755="Named engineer",INDEX(Accounts!$I$2:$I$21,MATCH($A755,Accounts!$B$2:$B$21,0))&amp;"",IF($D755="TSE + PS",IF(INDEX(Accounts!$G$2:$G$21,MATCH($A755,Accounts!$B$2:$B$21,0))&amp;""="","(no TSE)",INDEX(Accounts!$G$2:$G$21,MATCH($A755,Accounts!$B$2:$B$21,0))&amp;"")&amp;" / "&amp;IF(INDEX(Accounts!$F$2:$F$21,MATCH($A755,Accounts!$B$2:$B$21,0))&amp;""="","(no PS)",INDEX(Accounts!$F$2:$F$21,MATCH($A755,Accounts!$B$2:$B$21,0))&amp;""),"")))),""))</f>
        <v/>
      </c>
      <c r="F755" s="42" t="s">
        <v>104</v>
      </c>
      <c r="I755" s="42" t="s">
        <v>34</v>
      </c>
      <c r="K755" s="44" t="str">
        <f t="shared" si="1"/>
        <v>Owner missing </v>
      </c>
    </row>
    <row r="756" ht="15.75" customHeight="1">
      <c r="E756" s="43" t="str">
        <f t="array" ref="E756">IF($A756="","",IFERROR(IF($D756="TSE",INDEX(Accounts!$G$2:$G$21,MATCH($A756,Accounts!$B$2:$B$21,0))&amp;"",IF($D756="PS",INDEX(Accounts!$F$2:$F$21,MATCH($A756,Accounts!$B$2:$B$21,0))&amp;"",IF($D756="Named engineer",INDEX(Accounts!$I$2:$I$21,MATCH($A756,Accounts!$B$2:$B$21,0))&amp;"",IF($D756="TSE + PS",IF(INDEX(Accounts!$G$2:$G$21,MATCH($A756,Accounts!$B$2:$B$21,0))&amp;""="","(no TSE)",INDEX(Accounts!$G$2:$G$21,MATCH($A756,Accounts!$B$2:$B$21,0))&amp;"")&amp;" / "&amp;IF(INDEX(Accounts!$F$2:$F$21,MATCH($A756,Accounts!$B$2:$B$21,0))&amp;""="","(no PS)",INDEX(Accounts!$F$2:$F$21,MATCH($A756,Accounts!$B$2:$B$21,0))&amp;""),"")))),""))</f>
        <v/>
      </c>
      <c r="F756" s="42" t="s">
        <v>104</v>
      </c>
      <c r="I756" s="42" t="s">
        <v>34</v>
      </c>
      <c r="K756" s="44" t="str">
        <f t="shared" si="1"/>
        <v>Owner missing </v>
      </c>
    </row>
    <row r="757" ht="15.75" customHeight="1">
      <c r="E757" s="43" t="str">
        <f t="array" ref="E757">IF($A757="","",IFERROR(IF($D757="TSE",INDEX(Accounts!$G$2:$G$21,MATCH($A757,Accounts!$B$2:$B$21,0))&amp;"",IF($D757="PS",INDEX(Accounts!$F$2:$F$21,MATCH($A757,Accounts!$B$2:$B$21,0))&amp;"",IF($D757="Named engineer",INDEX(Accounts!$I$2:$I$21,MATCH($A757,Accounts!$B$2:$B$21,0))&amp;"",IF($D757="TSE + PS",IF(INDEX(Accounts!$G$2:$G$21,MATCH($A757,Accounts!$B$2:$B$21,0))&amp;""="","(no TSE)",INDEX(Accounts!$G$2:$G$21,MATCH($A757,Accounts!$B$2:$B$21,0))&amp;"")&amp;" / "&amp;IF(INDEX(Accounts!$F$2:$F$21,MATCH($A757,Accounts!$B$2:$B$21,0))&amp;""="","(no PS)",INDEX(Accounts!$F$2:$F$21,MATCH($A757,Accounts!$B$2:$B$21,0))&amp;""),"")))),""))</f>
        <v/>
      </c>
      <c r="F757" s="42" t="s">
        <v>104</v>
      </c>
      <c r="I757" s="42" t="s">
        <v>34</v>
      </c>
      <c r="K757" s="44" t="str">
        <f t="shared" si="1"/>
        <v>Owner missing </v>
      </c>
    </row>
    <row r="758" ht="15.75" customHeight="1">
      <c r="E758" s="43" t="str">
        <f t="array" ref="E758">IF($A758="","",IFERROR(IF($D758="TSE",INDEX(Accounts!$G$2:$G$21,MATCH($A758,Accounts!$B$2:$B$21,0))&amp;"",IF($D758="PS",INDEX(Accounts!$F$2:$F$21,MATCH($A758,Accounts!$B$2:$B$21,0))&amp;"",IF($D758="Named engineer",INDEX(Accounts!$I$2:$I$21,MATCH($A758,Accounts!$B$2:$B$21,0))&amp;"",IF($D758="TSE + PS",IF(INDEX(Accounts!$G$2:$G$21,MATCH($A758,Accounts!$B$2:$B$21,0))&amp;""="","(no TSE)",INDEX(Accounts!$G$2:$G$21,MATCH($A758,Accounts!$B$2:$B$21,0))&amp;"")&amp;" / "&amp;IF(INDEX(Accounts!$F$2:$F$21,MATCH($A758,Accounts!$B$2:$B$21,0))&amp;""="","(no PS)",INDEX(Accounts!$F$2:$F$21,MATCH($A758,Accounts!$B$2:$B$21,0))&amp;""),"")))),""))</f>
        <v/>
      </c>
      <c r="F758" s="42" t="s">
        <v>104</v>
      </c>
      <c r="I758" s="42" t="s">
        <v>34</v>
      </c>
      <c r="K758" s="44" t="str">
        <f t="shared" si="1"/>
        <v>Owner missing </v>
      </c>
    </row>
    <row r="759" ht="15.75" customHeight="1">
      <c r="E759" s="43" t="str">
        <f t="array" ref="E759">IF($A759="","",IFERROR(IF($D759="TSE",INDEX(Accounts!$G$2:$G$21,MATCH($A759,Accounts!$B$2:$B$21,0))&amp;"",IF($D759="PS",INDEX(Accounts!$F$2:$F$21,MATCH($A759,Accounts!$B$2:$B$21,0))&amp;"",IF($D759="Named engineer",INDEX(Accounts!$I$2:$I$21,MATCH($A759,Accounts!$B$2:$B$21,0))&amp;"",IF($D759="TSE + PS",IF(INDEX(Accounts!$G$2:$G$21,MATCH($A759,Accounts!$B$2:$B$21,0))&amp;""="","(no TSE)",INDEX(Accounts!$G$2:$G$21,MATCH($A759,Accounts!$B$2:$B$21,0))&amp;"")&amp;" / "&amp;IF(INDEX(Accounts!$F$2:$F$21,MATCH($A759,Accounts!$B$2:$B$21,0))&amp;""="","(no PS)",INDEX(Accounts!$F$2:$F$21,MATCH($A759,Accounts!$B$2:$B$21,0))&amp;""),"")))),""))</f>
        <v/>
      </c>
      <c r="F759" s="42" t="s">
        <v>104</v>
      </c>
      <c r="I759" s="42" t="s">
        <v>34</v>
      </c>
      <c r="K759" s="44" t="str">
        <f t="shared" si="1"/>
        <v>Owner missing </v>
      </c>
    </row>
    <row r="760" ht="15.75" customHeight="1">
      <c r="E760" s="43" t="str">
        <f t="array" ref="E760">IF($A760="","",IFERROR(IF($D760="TSE",INDEX(Accounts!$G$2:$G$21,MATCH($A760,Accounts!$B$2:$B$21,0))&amp;"",IF($D760="PS",INDEX(Accounts!$F$2:$F$21,MATCH($A760,Accounts!$B$2:$B$21,0))&amp;"",IF($D760="Named engineer",INDEX(Accounts!$I$2:$I$21,MATCH($A760,Accounts!$B$2:$B$21,0))&amp;"",IF($D760="TSE + PS",IF(INDEX(Accounts!$G$2:$G$21,MATCH($A760,Accounts!$B$2:$B$21,0))&amp;""="","(no TSE)",INDEX(Accounts!$G$2:$G$21,MATCH($A760,Accounts!$B$2:$B$21,0))&amp;"")&amp;" / "&amp;IF(INDEX(Accounts!$F$2:$F$21,MATCH($A760,Accounts!$B$2:$B$21,0))&amp;""="","(no PS)",INDEX(Accounts!$F$2:$F$21,MATCH($A760,Accounts!$B$2:$B$21,0))&amp;""),"")))),""))</f>
        <v/>
      </c>
      <c r="F760" s="42" t="s">
        <v>104</v>
      </c>
      <c r="I760" s="42" t="s">
        <v>34</v>
      </c>
      <c r="K760" s="44" t="str">
        <f t="shared" si="1"/>
        <v>Owner missing </v>
      </c>
    </row>
    <row r="761" ht="15.75" customHeight="1">
      <c r="E761" s="43" t="str">
        <f t="array" ref="E761">IF($A761="","",IFERROR(IF($D761="TSE",INDEX(Accounts!$G$2:$G$21,MATCH($A761,Accounts!$B$2:$B$21,0))&amp;"",IF($D761="PS",INDEX(Accounts!$F$2:$F$21,MATCH($A761,Accounts!$B$2:$B$21,0))&amp;"",IF($D761="Named engineer",INDEX(Accounts!$I$2:$I$21,MATCH($A761,Accounts!$B$2:$B$21,0))&amp;"",IF($D761="TSE + PS",IF(INDEX(Accounts!$G$2:$G$21,MATCH($A761,Accounts!$B$2:$B$21,0))&amp;""="","(no TSE)",INDEX(Accounts!$G$2:$G$21,MATCH($A761,Accounts!$B$2:$B$21,0))&amp;"")&amp;" / "&amp;IF(INDEX(Accounts!$F$2:$F$21,MATCH($A761,Accounts!$B$2:$B$21,0))&amp;""="","(no PS)",INDEX(Accounts!$F$2:$F$21,MATCH($A761,Accounts!$B$2:$B$21,0))&amp;""),"")))),""))</f>
        <v/>
      </c>
      <c r="F761" s="42" t="s">
        <v>104</v>
      </c>
      <c r="I761" s="42" t="s">
        <v>34</v>
      </c>
      <c r="K761" s="44" t="str">
        <f t="shared" si="1"/>
        <v>Owner missing </v>
      </c>
    </row>
    <row r="762" ht="15.75" customHeight="1">
      <c r="E762" s="43" t="str">
        <f t="array" ref="E762">IF($A762="","",IFERROR(IF($D762="TSE",INDEX(Accounts!$G$2:$G$21,MATCH($A762,Accounts!$B$2:$B$21,0))&amp;"",IF($D762="PS",INDEX(Accounts!$F$2:$F$21,MATCH($A762,Accounts!$B$2:$B$21,0))&amp;"",IF($D762="Named engineer",INDEX(Accounts!$I$2:$I$21,MATCH($A762,Accounts!$B$2:$B$21,0))&amp;"",IF($D762="TSE + PS",IF(INDEX(Accounts!$G$2:$G$21,MATCH($A762,Accounts!$B$2:$B$21,0))&amp;""="","(no TSE)",INDEX(Accounts!$G$2:$G$21,MATCH($A762,Accounts!$B$2:$B$21,0))&amp;"")&amp;" / "&amp;IF(INDEX(Accounts!$F$2:$F$21,MATCH($A762,Accounts!$B$2:$B$21,0))&amp;""="","(no PS)",INDEX(Accounts!$F$2:$F$21,MATCH($A762,Accounts!$B$2:$B$21,0))&amp;""),"")))),""))</f>
        <v/>
      </c>
      <c r="F762" s="42" t="s">
        <v>104</v>
      </c>
      <c r="I762" s="42" t="s">
        <v>34</v>
      </c>
      <c r="K762" s="44" t="str">
        <f t="shared" si="1"/>
        <v>Owner missing </v>
      </c>
    </row>
    <row r="763" ht="15.75" customHeight="1">
      <c r="E763" s="43" t="str">
        <f t="array" ref="E763">IF($A763="","",IFERROR(IF($D763="TSE",INDEX(Accounts!$G$2:$G$21,MATCH($A763,Accounts!$B$2:$B$21,0))&amp;"",IF($D763="PS",INDEX(Accounts!$F$2:$F$21,MATCH($A763,Accounts!$B$2:$B$21,0))&amp;"",IF($D763="Named engineer",INDEX(Accounts!$I$2:$I$21,MATCH($A763,Accounts!$B$2:$B$21,0))&amp;"",IF($D763="TSE + PS",IF(INDEX(Accounts!$G$2:$G$21,MATCH($A763,Accounts!$B$2:$B$21,0))&amp;""="","(no TSE)",INDEX(Accounts!$G$2:$G$21,MATCH($A763,Accounts!$B$2:$B$21,0))&amp;"")&amp;" / "&amp;IF(INDEX(Accounts!$F$2:$F$21,MATCH($A763,Accounts!$B$2:$B$21,0))&amp;""="","(no PS)",INDEX(Accounts!$F$2:$F$21,MATCH($A763,Accounts!$B$2:$B$21,0))&amp;""),"")))),""))</f>
        <v/>
      </c>
      <c r="F763" s="42" t="s">
        <v>104</v>
      </c>
      <c r="I763" s="42" t="s">
        <v>34</v>
      </c>
      <c r="K763" s="44" t="str">
        <f t="shared" si="1"/>
        <v>Owner missing </v>
      </c>
    </row>
    <row r="764" ht="15.75" customHeight="1">
      <c r="E764" s="43" t="str">
        <f t="array" ref="E764">IF($A764="","",IFERROR(IF($D764="TSE",INDEX(Accounts!$G$2:$G$21,MATCH($A764,Accounts!$B$2:$B$21,0))&amp;"",IF($D764="PS",INDEX(Accounts!$F$2:$F$21,MATCH($A764,Accounts!$B$2:$B$21,0))&amp;"",IF($D764="Named engineer",INDEX(Accounts!$I$2:$I$21,MATCH($A764,Accounts!$B$2:$B$21,0))&amp;"",IF($D764="TSE + PS",IF(INDEX(Accounts!$G$2:$G$21,MATCH($A764,Accounts!$B$2:$B$21,0))&amp;""="","(no TSE)",INDEX(Accounts!$G$2:$G$21,MATCH($A764,Accounts!$B$2:$B$21,0))&amp;"")&amp;" / "&amp;IF(INDEX(Accounts!$F$2:$F$21,MATCH($A764,Accounts!$B$2:$B$21,0))&amp;""="","(no PS)",INDEX(Accounts!$F$2:$F$21,MATCH($A764,Accounts!$B$2:$B$21,0))&amp;""),"")))),""))</f>
        <v/>
      </c>
      <c r="F764" s="42" t="s">
        <v>104</v>
      </c>
      <c r="I764" s="42" t="s">
        <v>34</v>
      </c>
      <c r="K764" s="44" t="str">
        <f t="shared" si="1"/>
        <v>Owner missing </v>
      </c>
    </row>
    <row r="765" ht="15.75" customHeight="1">
      <c r="E765" s="43" t="str">
        <f t="array" ref="E765">IF($A765="","",IFERROR(IF($D765="TSE",INDEX(Accounts!$G$2:$G$21,MATCH($A765,Accounts!$B$2:$B$21,0))&amp;"",IF($D765="PS",INDEX(Accounts!$F$2:$F$21,MATCH($A765,Accounts!$B$2:$B$21,0))&amp;"",IF($D765="Named engineer",INDEX(Accounts!$I$2:$I$21,MATCH($A765,Accounts!$B$2:$B$21,0))&amp;"",IF($D765="TSE + PS",IF(INDEX(Accounts!$G$2:$G$21,MATCH($A765,Accounts!$B$2:$B$21,0))&amp;""="","(no TSE)",INDEX(Accounts!$G$2:$G$21,MATCH($A765,Accounts!$B$2:$B$21,0))&amp;"")&amp;" / "&amp;IF(INDEX(Accounts!$F$2:$F$21,MATCH($A765,Accounts!$B$2:$B$21,0))&amp;""="","(no PS)",INDEX(Accounts!$F$2:$F$21,MATCH($A765,Accounts!$B$2:$B$21,0))&amp;""),"")))),""))</f>
        <v/>
      </c>
      <c r="F765" s="42" t="s">
        <v>104</v>
      </c>
      <c r="I765" s="42" t="s">
        <v>34</v>
      </c>
      <c r="K765" s="44" t="str">
        <f t="shared" si="1"/>
        <v>Owner missing </v>
      </c>
    </row>
    <row r="766" ht="15.75" customHeight="1">
      <c r="E766" s="43" t="str">
        <f t="array" ref="E766">IF($A766="","",IFERROR(IF($D766="TSE",INDEX(Accounts!$G$2:$G$21,MATCH($A766,Accounts!$B$2:$B$21,0))&amp;"",IF($D766="PS",INDEX(Accounts!$F$2:$F$21,MATCH($A766,Accounts!$B$2:$B$21,0))&amp;"",IF($D766="Named engineer",INDEX(Accounts!$I$2:$I$21,MATCH($A766,Accounts!$B$2:$B$21,0))&amp;"",IF($D766="TSE + PS",IF(INDEX(Accounts!$G$2:$G$21,MATCH($A766,Accounts!$B$2:$B$21,0))&amp;""="","(no TSE)",INDEX(Accounts!$G$2:$G$21,MATCH($A766,Accounts!$B$2:$B$21,0))&amp;"")&amp;" / "&amp;IF(INDEX(Accounts!$F$2:$F$21,MATCH($A766,Accounts!$B$2:$B$21,0))&amp;""="","(no PS)",INDEX(Accounts!$F$2:$F$21,MATCH($A766,Accounts!$B$2:$B$21,0))&amp;""),"")))),""))</f>
        <v/>
      </c>
      <c r="F766" s="42" t="s">
        <v>104</v>
      </c>
      <c r="I766" s="42" t="s">
        <v>34</v>
      </c>
      <c r="K766" s="44" t="str">
        <f t="shared" si="1"/>
        <v>Owner missing </v>
      </c>
    </row>
    <row r="767" ht="15.75" customHeight="1">
      <c r="E767" s="43" t="str">
        <f t="array" ref="E767">IF($A767="","",IFERROR(IF($D767="TSE",INDEX(Accounts!$G$2:$G$21,MATCH($A767,Accounts!$B$2:$B$21,0))&amp;"",IF($D767="PS",INDEX(Accounts!$F$2:$F$21,MATCH($A767,Accounts!$B$2:$B$21,0))&amp;"",IF($D767="Named engineer",INDEX(Accounts!$I$2:$I$21,MATCH($A767,Accounts!$B$2:$B$21,0))&amp;"",IF($D767="TSE + PS",IF(INDEX(Accounts!$G$2:$G$21,MATCH($A767,Accounts!$B$2:$B$21,0))&amp;""="","(no TSE)",INDEX(Accounts!$G$2:$G$21,MATCH($A767,Accounts!$B$2:$B$21,0))&amp;"")&amp;" / "&amp;IF(INDEX(Accounts!$F$2:$F$21,MATCH($A767,Accounts!$B$2:$B$21,0))&amp;""="","(no PS)",INDEX(Accounts!$F$2:$F$21,MATCH($A767,Accounts!$B$2:$B$21,0))&amp;""),"")))),""))</f>
        <v/>
      </c>
      <c r="F767" s="42" t="s">
        <v>104</v>
      </c>
      <c r="I767" s="42" t="s">
        <v>34</v>
      </c>
      <c r="K767" s="44" t="str">
        <f t="shared" si="1"/>
        <v>Owner missing </v>
      </c>
    </row>
    <row r="768" ht="15.75" customHeight="1">
      <c r="E768" s="43" t="str">
        <f t="array" ref="E768">IF($A768="","",IFERROR(IF($D768="TSE",INDEX(Accounts!$G$2:$G$21,MATCH($A768,Accounts!$B$2:$B$21,0))&amp;"",IF($D768="PS",INDEX(Accounts!$F$2:$F$21,MATCH($A768,Accounts!$B$2:$B$21,0))&amp;"",IF($D768="Named engineer",INDEX(Accounts!$I$2:$I$21,MATCH($A768,Accounts!$B$2:$B$21,0))&amp;"",IF($D768="TSE + PS",IF(INDEX(Accounts!$G$2:$G$21,MATCH($A768,Accounts!$B$2:$B$21,0))&amp;""="","(no TSE)",INDEX(Accounts!$G$2:$G$21,MATCH($A768,Accounts!$B$2:$B$21,0))&amp;"")&amp;" / "&amp;IF(INDEX(Accounts!$F$2:$F$21,MATCH($A768,Accounts!$B$2:$B$21,0))&amp;""="","(no PS)",INDEX(Accounts!$F$2:$F$21,MATCH($A768,Accounts!$B$2:$B$21,0))&amp;""),"")))),""))</f>
        <v/>
      </c>
      <c r="F768" s="42" t="s">
        <v>104</v>
      </c>
      <c r="I768" s="42" t="s">
        <v>34</v>
      </c>
      <c r="K768" s="44" t="str">
        <f t="shared" si="1"/>
        <v>Owner missing </v>
      </c>
    </row>
    <row r="769" ht="15.75" customHeight="1">
      <c r="E769" s="43" t="str">
        <f t="array" ref="E769">IF($A769="","",IFERROR(IF($D769="TSE",INDEX(Accounts!$G$2:$G$21,MATCH($A769,Accounts!$B$2:$B$21,0))&amp;"",IF($D769="PS",INDEX(Accounts!$F$2:$F$21,MATCH($A769,Accounts!$B$2:$B$21,0))&amp;"",IF($D769="Named engineer",INDEX(Accounts!$I$2:$I$21,MATCH($A769,Accounts!$B$2:$B$21,0))&amp;"",IF($D769="TSE + PS",IF(INDEX(Accounts!$G$2:$G$21,MATCH($A769,Accounts!$B$2:$B$21,0))&amp;""="","(no TSE)",INDEX(Accounts!$G$2:$G$21,MATCH($A769,Accounts!$B$2:$B$21,0))&amp;"")&amp;" / "&amp;IF(INDEX(Accounts!$F$2:$F$21,MATCH($A769,Accounts!$B$2:$B$21,0))&amp;""="","(no PS)",INDEX(Accounts!$F$2:$F$21,MATCH($A769,Accounts!$B$2:$B$21,0))&amp;""),"")))),""))</f>
        <v/>
      </c>
      <c r="F769" s="42" t="s">
        <v>104</v>
      </c>
      <c r="I769" s="42" t="s">
        <v>34</v>
      </c>
      <c r="K769" s="44" t="str">
        <f t="shared" si="1"/>
        <v>Owner missing </v>
      </c>
    </row>
    <row r="770" ht="15.75" customHeight="1">
      <c r="E770" s="43" t="str">
        <f t="array" ref="E770">IF($A770="","",IFERROR(IF($D770="TSE",INDEX(Accounts!$G$2:$G$21,MATCH($A770,Accounts!$B$2:$B$21,0))&amp;"",IF($D770="PS",INDEX(Accounts!$F$2:$F$21,MATCH($A770,Accounts!$B$2:$B$21,0))&amp;"",IF($D770="Named engineer",INDEX(Accounts!$I$2:$I$21,MATCH($A770,Accounts!$B$2:$B$21,0))&amp;"",IF($D770="TSE + PS",IF(INDEX(Accounts!$G$2:$G$21,MATCH($A770,Accounts!$B$2:$B$21,0))&amp;""="","(no TSE)",INDEX(Accounts!$G$2:$G$21,MATCH($A770,Accounts!$B$2:$B$21,0))&amp;"")&amp;" / "&amp;IF(INDEX(Accounts!$F$2:$F$21,MATCH($A770,Accounts!$B$2:$B$21,0))&amp;""="","(no PS)",INDEX(Accounts!$F$2:$F$21,MATCH($A770,Accounts!$B$2:$B$21,0))&amp;""),"")))),""))</f>
        <v/>
      </c>
      <c r="F770" s="42" t="s">
        <v>104</v>
      </c>
      <c r="I770" s="42" t="s">
        <v>34</v>
      </c>
      <c r="K770" s="44" t="str">
        <f t="shared" si="1"/>
        <v>Owner missing </v>
      </c>
    </row>
    <row r="771" ht="15.75" customHeight="1">
      <c r="E771" s="43" t="str">
        <f t="array" ref="E771">IF($A771="","",IFERROR(IF($D771="TSE",INDEX(Accounts!$G$2:$G$21,MATCH($A771,Accounts!$B$2:$B$21,0))&amp;"",IF($D771="PS",INDEX(Accounts!$F$2:$F$21,MATCH($A771,Accounts!$B$2:$B$21,0))&amp;"",IF($D771="Named engineer",INDEX(Accounts!$I$2:$I$21,MATCH($A771,Accounts!$B$2:$B$21,0))&amp;"",IF($D771="TSE + PS",IF(INDEX(Accounts!$G$2:$G$21,MATCH($A771,Accounts!$B$2:$B$21,0))&amp;""="","(no TSE)",INDEX(Accounts!$G$2:$G$21,MATCH($A771,Accounts!$B$2:$B$21,0))&amp;"")&amp;" / "&amp;IF(INDEX(Accounts!$F$2:$F$21,MATCH($A771,Accounts!$B$2:$B$21,0))&amp;""="","(no PS)",INDEX(Accounts!$F$2:$F$21,MATCH($A771,Accounts!$B$2:$B$21,0))&amp;""),"")))),""))</f>
        <v/>
      </c>
      <c r="F771" s="42" t="s">
        <v>104</v>
      </c>
      <c r="I771" s="42" t="s">
        <v>34</v>
      </c>
      <c r="K771" s="44" t="str">
        <f t="shared" si="1"/>
        <v>Owner missing </v>
      </c>
    </row>
    <row r="772" ht="15.75" customHeight="1">
      <c r="E772" s="43" t="str">
        <f t="array" ref="E772">IF($A772="","",IFERROR(IF($D772="TSE",INDEX(Accounts!$G$2:$G$21,MATCH($A772,Accounts!$B$2:$B$21,0))&amp;"",IF($D772="PS",INDEX(Accounts!$F$2:$F$21,MATCH($A772,Accounts!$B$2:$B$21,0))&amp;"",IF($D772="Named engineer",INDEX(Accounts!$I$2:$I$21,MATCH($A772,Accounts!$B$2:$B$21,0))&amp;"",IF($D772="TSE + PS",IF(INDEX(Accounts!$G$2:$G$21,MATCH($A772,Accounts!$B$2:$B$21,0))&amp;""="","(no TSE)",INDEX(Accounts!$G$2:$G$21,MATCH($A772,Accounts!$B$2:$B$21,0))&amp;"")&amp;" / "&amp;IF(INDEX(Accounts!$F$2:$F$21,MATCH($A772,Accounts!$B$2:$B$21,0))&amp;""="","(no PS)",INDEX(Accounts!$F$2:$F$21,MATCH($A772,Accounts!$B$2:$B$21,0))&amp;""),"")))),""))</f>
        <v/>
      </c>
      <c r="F772" s="42" t="s">
        <v>104</v>
      </c>
      <c r="I772" s="42" t="s">
        <v>34</v>
      </c>
      <c r="K772" s="44" t="str">
        <f t="shared" si="1"/>
        <v>Owner missing </v>
      </c>
    </row>
    <row r="773" ht="15.75" customHeight="1">
      <c r="E773" s="43" t="str">
        <f t="array" ref="E773">IF($A773="","",IFERROR(IF($D773="TSE",INDEX(Accounts!$G$2:$G$21,MATCH($A773,Accounts!$B$2:$B$21,0))&amp;"",IF($D773="PS",INDEX(Accounts!$F$2:$F$21,MATCH($A773,Accounts!$B$2:$B$21,0))&amp;"",IF($D773="Named engineer",INDEX(Accounts!$I$2:$I$21,MATCH($A773,Accounts!$B$2:$B$21,0))&amp;"",IF($D773="TSE + PS",IF(INDEX(Accounts!$G$2:$G$21,MATCH($A773,Accounts!$B$2:$B$21,0))&amp;""="","(no TSE)",INDEX(Accounts!$G$2:$G$21,MATCH($A773,Accounts!$B$2:$B$21,0))&amp;"")&amp;" / "&amp;IF(INDEX(Accounts!$F$2:$F$21,MATCH($A773,Accounts!$B$2:$B$21,0))&amp;""="","(no PS)",INDEX(Accounts!$F$2:$F$21,MATCH($A773,Accounts!$B$2:$B$21,0))&amp;""),"")))),""))</f>
        <v/>
      </c>
      <c r="F773" s="42" t="s">
        <v>104</v>
      </c>
      <c r="I773" s="42" t="s">
        <v>34</v>
      </c>
      <c r="K773" s="44" t="str">
        <f t="shared" si="1"/>
        <v>Owner missing </v>
      </c>
    </row>
    <row r="774" ht="15.75" customHeight="1">
      <c r="E774" s="43" t="str">
        <f t="array" ref="E774">IF($A774="","",IFERROR(IF($D774="TSE",INDEX(Accounts!$G$2:$G$21,MATCH($A774,Accounts!$B$2:$B$21,0))&amp;"",IF($D774="PS",INDEX(Accounts!$F$2:$F$21,MATCH($A774,Accounts!$B$2:$B$21,0))&amp;"",IF($D774="Named engineer",INDEX(Accounts!$I$2:$I$21,MATCH($A774,Accounts!$B$2:$B$21,0))&amp;"",IF($D774="TSE + PS",IF(INDEX(Accounts!$G$2:$G$21,MATCH($A774,Accounts!$B$2:$B$21,0))&amp;""="","(no TSE)",INDEX(Accounts!$G$2:$G$21,MATCH($A774,Accounts!$B$2:$B$21,0))&amp;"")&amp;" / "&amp;IF(INDEX(Accounts!$F$2:$F$21,MATCH($A774,Accounts!$B$2:$B$21,0))&amp;""="","(no PS)",INDEX(Accounts!$F$2:$F$21,MATCH($A774,Accounts!$B$2:$B$21,0))&amp;""),"")))),""))</f>
        <v/>
      </c>
      <c r="F774" s="42" t="s">
        <v>104</v>
      </c>
      <c r="I774" s="42" t="s">
        <v>34</v>
      </c>
      <c r="K774" s="44" t="str">
        <f t="shared" si="1"/>
        <v>Owner missing </v>
      </c>
    </row>
    <row r="775" ht="15.75" customHeight="1">
      <c r="E775" s="43" t="str">
        <f t="array" ref="E775">IF($A775="","",IFERROR(IF($D775="TSE",INDEX(Accounts!$G$2:$G$21,MATCH($A775,Accounts!$B$2:$B$21,0))&amp;"",IF($D775="PS",INDEX(Accounts!$F$2:$F$21,MATCH($A775,Accounts!$B$2:$B$21,0))&amp;"",IF($D775="Named engineer",INDEX(Accounts!$I$2:$I$21,MATCH($A775,Accounts!$B$2:$B$21,0))&amp;"",IF($D775="TSE + PS",IF(INDEX(Accounts!$G$2:$G$21,MATCH($A775,Accounts!$B$2:$B$21,0))&amp;""="","(no TSE)",INDEX(Accounts!$G$2:$G$21,MATCH($A775,Accounts!$B$2:$B$21,0))&amp;"")&amp;" / "&amp;IF(INDEX(Accounts!$F$2:$F$21,MATCH($A775,Accounts!$B$2:$B$21,0))&amp;""="","(no PS)",INDEX(Accounts!$F$2:$F$21,MATCH($A775,Accounts!$B$2:$B$21,0))&amp;""),"")))),""))</f>
        <v/>
      </c>
      <c r="F775" s="42" t="s">
        <v>104</v>
      </c>
      <c r="I775" s="42" t="s">
        <v>34</v>
      </c>
      <c r="K775" s="44" t="str">
        <f t="shared" si="1"/>
        <v>Owner missing </v>
      </c>
    </row>
    <row r="776" ht="15.75" customHeight="1">
      <c r="E776" s="43" t="str">
        <f t="array" ref="E776">IF($A776="","",IFERROR(IF($D776="TSE",INDEX(Accounts!$G$2:$G$21,MATCH($A776,Accounts!$B$2:$B$21,0))&amp;"",IF($D776="PS",INDEX(Accounts!$F$2:$F$21,MATCH($A776,Accounts!$B$2:$B$21,0))&amp;"",IF($D776="Named engineer",INDEX(Accounts!$I$2:$I$21,MATCH($A776,Accounts!$B$2:$B$21,0))&amp;"",IF($D776="TSE + PS",IF(INDEX(Accounts!$G$2:$G$21,MATCH($A776,Accounts!$B$2:$B$21,0))&amp;""="","(no TSE)",INDEX(Accounts!$G$2:$G$21,MATCH($A776,Accounts!$B$2:$B$21,0))&amp;"")&amp;" / "&amp;IF(INDEX(Accounts!$F$2:$F$21,MATCH($A776,Accounts!$B$2:$B$21,0))&amp;""="","(no PS)",INDEX(Accounts!$F$2:$F$21,MATCH($A776,Accounts!$B$2:$B$21,0))&amp;""),"")))),""))</f>
        <v/>
      </c>
      <c r="F776" s="42" t="s">
        <v>104</v>
      </c>
      <c r="I776" s="42" t="s">
        <v>34</v>
      </c>
      <c r="K776" s="44" t="str">
        <f t="shared" si="1"/>
        <v>Owner missing </v>
      </c>
    </row>
    <row r="777" ht="15.75" customHeight="1">
      <c r="E777" s="43" t="str">
        <f t="array" ref="E777">IF($A777="","",IFERROR(IF($D777="TSE",INDEX(Accounts!$G$2:$G$21,MATCH($A777,Accounts!$B$2:$B$21,0))&amp;"",IF($D777="PS",INDEX(Accounts!$F$2:$F$21,MATCH($A777,Accounts!$B$2:$B$21,0))&amp;"",IF($D777="Named engineer",INDEX(Accounts!$I$2:$I$21,MATCH($A777,Accounts!$B$2:$B$21,0))&amp;"",IF($D777="TSE + PS",IF(INDEX(Accounts!$G$2:$G$21,MATCH($A777,Accounts!$B$2:$B$21,0))&amp;""="","(no TSE)",INDEX(Accounts!$G$2:$G$21,MATCH($A777,Accounts!$B$2:$B$21,0))&amp;"")&amp;" / "&amp;IF(INDEX(Accounts!$F$2:$F$21,MATCH($A777,Accounts!$B$2:$B$21,0))&amp;""="","(no PS)",INDEX(Accounts!$F$2:$F$21,MATCH($A777,Accounts!$B$2:$B$21,0))&amp;""),"")))),""))</f>
        <v/>
      </c>
      <c r="F777" s="42" t="s">
        <v>104</v>
      </c>
      <c r="I777" s="42" t="s">
        <v>34</v>
      </c>
      <c r="K777" s="44" t="str">
        <f t="shared" si="1"/>
        <v>Owner missing </v>
      </c>
    </row>
    <row r="778" ht="15.75" customHeight="1">
      <c r="E778" s="43" t="str">
        <f t="array" ref="E778">IF($A778="","",IFERROR(IF($D778="TSE",INDEX(Accounts!$G$2:$G$21,MATCH($A778,Accounts!$B$2:$B$21,0))&amp;"",IF($D778="PS",INDEX(Accounts!$F$2:$F$21,MATCH($A778,Accounts!$B$2:$B$21,0))&amp;"",IF($D778="Named engineer",INDEX(Accounts!$I$2:$I$21,MATCH($A778,Accounts!$B$2:$B$21,0))&amp;"",IF($D778="TSE + PS",IF(INDEX(Accounts!$G$2:$G$21,MATCH($A778,Accounts!$B$2:$B$21,0))&amp;""="","(no TSE)",INDEX(Accounts!$G$2:$G$21,MATCH($A778,Accounts!$B$2:$B$21,0))&amp;"")&amp;" / "&amp;IF(INDEX(Accounts!$F$2:$F$21,MATCH($A778,Accounts!$B$2:$B$21,0))&amp;""="","(no PS)",INDEX(Accounts!$F$2:$F$21,MATCH($A778,Accounts!$B$2:$B$21,0))&amp;""),"")))),""))</f>
        <v/>
      </c>
      <c r="F778" s="42" t="s">
        <v>104</v>
      </c>
      <c r="I778" s="42" t="s">
        <v>34</v>
      </c>
      <c r="K778" s="44" t="str">
        <f t="shared" si="1"/>
        <v>Owner missing </v>
      </c>
    </row>
    <row r="779" ht="15.75" customHeight="1">
      <c r="E779" s="43" t="str">
        <f t="array" ref="E779">IF($A779="","",IFERROR(IF($D779="TSE",INDEX(Accounts!$G$2:$G$21,MATCH($A779,Accounts!$B$2:$B$21,0))&amp;"",IF($D779="PS",INDEX(Accounts!$F$2:$F$21,MATCH($A779,Accounts!$B$2:$B$21,0))&amp;"",IF($D779="Named engineer",INDEX(Accounts!$I$2:$I$21,MATCH($A779,Accounts!$B$2:$B$21,0))&amp;"",IF($D779="TSE + PS",IF(INDEX(Accounts!$G$2:$G$21,MATCH($A779,Accounts!$B$2:$B$21,0))&amp;""="","(no TSE)",INDEX(Accounts!$G$2:$G$21,MATCH($A779,Accounts!$B$2:$B$21,0))&amp;"")&amp;" / "&amp;IF(INDEX(Accounts!$F$2:$F$21,MATCH($A779,Accounts!$B$2:$B$21,0))&amp;""="","(no PS)",INDEX(Accounts!$F$2:$F$21,MATCH($A779,Accounts!$B$2:$B$21,0))&amp;""),"")))),""))</f>
        <v/>
      </c>
      <c r="F779" s="42" t="s">
        <v>104</v>
      </c>
      <c r="I779" s="42" t="s">
        <v>34</v>
      </c>
      <c r="K779" s="44" t="str">
        <f t="shared" si="1"/>
        <v>Owner missing </v>
      </c>
    </row>
    <row r="780" ht="15.75" customHeight="1">
      <c r="E780" s="43" t="str">
        <f t="array" ref="E780">IF($A780="","",IFERROR(IF($D780="TSE",INDEX(Accounts!$G$2:$G$21,MATCH($A780,Accounts!$B$2:$B$21,0))&amp;"",IF($D780="PS",INDEX(Accounts!$F$2:$F$21,MATCH($A780,Accounts!$B$2:$B$21,0))&amp;"",IF($D780="Named engineer",INDEX(Accounts!$I$2:$I$21,MATCH($A780,Accounts!$B$2:$B$21,0))&amp;"",IF($D780="TSE + PS",IF(INDEX(Accounts!$G$2:$G$21,MATCH($A780,Accounts!$B$2:$B$21,0))&amp;""="","(no TSE)",INDEX(Accounts!$G$2:$G$21,MATCH($A780,Accounts!$B$2:$B$21,0))&amp;"")&amp;" / "&amp;IF(INDEX(Accounts!$F$2:$F$21,MATCH($A780,Accounts!$B$2:$B$21,0))&amp;""="","(no PS)",INDEX(Accounts!$F$2:$F$21,MATCH($A780,Accounts!$B$2:$B$21,0))&amp;""),"")))),""))</f>
        <v/>
      </c>
      <c r="F780" s="42" t="s">
        <v>104</v>
      </c>
      <c r="I780" s="42" t="s">
        <v>34</v>
      </c>
      <c r="K780" s="44" t="str">
        <f t="shared" si="1"/>
        <v>Owner missing </v>
      </c>
    </row>
    <row r="781" ht="15.75" customHeight="1">
      <c r="E781" s="43" t="str">
        <f t="array" ref="E781">IF($A781="","",IFERROR(IF($D781="TSE",INDEX(Accounts!$G$2:$G$21,MATCH($A781,Accounts!$B$2:$B$21,0))&amp;"",IF($D781="PS",INDEX(Accounts!$F$2:$F$21,MATCH($A781,Accounts!$B$2:$B$21,0))&amp;"",IF($D781="Named engineer",INDEX(Accounts!$I$2:$I$21,MATCH($A781,Accounts!$B$2:$B$21,0))&amp;"",IF($D781="TSE + PS",IF(INDEX(Accounts!$G$2:$G$21,MATCH($A781,Accounts!$B$2:$B$21,0))&amp;""="","(no TSE)",INDEX(Accounts!$G$2:$G$21,MATCH($A781,Accounts!$B$2:$B$21,0))&amp;"")&amp;" / "&amp;IF(INDEX(Accounts!$F$2:$F$21,MATCH($A781,Accounts!$B$2:$B$21,0))&amp;""="","(no PS)",INDEX(Accounts!$F$2:$F$21,MATCH($A781,Accounts!$B$2:$B$21,0))&amp;""),"")))),""))</f>
        <v/>
      </c>
      <c r="F781" s="42" t="s">
        <v>104</v>
      </c>
      <c r="I781" s="42" t="s">
        <v>34</v>
      </c>
      <c r="K781" s="44" t="str">
        <f t="shared" si="1"/>
        <v>Owner missing </v>
      </c>
    </row>
    <row r="782" ht="15.75" customHeight="1">
      <c r="E782" s="43" t="str">
        <f t="array" ref="E782">IF($A782="","",IFERROR(IF($D782="TSE",INDEX(Accounts!$G$2:$G$21,MATCH($A782,Accounts!$B$2:$B$21,0))&amp;"",IF($D782="PS",INDEX(Accounts!$F$2:$F$21,MATCH($A782,Accounts!$B$2:$B$21,0))&amp;"",IF($D782="Named engineer",INDEX(Accounts!$I$2:$I$21,MATCH($A782,Accounts!$B$2:$B$21,0))&amp;"",IF($D782="TSE + PS",IF(INDEX(Accounts!$G$2:$G$21,MATCH($A782,Accounts!$B$2:$B$21,0))&amp;""="","(no TSE)",INDEX(Accounts!$G$2:$G$21,MATCH($A782,Accounts!$B$2:$B$21,0))&amp;"")&amp;" / "&amp;IF(INDEX(Accounts!$F$2:$F$21,MATCH($A782,Accounts!$B$2:$B$21,0))&amp;""="","(no PS)",INDEX(Accounts!$F$2:$F$21,MATCH($A782,Accounts!$B$2:$B$21,0))&amp;""),"")))),""))</f>
        <v/>
      </c>
      <c r="F782" s="42" t="s">
        <v>104</v>
      </c>
      <c r="I782" s="42" t="s">
        <v>34</v>
      </c>
      <c r="K782" s="44" t="str">
        <f t="shared" si="1"/>
        <v>Owner missing </v>
      </c>
    </row>
    <row r="783" ht="15.75" customHeight="1">
      <c r="E783" s="43" t="str">
        <f t="array" ref="E783">IF($A783="","",IFERROR(IF($D783="TSE",INDEX(Accounts!$G$2:$G$21,MATCH($A783,Accounts!$B$2:$B$21,0))&amp;"",IF($D783="PS",INDEX(Accounts!$F$2:$F$21,MATCH($A783,Accounts!$B$2:$B$21,0))&amp;"",IF($D783="Named engineer",INDEX(Accounts!$I$2:$I$21,MATCH($A783,Accounts!$B$2:$B$21,0))&amp;"",IF($D783="TSE + PS",IF(INDEX(Accounts!$G$2:$G$21,MATCH($A783,Accounts!$B$2:$B$21,0))&amp;""="","(no TSE)",INDEX(Accounts!$G$2:$G$21,MATCH($A783,Accounts!$B$2:$B$21,0))&amp;"")&amp;" / "&amp;IF(INDEX(Accounts!$F$2:$F$21,MATCH($A783,Accounts!$B$2:$B$21,0))&amp;""="","(no PS)",INDEX(Accounts!$F$2:$F$21,MATCH($A783,Accounts!$B$2:$B$21,0))&amp;""),"")))),""))</f>
        <v/>
      </c>
      <c r="F783" s="42" t="s">
        <v>104</v>
      </c>
      <c r="I783" s="42" t="s">
        <v>34</v>
      </c>
      <c r="K783" s="44" t="str">
        <f t="shared" si="1"/>
        <v>Owner missing </v>
      </c>
    </row>
    <row r="784" ht="15.75" customHeight="1">
      <c r="E784" s="43" t="str">
        <f t="array" ref="E784">IF($A784="","",IFERROR(IF($D784="TSE",INDEX(Accounts!$G$2:$G$21,MATCH($A784,Accounts!$B$2:$B$21,0))&amp;"",IF($D784="PS",INDEX(Accounts!$F$2:$F$21,MATCH($A784,Accounts!$B$2:$B$21,0))&amp;"",IF($D784="Named engineer",INDEX(Accounts!$I$2:$I$21,MATCH($A784,Accounts!$B$2:$B$21,0))&amp;"",IF($D784="TSE + PS",IF(INDEX(Accounts!$G$2:$G$21,MATCH($A784,Accounts!$B$2:$B$21,0))&amp;""="","(no TSE)",INDEX(Accounts!$G$2:$G$21,MATCH($A784,Accounts!$B$2:$B$21,0))&amp;"")&amp;" / "&amp;IF(INDEX(Accounts!$F$2:$F$21,MATCH($A784,Accounts!$B$2:$B$21,0))&amp;""="","(no PS)",INDEX(Accounts!$F$2:$F$21,MATCH($A784,Accounts!$B$2:$B$21,0))&amp;""),"")))),""))</f>
        <v/>
      </c>
      <c r="F784" s="42" t="s">
        <v>104</v>
      </c>
      <c r="I784" s="42" t="s">
        <v>34</v>
      </c>
      <c r="K784" s="44" t="str">
        <f t="shared" si="1"/>
        <v>Owner missing </v>
      </c>
    </row>
    <row r="785" ht="15.75" customHeight="1">
      <c r="E785" s="43" t="str">
        <f t="array" ref="E785">IF($A785="","",IFERROR(IF($D785="TSE",INDEX(Accounts!$G$2:$G$21,MATCH($A785,Accounts!$B$2:$B$21,0))&amp;"",IF($D785="PS",INDEX(Accounts!$F$2:$F$21,MATCH($A785,Accounts!$B$2:$B$21,0))&amp;"",IF($D785="Named engineer",INDEX(Accounts!$I$2:$I$21,MATCH($A785,Accounts!$B$2:$B$21,0))&amp;"",IF($D785="TSE + PS",IF(INDEX(Accounts!$G$2:$G$21,MATCH($A785,Accounts!$B$2:$B$21,0))&amp;""="","(no TSE)",INDEX(Accounts!$G$2:$G$21,MATCH($A785,Accounts!$B$2:$B$21,0))&amp;"")&amp;" / "&amp;IF(INDEX(Accounts!$F$2:$F$21,MATCH($A785,Accounts!$B$2:$B$21,0))&amp;""="","(no PS)",INDEX(Accounts!$F$2:$F$21,MATCH($A785,Accounts!$B$2:$B$21,0))&amp;""),"")))),""))</f>
        <v/>
      </c>
      <c r="F785" s="42" t="s">
        <v>104</v>
      </c>
      <c r="I785" s="42" t="s">
        <v>34</v>
      </c>
      <c r="K785" s="44" t="str">
        <f t="shared" si="1"/>
        <v>Owner missing </v>
      </c>
    </row>
    <row r="786" ht="15.75" customHeight="1">
      <c r="E786" s="43" t="str">
        <f t="array" ref="E786">IF($A786="","",IFERROR(IF($D786="TSE",INDEX(Accounts!$G$2:$G$21,MATCH($A786,Accounts!$B$2:$B$21,0))&amp;"",IF($D786="PS",INDEX(Accounts!$F$2:$F$21,MATCH($A786,Accounts!$B$2:$B$21,0))&amp;"",IF($D786="Named engineer",INDEX(Accounts!$I$2:$I$21,MATCH($A786,Accounts!$B$2:$B$21,0))&amp;"",IF($D786="TSE + PS",IF(INDEX(Accounts!$G$2:$G$21,MATCH($A786,Accounts!$B$2:$B$21,0))&amp;""="","(no TSE)",INDEX(Accounts!$G$2:$G$21,MATCH($A786,Accounts!$B$2:$B$21,0))&amp;"")&amp;" / "&amp;IF(INDEX(Accounts!$F$2:$F$21,MATCH($A786,Accounts!$B$2:$B$21,0))&amp;""="","(no PS)",INDEX(Accounts!$F$2:$F$21,MATCH($A786,Accounts!$B$2:$B$21,0))&amp;""),"")))),""))</f>
        <v/>
      </c>
      <c r="F786" s="42" t="s">
        <v>104</v>
      </c>
      <c r="I786" s="42" t="s">
        <v>34</v>
      </c>
      <c r="K786" s="44" t="str">
        <f t="shared" si="1"/>
        <v>Owner missing </v>
      </c>
    </row>
    <row r="787" ht="15.75" customHeight="1">
      <c r="E787" s="43" t="str">
        <f t="array" ref="E787">IF($A787="","",IFERROR(IF($D787="TSE",INDEX(Accounts!$G$2:$G$21,MATCH($A787,Accounts!$B$2:$B$21,0))&amp;"",IF($D787="PS",INDEX(Accounts!$F$2:$F$21,MATCH($A787,Accounts!$B$2:$B$21,0))&amp;"",IF($D787="Named engineer",INDEX(Accounts!$I$2:$I$21,MATCH($A787,Accounts!$B$2:$B$21,0))&amp;"",IF($D787="TSE + PS",IF(INDEX(Accounts!$G$2:$G$21,MATCH($A787,Accounts!$B$2:$B$21,0))&amp;""="","(no TSE)",INDEX(Accounts!$G$2:$G$21,MATCH($A787,Accounts!$B$2:$B$21,0))&amp;"")&amp;" / "&amp;IF(INDEX(Accounts!$F$2:$F$21,MATCH($A787,Accounts!$B$2:$B$21,0))&amp;""="","(no PS)",INDEX(Accounts!$F$2:$F$21,MATCH($A787,Accounts!$B$2:$B$21,0))&amp;""),"")))),""))</f>
        <v/>
      </c>
      <c r="F787" s="42" t="s">
        <v>104</v>
      </c>
      <c r="I787" s="42" t="s">
        <v>34</v>
      </c>
      <c r="K787" s="44" t="str">
        <f t="shared" si="1"/>
        <v>Owner missing </v>
      </c>
    </row>
    <row r="788" ht="15.75" customHeight="1">
      <c r="E788" s="43" t="str">
        <f t="array" ref="E788">IF($A788="","",IFERROR(IF($D788="TSE",INDEX(Accounts!$G$2:$G$21,MATCH($A788,Accounts!$B$2:$B$21,0))&amp;"",IF($D788="PS",INDEX(Accounts!$F$2:$F$21,MATCH($A788,Accounts!$B$2:$B$21,0))&amp;"",IF($D788="Named engineer",INDEX(Accounts!$I$2:$I$21,MATCH($A788,Accounts!$B$2:$B$21,0))&amp;"",IF($D788="TSE + PS",IF(INDEX(Accounts!$G$2:$G$21,MATCH($A788,Accounts!$B$2:$B$21,0))&amp;""="","(no TSE)",INDEX(Accounts!$G$2:$G$21,MATCH($A788,Accounts!$B$2:$B$21,0))&amp;"")&amp;" / "&amp;IF(INDEX(Accounts!$F$2:$F$21,MATCH($A788,Accounts!$B$2:$B$21,0))&amp;""="","(no PS)",INDEX(Accounts!$F$2:$F$21,MATCH($A788,Accounts!$B$2:$B$21,0))&amp;""),"")))),""))</f>
        <v/>
      </c>
      <c r="F788" s="42" t="s">
        <v>104</v>
      </c>
      <c r="I788" s="42" t="s">
        <v>34</v>
      </c>
      <c r="K788" s="44" t="str">
        <f t="shared" si="1"/>
        <v>Owner missing </v>
      </c>
    </row>
    <row r="789" ht="15.75" customHeight="1">
      <c r="E789" s="43" t="str">
        <f t="array" ref="E789">IF($A789="","",IFERROR(IF($D789="TSE",INDEX(Accounts!$G$2:$G$21,MATCH($A789,Accounts!$B$2:$B$21,0))&amp;"",IF($D789="PS",INDEX(Accounts!$F$2:$F$21,MATCH($A789,Accounts!$B$2:$B$21,0))&amp;"",IF($D789="Named engineer",INDEX(Accounts!$I$2:$I$21,MATCH($A789,Accounts!$B$2:$B$21,0))&amp;"",IF($D789="TSE + PS",IF(INDEX(Accounts!$G$2:$G$21,MATCH($A789,Accounts!$B$2:$B$21,0))&amp;""="","(no TSE)",INDEX(Accounts!$G$2:$G$21,MATCH($A789,Accounts!$B$2:$B$21,0))&amp;"")&amp;" / "&amp;IF(INDEX(Accounts!$F$2:$F$21,MATCH($A789,Accounts!$B$2:$B$21,0))&amp;""="","(no PS)",INDEX(Accounts!$F$2:$F$21,MATCH($A789,Accounts!$B$2:$B$21,0))&amp;""),"")))),""))</f>
        <v/>
      </c>
      <c r="F789" s="42" t="s">
        <v>104</v>
      </c>
      <c r="I789" s="42" t="s">
        <v>34</v>
      </c>
      <c r="K789" s="44" t="str">
        <f t="shared" si="1"/>
        <v>Owner missing </v>
      </c>
    </row>
    <row r="790" ht="15.75" customHeight="1">
      <c r="E790" s="43" t="str">
        <f t="array" ref="E790">IF($A790="","",IFERROR(IF($D790="TSE",INDEX(Accounts!$G$2:$G$21,MATCH($A790,Accounts!$B$2:$B$21,0))&amp;"",IF($D790="PS",INDEX(Accounts!$F$2:$F$21,MATCH($A790,Accounts!$B$2:$B$21,0))&amp;"",IF($D790="Named engineer",INDEX(Accounts!$I$2:$I$21,MATCH($A790,Accounts!$B$2:$B$21,0))&amp;"",IF($D790="TSE + PS",IF(INDEX(Accounts!$G$2:$G$21,MATCH($A790,Accounts!$B$2:$B$21,0))&amp;""="","(no TSE)",INDEX(Accounts!$G$2:$G$21,MATCH($A790,Accounts!$B$2:$B$21,0))&amp;"")&amp;" / "&amp;IF(INDEX(Accounts!$F$2:$F$21,MATCH($A790,Accounts!$B$2:$B$21,0))&amp;""="","(no PS)",INDEX(Accounts!$F$2:$F$21,MATCH($A790,Accounts!$B$2:$B$21,0))&amp;""),"")))),""))</f>
        <v/>
      </c>
      <c r="F790" s="42" t="s">
        <v>104</v>
      </c>
      <c r="I790" s="42" t="s">
        <v>34</v>
      </c>
      <c r="K790" s="44" t="str">
        <f t="shared" si="1"/>
        <v>Owner missing </v>
      </c>
    </row>
    <row r="791" ht="15.75" customHeight="1">
      <c r="E791" s="43" t="str">
        <f t="array" ref="E791">IF($A791="","",IFERROR(IF($D791="TSE",INDEX(Accounts!$G$2:$G$21,MATCH($A791,Accounts!$B$2:$B$21,0))&amp;"",IF($D791="PS",INDEX(Accounts!$F$2:$F$21,MATCH($A791,Accounts!$B$2:$B$21,0))&amp;"",IF($D791="Named engineer",INDEX(Accounts!$I$2:$I$21,MATCH($A791,Accounts!$B$2:$B$21,0))&amp;"",IF($D791="TSE + PS",IF(INDEX(Accounts!$G$2:$G$21,MATCH($A791,Accounts!$B$2:$B$21,0))&amp;""="","(no TSE)",INDEX(Accounts!$G$2:$G$21,MATCH($A791,Accounts!$B$2:$B$21,0))&amp;"")&amp;" / "&amp;IF(INDEX(Accounts!$F$2:$F$21,MATCH($A791,Accounts!$B$2:$B$21,0))&amp;""="","(no PS)",INDEX(Accounts!$F$2:$F$21,MATCH($A791,Accounts!$B$2:$B$21,0))&amp;""),"")))),""))</f>
        <v/>
      </c>
      <c r="F791" s="42" t="s">
        <v>104</v>
      </c>
      <c r="I791" s="42" t="s">
        <v>34</v>
      </c>
      <c r="K791" s="44" t="str">
        <f t="shared" si="1"/>
        <v>Owner missing </v>
      </c>
    </row>
    <row r="792" ht="15.75" customHeight="1">
      <c r="E792" s="43" t="str">
        <f t="array" ref="E792">IF($A792="","",IFERROR(IF($D792="TSE",INDEX(Accounts!$G$2:$G$21,MATCH($A792,Accounts!$B$2:$B$21,0))&amp;"",IF($D792="PS",INDEX(Accounts!$F$2:$F$21,MATCH($A792,Accounts!$B$2:$B$21,0))&amp;"",IF($D792="Named engineer",INDEX(Accounts!$I$2:$I$21,MATCH($A792,Accounts!$B$2:$B$21,0))&amp;"",IF($D792="TSE + PS",IF(INDEX(Accounts!$G$2:$G$21,MATCH($A792,Accounts!$B$2:$B$21,0))&amp;""="","(no TSE)",INDEX(Accounts!$G$2:$G$21,MATCH($A792,Accounts!$B$2:$B$21,0))&amp;"")&amp;" / "&amp;IF(INDEX(Accounts!$F$2:$F$21,MATCH($A792,Accounts!$B$2:$B$21,0))&amp;""="","(no PS)",INDEX(Accounts!$F$2:$F$21,MATCH($A792,Accounts!$B$2:$B$21,0))&amp;""),"")))),""))</f>
        <v/>
      </c>
      <c r="F792" s="42" t="s">
        <v>104</v>
      </c>
      <c r="I792" s="42" t="s">
        <v>34</v>
      </c>
      <c r="K792" s="44" t="str">
        <f t="shared" si="1"/>
        <v>Owner missing </v>
      </c>
    </row>
    <row r="793" ht="15.75" customHeight="1">
      <c r="E793" s="43" t="str">
        <f t="array" ref="E793">IF($A793="","",IFERROR(IF($D793="TSE",INDEX(Accounts!$G$2:$G$21,MATCH($A793,Accounts!$B$2:$B$21,0))&amp;"",IF($D793="PS",INDEX(Accounts!$F$2:$F$21,MATCH($A793,Accounts!$B$2:$B$21,0))&amp;"",IF($D793="Named engineer",INDEX(Accounts!$I$2:$I$21,MATCH($A793,Accounts!$B$2:$B$21,0))&amp;"",IF($D793="TSE + PS",IF(INDEX(Accounts!$G$2:$G$21,MATCH($A793,Accounts!$B$2:$B$21,0))&amp;""="","(no TSE)",INDEX(Accounts!$G$2:$G$21,MATCH($A793,Accounts!$B$2:$B$21,0))&amp;"")&amp;" / "&amp;IF(INDEX(Accounts!$F$2:$F$21,MATCH($A793,Accounts!$B$2:$B$21,0))&amp;""="","(no PS)",INDEX(Accounts!$F$2:$F$21,MATCH($A793,Accounts!$B$2:$B$21,0))&amp;""),"")))),""))</f>
        <v/>
      </c>
      <c r="F793" s="42" t="s">
        <v>104</v>
      </c>
      <c r="I793" s="42" t="s">
        <v>34</v>
      </c>
      <c r="K793" s="44" t="str">
        <f t="shared" si="1"/>
        <v>Owner missing </v>
      </c>
    </row>
    <row r="794" ht="15.75" customHeight="1">
      <c r="E794" s="43" t="str">
        <f t="array" ref="E794">IF($A794="","",IFERROR(IF($D794="TSE",INDEX(Accounts!$G$2:$G$21,MATCH($A794,Accounts!$B$2:$B$21,0))&amp;"",IF($D794="PS",INDEX(Accounts!$F$2:$F$21,MATCH($A794,Accounts!$B$2:$B$21,0))&amp;"",IF($D794="Named engineer",INDEX(Accounts!$I$2:$I$21,MATCH($A794,Accounts!$B$2:$B$21,0))&amp;"",IF($D794="TSE + PS",IF(INDEX(Accounts!$G$2:$G$21,MATCH($A794,Accounts!$B$2:$B$21,0))&amp;""="","(no TSE)",INDEX(Accounts!$G$2:$G$21,MATCH($A794,Accounts!$B$2:$B$21,0))&amp;"")&amp;" / "&amp;IF(INDEX(Accounts!$F$2:$F$21,MATCH($A794,Accounts!$B$2:$B$21,0))&amp;""="","(no PS)",INDEX(Accounts!$F$2:$F$21,MATCH($A794,Accounts!$B$2:$B$21,0))&amp;""),"")))),""))</f>
        <v/>
      </c>
      <c r="F794" s="42" t="s">
        <v>104</v>
      </c>
      <c r="I794" s="42" t="s">
        <v>34</v>
      </c>
      <c r="K794" s="44" t="str">
        <f t="shared" si="1"/>
        <v>Owner missing </v>
      </c>
    </row>
    <row r="795" ht="15.75" customHeight="1">
      <c r="E795" s="43" t="str">
        <f t="array" ref="E795">IF($A795="","",IFERROR(IF($D795="TSE",INDEX(Accounts!$G$2:$G$21,MATCH($A795,Accounts!$B$2:$B$21,0))&amp;"",IF($D795="PS",INDEX(Accounts!$F$2:$F$21,MATCH($A795,Accounts!$B$2:$B$21,0))&amp;"",IF($D795="Named engineer",INDEX(Accounts!$I$2:$I$21,MATCH($A795,Accounts!$B$2:$B$21,0))&amp;"",IF($D795="TSE + PS",IF(INDEX(Accounts!$G$2:$G$21,MATCH($A795,Accounts!$B$2:$B$21,0))&amp;""="","(no TSE)",INDEX(Accounts!$G$2:$G$21,MATCH($A795,Accounts!$B$2:$B$21,0))&amp;"")&amp;" / "&amp;IF(INDEX(Accounts!$F$2:$F$21,MATCH($A795,Accounts!$B$2:$B$21,0))&amp;""="","(no PS)",INDEX(Accounts!$F$2:$F$21,MATCH($A795,Accounts!$B$2:$B$21,0))&amp;""),"")))),""))</f>
        <v/>
      </c>
      <c r="F795" s="42" t="s">
        <v>104</v>
      </c>
      <c r="I795" s="42" t="s">
        <v>34</v>
      </c>
      <c r="K795" s="44" t="str">
        <f t="shared" si="1"/>
        <v>Owner missing </v>
      </c>
    </row>
    <row r="796" ht="15.75" customHeight="1">
      <c r="E796" s="43" t="str">
        <f t="array" ref="E796">IF($A796="","",IFERROR(IF($D796="TSE",INDEX(Accounts!$G$2:$G$21,MATCH($A796,Accounts!$B$2:$B$21,0))&amp;"",IF($D796="PS",INDEX(Accounts!$F$2:$F$21,MATCH($A796,Accounts!$B$2:$B$21,0))&amp;"",IF($D796="Named engineer",INDEX(Accounts!$I$2:$I$21,MATCH($A796,Accounts!$B$2:$B$21,0))&amp;"",IF($D796="TSE + PS",IF(INDEX(Accounts!$G$2:$G$21,MATCH($A796,Accounts!$B$2:$B$21,0))&amp;""="","(no TSE)",INDEX(Accounts!$G$2:$G$21,MATCH($A796,Accounts!$B$2:$B$21,0))&amp;"")&amp;" / "&amp;IF(INDEX(Accounts!$F$2:$F$21,MATCH($A796,Accounts!$B$2:$B$21,0))&amp;""="","(no PS)",INDEX(Accounts!$F$2:$F$21,MATCH($A796,Accounts!$B$2:$B$21,0))&amp;""),"")))),""))</f>
        <v/>
      </c>
      <c r="F796" s="42" t="s">
        <v>104</v>
      </c>
      <c r="I796" s="42" t="s">
        <v>34</v>
      </c>
      <c r="K796" s="44" t="str">
        <f t="shared" si="1"/>
        <v>Owner missing </v>
      </c>
    </row>
    <row r="797" ht="15.75" customHeight="1">
      <c r="E797" s="43" t="str">
        <f t="array" ref="E797">IF($A797="","",IFERROR(IF($D797="TSE",INDEX(Accounts!$G$2:$G$21,MATCH($A797,Accounts!$B$2:$B$21,0))&amp;"",IF($D797="PS",INDEX(Accounts!$F$2:$F$21,MATCH($A797,Accounts!$B$2:$B$21,0))&amp;"",IF($D797="Named engineer",INDEX(Accounts!$I$2:$I$21,MATCH($A797,Accounts!$B$2:$B$21,0))&amp;"",IF($D797="TSE + PS",IF(INDEX(Accounts!$G$2:$G$21,MATCH($A797,Accounts!$B$2:$B$21,0))&amp;""="","(no TSE)",INDEX(Accounts!$G$2:$G$21,MATCH($A797,Accounts!$B$2:$B$21,0))&amp;"")&amp;" / "&amp;IF(INDEX(Accounts!$F$2:$F$21,MATCH($A797,Accounts!$B$2:$B$21,0))&amp;""="","(no PS)",INDEX(Accounts!$F$2:$F$21,MATCH($A797,Accounts!$B$2:$B$21,0))&amp;""),"")))),""))</f>
        <v/>
      </c>
      <c r="F797" s="42" t="s">
        <v>104</v>
      </c>
      <c r="I797" s="42" t="s">
        <v>34</v>
      </c>
      <c r="K797" s="44" t="str">
        <f t="shared" si="1"/>
        <v>Owner missing </v>
      </c>
    </row>
    <row r="798" ht="15.75" customHeight="1">
      <c r="E798" s="43" t="str">
        <f t="array" ref="E798">IF($A798="","",IFERROR(IF($D798="TSE",INDEX(Accounts!$G$2:$G$21,MATCH($A798,Accounts!$B$2:$B$21,0))&amp;"",IF($D798="PS",INDEX(Accounts!$F$2:$F$21,MATCH($A798,Accounts!$B$2:$B$21,0))&amp;"",IF($D798="Named engineer",INDEX(Accounts!$I$2:$I$21,MATCH($A798,Accounts!$B$2:$B$21,0))&amp;"",IF($D798="TSE + PS",IF(INDEX(Accounts!$G$2:$G$21,MATCH($A798,Accounts!$B$2:$B$21,0))&amp;""="","(no TSE)",INDEX(Accounts!$G$2:$G$21,MATCH($A798,Accounts!$B$2:$B$21,0))&amp;"")&amp;" / "&amp;IF(INDEX(Accounts!$F$2:$F$21,MATCH($A798,Accounts!$B$2:$B$21,0))&amp;""="","(no PS)",INDEX(Accounts!$F$2:$F$21,MATCH($A798,Accounts!$B$2:$B$21,0))&amp;""),"")))),""))</f>
        <v/>
      </c>
      <c r="F798" s="42" t="s">
        <v>104</v>
      </c>
      <c r="I798" s="42" t="s">
        <v>34</v>
      </c>
      <c r="K798" s="44" t="str">
        <f t="shared" si="1"/>
        <v>Owner missing </v>
      </c>
    </row>
    <row r="799" ht="15.75" customHeight="1">
      <c r="E799" s="43" t="str">
        <f t="array" ref="E799">IF($A799="","",IFERROR(IF($D799="TSE",INDEX(Accounts!$G$2:$G$21,MATCH($A799,Accounts!$B$2:$B$21,0))&amp;"",IF($D799="PS",INDEX(Accounts!$F$2:$F$21,MATCH($A799,Accounts!$B$2:$B$21,0))&amp;"",IF($D799="Named engineer",INDEX(Accounts!$I$2:$I$21,MATCH($A799,Accounts!$B$2:$B$21,0))&amp;"",IF($D799="TSE + PS",IF(INDEX(Accounts!$G$2:$G$21,MATCH($A799,Accounts!$B$2:$B$21,0))&amp;""="","(no TSE)",INDEX(Accounts!$G$2:$G$21,MATCH($A799,Accounts!$B$2:$B$21,0))&amp;"")&amp;" / "&amp;IF(INDEX(Accounts!$F$2:$F$21,MATCH($A799,Accounts!$B$2:$B$21,0))&amp;""="","(no PS)",INDEX(Accounts!$F$2:$F$21,MATCH($A799,Accounts!$B$2:$B$21,0))&amp;""),"")))),""))</f>
        <v/>
      </c>
      <c r="F799" s="42" t="s">
        <v>104</v>
      </c>
      <c r="I799" s="42" t="s">
        <v>34</v>
      </c>
      <c r="K799" s="44" t="str">
        <f t="shared" si="1"/>
        <v>Owner missing </v>
      </c>
    </row>
    <row r="800" ht="15.75" customHeight="1">
      <c r="E800" s="43" t="str">
        <f t="array" ref="E800">IF($A800="","",IFERROR(IF($D800="TSE",INDEX(Accounts!$G$2:$G$21,MATCH($A800,Accounts!$B$2:$B$21,0))&amp;"",IF($D800="PS",INDEX(Accounts!$F$2:$F$21,MATCH($A800,Accounts!$B$2:$B$21,0))&amp;"",IF($D800="Named engineer",INDEX(Accounts!$I$2:$I$21,MATCH($A800,Accounts!$B$2:$B$21,0))&amp;"",IF($D800="TSE + PS",IF(INDEX(Accounts!$G$2:$G$21,MATCH($A800,Accounts!$B$2:$B$21,0))&amp;""="","(no TSE)",INDEX(Accounts!$G$2:$G$21,MATCH($A800,Accounts!$B$2:$B$21,0))&amp;"")&amp;" / "&amp;IF(INDEX(Accounts!$F$2:$F$21,MATCH($A800,Accounts!$B$2:$B$21,0))&amp;""="","(no PS)",INDEX(Accounts!$F$2:$F$21,MATCH($A800,Accounts!$B$2:$B$21,0))&amp;""),"")))),""))</f>
        <v/>
      </c>
      <c r="F800" s="42" t="s">
        <v>104</v>
      </c>
      <c r="I800" s="42" t="s">
        <v>34</v>
      </c>
      <c r="K800" s="44" t="str">
        <f t="shared" si="1"/>
        <v>Owner missing </v>
      </c>
    </row>
    <row r="801" ht="15.75" customHeight="1">
      <c r="E801" s="43" t="str">
        <f t="array" ref="E801">IF($A801="","",IFERROR(IF($D801="TSE",INDEX(Accounts!$G$2:$G$21,MATCH($A801,Accounts!$B$2:$B$21,0))&amp;"",IF($D801="PS",INDEX(Accounts!$F$2:$F$21,MATCH($A801,Accounts!$B$2:$B$21,0))&amp;"",IF($D801="Named engineer",INDEX(Accounts!$I$2:$I$21,MATCH($A801,Accounts!$B$2:$B$21,0))&amp;"",IF($D801="TSE + PS",IF(INDEX(Accounts!$G$2:$G$21,MATCH($A801,Accounts!$B$2:$B$21,0))&amp;""="","(no TSE)",INDEX(Accounts!$G$2:$G$21,MATCH($A801,Accounts!$B$2:$B$21,0))&amp;"")&amp;" / "&amp;IF(INDEX(Accounts!$F$2:$F$21,MATCH($A801,Accounts!$B$2:$B$21,0))&amp;""="","(no PS)",INDEX(Accounts!$F$2:$F$21,MATCH($A801,Accounts!$B$2:$B$21,0))&amp;""),"")))),""))</f>
        <v/>
      </c>
      <c r="F801" s="42" t="s">
        <v>104</v>
      </c>
      <c r="I801" s="42" t="s">
        <v>34</v>
      </c>
      <c r="K801" s="44" t="str">
        <f t="shared" si="1"/>
        <v>Owner missing </v>
      </c>
    </row>
    <row r="802" ht="15.75" customHeight="1">
      <c r="E802" s="43" t="str">
        <f t="array" ref="E802">IF($A802="","",IFERROR(IF($D802="TSE",INDEX(Accounts!$G$2:$G$21,MATCH($A802,Accounts!$B$2:$B$21,0))&amp;"",IF($D802="PS",INDEX(Accounts!$F$2:$F$21,MATCH($A802,Accounts!$B$2:$B$21,0))&amp;"",IF($D802="Named engineer",INDEX(Accounts!$I$2:$I$21,MATCH($A802,Accounts!$B$2:$B$21,0))&amp;"",IF($D802="TSE + PS",IF(INDEX(Accounts!$G$2:$G$21,MATCH($A802,Accounts!$B$2:$B$21,0))&amp;""="","(no TSE)",INDEX(Accounts!$G$2:$G$21,MATCH($A802,Accounts!$B$2:$B$21,0))&amp;"")&amp;" / "&amp;IF(INDEX(Accounts!$F$2:$F$21,MATCH($A802,Accounts!$B$2:$B$21,0))&amp;""="","(no PS)",INDEX(Accounts!$F$2:$F$21,MATCH($A802,Accounts!$B$2:$B$21,0))&amp;""),"")))),""))</f>
        <v/>
      </c>
      <c r="F802" s="42" t="s">
        <v>104</v>
      </c>
      <c r="I802" s="42" t="s">
        <v>34</v>
      </c>
      <c r="K802" s="44" t="str">
        <f t="shared" si="1"/>
        <v>Owner missing </v>
      </c>
    </row>
    <row r="803" ht="15.75" customHeight="1">
      <c r="E803" s="43" t="str">
        <f t="array" ref="E803">IF($A803="","",IFERROR(IF($D803="TSE",INDEX(Accounts!$G$2:$G$21,MATCH($A803,Accounts!$B$2:$B$21,0))&amp;"",IF($D803="PS",INDEX(Accounts!$F$2:$F$21,MATCH($A803,Accounts!$B$2:$B$21,0))&amp;"",IF($D803="Named engineer",INDEX(Accounts!$I$2:$I$21,MATCH($A803,Accounts!$B$2:$B$21,0))&amp;"",IF($D803="TSE + PS",IF(INDEX(Accounts!$G$2:$G$21,MATCH($A803,Accounts!$B$2:$B$21,0))&amp;""="","(no TSE)",INDEX(Accounts!$G$2:$G$21,MATCH($A803,Accounts!$B$2:$B$21,0))&amp;"")&amp;" / "&amp;IF(INDEX(Accounts!$F$2:$F$21,MATCH($A803,Accounts!$B$2:$B$21,0))&amp;""="","(no PS)",INDEX(Accounts!$F$2:$F$21,MATCH($A803,Accounts!$B$2:$B$21,0))&amp;""),"")))),""))</f>
        <v/>
      </c>
      <c r="F803" s="42" t="s">
        <v>104</v>
      </c>
      <c r="I803" s="42" t="s">
        <v>34</v>
      </c>
      <c r="K803" s="44" t="str">
        <f t="shared" si="1"/>
        <v>Owner missing </v>
      </c>
    </row>
    <row r="804" ht="15.75" customHeight="1">
      <c r="E804" s="43" t="str">
        <f t="array" ref="E804">IF($A804="","",IFERROR(IF($D804="TSE",INDEX(Accounts!$G$2:$G$21,MATCH($A804,Accounts!$B$2:$B$21,0))&amp;"",IF($D804="PS",INDEX(Accounts!$F$2:$F$21,MATCH($A804,Accounts!$B$2:$B$21,0))&amp;"",IF($D804="Named engineer",INDEX(Accounts!$I$2:$I$21,MATCH($A804,Accounts!$B$2:$B$21,0))&amp;"",IF($D804="TSE + PS",IF(INDEX(Accounts!$G$2:$G$21,MATCH($A804,Accounts!$B$2:$B$21,0))&amp;""="","(no TSE)",INDEX(Accounts!$G$2:$G$21,MATCH($A804,Accounts!$B$2:$B$21,0))&amp;"")&amp;" / "&amp;IF(INDEX(Accounts!$F$2:$F$21,MATCH($A804,Accounts!$B$2:$B$21,0))&amp;""="","(no PS)",INDEX(Accounts!$F$2:$F$21,MATCH($A804,Accounts!$B$2:$B$21,0))&amp;""),"")))),""))</f>
        <v/>
      </c>
      <c r="F804" s="42" t="s">
        <v>104</v>
      </c>
      <c r="I804" s="42" t="s">
        <v>34</v>
      </c>
      <c r="K804" s="44" t="str">
        <f t="shared" si="1"/>
        <v>Owner missing </v>
      </c>
    </row>
    <row r="805" ht="15.75" customHeight="1">
      <c r="E805" s="43" t="str">
        <f t="array" ref="E805">IF($A805="","",IFERROR(IF($D805="TSE",INDEX(Accounts!$G$2:$G$21,MATCH($A805,Accounts!$B$2:$B$21,0))&amp;"",IF($D805="PS",INDEX(Accounts!$F$2:$F$21,MATCH($A805,Accounts!$B$2:$B$21,0))&amp;"",IF($D805="Named engineer",INDEX(Accounts!$I$2:$I$21,MATCH($A805,Accounts!$B$2:$B$21,0))&amp;"",IF($D805="TSE + PS",IF(INDEX(Accounts!$G$2:$G$21,MATCH($A805,Accounts!$B$2:$B$21,0))&amp;""="","(no TSE)",INDEX(Accounts!$G$2:$G$21,MATCH($A805,Accounts!$B$2:$B$21,0))&amp;"")&amp;" / "&amp;IF(INDEX(Accounts!$F$2:$F$21,MATCH($A805,Accounts!$B$2:$B$21,0))&amp;""="","(no PS)",INDEX(Accounts!$F$2:$F$21,MATCH($A805,Accounts!$B$2:$B$21,0))&amp;""),"")))),""))</f>
        <v/>
      </c>
      <c r="F805" s="42" t="s">
        <v>104</v>
      </c>
      <c r="I805" s="42" t="s">
        <v>34</v>
      </c>
      <c r="K805" s="44" t="str">
        <f t="shared" si="1"/>
        <v>Owner missing </v>
      </c>
    </row>
    <row r="806" ht="15.75" customHeight="1">
      <c r="E806" s="43" t="str">
        <f t="array" ref="E806">IF($A806="","",IFERROR(IF($D806="TSE",INDEX(Accounts!$G$2:$G$21,MATCH($A806,Accounts!$B$2:$B$21,0))&amp;"",IF($D806="PS",INDEX(Accounts!$F$2:$F$21,MATCH($A806,Accounts!$B$2:$B$21,0))&amp;"",IF($D806="Named engineer",INDEX(Accounts!$I$2:$I$21,MATCH($A806,Accounts!$B$2:$B$21,0))&amp;"",IF($D806="TSE + PS",IF(INDEX(Accounts!$G$2:$G$21,MATCH($A806,Accounts!$B$2:$B$21,0))&amp;""="","(no TSE)",INDEX(Accounts!$G$2:$G$21,MATCH($A806,Accounts!$B$2:$B$21,0))&amp;"")&amp;" / "&amp;IF(INDEX(Accounts!$F$2:$F$21,MATCH($A806,Accounts!$B$2:$B$21,0))&amp;""="","(no PS)",INDEX(Accounts!$F$2:$F$21,MATCH($A806,Accounts!$B$2:$B$21,0))&amp;""),"")))),""))</f>
        <v/>
      </c>
      <c r="F806" s="42" t="s">
        <v>104</v>
      </c>
      <c r="I806" s="42" t="s">
        <v>34</v>
      </c>
      <c r="K806" s="44" t="str">
        <f t="shared" si="1"/>
        <v>Owner missing </v>
      </c>
    </row>
    <row r="807" ht="15.75" customHeight="1">
      <c r="E807" s="43" t="str">
        <f t="array" ref="E807">IF($A807="","",IFERROR(IF($D807="TSE",INDEX(Accounts!$G$2:$G$21,MATCH($A807,Accounts!$B$2:$B$21,0))&amp;"",IF($D807="PS",INDEX(Accounts!$F$2:$F$21,MATCH($A807,Accounts!$B$2:$B$21,0))&amp;"",IF($D807="Named engineer",INDEX(Accounts!$I$2:$I$21,MATCH($A807,Accounts!$B$2:$B$21,0))&amp;"",IF($D807="TSE + PS",IF(INDEX(Accounts!$G$2:$G$21,MATCH($A807,Accounts!$B$2:$B$21,0))&amp;""="","(no TSE)",INDEX(Accounts!$G$2:$G$21,MATCH($A807,Accounts!$B$2:$B$21,0))&amp;"")&amp;" / "&amp;IF(INDEX(Accounts!$F$2:$F$21,MATCH($A807,Accounts!$B$2:$B$21,0))&amp;""="","(no PS)",INDEX(Accounts!$F$2:$F$21,MATCH($A807,Accounts!$B$2:$B$21,0))&amp;""),"")))),""))</f>
        <v/>
      </c>
      <c r="F807" s="42" t="s">
        <v>104</v>
      </c>
      <c r="I807" s="42" t="s">
        <v>34</v>
      </c>
      <c r="K807" s="44" t="str">
        <f t="shared" si="1"/>
        <v>Owner missing </v>
      </c>
    </row>
    <row r="808" ht="15.75" customHeight="1">
      <c r="E808" s="43" t="str">
        <f t="array" ref="E808">IF($A808="","",IFERROR(IF($D808="TSE",INDEX(Accounts!$G$2:$G$21,MATCH($A808,Accounts!$B$2:$B$21,0))&amp;"",IF($D808="PS",INDEX(Accounts!$F$2:$F$21,MATCH($A808,Accounts!$B$2:$B$21,0))&amp;"",IF($D808="Named engineer",INDEX(Accounts!$I$2:$I$21,MATCH($A808,Accounts!$B$2:$B$21,0))&amp;"",IF($D808="TSE + PS",IF(INDEX(Accounts!$G$2:$G$21,MATCH($A808,Accounts!$B$2:$B$21,0))&amp;""="","(no TSE)",INDEX(Accounts!$G$2:$G$21,MATCH($A808,Accounts!$B$2:$B$21,0))&amp;"")&amp;" / "&amp;IF(INDEX(Accounts!$F$2:$F$21,MATCH($A808,Accounts!$B$2:$B$21,0))&amp;""="","(no PS)",INDEX(Accounts!$F$2:$F$21,MATCH($A808,Accounts!$B$2:$B$21,0))&amp;""),"")))),""))</f>
        <v/>
      </c>
      <c r="F808" s="42" t="s">
        <v>104</v>
      </c>
      <c r="I808" s="42" t="s">
        <v>34</v>
      </c>
      <c r="K808" s="44" t="str">
        <f t="shared" si="1"/>
        <v>Owner missing </v>
      </c>
    </row>
    <row r="809" ht="15.75" customHeight="1">
      <c r="E809" s="43" t="str">
        <f t="array" ref="E809">IF($A809="","",IFERROR(IF($D809="TSE",INDEX(Accounts!$G$2:$G$21,MATCH($A809,Accounts!$B$2:$B$21,0))&amp;"",IF($D809="PS",INDEX(Accounts!$F$2:$F$21,MATCH($A809,Accounts!$B$2:$B$21,0))&amp;"",IF($D809="Named engineer",INDEX(Accounts!$I$2:$I$21,MATCH($A809,Accounts!$B$2:$B$21,0))&amp;"",IF($D809="TSE + PS",IF(INDEX(Accounts!$G$2:$G$21,MATCH($A809,Accounts!$B$2:$B$21,0))&amp;""="","(no TSE)",INDEX(Accounts!$G$2:$G$21,MATCH($A809,Accounts!$B$2:$B$21,0))&amp;"")&amp;" / "&amp;IF(INDEX(Accounts!$F$2:$F$21,MATCH($A809,Accounts!$B$2:$B$21,0))&amp;""="","(no PS)",INDEX(Accounts!$F$2:$F$21,MATCH($A809,Accounts!$B$2:$B$21,0))&amp;""),"")))),""))</f>
        <v/>
      </c>
      <c r="F809" s="42" t="s">
        <v>104</v>
      </c>
      <c r="I809" s="42" t="s">
        <v>34</v>
      </c>
      <c r="K809" s="44" t="str">
        <f t="shared" si="1"/>
        <v>Owner missing </v>
      </c>
    </row>
    <row r="810" ht="15.75" customHeight="1">
      <c r="E810" s="43" t="str">
        <f t="array" ref="E810">IF($A810="","",IFERROR(IF($D810="TSE",INDEX(Accounts!$G$2:$G$21,MATCH($A810,Accounts!$B$2:$B$21,0))&amp;"",IF($D810="PS",INDEX(Accounts!$F$2:$F$21,MATCH($A810,Accounts!$B$2:$B$21,0))&amp;"",IF($D810="Named engineer",INDEX(Accounts!$I$2:$I$21,MATCH($A810,Accounts!$B$2:$B$21,0))&amp;"",IF($D810="TSE + PS",IF(INDEX(Accounts!$G$2:$G$21,MATCH($A810,Accounts!$B$2:$B$21,0))&amp;""="","(no TSE)",INDEX(Accounts!$G$2:$G$21,MATCH($A810,Accounts!$B$2:$B$21,0))&amp;"")&amp;" / "&amp;IF(INDEX(Accounts!$F$2:$F$21,MATCH($A810,Accounts!$B$2:$B$21,0))&amp;""="","(no PS)",INDEX(Accounts!$F$2:$F$21,MATCH($A810,Accounts!$B$2:$B$21,0))&amp;""),"")))),""))</f>
        <v/>
      </c>
      <c r="F810" s="42" t="s">
        <v>104</v>
      </c>
      <c r="I810" s="42" t="s">
        <v>34</v>
      </c>
      <c r="K810" s="44" t="str">
        <f t="shared" si="1"/>
        <v>Owner missing </v>
      </c>
    </row>
    <row r="811" ht="15.75" customHeight="1">
      <c r="E811" s="43" t="str">
        <f t="array" ref="E811">IF($A811="","",IFERROR(IF($D811="TSE",INDEX(Accounts!$G$2:$G$21,MATCH($A811,Accounts!$B$2:$B$21,0))&amp;"",IF($D811="PS",INDEX(Accounts!$F$2:$F$21,MATCH($A811,Accounts!$B$2:$B$21,0))&amp;"",IF($D811="Named engineer",INDEX(Accounts!$I$2:$I$21,MATCH($A811,Accounts!$B$2:$B$21,0))&amp;"",IF($D811="TSE + PS",IF(INDEX(Accounts!$G$2:$G$21,MATCH($A811,Accounts!$B$2:$B$21,0))&amp;""="","(no TSE)",INDEX(Accounts!$G$2:$G$21,MATCH($A811,Accounts!$B$2:$B$21,0))&amp;"")&amp;" / "&amp;IF(INDEX(Accounts!$F$2:$F$21,MATCH($A811,Accounts!$B$2:$B$21,0))&amp;""="","(no PS)",INDEX(Accounts!$F$2:$F$21,MATCH($A811,Accounts!$B$2:$B$21,0))&amp;""),"")))),""))</f>
        <v/>
      </c>
      <c r="F811" s="42" t="s">
        <v>104</v>
      </c>
      <c r="I811" s="42" t="s">
        <v>34</v>
      </c>
      <c r="K811" s="44" t="str">
        <f t="shared" si="1"/>
        <v>Owner missing </v>
      </c>
    </row>
    <row r="812" ht="15.75" customHeight="1">
      <c r="E812" s="43" t="str">
        <f t="array" ref="E812">IF($A812="","",IFERROR(IF($D812="TSE",INDEX(Accounts!$G$2:$G$21,MATCH($A812,Accounts!$B$2:$B$21,0))&amp;"",IF($D812="PS",INDEX(Accounts!$F$2:$F$21,MATCH($A812,Accounts!$B$2:$B$21,0))&amp;"",IF($D812="Named engineer",INDEX(Accounts!$I$2:$I$21,MATCH($A812,Accounts!$B$2:$B$21,0))&amp;"",IF($D812="TSE + PS",IF(INDEX(Accounts!$G$2:$G$21,MATCH($A812,Accounts!$B$2:$B$21,0))&amp;""="","(no TSE)",INDEX(Accounts!$G$2:$G$21,MATCH($A812,Accounts!$B$2:$B$21,0))&amp;"")&amp;" / "&amp;IF(INDEX(Accounts!$F$2:$F$21,MATCH($A812,Accounts!$B$2:$B$21,0))&amp;""="","(no PS)",INDEX(Accounts!$F$2:$F$21,MATCH($A812,Accounts!$B$2:$B$21,0))&amp;""),"")))),""))</f>
        <v/>
      </c>
      <c r="F812" s="42" t="s">
        <v>104</v>
      </c>
      <c r="I812" s="42" t="s">
        <v>34</v>
      </c>
      <c r="K812" s="44" t="str">
        <f t="shared" si="1"/>
        <v>Owner missing </v>
      </c>
    </row>
    <row r="813" ht="15.75" customHeight="1">
      <c r="E813" s="43" t="str">
        <f t="array" ref="E813">IF($A813="","",IFERROR(IF($D813="TSE",INDEX(Accounts!$G$2:$G$21,MATCH($A813,Accounts!$B$2:$B$21,0))&amp;"",IF($D813="PS",INDEX(Accounts!$F$2:$F$21,MATCH($A813,Accounts!$B$2:$B$21,0))&amp;"",IF($D813="Named engineer",INDEX(Accounts!$I$2:$I$21,MATCH($A813,Accounts!$B$2:$B$21,0))&amp;"",IF($D813="TSE + PS",IF(INDEX(Accounts!$G$2:$G$21,MATCH($A813,Accounts!$B$2:$B$21,0))&amp;""="","(no TSE)",INDEX(Accounts!$G$2:$G$21,MATCH($A813,Accounts!$B$2:$B$21,0))&amp;"")&amp;" / "&amp;IF(INDEX(Accounts!$F$2:$F$21,MATCH($A813,Accounts!$B$2:$B$21,0))&amp;""="","(no PS)",INDEX(Accounts!$F$2:$F$21,MATCH($A813,Accounts!$B$2:$B$21,0))&amp;""),"")))),""))</f>
        <v/>
      </c>
      <c r="F813" s="42" t="s">
        <v>104</v>
      </c>
      <c r="I813" s="42" t="s">
        <v>34</v>
      </c>
      <c r="K813" s="44" t="str">
        <f t="shared" si="1"/>
        <v>Owner missing </v>
      </c>
    </row>
    <row r="814" ht="15.75" customHeight="1">
      <c r="E814" s="43" t="str">
        <f t="array" ref="E814">IF($A814="","",IFERROR(IF($D814="TSE",INDEX(Accounts!$G$2:$G$21,MATCH($A814,Accounts!$B$2:$B$21,0))&amp;"",IF($D814="PS",INDEX(Accounts!$F$2:$F$21,MATCH($A814,Accounts!$B$2:$B$21,0))&amp;"",IF($D814="Named engineer",INDEX(Accounts!$I$2:$I$21,MATCH($A814,Accounts!$B$2:$B$21,0))&amp;"",IF($D814="TSE + PS",IF(INDEX(Accounts!$G$2:$G$21,MATCH($A814,Accounts!$B$2:$B$21,0))&amp;""="","(no TSE)",INDEX(Accounts!$G$2:$G$21,MATCH($A814,Accounts!$B$2:$B$21,0))&amp;"")&amp;" / "&amp;IF(INDEX(Accounts!$F$2:$F$21,MATCH($A814,Accounts!$B$2:$B$21,0))&amp;""="","(no PS)",INDEX(Accounts!$F$2:$F$21,MATCH($A814,Accounts!$B$2:$B$21,0))&amp;""),"")))),""))</f>
        <v/>
      </c>
      <c r="F814" s="42" t="s">
        <v>104</v>
      </c>
      <c r="I814" s="42" t="s">
        <v>34</v>
      </c>
      <c r="K814" s="44" t="str">
        <f t="shared" si="1"/>
        <v>Owner missing </v>
      </c>
    </row>
    <row r="815" ht="15.75" customHeight="1">
      <c r="E815" s="43" t="str">
        <f t="array" ref="E815">IF($A815="","",IFERROR(IF($D815="TSE",INDEX(Accounts!$G$2:$G$21,MATCH($A815,Accounts!$B$2:$B$21,0))&amp;"",IF($D815="PS",INDEX(Accounts!$F$2:$F$21,MATCH($A815,Accounts!$B$2:$B$21,0))&amp;"",IF($D815="Named engineer",INDEX(Accounts!$I$2:$I$21,MATCH($A815,Accounts!$B$2:$B$21,0))&amp;"",IF($D815="TSE + PS",IF(INDEX(Accounts!$G$2:$G$21,MATCH($A815,Accounts!$B$2:$B$21,0))&amp;""="","(no TSE)",INDEX(Accounts!$G$2:$G$21,MATCH($A815,Accounts!$B$2:$B$21,0))&amp;"")&amp;" / "&amp;IF(INDEX(Accounts!$F$2:$F$21,MATCH($A815,Accounts!$B$2:$B$21,0))&amp;""="","(no PS)",INDEX(Accounts!$F$2:$F$21,MATCH($A815,Accounts!$B$2:$B$21,0))&amp;""),"")))),""))</f>
        <v/>
      </c>
      <c r="F815" s="42" t="s">
        <v>104</v>
      </c>
      <c r="I815" s="42" t="s">
        <v>34</v>
      </c>
      <c r="K815" s="44" t="str">
        <f t="shared" si="1"/>
        <v>Owner missing </v>
      </c>
    </row>
    <row r="816" ht="15.75" customHeight="1">
      <c r="E816" s="43" t="str">
        <f t="array" ref="E816">IF($A816="","",IFERROR(IF($D816="TSE",INDEX(Accounts!$G$2:$G$21,MATCH($A816,Accounts!$B$2:$B$21,0))&amp;"",IF($D816="PS",INDEX(Accounts!$F$2:$F$21,MATCH($A816,Accounts!$B$2:$B$21,0))&amp;"",IF($D816="Named engineer",INDEX(Accounts!$I$2:$I$21,MATCH($A816,Accounts!$B$2:$B$21,0))&amp;"",IF($D816="TSE + PS",IF(INDEX(Accounts!$G$2:$G$21,MATCH($A816,Accounts!$B$2:$B$21,0))&amp;""="","(no TSE)",INDEX(Accounts!$G$2:$G$21,MATCH($A816,Accounts!$B$2:$B$21,0))&amp;"")&amp;" / "&amp;IF(INDEX(Accounts!$F$2:$F$21,MATCH($A816,Accounts!$B$2:$B$21,0))&amp;""="","(no PS)",INDEX(Accounts!$F$2:$F$21,MATCH($A816,Accounts!$B$2:$B$21,0))&amp;""),"")))),""))</f>
        <v/>
      </c>
      <c r="F816" s="42" t="s">
        <v>104</v>
      </c>
      <c r="I816" s="42" t="s">
        <v>34</v>
      </c>
      <c r="K816" s="44" t="str">
        <f t="shared" si="1"/>
        <v>Owner missing </v>
      </c>
    </row>
    <row r="817" ht="15.75" customHeight="1">
      <c r="E817" s="43" t="str">
        <f t="array" ref="E817">IF($A817="","",IFERROR(IF($D817="TSE",INDEX(Accounts!$G$2:$G$21,MATCH($A817,Accounts!$B$2:$B$21,0))&amp;"",IF($D817="PS",INDEX(Accounts!$F$2:$F$21,MATCH($A817,Accounts!$B$2:$B$21,0))&amp;"",IF($D817="Named engineer",INDEX(Accounts!$I$2:$I$21,MATCH($A817,Accounts!$B$2:$B$21,0))&amp;"",IF($D817="TSE + PS",IF(INDEX(Accounts!$G$2:$G$21,MATCH($A817,Accounts!$B$2:$B$21,0))&amp;""="","(no TSE)",INDEX(Accounts!$G$2:$G$21,MATCH($A817,Accounts!$B$2:$B$21,0))&amp;"")&amp;" / "&amp;IF(INDEX(Accounts!$F$2:$F$21,MATCH($A817,Accounts!$B$2:$B$21,0))&amp;""="","(no PS)",INDEX(Accounts!$F$2:$F$21,MATCH($A817,Accounts!$B$2:$B$21,0))&amp;""),"")))),""))</f>
        <v/>
      </c>
      <c r="F817" s="42" t="s">
        <v>104</v>
      </c>
      <c r="I817" s="42" t="s">
        <v>34</v>
      </c>
      <c r="K817" s="44" t="str">
        <f t="shared" si="1"/>
        <v>Owner missing </v>
      </c>
    </row>
    <row r="818" ht="15.75" customHeight="1">
      <c r="E818" s="43" t="str">
        <f t="array" ref="E818">IF($A818="","",IFERROR(IF($D818="TSE",INDEX(Accounts!$G$2:$G$21,MATCH($A818,Accounts!$B$2:$B$21,0))&amp;"",IF($D818="PS",INDEX(Accounts!$F$2:$F$21,MATCH($A818,Accounts!$B$2:$B$21,0))&amp;"",IF($D818="Named engineer",INDEX(Accounts!$I$2:$I$21,MATCH($A818,Accounts!$B$2:$B$21,0))&amp;"",IF($D818="TSE + PS",IF(INDEX(Accounts!$G$2:$G$21,MATCH($A818,Accounts!$B$2:$B$21,0))&amp;""="","(no TSE)",INDEX(Accounts!$G$2:$G$21,MATCH($A818,Accounts!$B$2:$B$21,0))&amp;"")&amp;" / "&amp;IF(INDEX(Accounts!$F$2:$F$21,MATCH($A818,Accounts!$B$2:$B$21,0))&amp;""="","(no PS)",INDEX(Accounts!$F$2:$F$21,MATCH($A818,Accounts!$B$2:$B$21,0))&amp;""),"")))),""))</f>
        <v/>
      </c>
      <c r="F818" s="42" t="s">
        <v>104</v>
      </c>
      <c r="I818" s="42" t="s">
        <v>34</v>
      </c>
      <c r="K818" s="44" t="str">
        <f t="shared" si="1"/>
        <v>Owner missing </v>
      </c>
    </row>
    <row r="819" ht="15.75" customHeight="1">
      <c r="E819" s="43" t="str">
        <f t="array" ref="E819">IF($A819="","",IFERROR(IF($D819="TSE",INDEX(Accounts!$G$2:$G$21,MATCH($A819,Accounts!$B$2:$B$21,0))&amp;"",IF($D819="PS",INDEX(Accounts!$F$2:$F$21,MATCH($A819,Accounts!$B$2:$B$21,0))&amp;"",IF($D819="Named engineer",INDEX(Accounts!$I$2:$I$21,MATCH($A819,Accounts!$B$2:$B$21,0))&amp;"",IF($D819="TSE + PS",IF(INDEX(Accounts!$G$2:$G$21,MATCH($A819,Accounts!$B$2:$B$21,0))&amp;""="","(no TSE)",INDEX(Accounts!$G$2:$G$21,MATCH($A819,Accounts!$B$2:$B$21,0))&amp;"")&amp;" / "&amp;IF(INDEX(Accounts!$F$2:$F$21,MATCH($A819,Accounts!$B$2:$B$21,0))&amp;""="","(no PS)",INDEX(Accounts!$F$2:$F$21,MATCH($A819,Accounts!$B$2:$B$21,0))&amp;""),"")))),""))</f>
        <v/>
      </c>
      <c r="F819" s="42" t="s">
        <v>104</v>
      </c>
      <c r="I819" s="42" t="s">
        <v>34</v>
      </c>
      <c r="K819" s="44" t="str">
        <f t="shared" si="1"/>
        <v>Owner missing </v>
      </c>
    </row>
    <row r="820" ht="15.75" customHeight="1">
      <c r="E820" s="43" t="str">
        <f t="array" ref="E820">IF($A820="","",IFERROR(IF($D820="TSE",INDEX(Accounts!$G$2:$G$21,MATCH($A820,Accounts!$B$2:$B$21,0))&amp;"",IF($D820="PS",INDEX(Accounts!$F$2:$F$21,MATCH($A820,Accounts!$B$2:$B$21,0))&amp;"",IF($D820="Named engineer",INDEX(Accounts!$I$2:$I$21,MATCH($A820,Accounts!$B$2:$B$21,0))&amp;"",IF($D820="TSE + PS",IF(INDEX(Accounts!$G$2:$G$21,MATCH($A820,Accounts!$B$2:$B$21,0))&amp;""="","(no TSE)",INDEX(Accounts!$G$2:$G$21,MATCH($A820,Accounts!$B$2:$B$21,0))&amp;"")&amp;" / "&amp;IF(INDEX(Accounts!$F$2:$F$21,MATCH($A820,Accounts!$B$2:$B$21,0))&amp;""="","(no PS)",INDEX(Accounts!$F$2:$F$21,MATCH($A820,Accounts!$B$2:$B$21,0))&amp;""),"")))),""))</f>
        <v/>
      </c>
      <c r="F820" s="42" t="s">
        <v>104</v>
      </c>
      <c r="I820" s="42" t="s">
        <v>34</v>
      </c>
      <c r="K820" s="44" t="str">
        <f t="shared" si="1"/>
        <v>Owner missing </v>
      </c>
    </row>
    <row r="821" ht="15.75" customHeight="1">
      <c r="E821" s="43" t="str">
        <f t="array" ref="E821">IF($A821="","",IFERROR(IF($D821="TSE",INDEX(Accounts!$G$2:$G$21,MATCH($A821,Accounts!$B$2:$B$21,0))&amp;"",IF($D821="PS",INDEX(Accounts!$F$2:$F$21,MATCH($A821,Accounts!$B$2:$B$21,0))&amp;"",IF($D821="Named engineer",INDEX(Accounts!$I$2:$I$21,MATCH($A821,Accounts!$B$2:$B$21,0))&amp;"",IF($D821="TSE + PS",IF(INDEX(Accounts!$G$2:$G$21,MATCH($A821,Accounts!$B$2:$B$21,0))&amp;""="","(no TSE)",INDEX(Accounts!$G$2:$G$21,MATCH($A821,Accounts!$B$2:$B$21,0))&amp;"")&amp;" / "&amp;IF(INDEX(Accounts!$F$2:$F$21,MATCH($A821,Accounts!$B$2:$B$21,0))&amp;""="","(no PS)",INDEX(Accounts!$F$2:$F$21,MATCH($A821,Accounts!$B$2:$B$21,0))&amp;""),"")))),""))</f>
        <v/>
      </c>
      <c r="F821" s="42" t="s">
        <v>104</v>
      </c>
      <c r="I821" s="42" t="s">
        <v>34</v>
      </c>
      <c r="K821" s="44" t="str">
        <f t="shared" si="1"/>
        <v>Owner missing </v>
      </c>
    </row>
    <row r="822" ht="15.75" customHeight="1">
      <c r="E822" s="43" t="str">
        <f t="array" ref="E822">IF($A822="","",IFERROR(IF($D822="TSE",INDEX(Accounts!$G$2:$G$21,MATCH($A822,Accounts!$B$2:$B$21,0))&amp;"",IF($D822="PS",INDEX(Accounts!$F$2:$F$21,MATCH($A822,Accounts!$B$2:$B$21,0))&amp;"",IF($D822="Named engineer",INDEX(Accounts!$I$2:$I$21,MATCH($A822,Accounts!$B$2:$B$21,0))&amp;"",IF($D822="TSE + PS",IF(INDEX(Accounts!$G$2:$G$21,MATCH($A822,Accounts!$B$2:$B$21,0))&amp;""="","(no TSE)",INDEX(Accounts!$G$2:$G$21,MATCH($A822,Accounts!$B$2:$B$21,0))&amp;"")&amp;" / "&amp;IF(INDEX(Accounts!$F$2:$F$21,MATCH($A822,Accounts!$B$2:$B$21,0))&amp;""="","(no PS)",INDEX(Accounts!$F$2:$F$21,MATCH($A822,Accounts!$B$2:$B$21,0))&amp;""),"")))),""))</f>
        <v/>
      </c>
      <c r="F822" s="42" t="s">
        <v>104</v>
      </c>
      <c r="I822" s="42" t="s">
        <v>34</v>
      </c>
      <c r="K822" s="44" t="str">
        <f t="shared" si="1"/>
        <v>Owner missing </v>
      </c>
    </row>
    <row r="823" ht="15.75" customHeight="1">
      <c r="E823" s="43" t="str">
        <f t="array" ref="E823">IF($A823="","",IFERROR(IF($D823="TSE",INDEX(Accounts!$G$2:$G$21,MATCH($A823,Accounts!$B$2:$B$21,0))&amp;"",IF($D823="PS",INDEX(Accounts!$F$2:$F$21,MATCH($A823,Accounts!$B$2:$B$21,0))&amp;"",IF($D823="Named engineer",INDEX(Accounts!$I$2:$I$21,MATCH($A823,Accounts!$B$2:$B$21,0))&amp;"",IF($D823="TSE + PS",IF(INDEX(Accounts!$G$2:$G$21,MATCH($A823,Accounts!$B$2:$B$21,0))&amp;""="","(no TSE)",INDEX(Accounts!$G$2:$G$21,MATCH($A823,Accounts!$B$2:$B$21,0))&amp;"")&amp;" / "&amp;IF(INDEX(Accounts!$F$2:$F$21,MATCH($A823,Accounts!$B$2:$B$21,0))&amp;""="","(no PS)",INDEX(Accounts!$F$2:$F$21,MATCH($A823,Accounts!$B$2:$B$21,0))&amp;""),"")))),""))</f>
        <v/>
      </c>
      <c r="F823" s="42" t="s">
        <v>104</v>
      </c>
      <c r="I823" s="42" t="s">
        <v>34</v>
      </c>
      <c r="K823" s="44" t="str">
        <f t="shared" si="1"/>
        <v>Owner missing </v>
      </c>
    </row>
    <row r="824" ht="15.75" customHeight="1">
      <c r="E824" s="43" t="str">
        <f t="array" ref="E824">IF($A824="","",IFERROR(IF($D824="TSE",INDEX(Accounts!$G$2:$G$21,MATCH($A824,Accounts!$B$2:$B$21,0))&amp;"",IF($D824="PS",INDEX(Accounts!$F$2:$F$21,MATCH($A824,Accounts!$B$2:$B$21,0))&amp;"",IF($D824="Named engineer",INDEX(Accounts!$I$2:$I$21,MATCH($A824,Accounts!$B$2:$B$21,0))&amp;"",IF($D824="TSE + PS",IF(INDEX(Accounts!$G$2:$G$21,MATCH($A824,Accounts!$B$2:$B$21,0))&amp;""="","(no TSE)",INDEX(Accounts!$G$2:$G$21,MATCH($A824,Accounts!$B$2:$B$21,0))&amp;"")&amp;" / "&amp;IF(INDEX(Accounts!$F$2:$F$21,MATCH($A824,Accounts!$B$2:$B$21,0))&amp;""="","(no PS)",INDEX(Accounts!$F$2:$F$21,MATCH($A824,Accounts!$B$2:$B$21,0))&amp;""),"")))),""))</f>
        <v/>
      </c>
      <c r="F824" s="42" t="s">
        <v>104</v>
      </c>
      <c r="I824" s="42" t="s">
        <v>34</v>
      </c>
      <c r="K824" s="44" t="str">
        <f t="shared" si="1"/>
        <v>Owner missing </v>
      </c>
    </row>
    <row r="825" ht="15.75" customHeight="1">
      <c r="E825" s="43" t="str">
        <f t="array" ref="E825">IF($A825="","",IFERROR(IF($D825="TSE",INDEX(Accounts!$G$2:$G$21,MATCH($A825,Accounts!$B$2:$B$21,0))&amp;"",IF($D825="PS",INDEX(Accounts!$F$2:$F$21,MATCH($A825,Accounts!$B$2:$B$21,0))&amp;"",IF($D825="Named engineer",INDEX(Accounts!$I$2:$I$21,MATCH($A825,Accounts!$B$2:$B$21,0))&amp;"",IF($D825="TSE + PS",IF(INDEX(Accounts!$G$2:$G$21,MATCH($A825,Accounts!$B$2:$B$21,0))&amp;""="","(no TSE)",INDEX(Accounts!$G$2:$G$21,MATCH($A825,Accounts!$B$2:$B$21,0))&amp;"")&amp;" / "&amp;IF(INDEX(Accounts!$F$2:$F$21,MATCH($A825,Accounts!$B$2:$B$21,0))&amp;""="","(no PS)",INDEX(Accounts!$F$2:$F$21,MATCH($A825,Accounts!$B$2:$B$21,0))&amp;""),"")))),""))</f>
        <v/>
      </c>
      <c r="F825" s="42" t="s">
        <v>104</v>
      </c>
      <c r="I825" s="42" t="s">
        <v>34</v>
      </c>
      <c r="K825" s="44" t="str">
        <f t="shared" si="1"/>
        <v>Owner missing </v>
      </c>
    </row>
    <row r="826" ht="15.75" customHeight="1">
      <c r="E826" s="43" t="str">
        <f t="array" ref="E826">IF($A826="","",IFERROR(IF($D826="TSE",INDEX(Accounts!$G$2:$G$21,MATCH($A826,Accounts!$B$2:$B$21,0))&amp;"",IF($D826="PS",INDEX(Accounts!$F$2:$F$21,MATCH($A826,Accounts!$B$2:$B$21,0))&amp;"",IF($D826="Named engineer",INDEX(Accounts!$I$2:$I$21,MATCH($A826,Accounts!$B$2:$B$21,0))&amp;"",IF($D826="TSE + PS",IF(INDEX(Accounts!$G$2:$G$21,MATCH($A826,Accounts!$B$2:$B$21,0))&amp;""="","(no TSE)",INDEX(Accounts!$G$2:$G$21,MATCH($A826,Accounts!$B$2:$B$21,0))&amp;"")&amp;" / "&amp;IF(INDEX(Accounts!$F$2:$F$21,MATCH($A826,Accounts!$B$2:$B$21,0))&amp;""="","(no PS)",INDEX(Accounts!$F$2:$F$21,MATCH($A826,Accounts!$B$2:$B$21,0))&amp;""),"")))),""))</f>
        <v/>
      </c>
      <c r="F826" s="42" t="s">
        <v>104</v>
      </c>
      <c r="I826" s="42" t="s">
        <v>34</v>
      </c>
      <c r="K826" s="44" t="str">
        <f t="shared" si="1"/>
        <v>Owner missing </v>
      </c>
    </row>
    <row r="827" ht="15.75" customHeight="1">
      <c r="E827" s="43" t="str">
        <f t="array" ref="E827">IF($A827="","",IFERROR(IF($D827="TSE",INDEX(Accounts!$G$2:$G$21,MATCH($A827,Accounts!$B$2:$B$21,0))&amp;"",IF($D827="PS",INDEX(Accounts!$F$2:$F$21,MATCH($A827,Accounts!$B$2:$B$21,0))&amp;"",IF($D827="Named engineer",INDEX(Accounts!$I$2:$I$21,MATCH($A827,Accounts!$B$2:$B$21,0))&amp;"",IF($D827="TSE + PS",IF(INDEX(Accounts!$G$2:$G$21,MATCH($A827,Accounts!$B$2:$B$21,0))&amp;""="","(no TSE)",INDEX(Accounts!$G$2:$G$21,MATCH($A827,Accounts!$B$2:$B$21,0))&amp;"")&amp;" / "&amp;IF(INDEX(Accounts!$F$2:$F$21,MATCH($A827,Accounts!$B$2:$B$21,0))&amp;""="","(no PS)",INDEX(Accounts!$F$2:$F$21,MATCH($A827,Accounts!$B$2:$B$21,0))&amp;""),"")))),""))</f>
        <v/>
      </c>
      <c r="F827" s="42" t="s">
        <v>104</v>
      </c>
      <c r="I827" s="42" t="s">
        <v>34</v>
      </c>
      <c r="K827" s="44" t="str">
        <f t="shared" si="1"/>
        <v>Owner missing </v>
      </c>
    </row>
    <row r="828" ht="15.75" customHeight="1">
      <c r="E828" s="43" t="str">
        <f t="array" ref="E828">IF($A828="","",IFERROR(IF($D828="TSE",INDEX(Accounts!$G$2:$G$21,MATCH($A828,Accounts!$B$2:$B$21,0))&amp;"",IF($D828="PS",INDEX(Accounts!$F$2:$F$21,MATCH($A828,Accounts!$B$2:$B$21,0))&amp;"",IF($D828="Named engineer",INDEX(Accounts!$I$2:$I$21,MATCH($A828,Accounts!$B$2:$B$21,0))&amp;"",IF($D828="TSE + PS",IF(INDEX(Accounts!$G$2:$G$21,MATCH($A828,Accounts!$B$2:$B$21,0))&amp;""="","(no TSE)",INDEX(Accounts!$G$2:$G$21,MATCH($A828,Accounts!$B$2:$B$21,0))&amp;"")&amp;" / "&amp;IF(INDEX(Accounts!$F$2:$F$21,MATCH($A828,Accounts!$B$2:$B$21,0))&amp;""="","(no PS)",INDEX(Accounts!$F$2:$F$21,MATCH($A828,Accounts!$B$2:$B$21,0))&amp;""),"")))),""))</f>
        <v/>
      </c>
      <c r="F828" s="42" t="s">
        <v>104</v>
      </c>
      <c r="I828" s="42" t="s">
        <v>34</v>
      </c>
      <c r="K828" s="44" t="str">
        <f t="shared" si="1"/>
        <v>Owner missing </v>
      </c>
    </row>
    <row r="829" ht="15.75" customHeight="1">
      <c r="E829" s="43" t="str">
        <f t="array" ref="E829">IF($A829="","",IFERROR(IF($D829="TSE",INDEX(Accounts!$G$2:$G$21,MATCH($A829,Accounts!$B$2:$B$21,0))&amp;"",IF($D829="PS",INDEX(Accounts!$F$2:$F$21,MATCH($A829,Accounts!$B$2:$B$21,0))&amp;"",IF($D829="Named engineer",INDEX(Accounts!$I$2:$I$21,MATCH($A829,Accounts!$B$2:$B$21,0))&amp;"",IF($D829="TSE + PS",IF(INDEX(Accounts!$G$2:$G$21,MATCH($A829,Accounts!$B$2:$B$21,0))&amp;""="","(no TSE)",INDEX(Accounts!$G$2:$G$21,MATCH($A829,Accounts!$B$2:$B$21,0))&amp;"")&amp;" / "&amp;IF(INDEX(Accounts!$F$2:$F$21,MATCH($A829,Accounts!$B$2:$B$21,0))&amp;""="","(no PS)",INDEX(Accounts!$F$2:$F$21,MATCH($A829,Accounts!$B$2:$B$21,0))&amp;""),"")))),""))</f>
        <v/>
      </c>
      <c r="F829" s="42" t="s">
        <v>104</v>
      </c>
      <c r="I829" s="42" t="s">
        <v>34</v>
      </c>
      <c r="K829" s="44" t="str">
        <f t="shared" si="1"/>
        <v>Owner missing </v>
      </c>
    </row>
    <row r="830" ht="15.75" customHeight="1">
      <c r="E830" s="43" t="str">
        <f t="array" ref="E830">IF($A830="","",IFERROR(IF($D830="TSE",INDEX(Accounts!$G$2:$G$21,MATCH($A830,Accounts!$B$2:$B$21,0))&amp;"",IF($D830="PS",INDEX(Accounts!$F$2:$F$21,MATCH($A830,Accounts!$B$2:$B$21,0))&amp;"",IF($D830="Named engineer",INDEX(Accounts!$I$2:$I$21,MATCH($A830,Accounts!$B$2:$B$21,0))&amp;"",IF($D830="TSE + PS",IF(INDEX(Accounts!$G$2:$G$21,MATCH($A830,Accounts!$B$2:$B$21,0))&amp;""="","(no TSE)",INDEX(Accounts!$G$2:$G$21,MATCH($A830,Accounts!$B$2:$B$21,0))&amp;"")&amp;" / "&amp;IF(INDEX(Accounts!$F$2:$F$21,MATCH($A830,Accounts!$B$2:$B$21,0))&amp;""="","(no PS)",INDEX(Accounts!$F$2:$F$21,MATCH($A830,Accounts!$B$2:$B$21,0))&amp;""),"")))),""))</f>
        <v/>
      </c>
      <c r="F830" s="42" t="s">
        <v>104</v>
      </c>
      <c r="I830" s="42" t="s">
        <v>34</v>
      </c>
      <c r="K830" s="44" t="str">
        <f t="shared" si="1"/>
        <v>Owner missing </v>
      </c>
    </row>
    <row r="831" ht="15.75" customHeight="1">
      <c r="E831" s="43" t="str">
        <f t="array" ref="E831">IF($A831="","",IFERROR(IF($D831="TSE",INDEX(Accounts!$G$2:$G$21,MATCH($A831,Accounts!$B$2:$B$21,0))&amp;"",IF($D831="PS",INDEX(Accounts!$F$2:$F$21,MATCH($A831,Accounts!$B$2:$B$21,0))&amp;"",IF($D831="Named engineer",INDEX(Accounts!$I$2:$I$21,MATCH($A831,Accounts!$B$2:$B$21,0))&amp;"",IF($D831="TSE + PS",IF(INDEX(Accounts!$G$2:$G$21,MATCH($A831,Accounts!$B$2:$B$21,0))&amp;""="","(no TSE)",INDEX(Accounts!$G$2:$G$21,MATCH($A831,Accounts!$B$2:$B$21,0))&amp;"")&amp;" / "&amp;IF(INDEX(Accounts!$F$2:$F$21,MATCH($A831,Accounts!$B$2:$B$21,0))&amp;""="","(no PS)",INDEX(Accounts!$F$2:$F$21,MATCH($A831,Accounts!$B$2:$B$21,0))&amp;""),"")))),""))</f>
        <v/>
      </c>
      <c r="F831" s="42" t="s">
        <v>104</v>
      </c>
      <c r="I831" s="42" t="s">
        <v>34</v>
      </c>
      <c r="K831" s="44" t="str">
        <f t="shared" si="1"/>
        <v>Owner missing </v>
      </c>
    </row>
    <row r="832" ht="15.75" customHeight="1">
      <c r="E832" s="43" t="str">
        <f t="array" ref="E832">IF($A832="","",IFERROR(IF($D832="TSE",INDEX(Accounts!$G$2:$G$21,MATCH($A832,Accounts!$B$2:$B$21,0))&amp;"",IF($D832="PS",INDEX(Accounts!$F$2:$F$21,MATCH($A832,Accounts!$B$2:$B$21,0))&amp;"",IF($D832="Named engineer",INDEX(Accounts!$I$2:$I$21,MATCH($A832,Accounts!$B$2:$B$21,0))&amp;"",IF($D832="TSE + PS",IF(INDEX(Accounts!$G$2:$G$21,MATCH($A832,Accounts!$B$2:$B$21,0))&amp;""="","(no TSE)",INDEX(Accounts!$G$2:$G$21,MATCH($A832,Accounts!$B$2:$B$21,0))&amp;"")&amp;" / "&amp;IF(INDEX(Accounts!$F$2:$F$21,MATCH($A832,Accounts!$B$2:$B$21,0))&amp;""="","(no PS)",INDEX(Accounts!$F$2:$F$21,MATCH($A832,Accounts!$B$2:$B$21,0))&amp;""),"")))),""))</f>
        <v/>
      </c>
      <c r="F832" s="42" t="s">
        <v>104</v>
      </c>
      <c r="I832" s="42" t="s">
        <v>34</v>
      </c>
      <c r="K832" s="44" t="str">
        <f t="shared" si="1"/>
        <v>Owner missing </v>
      </c>
    </row>
    <row r="833" ht="15.75" customHeight="1">
      <c r="E833" s="43" t="str">
        <f t="array" ref="E833">IF($A833="","",IFERROR(IF($D833="TSE",INDEX(Accounts!$G$2:$G$21,MATCH($A833,Accounts!$B$2:$B$21,0))&amp;"",IF($D833="PS",INDEX(Accounts!$F$2:$F$21,MATCH($A833,Accounts!$B$2:$B$21,0))&amp;"",IF($D833="Named engineer",INDEX(Accounts!$I$2:$I$21,MATCH($A833,Accounts!$B$2:$B$21,0))&amp;"",IF($D833="TSE + PS",IF(INDEX(Accounts!$G$2:$G$21,MATCH($A833,Accounts!$B$2:$B$21,0))&amp;""="","(no TSE)",INDEX(Accounts!$G$2:$G$21,MATCH($A833,Accounts!$B$2:$B$21,0))&amp;"")&amp;" / "&amp;IF(INDEX(Accounts!$F$2:$F$21,MATCH($A833,Accounts!$B$2:$B$21,0))&amp;""="","(no PS)",INDEX(Accounts!$F$2:$F$21,MATCH($A833,Accounts!$B$2:$B$21,0))&amp;""),"")))),""))</f>
        <v/>
      </c>
      <c r="F833" s="42" t="s">
        <v>104</v>
      </c>
      <c r="I833" s="42" t="s">
        <v>34</v>
      </c>
      <c r="K833" s="44" t="str">
        <f t="shared" si="1"/>
        <v>Owner missing </v>
      </c>
    </row>
    <row r="834" ht="15.75" customHeight="1">
      <c r="E834" s="43" t="str">
        <f t="array" ref="E834">IF($A834="","",IFERROR(IF($D834="TSE",INDEX(Accounts!$G$2:$G$21,MATCH($A834,Accounts!$B$2:$B$21,0))&amp;"",IF($D834="PS",INDEX(Accounts!$F$2:$F$21,MATCH($A834,Accounts!$B$2:$B$21,0))&amp;"",IF($D834="Named engineer",INDEX(Accounts!$I$2:$I$21,MATCH($A834,Accounts!$B$2:$B$21,0))&amp;"",IF($D834="TSE + PS",IF(INDEX(Accounts!$G$2:$G$21,MATCH($A834,Accounts!$B$2:$B$21,0))&amp;""="","(no TSE)",INDEX(Accounts!$G$2:$G$21,MATCH($A834,Accounts!$B$2:$B$21,0))&amp;"")&amp;" / "&amp;IF(INDEX(Accounts!$F$2:$F$21,MATCH($A834,Accounts!$B$2:$B$21,0))&amp;""="","(no PS)",INDEX(Accounts!$F$2:$F$21,MATCH($A834,Accounts!$B$2:$B$21,0))&amp;""),"")))),""))</f>
        <v/>
      </c>
      <c r="F834" s="42" t="s">
        <v>104</v>
      </c>
      <c r="I834" s="42" t="s">
        <v>34</v>
      </c>
      <c r="K834" s="44" t="str">
        <f t="shared" si="1"/>
        <v>Owner missing </v>
      </c>
    </row>
    <row r="835" ht="15.75" customHeight="1">
      <c r="E835" s="43" t="str">
        <f t="array" ref="E835">IF($A835="","",IFERROR(IF($D835="TSE",INDEX(Accounts!$G$2:$G$21,MATCH($A835,Accounts!$B$2:$B$21,0))&amp;"",IF($D835="PS",INDEX(Accounts!$F$2:$F$21,MATCH($A835,Accounts!$B$2:$B$21,0))&amp;"",IF($D835="Named engineer",INDEX(Accounts!$I$2:$I$21,MATCH($A835,Accounts!$B$2:$B$21,0))&amp;"",IF($D835="TSE + PS",IF(INDEX(Accounts!$G$2:$G$21,MATCH($A835,Accounts!$B$2:$B$21,0))&amp;""="","(no TSE)",INDEX(Accounts!$G$2:$G$21,MATCH($A835,Accounts!$B$2:$B$21,0))&amp;"")&amp;" / "&amp;IF(INDEX(Accounts!$F$2:$F$21,MATCH($A835,Accounts!$B$2:$B$21,0))&amp;""="","(no PS)",INDEX(Accounts!$F$2:$F$21,MATCH($A835,Accounts!$B$2:$B$21,0))&amp;""),"")))),""))</f>
        <v/>
      </c>
      <c r="F835" s="42" t="s">
        <v>104</v>
      </c>
      <c r="I835" s="42" t="s">
        <v>34</v>
      </c>
      <c r="K835" s="44" t="str">
        <f t="shared" si="1"/>
        <v>Owner missing </v>
      </c>
    </row>
    <row r="836" ht="15.75" customHeight="1">
      <c r="E836" s="43" t="str">
        <f t="array" ref="E836">IF($A836="","",IFERROR(IF($D836="TSE",INDEX(Accounts!$G$2:$G$21,MATCH($A836,Accounts!$B$2:$B$21,0))&amp;"",IF($D836="PS",INDEX(Accounts!$F$2:$F$21,MATCH($A836,Accounts!$B$2:$B$21,0))&amp;"",IF($D836="Named engineer",INDEX(Accounts!$I$2:$I$21,MATCH($A836,Accounts!$B$2:$B$21,0))&amp;"",IF($D836="TSE + PS",IF(INDEX(Accounts!$G$2:$G$21,MATCH($A836,Accounts!$B$2:$B$21,0))&amp;""="","(no TSE)",INDEX(Accounts!$G$2:$G$21,MATCH($A836,Accounts!$B$2:$B$21,0))&amp;"")&amp;" / "&amp;IF(INDEX(Accounts!$F$2:$F$21,MATCH($A836,Accounts!$B$2:$B$21,0))&amp;""="","(no PS)",INDEX(Accounts!$F$2:$F$21,MATCH($A836,Accounts!$B$2:$B$21,0))&amp;""),"")))),""))</f>
        <v/>
      </c>
      <c r="F836" s="42" t="s">
        <v>104</v>
      </c>
      <c r="I836" s="42" t="s">
        <v>34</v>
      </c>
      <c r="K836" s="44" t="str">
        <f t="shared" si="1"/>
        <v>Owner missing </v>
      </c>
    </row>
    <row r="837" ht="15.75" customHeight="1">
      <c r="E837" s="43" t="str">
        <f t="array" ref="E837">IF($A837="","",IFERROR(IF($D837="TSE",INDEX(Accounts!$G$2:$G$21,MATCH($A837,Accounts!$B$2:$B$21,0))&amp;"",IF($D837="PS",INDEX(Accounts!$F$2:$F$21,MATCH($A837,Accounts!$B$2:$B$21,0))&amp;"",IF($D837="Named engineer",INDEX(Accounts!$I$2:$I$21,MATCH($A837,Accounts!$B$2:$B$21,0))&amp;"",IF($D837="TSE + PS",IF(INDEX(Accounts!$G$2:$G$21,MATCH($A837,Accounts!$B$2:$B$21,0))&amp;""="","(no TSE)",INDEX(Accounts!$G$2:$G$21,MATCH($A837,Accounts!$B$2:$B$21,0))&amp;"")&amp;" / "&amp;IF(INDEX(Accounts!$F$2:$F$21,MATCH($A837,Accounts!$B$2:$B$21,0))&amp;""="","(no PS)",INDEX(Accounts!$F$2:$F$21,MATCH($A837,Accounts!$B$2:$B$21,0))&amp;""),"")))),""))</f>
        <v/>
      </c>
      <c r="F837" s="42" t="s">
        <v>104</v>
      </c>
      <c r="I837" s="42" t="s">
        <v>34</v>
      </c>
      <c r="K837" s="44" t="str">
        <f t="shared" si="1"/>
        <v>Owner missing </v>
      </c>
    </row>
    <row r="838" ht="15.75" customHeight="1">
      <c r="E838" s="43" t="str">
        <f t="array" ref="E838">IF($A838="","",IFERROR(IF($D838="TSE",INDEX(Accounts!$G$2:$G$21,MATCH($A838,Accounts!$B$2:$B$21,0))&amp;"",IF($D838="PS",INDEX(Accounts!$F$2:$F$21,MATCH($A838,Accounts!$B$2:$B$21,0))&amp;"",IF($D838="Named engineer",INDEX(Accounts!$I$2:$I$21,MATCH($A838,Accounts!$B$2:$B$21,0))&amp;"",IF($D838="TSE + PS",IF(INDEX(Accounts!$G$2:$G$21,MATCH($A838,Accounts!$B$2:$B$21,0))&amp;""="","(no TSE)",INDEX(Accounts!$G$2:$G$21,MATCH($A838,Accounts!$B$2:$B$21,0))&amp;"")&amp;" / "&amp;IF(INDEX(Accounts!$F$2:$F$21,MATCH($A838,Accounts!$B$2:$B$21,0))&amp;""="","(no PS)",INDEX(Accounts!$F$2:$F$21,MATCH($A838,Accounts!$B$2:$B$21,0))&amp;""),"")))),""))</f>
        <v/>
      </c>
      <c r="F838" s="42" t="s">
        <v>104</v>
      </c>
      <c r="I838" s="42" t="s">
        <v>34</v>
      </c>
      <c r="K838" s="44" t="str">
        <f t="shared" si="1"/>
        <v>Owner missing </v>
      </c>
    </row>
    <row r="839" ht="15.75" customHeight="1">
      <c r="E839" s="43" t="str">
        <f t="array" ref="E839">IF($A839="","",IFERROR(IF($D839="TSE",INDEX(Accounts!$G$2:$G$21,MATCH($A839,Accounts!$B$2:$B$21,0))&amp;"",IF($D839="PS",INDEX(Accounts!$F$2:$F$21,MATCH($A839,Accounts!$B$2:$B$21,0))&amp;"",IF($D839="Named engineer",INDEX(Accounts!$I$2:$I$21,MATCH($A839,Accounts!$B$2:$B$21,0))&amp;"",IF($D839="TSE + PS",IF(INDEX(Accounts!$G$2:$G$21,MATCH($A839,Accounts!$B$2:$B$21,0))&amp;""="","(no TSE)",INDEX(Accounts!$G$2:$G$21,MATCH($A839,Accounts!$B$2:$B$21,0))&amp;"")&amp;" / "&amp;IF(INDEX(Accounts!$F$2:$F$21,MATCH($A839,Accounts!$B$2:$B$21,0))&amp;""="","(no PS)",INDEX(Accounts!$F$2:$F$21,MATCH($A839,Accounts!$B$2:$B$21,0))&amp;""),"")))),""))</f>
        <v/>
      </c>
      <c r="F839" s="42" t="s">
        <v>104</v>
      </c>
      <c r="I839" s="42" t="s">
        <v>34</v>
      </c>
      <c r="K839" s="44" t="str">
        <f t="shared" si="1"/>
        <v>Owner missing </v>
      </c>
    </row>
    <row r="840" ht="15.75" customHeight="1">
      <c r="E840" s="43" t="str">
        <f t="array" ref="E840">IF($A840="","",IFERROR(IF($D840="TSE",INDEX(Accounts!$G$2:$G$21,MATCH($A840,Accounts!$B$2:$B$21,0))&amp;"",IF($D840="PS",INDEX(Accounts!$F$2:$F$21,MATCH($A840,Accounts!$B$2:$B$21,0))&amp;"",IF($D840="Named engineer",INDEX(Accounts!$I$2:$I$21,MATCH($A840,Accounts!$B$2:$B$21,0))&amp;"",IF($D840="TSE + PS",IF(INDEX(Accounts!$G$2:$G$21,MATCH($A840,Accounts!$B$2:$B$21,0))&amp;""="","(no TSE)",INDEX(Accounts!$G$2:$G$21,MATCH($A840,Accounts!$B$2:$B$21,0))&amp;"")&amp;" / "&amp;IF(INDEX(Accounts!$F$2:$F$21,MATCH($A840,Accounts!$B$2:$B$21,0))&amp;""="","(no PS)",INDEX(Accounts!$F$2:$F$21,MATCH($A840,Accounts!$B$2:$B$21,0))&amp;""),"")))),""))</f>
        <v/>
      </c>
      <c r="F840" s="42" t="s">
        <v>104</v>
      </c>
      <c r="I840" s="42" t="s">
        <v>34</v>
      </c>
      <c r="K840" s="44" t="str">
        <f t="shared" si="1"/>
        <v>Owner missing </v>
      </c>
    </row>
    <row r="841" ht="15.75" customHeight="1">
      <c r="E841" s="43" t="str">
        <f t="array" ref="E841">IF($A841="","",IFERROR(IF($D841="TSE",INDEX(Accounts!$G$2:$G$21,MATCH($A841,Accounts!$B$2:$B$21,0))&amp;"",IF($D841="PS",INDEX(Accounts!$F$2:$F$21,MATCH($A841,Accounts!$B$2:$B$21,0))&amp;"",IF($D841="Named engineer",INDEX(Accounts!$I$2:$I$21,MATCH($A841,Accounts!$B$2:$B$21,0))&amp;"",IF($D841="TSE + PS",IF(INDEX(Accounts!$G$2:$G$21,MATCH($A841,Accounts!$B$2:$B$21,0))&amp;""="","(no TSE)",INDEX(Accounts!$G$2:$G$21,MATCH($A841,Accounts!$B$2:$B$21,0))&amp;"")&amp;" / "&amp;IF(INDEX(Accounts!$F$2:$F$21,MATCH($A841,Accounts!$B$2:$B$21,0))&amp;""="","(no PS)",INDEX(Accounts!$F$2:$F$21,MATCH($A841,Accounts!$B$2:$B$21,0))&amp;""),"")))),""))</f>
        <v/>
      </c>
      <c r="F841" s="42" t="s">
        <v>104</v>
      </c>
      <c r="I841" s="42" t="s">
        <v>34</v>
      </c>
      <c r="K841" s="44" t="str">
        <f t="shared" si="1"/>
        <v>Owner missing </v>
      </c>
    </row>
    <row r="842" ht="15.75" customHeight="1">
      <c r="E842" s="43" t="str">
        <f t="array" ref="E842">IF($A842="","",IFERROR(IF($D842="TSE",INDEX(Accounts!$G$2:$G$21,MATCH($A842,Accounts!$B$2:$B$21,0))&amp;"",IF($D842="PS",INDEX(Accounts!$F$2:$F$21,MATCH($A842,Accounts!$B$2:$B$21,0))&amp;"",IF($D842="Named engineer",INDEX(Accounts!$I$2:$I$21,MATCH($A842,Accounts!$B$2:$B$21,0))&amp;"",IF($D842="TSE + PS",IF(INDEX(Accounts!$G$2:$G$21,MATCH($A842,Accounts!$B$2:$B$21,0))&amp;""="","(no TSE)",INDEX(Accounts!$G$2:$G$21,MATCH($A842,Accounts!$B$2:$B$21,0))&amp;"")&amp;" / "&amp;IF(INDEX(Accounts!$F$2:$F$21,MATCH($A842,Accounts!$B$2:$B$21,0))&amp;""="","(no PS)",INDEX(Accounts!$F$2:$F$21,MATCH($A842,Accounts!$B$2:$B$21,0))&amp;""),"")))),""))</f>
        <v/>
      </c>
      <c r="F842" s="42" t="s">
        <v>104</v>
      </c>
      <c r="I842" s="42" t="s">
        <v>34</v>
      </c>
      <c r="K842" s="44" t="str">
        <f t="shared" si="1"/>
        <v>Owner missing </v>
      </c>
    </row>
    <row r="843" ht="15.75" customHeight="1">
      <c r="E843" s="43" t="str">
        <f t="array" ref="E843">IF($A843="","",IFERROR(IF($D843="TSE",INDEX(Accounts!$G$2:$G$21,MATCH($A843,Accounts!$B$2:$B$21,0))&amp;"",IF($D843="PS",INDEX(Accounts!$F$2:$F$21,MATCH($A843,Accounts!$B$2:$B$21,0))&amp;"",IF($D843="Named engineer",INDEX(Accounts!$I$2:$I$21,MATCH($A843,Accounts!$B$2:$B$21,0))&amp;"",IF($D843="TSE + PS",IF(INDEX(Accounts!$G$2:$G$21,MATCH($A843,Accounts!$B$2:$B$21,0))&amp;""="","(no TSE)",INDEX(Accounts!$G$2:$G$21,MATCH($A843,Accounts!$B$2:$B$21,0))&amp;"")&amp;" / "&amp;IF(INDEX(Accounts!$F$2:$F$21,MATCH($A843,Accounts!$B$2:$B$21,0))&amp;""="","(no PS)",INDEX(Accounts!$F$2:$F$21,MATCH($A843,Accounts!$B$2:$B$21,0))&amp;""),"")))),""))</f>
        <v/>
      </c>
      <c r="F843" s="42" t="s">
        <v>104</v>
      </c>
      <c r="I843" s="42" t="s">
        <v>34</v>
      </c>
      <c r="K843" s="44" t="str">
        <f t="shared" si="1"/>
        <v>Owner missing </v>
      </c>
    </row>
    <row r="844" ht="15.75" customHeight="1">
      <c r="E844" s="43" t="str">
        <f t="array" ref="E844">IF($A844="","",IFERROR(IF($D844="TSE",INDEX(Accounts!$G$2:$G$21,MATCH($A844,Accounts!$B$2:$B$21,0))&amp;"",IF($D844="PS",INDEX(Accounts!$F$2:$F$21,MATCH($A844,Accounts!$B$2:$B$21,0))&amp;"",IF($D844="Named engineer",INDEX(Accounts!$I$2:$I$21,MATCH($A844,Accounts!$B$2:$B$21,0))&amp;"",IF($D844="TSE + PS",IF(INDEX(Accounts!$G$2:$G$21,MATCH($A844,Accounts!$B$2:$B$21,0))&amp;""="","(no TSE)",INDEX(Accounts!$G$2:$G$21,MATCH($A844,Accounts!$B$2:$B$21,0))&amp;"")&amp;" / "&amp;IF(INDEX(Accounts!$F$2:$F$21,MATCH($A844,Accounts!$B$2:$B$21,0))&amp;""="","(no PS)",INDEX(Accounts!$F$2:$F$21,MATCH($A844,Accounts!$B$2:$B$21,0))&amp;""),"")))),""))</f>
        <v/>
      </c>
      <c r="F844" s="42" t="s">
        <v>104</v>
      </c>
      <c r="I844" s="42" t="s">
        <v>34</v>
      </c>
      <c r="K844" s="44" t="str">
        <f t="shared" si="1"/>
        <v>Owner missing </v>
      </c>
    </row>
    <row r="845" ht="15.75" customHeight="1">
      <c r="E845" s="43" t="str">
        <f t="array" ref="E845">IF($A845="","",IFERROR(IF($D845="TSE",INDEX(Accounts!$G$2:$G$21,MATCH($A845,Accounts!$B$2:$B$21,0))&amp;"",IF($D845="PS",INDEX(Accounts!$F$2:$F$21,MATCH($A845,Accounts!$B$2:$B$21,0))&amp;"",IF($D845="Named engineer",INDEX(Accounts!$I$2:$I$21,MATCH($A845,Accounts!$B$2:$B$21,0))&amp;"",IF($D845="TSE + PS",IF(INDEX(Accounts!$G$2:$G$21,MATCH($A845,Accounts!$B$2:$B$21,0))&amp;""="","(no TSE)",INDEX(Accounts!$G$2:$G$21,MATCH($A845,Accounts!$B$2:$B$21,0))&amp;"")&amp;" / "&amp;IF(INDEX(Accounts!$F$2:$F$21,MATCH($A845,Accounts!$B$2:$B$21,0))&amp;""="","(no PS)",INDEX(Accounts!$F$2:$F$21,MATCH($A845,Accounts!$B$2:$B$21,0))&amp;""),"")))),""))</f>
        <v/>
      </c>
      <c r="F845" s="42" t="s">
        <v>104</v>
      </c>
      <c r="I845" s="42" t="s">
        <v>34</v>
      </c>
      <c r="K845" s="44" t="str">
        <f t="shared" si="1"/>
        <v>Owner missing </v>
      </c>
    </row>
    <row r="846" ht="15.75" customHeight="1">
      <c r="E846" s="43" t="str">
        <f t="array" ref="E846">IF($A846="","",IFERROR(IF($D846="TSE",INDEX(Accounts!$G$2:$G$21,MATCH($A846,Accounts!$B$2:$B$21,0))&amp;"",IF($D846="PS",INDEX(Accounts!$F$2:$F$21,MATCH($A846,Accounts!$B$2:$B$21,0))&amp;"",IF($D846="Named engineer",INDEX(Accounts!$I$2:$I$21,MATCH($A846,Accounts!$B$2:$B$21,0))&amp;"",IF($D846="TSE + PS",IF(INDEX(Accounts!$G$2:$G$21,MATCH($A846,Accounts!$B$2:$B$21,0))&amp;""="","(no TSE)",INDEX(Accounts!$G$2:$G$21,MATCH($A846,Accounts!$B$2:$B$21,0))&amp;"")&amp;" / "&amp;IF(INDEX(Accounts!$F$2:$F$21,MATCH($A846,Accounts!$B$2:$B$21,0))&amp;""="","(no PS)",INDEX(Accounts!$F$2:$F$21,MATCH($A846,Accounts!$B$2:$B$21,0))&amp;""),"")))),""))</f>
        <v/>
      </c>
      <c r="F846" s="42" t="s">
        <v>104</v>
      </c>
      <c r="I846" s="42" t="s">
        <v>34</v>
      </c>
      <c r="K846" s="44" t="str">
        <f t="shared" si="1"/>
        <v>Owner missing </v>
      </c>
    </row>
    <row r="847" ht="15.75" customHeight="1">
      <c r="E847" s="43" t="str">
        <f t="array" ref="E847">IF($A847="","",IFERROR(IF($D847="TSE",INDEX(Accounts!$G$2:$G$21,MATCH($A847,Accounts!$B$2:$B$21,0))&amp;"",IF($D847="PS",INDEX(Accounts!$F$2:$F$21,MATCH($A847,Accounts!$B$2:$B$21,0))&amp;"",IF($D847="Named engineer",INDEX(Accounts!$I$2:$I$21,MATCH($A847,Accounts!$B$2:$B$21,0))&amp;"",IF($D847="TSE + PS",IF(INDEX(Accounts!$G$2:$G$21,MATCH($A847,Accounts!$B$2:$B$21,0))&amp;""="","(no TSE)",INDEX(Accounts!$G$2:$G$21,MATCH($A847,Accounts!$B$2:$B$21,0))&amp;"")&amp;" / "&amp;IF(INDEX(Accounts!$F$2:$F$21,MATCH($A847,Accounts!$B$2:$B$21,0))&amp;""="","(no PS)",INDEX(Accounts!$F$2:$F$21,MATCH($A847,Accounts!$B$2:$B$21,0))&amp;""),"")))),""))</f>
        <v/>
      </c>
      <c r="F847" s="42" t="s">
        <v>104</v>
      </c>
      <c r="I847" s="42" t="s">
        <v>34</v>
      </c>
      <c r="K847" s="44" t="str">
        <f t="shared" si="1"/>
        <v>Owner missing </v>
      </c>
    </row>
    <row r="848" ht="15.75" customHeight="1">
      <c r="E848" s="43" t="str">
        <f t="array" ref="E848">IF($A848="","",IFERROR(IF($D848="TSE",INDEX(Accounts!$G$2:$G$21,MATCH($A848,Accounts!$B$2:$B$21,0))&amp;"",IF($D848="PS",INDEX(Accounts!$F$2:$F$21,MATCH($A848,Accounts!$B$2:$B$21,0))&amp;"",IF($D848="Named engineer",INDEX(Accounts!$I$2:$I$21,MATCH($A848,Accounts!$B$2:$B$21,0))&amp;"",IF($D848="TSE + PS",IF(INDEX(Accounts!$G$2:$G$21,MATCH($A848,Accounts!$B$2:$B$21,0))&amp;""="","(no TSE)",INDEX(Accounts!$G$2:$G$21,MATCH($A848,Accounts!$B$2:$B$21,0))&amp;"")&amp;" / "&amp;IF(INDEX(Accounts!$F$2:$F$21,MATCH($A848,Accounts!$B$2:$B$21,0))&amp;""="","(no PS)",INDEX(Accounts!$F$2:$F$21,MATCH($A848,Accounts!$B$2:$B$21,0))&amp;""),"")))),""))</f>
        <v/>
      </c>
      <c r="F848" s="42" t="s">
        <v>104</v>
      </c>
      <c r="I848" s="42" t="s">
        <v>34</v>
      </c>
      <c r="K848" s="44" t="str">
        <f t="shared" si="1"/>
        <v>Owner missing </v>
      </c>
    </row>
    <row r="849" ht="15.75" customHeight="1">
      <c r="E849" s="43" t="str">
        <f t="array" ref="E849">IF($A849="","",IFERROR(IF($D849="TSE",INDEX(Accounts!$G$2:$G$21,MATCH($A849,Accounts!$B$2:$B$21,0))&amp;"",IF($D849="PS",INDEX(Accounts!$F$2:$F$21,MATCH($A849,Accounts!$B$2:$B$21,0))&amp;"",IF($D849="Named engineer",INDEX(Accounts!$I$2:$I$21,MATCH($A849,Accounts!$B$2:$B$21,0))&amp;"",IF($D849="TSE + PS",IF(INDEX(Accounts!$G$2:$G$21,MATCH($A849,Accounts!$B$2:$B$21,0))&amp;""="","(no TSE)",INDEX(Accounts!$G$2:$G$21,MATCH($A849,Accounts!$B$2:$B$21,0))&amp;"")&amp;" / "&amp;IF(INDEX(Accounts!$F$2:$F$21,MATCH($A849,Accounts!$B$2:$B$21,0))&amp;""="","(no PS)",INDEX(Accounts!$F$2:$F$21,MATCH($A849,Accounts!$B$2:$B$21,0))&amp;""),"")))),""))</f>
        <v/>
      </c>
      <c r="F849" s="42" t="s">
        <v>104</v>
      </c>
      <c r="I849" s="42" t="s">
        <v>34</v>
      </c>
      <c r="K849" s="44" t="str">
        <f t="shared" si="1"/>
        <v>Owner missing </v>
      </c>
    </row>
    <row r="850" ht="15.75" customHeight="1">
      <c r="E850" s="43" t="str">
        <f t="array" ref="E850">IF($A850="","",IFERROR(IF($D850="TSE",INDEX(Accounts!$G$2:$G$21,MATCH($A850,Accounts!$B$2:$B$21,0))&amp;"",IF($D850="PS",INDEX(Accounts!$F$2:$F$21,MATCH($A850,Accounts!$B$2:$B$21,0))&amp;"",IF($D850="Named engineer",INDEX(Accounts!$I$2:$I$21,MATCH($A850,Accounts!$B$2:$B$21,0))&amp;"",IF($D850="TSE + PS",IF(INDEX(Accounts!$G$2:$G$21,MATCH($A850,Accounts!$B$2:$B$21,0))&amp;""="","(no TSE)",INDEX(Accounts!$G$2:$G$21,MATCH($A850,Accounts!$B$2:$B$21,0))&amp;"")&amp;" / "&amp;IF(INDEX(Accounts!$F$2:$F$21,MATCH($A850,Accounts!$B$2:$B$21,0))&amp;""="","(no PS)",INDEX(Accounts!$F$2:$F$21,MATCH($A850,Accounts!$B$2:$B$21,0))&amp;""),"")))),""))</f>
        <v/>
      </c>
      <c r="F850" s="42" t="s">
        <v>104</v>
      </c>
      <c r="I850" s="42" t="s">
        <v>34</v>
      </c>
      <c r="K850" s="44" t="str">
        <f t="shared" si="1"/>
        <v>Owner missing </v>
      </c>
    </row>
    <row r="851" ht="15.75" customHeight="1">
      <c r="E851" s="43" t="str">
        <f t="array" ref="E851">IF($A851="","",IFERROR(IF($D851="TSE",INDEX(Accounts!$G$2:$G$21,MATCH($A851,Accounts!$B$2:$B$21,0))&amp;"",IF($D851="PS",INDEX(Accounts!$F$2:$F$21,MATCH($A851,Accounts!$B$2:$B$21,0))&amp;"",IF($D851="Named engineer",INDEX(Accounts!$I$2:$I$21,MATCH($A851,Accounts!$B$2:$B$21,0))&amp;"",IF($D851="TSE + PS",IF(INDEX(Accounts!$G$2:$G$21,MATCH($A851,Accounts!$B$2:$B$21,0))&amp;""="","(no TSE)",INDEX(Accounts!$G$2:$G$21,MATCH($A851,Accounts!$B$2:$B$21,0))&amp;"")&amp;" / "&amp;IF(INDEX(Accounts!$F$2:$F$21,MATCH($A851,Accounts!$B$2:$B$21,0))&amp;""="","(no PS)",INDEX(Accounts!$F$2:$F$21,MATCH($A851,Accounts!$B$2:$B$21,0))&amp;""),"")))),""))</f>
        <v/>
      </c>
      <c r="F851" s="42" t="s">
        <v>104</v>
      </c>
      <c r="I851" s="42" t="s">
        <v>34</v>
      </c>
      <c r="K851" s="44" t="str">
        <f t="shared" si="1"/>
        <v>Owner missing </v>
      </c>
    </row>
    <row r="852" ht="15.75" customHeight="1">
      <c r="E852" s="43" t="str">
        <f t="array" ref="E852">IF($A852="","",IFERROR(IF($D852="TSE",INDEX(Accounts!$G$2:$G$21,MATCH($A852,Accounts!$B$2:$B$21,0))&amp;"",IF($D852="PS",INDEX(Accounts!$F$2:$F$21,MATCH($A852,Accounts!$B$2:$B$21,0))&amp;"",IF($D852="Named engineer",INDEX(Accounts!$I$2:$I$21,MATCH($A852,Accounts!$B$2:$B$21,0))&amp;"",IF($D852="TSE + PS",IF(INDEX(Accounts!$G$2:$G$21,MATCH($A852,Accounts!$B$2:$B$21,0))&amp;""="","(no TSE)",INDEX(Accounts!$G$2:$G$21,MATCH($A852,Accounts!$B$2:$B$21,0))&amp;"")&amp;" / "&amp;IF(INDEX(Accounts!$F$2:$F$21,MATCH($A852,Accounts!$B$2:$B$21,0))&amp;""="","(no PS)",INDEX(Accounts!$F$2:$F$21,MATCH($A852,Accounts!$B$2:$B$21,0))&amp;""),"")))),""))</f>
        <v/>
      </c>
      <c r="F852" s="42" t="s">
        <v>104</v>
      </c>
      <c r="I852" s="42" t="s">
        <v>34</v>
      </c>
      <c r="K852" s="44" t="str">
        <f t="shared" si="1"/>
        <v>Owner missing </v>
      </c>
    </row>
    <row r="853" ht="15.75" customHeight="1">
      <c r="E853" s="43" t="str">
        <f t="array" ref="E853">IF($A853="","",IFERROR(IF($D853="TSE",INDEX(Accounts!$G$2:$G$21,MATCH($A853,Accounts!$B$2:$B$21,0))&amp;"",IF($D853="PS",INDEX(Accounts!$F$2:$F$21,MATCH($A853,Accounts!$B$2:$B$21,0))&amp;"",IF($D853="Named engineer",INDEX(Accounts!$I$2:$I$21,MATCH($A853,Accounts!$B$2:$B$21,0))&amp;"",IF($D853="TSE + PS",IF(INDEX(Accounts!$G$2:$G$21,MATCH($A853,Accounts!$B$2:$B$21,0))&amp;""="","(no TSE)",INDEX(Accounts!$G$2:$G$21,MATCH($A853,Accounts!$B$2:$B$21,0))&amp;"")&amp;" / "&amp;IF(INDEX(Accounts!$F$2:$F$21,MATCH($A853,Accounts!$B$2:$B$21,0))&amp;""="","(no PS)",INDEX(Accounts!$F$2:$F$21,MATCH($A853,Accounts!$B$2:$B$21,0))&amp;""),"")))),""))</f>
        <v/>
      </c>
      <c r="F853" s="42" t="s">
        <v>104</v>
      </c>
      <c r="I853" s="42" t="s">
        <v>34</v>
      </c>
      <c r="K853" s="44" t="str">
        <f t="shared" si="1"/>
        <v>Owner missing </v>
      </c>
    </row>
    <row r="854" ht="15.75" customHeight="1">
      <c r="E854" s="43" t="str">
        <f t="array" ref="E854">IF($A854="","",IFERROR(IF($D854="TSE",INDEX(Accounts!$G$2:$G$21,MATCH($A854,Accounts!$B$2:$B$21,0))&amp;"",IF($D854="PS",INDEX(Accounts!$F$2:$F$21,MATCH($A854,Accounts!$B$2:$B$21,0))&amp;"",IF($D854="Named engineer",INDEX(Accounts!$I$2:$I$21,MATCH($A854,Accounts!$B$2:$B$21,0))&amp;"",IF($D854="TSE + PS",IF(INDEX(Accounts!$G$2:$G$21,MATCH($A854,Accounts!$B$2:$B$21,0))&amp;""="","(no TSE)",INDEX(Accounts!$G$2:$G$21,MATCH($A854,Accounts!$B$2:$B$21,0))&amp;"")&amp;" / "&amp;IF(INDEX(Accounts!$F$2:$F$21,MATCH($A854,Accounts!$B$2:$B$21,0))&amp;""="","(no PS)",INDEX(Accounts!$F$2:$F$21,MATCH($A854,Accounts!$B$2:$B$21,0))&amp;""),"")))),""))</f>
        <v/>
      </c>
      <c r="F854" s="42" t="s">
        <v>104</v>
      </c>
      <c r="I854" s="42" t="s">
        <v>34</v>
      </c>
      <c r="K854" s="44" t="str">
        <f t="shared" si="1"/>
        <v>Owner missing </v>
      </c>
    </row>
    <row r="855" ht="15.75" customHeight="1">
      <c r="E855" s="43" t="str">
        <f t="array" ref="E855">IF($A855="","",IFERROR(IF($D855="TSE",INDEX(Accounts!$G$2:$G$21,MATCH($A855,Accounts!$B$2:$B$21,0))&amp;"",IF($D855="PS",INDEX(Accounts!$F$2:$F$21,MATCH($A855,Accounts!$B$2:$B$21,0))&amp;"",IF($D855="Named engineer",INDEX(Accounts!$I$2:$I$21,MATCH($A855,Accounts!$B$2:$B$21,0))&amp;"",IF($D855="TSE + PS",IF(INDEX(Accounts!$G$2:$G$21,MATCH($A855,Accounts!$B$2:$B$21,0))&amp;""="","(no TSE)",INDEX(Accounts!$G$2:$G$21,MATCH($A855,Accounts!$B$2:$B$21,0))&amp;"")&amp;" / "&amp;IF(INDEX(Accounts!$F$2:$F$21,MATCH($A855,Accounts!$B$2:$B$21,0))&amp;""="","(no PS)",INDEX(Accounts!$F$2:$F$21,MATCH($A855,Accounts!$B$2:$B$21,0))&amp;""),"")))),""))</f>
        <v/>
      </c>
      <c r="F855" s="42" t="s">
        <v>104</v>
      </c>
      <c r="I855" s="42" t="s">
        <v>34</v>
      </c>
      <c r="K855" s="44" t="str">
        <f t="shared" si="1"/>
        <v>Owner missing </v>
      </c>
    </row>
    <row r="856" ht="15.75" customHeight="1">
      <c r="E856" s="43" t="str">
        <f t="array" ref="E856">IF($A856="","",IFERROR(IF($D856="TSE",INDEX(Accounts!$G$2:$G$21,MATCH($A856,Accounts!$B$2:$B$21,0))&amp;"",IF($D856="PS",INDEX(Accounts!$F$2:$F$21,MATCH($A856,Accounts!$B$2:$B$21,0))&amp;"",IF($D856="Named engineer",INDEX(Accounts!$I$2:$I$21,MATCH($A856,Accounts!$B$2:$B$21,0))&amp;"",IF($D856="TSE + PS",IF(INDEX(Accounts!$G$2:$G$21,MATCH($A856,Accounts!$B$2:$B$21,0))&amp;""="","(no TSE)",INDEX(Accounts!$G$2:$G$21,MATCH($A856,Accounts!$B$2:$B$21,0))&amp;"")&amp;" / "&amp;IF(INDEX(Accounts!$F$2:$F$21,MATCH($A856,Accounts!$B$2:$B$21,0))&amp;""="","(no PS)",INDEX(Accounts!$F$2:$F$21,MATCH($A856,Accounts!$B$2:$B$21,0))&amp;""),"")))),""))</f>
        <v/>
      </c>
      <c r="F856" s="42" t="s">
        <v>104</v>
      </c>
      <c r="I856" s="42" t="s">
        <v>34</v>
      </c>
      <c r="K856" s="44" t="str">
        <f t="shared" si="1"/>
        <v>Owner missing </v>
      </c>
    </row>
    <row r="857" ht="15.75" customHeight="1">
      <c r="E857" s="43" t="str">
        <f t="array" ref="E857">IF($A857="","",IFERROR(IF($D857="TSE",INDEX(Accounts!$G$2:$G$21,MATCH($A857,Accounts!$B$2:$B$21,0))&amp;"",IF($D857="PS",INDEX(Accounts!$F$2:$F$21,MATCH($A857,Accounts!$B$2:$B$21,0))&amp;"",IF($D857="Named engineer",INDEX(Accounts!$I$2:$I$21,MATCH($A857,Accounts!$B$2:$B$21,0))&amp;"",IF($D857="TSE + PS",IF(INDEX(Accounts!$G$2:$G$21,MATCH($A857,Accounts!$B$2:$B$21,0))&amp;""="","(no TSE)",INDEX(Accounts!$G$2:$G$21,MATCH($A857,Accounts!$B$2:$B$21,0))&amp;"")&amp;" / "&amp;IF(INDEX(Accounts!$F$2:$F$21,MATCH($A857,Accounts!$B$2:$B$21,0))&amp;""="","(no PS)",INDEX(Accounts!$F$2:$F$21,MATCH($A857,Accounts!$B$2:$B$21,0))&amp;""),"")))),""))</f>
        <v/>
      </c>
      <c r="F857" s="42" t="s">
        <v>104</v>
      </c>
      <c r="I857" s="42" t="s">
        <v>34</v>
      </c>
      <c r="K857" s="44" t="str">
        <f t="shared" si="1"/>
        <v>Owner missing </v>
      </c>
    </row>
    <row r="858" ht="15.75" customHeight="1">
      <c r="E858" s="43" t="str">
        <f t="array" ref="E858">IF($A858="","",IFERROR(IF($D858="TSE",INDEX(Accounts!$G$2:$G$21,MATCH($A858,Accounts!$B$2:$B$21,0))&amp;"",IF($D858="PS",INDEX(Accounts!$F$2:$F$21,MATCH($A858,Accounts!$B$2:$B$21,0))&amp;"",IF($D858="Named engineer",INDEX(Accounts!$I$2:$I$21,MATCH($A858,Accounts!$B$2:$B$21,0))&amp;"",IF($D858="TSE + PS",IF(INDEX(Accounts!$G$2:$G$21,MATCH($A858,Accounts!$B$2:$B$21,0))&amp;""="","(no TSE)",INDEX(Accounts!$G$2:$G$21,MATCH($A858,Accounts!$B$2:$B$21,0))&amp;"")&amp;" / "&amp;IF(INDEX(Accounts!$F$2:$F$21,MATCH($A858,Accounts!$B$2:$B$21,0))&amp;""="","(no PS)",INDEX(Accounts!$F$2:$F$21,MATCH($A858,Accounts!$B$2:$B$21,0))&amp;""),"")))),""))</f>
        <v/>
      </c>
      <c r="F858" s="42" t="s">
        <v>104</v>
      </c>
      <c r="I858" s="42" t="s">
        <v>34</v>
      </c>
      <c r="K858" s="44" t="str">
        <f t="shared" si="1"/>
        <v>Owner missing </v>
      </c>
    </row>
    <row r="859" ht="15.75" customHeight="1">
      <c r="E859" s="43" t="str">
        <f t="array" ref="E859">IF($A859="","",IFERROR(IF($D859="TSE",INDEX(Accounts!$G$2:$G$21,MATCH($A859,Accounts!$B$2:$B$21,0))&amp;"",IF($D859="PS",INDEX(Accounts!$F$2:$F$21,MATCH($A859,Accounts!$B$2:$B$21,0))&amp;"",IF($D859="Named engineer",INDEX(Accounts!$I$2:$I$21,MATCH($A859,Accounts!$B$2:$B$21,0))&amp;"",IF($D859="TSE + PS",IF(INDEX(Accounts!$G$2:$G$21,MATCH($A859,Accounts!$B$2:$B$21,0))&amp;""="","(no TSE)",INDEX(Accounts!$G$2:$G$21,MATCH($A859,Accounts!$B$2:$B$21,0))&amp;"")&amp;" / "&amp;IF(INDEX(Accounts!$F$2:$F$21,MATCH($A859,Accounts!$B$2:$B$21,0))&amp;""="","(no PS)",INDEX(Accounts!$F$2:$F$21,MATCH($A859,Accounts!$B$2:$B$21,0))&amp;""),"")))),""))</f>
        <v/>
      </c>
      <c r="F859" s="42" t="s">
        <v>104</v>
      </c>
      <c r="I859" s="42" t="s">
        <v>34</v>
      </c>
      <c r="K859" s="44" t="str">
        <f t="shared" si="1"/>
        <v>Owner missing </v>
      </c>
    </row>
    <row r="860" ht="15.75" customHeight="1">
      <c r="E860" s="43" t="str">
        <f t="array" ref="E860">IF($A860="","",IFERROR(IF($D860="TSE",INDEX(Accounts!$G$2:$G$21,MATCH($A860,Accounts!$B$2:$B$21,0))&amp;"",IF($D860="PS",INDEX(Accounts!$F$2:$F$21,MATCH($A860,Accounts!$B$2:$B$21,0))&amp;"",IF($D860="Named engineer",INDEX(Accounts!$I$2:$I$21,MATCH($A860,Accounts!$B$2:$B$21,0))&amp;"",IF($D860="TSE + PS",IF(INDEX(Accounts!$G$2:$G$21,MATCH($A860,Accounts!$B$2:$B$21,0))&amp;""="","(no TSE)",INDEX(Accounts!$G$2:$G$21,MATCH($A860,Accounts!$B$2:$B$21,0))&amp;"")&amp;" / "&amp;IF(INDEX(Accounts!$F$2:$F$21,MATCH($A860,Accounts!$B$2:$B$21,0))&amp;""="","(no PS)",INDEX(Accounts!$F$2:$F$21,MATCH($A860,Accounts!$B$2:$B$21,0))&amp;""),"")))),""))</f>
        <v/>
      </c>
      <c r="F860" s="42" t="s">
        <v>104</v>
      </c>
      <c r="I860" s="42" t="s">
        <v>34</v>
      </c>
      <c r="K860" s="44" t="str">
        <f t="shared" si="1"/>
        <v>Owner missing </v>
      </c>
    </row>
    <row r="861" ht="15.75" customHeight="1">
      <c r="E861" s="43" t="str">
        <f t="array" ref="E861">IF($A861="","",IFERROR(IF($D861="TSE",INDEX(Accounts!$G$2:$G$21,MATCH($A861,Accounts!$B$2:$B$21,0))&amp;"",IF($D861="PS",INDEX(Accounts!$F$2:$F$21,MATCH($A861,Accounts!$B$2:$B$21,0))&amp;"",IF($D861="Named engineer",INDEX(Accounts!$I$2:$I$21,MATCH($A861,Accounts!$B$2:$B$21,0))&amp;"",IF($D861="TSE + PS",IF(INDEX(Accounts!$G$2:$G$21,MATCH($A861,Accounts!$B$2:$B$21,0))&amp;""="","(no TSE)",INDEX(Accounts!$G$2:$G$21,MATCH($A861,Accounts!$B$2:$B$21,0))&amp;"")&amp;" / "&amp;IF(INDEX(Accounts!$F$2:$F$21,MATCH($A861,Accounts!$B$2:$B$21,0))&amp;""="","(no PS)",INDEX(Accounts!$F$2:$F$21,MATCH($A861,Accounts!$B$2:$B$21,0))&amp;""),"")))),""))</f>
        <v/>
      </c>
      <c r="F861" s="42" t="s">
        <v>104</v>
      </c>
      <c r="I861" s="42" t="s">
        <v>34</v>
      </c>
      <c r="K861" s="44" t="str">
        <f t="shared" si="1"/>
        <v>Owner missing </v>
      </c>
    </row>
    <row r="862" ht="15.75" customHeight="1">
      <c r="E862" s="43" t="str">
        <f t="array" ref="E862">IF($A862="","",IFERROR(IF($D862="TSE",INDEX(Accounts!$G$2:$G$21,MATCH($A862,Accounts!$B$2:$B$21,0))&amp;"",IF($D862="PS",INDEX(Accounts!$F$2:$F$21,MATCH($A862,Accounts!$B$2:$B$21,0))&amp;"",IF($D862="Named engineer",INDEX(Accounts!$I$2:$I$21,MATCH($A862,Accounts!$B$2:$B$21,0))&amp;"",IF($D862="TSE + PS",IF(INDEX(Accounts!$G$2:$G$21,MATCH($A862,Accounts!$B$2:$B$21,0))&amp;""="","(no TSE)",INDEX(Accounts!$G$2:$G$21,MATCH($A862,Accounts!$B$2:$B$21,0))&amp;"")&amp;" / "&amp;IF(INDEX(Accounts!$F$2:$F$21,MATCH($A862,Accounts!$B$2:$B$21,0))&amp;""="","(no PS)",INDEX(Accounts!$F$2:$F$21,MATCH($A862,Accounts!$B$2:$B$21,0))&amp;""),"")))),""))</f>
        <v/>
      </c>
      <c r="F862" s="42" t="s">
        <v>104</v>
      </c>
      <c r="I862" s="42" t="s">
        <v>34</v>
      </c>
      <c r="K862" s="44" t="str">
        <f t="shared" si="1"/>
        <v>Owner missing </v>
      </c>
    </row>
    <row r="863" ht="15.75" customHeight="1">
      <c r="E863" s="43" t="str">
        <f t="array" ref="E863">IF($A863="","",IFERROR(IF($D863="TSE",INDEX(Accounts!$G$2:$G$21,MATCH($A863,Accounts!$B$2:$B$21,0))&amp;"",IF($D863="PS",INDEX(Accounts!$F$2:$F$21,MATCH($A863,Accounts!$B$2:$B$21,0))&amp;"",IF($D863="Named engineer",INDEX(Accounts!$I$2:$I$21,MATCH($A863,Accounts!$B$2:$B$21,0))&amp;"",IF($D863="TSE + PS",IF(INDEX(Accounts!$G$2:$G$21,MATCH($A863,Accounts!$B$2:$B$21,0))&amp;""="","(no TSE)",INDEX(Accounts!$G$2:$G$21,MATCH($A863,Accounts!$B$2:$B$21,0))&amp;"")&amp;" / "&amp;IF(INDEX(Accounts!$F$2:$F$21,MATCH($A863,Accounts!$B$2:$B$21,0))&amp;""="","(no PS)",INDEX(Accounts!$F$2:$F$21,MATCH($A863,Accounts!$B$2:$B$21,0))&amp;""),"")))),""))</f>
        <v/>
      </c>
      <c r="F863" s="42" t="s">
        <v>104</v>
      </c>
      <c r="I863" s="42" t="s">
        <v>34</v>
      </c>
      <c r="K863" s="44" t="str">
        <f t="shared" si="1"/>
        <v>Owner missing </v>
      </c>
    </row>
    <row r="864" ht="15.75" customHeight="1">
      <c r="E864" s="43" t="str">
        <f t="array" ref="E864">IF($A864="","",IFERROR(IF($D864="TSE",INDEX(Accounts!$G$2:$G$21,MATCH($A864,Accounts!$B$2:$B$21,0))&amp;"",IF($D864="PS",INDEX(Accounts!$F$2:$F$21,MATCH($A864,Accounts!$B$2:$B$21,0))&amp;"",IF($D864="Named engineer",INDEX(Accounts!$I$2:$I$21,MATCH($A864,Accounts!$B$2:$B$21,0))&amp;"",IF($D864="TSE + PS",IF(INDEX(Accounts!$G$2:$G$21,MATCH($A864,Accounts!$B$2:$B$21,0))&amp;""="","(no TSE)",INDEX(Accounts!$G$2:$G$21,MATCH($A864,Accounts!$B$2:$B$21,0))&amp;"")&amp;" / "&amp;IF(INDEX(Accounts!$F$2:$F$21,MATCH($A864,Accounts!$B$2:$B$21,0))&amp;""="","(no PS)",INDEX(Accounts!$F$2:$F$21,MATCH($A864,Accounts!$B$2:$B$21,0))&amp;""),"")))),""))</f>
        <v/>
      </c>
      <c r="F864" s="42" t="s">
        <v>104</v>
      </c>
      <c r="I864" s="42" t="s">
        <v>34</v>
      </c>
      <c r="K864" s="44" t="str">
        <f t="shared" si="1"/>
        <v>Owner missing </v>
      </c>
    </row>
    <row r="865" ht="15.75" customHeight="1">
      <c r="E865" s="43" t="str">
        <f t="array" ref="E865">IF($A865="","",IFERROR(IF($D865="TSE",INDEX(Accounts!$G$2:$G$21,MATCH($A865,Accounts!$B$2:$B$21,0))&amp;"",IF($D865="PS",INDEX(Accounts!$F$2:$F$21,MATCH($A865,Accounts!$B$2:$B$21,0))&amp;"",IF($D865="Named engineer",INDEX(Accounts!$I$2:$I$21,MATCH($A865,Accounts!$B$2:$B$21,0))&amp;"",IF($D865="TSE + PS",IF(INDEX(Accounts!$G$2:$G$21,MATCH($A865,Accounts!$B$2:$B$21,0))&amp;""="","(no TSE)",INDEX(Accounts!$G$2:$G$21,MATCH($A865,Accounts!$B$2:$B$21,0))&amp;"")&amp;" / "&amp;IF(INDEX(Accounts!$F$2:$F$21,MATCH($A865,Accounts!$B$2:$B$21,0))&amp;""="","(no PS)",INDEX(Accounts!$F$2:$F$21,MATCH($A865,Accounts!$B$2:$B$21,0))&amp;""),"")))),""))</f>
        <v/>
      </c>
      <c r="F865" s="42" t="s">
        <v>104</v>
      </c>
      <c r="I865" s="42" t="s">
        <v>34</v>
      </c>
      <c r="K865" s="44" t="str">
        <f t="shared" si="1"/>
        <v>Owner missing </v>
      </c>
    </row>
    <row r="866" ht="15.75" customHeight="1">
      <c r="E866" s="43" t="str">
        <f t="array" ref="E866">IF($A866="","",IFERROR(IF($D866="TSE",INDEX(Accounts!$G$2:$G$21,MATCH($A866,Accounts!$B$2:$B$21,0))&amp;"",IF($D866="PS",INDEX(Accounts!$F$2:$F$21,MATCH($A866,Accounts!$B$2:$B$21,0))&amp;"",IF($D866="Named engineer",INDEX(Accounts!$I$2:$I$21,MATCH($A866,Accounts!$B$2:$B$21,0))&amp;"",IF($D866="TSE + PS",IF(INDEX(Accounts!$G$2:$G$21,MATCH($A866,Accounts!$B$2:$B$21,0))&amp;""="","(no TSE)",INDEX(Accounts!$G$2:$G$21,MATCH($A866,Accounts!$B$2:$B$21,0))&amp;"")&amp;" / "&amp;IF(INDEX(Accounts!$F$2:$F$21,MATCH($A866,Accounts!$B$2:$B$21,0))&amp;""="","(no PS)",INDEX(Accounts!$F$2:$F$21,MATCH($A866,Accounts!$B$2:$B$21,0))&amp;""),"")))),""))</f>
        <v/>
      </c>
      <c r="F866" s="42" t="s">
        <v>104</v>
      </c>
      <c r="I866" s="42" t="s">
        <v>34</v>
      </c>
      <c r="K866" s="44" t="str">
        <f t="shared" si="1"/>
        <v>Owner missing </v>
      </c>
    </row>
    <row r="867" ht="15.75" customHeight="1">
      <c r="E867" s="43" t="str">
        <f t="array" ref="E867">IF($A867="","",IFERROR(IF($D867="TSE",INDEX(Accounts!$G$2:$G$21,MATCH($A867,Accounts!$B$2:$B$21,0))&amp;"",IF($D867="PS",INDEX(Accounts!$F$2:$F$21,MATCH($A867,Accounts!$B$2:$B$21,0))&amp;"",IF($D867="Named engineer",INDEX(Accounts!$I$2:$I$21,MATCH($A867,Accounts!$B$2:$B$21,0))&amp;"",IF($D867="TSE + PS",IF(INDEX(Accounts!$G$2:$G$21,MATCH($A867,Accounts!$B$2:$B$21,0))&amp;""="","(no TSE)",INDEX(Accounts!$G$2:$G$21,MATCH($A867,Accounts!$B$2:$B$21,0))&amp;"")&amp;" / "&amp;IF(INDEX(Accounts!$F$2:$F$21,MATCH($A867,Accounts!$B$2:$B$21,0))&amp;""="","(no PS)",INDEX(Accounts!$F$2:$F$21,MATCH($A867,Accounts!$B$2:$B$21,0))&amp;""),"")))),""))</f>
        <v/>
      </c>
      <c r="F867" s="42" t="s">
        <v>104</v>
      </c>
      <c r="I867" s="42" t="s">
        <v>34</v>
      </c>
      <c r="K867" s="44" t="str">
        <f t="shared" si="1"/>
        <v>Owner missing </v>
      </c>
    </row>
    <row r="868" ht="15.75" customHeight="1">
      <c r="E868" s="43" t="str">
        <f t="array" ref="E868">IF($A868="","",IFERROR(IF($D868="TSE",INDEX(Accounts!$G$2:$G$21,MATCH($A868,Accounts!$B$2:$B$21,0))&amp;"",IF($D868="PS",INDEX(Accounts!$F$2:$F$21,MATCH($A868,Accounts!$B$2:$B$21,0))&amp;"",IF($D868="Named engineer",INDEX(Accounts!$I$2:$I$21,MATCH($A868,Accounts!$B$2:$B$21,0))&amp;"",IF($D868="TSE + PS",IF(INDEX(Accounts!$G$2:$G$21,MATCH($A868,Accounts!$B$2:$B$21,0))&amp;""="","(no TSE)",INDEX(Accounts!$G$2:$G$21,MATCH($A868,Accounts!$B$2:$B$21,0))&amp;"")&amp;" / "&amp;IF(INDEX(Accounts!$F$2:$F$21,MATCH($A868,Accounts!$B$2:$B$21,0))&amp;""="","(no PS)",INDEX(Accounts!$F$2:$F$21,MATCH($A868,Accounts!$B$2:$B$21,0))&amp;""),"")))),""))</f>
        <v/>
      </c>
      <c r="F868" s="42" t="s">
        <v>104</v>
      </c>
      <c r="I868" s="42" t="s">
        <v>34</v>
      </c>
      <c r="K868" s="44" t="str">
        <f t="shared" si="1"/>
        <v>Owner missing </v>
      </c>
    </row>
    <row r="869" ht="15.75" customHeight="1">
      <c r="E869" s="43" t="str">
        <f t="array" ref="E869">IF($A869="","",IFERROR(IF($D869="TSE",INDEX(Accounts!$G$2:$G$21,MATCH($A869,Accounts!$B$2:$B$21,0))&amp;"",IF($D869="PS",INDEX(Accounts!$F$2:$F$21,MATCH($A869,Accounts!$B$2:$B$21,0))&amp;"",IF($D869="Named engineer",INDEX(Accounts!$I$2:$I$21,MATCH($A869,Accounts!$B$2:$B$21,0))&amp;"",IF($D869="TSE + PS",IF(INDEX(Accounts!$G$2:$G$21,MATCH($A869,Accounts!$B$2:$B$21,0))&amp;""="","(no TSE)",INDEX(Accounts!$G$2:$G$21,MATCH($A869,Accounts!$B$2:$B$21,0))&amp;"")&amp;" / "&amp;IF(INDEX(Accounts!$F$2:$F$21,MATCH($A869,Accounts!$B$2:$B$21,0))&amp;""="","(no PS)",INDEX(Accounts!$F$2:$F$21,MATCH($A869,Accounts!$B$2:$B$21,0))&amp;""),"")))),""))</f>
        <v/>
      </c>
      <c r="F869" s="42" t="s">
        <v>104</v>
      </c>
      <c r="I869" s="42" t="s">
        <v>34</v>
      </c>
      <c r="K869" s="44" t="str">
        <f t="shared" si="1"/>
        <v>Owner missing </v>
      </c>
    </row>
    <row r="870" ht="15.75" customHeight="1">
      <c r="E870" s="43" t="str">
        <f t="array" ref="E870">IF($A870="","",IFERROR(IF($D870="TSE",INDEX(Accounts!$G$2:$G$21,MATCH($A870,Accounts!$B$2:$B$21,0))&amp;"",IF($D870="PS",INDEX(Accounts!$F$2:$F$21,MATCH($A870,Accounts!$B$2:$B$21,0))&amp;"",IF($D870="Named engineer",INDEX(Accounts!$I$2:$I$21,MATCH($A870,Accounts!$B$2:$B$21,0))&amp;"",IF($D870="TSE + PS",IF(INDEX(Accounts!$G$2:$G$21,MATCH($A870,Accounts!$B$2:$B$21,0))&amp;""="","(no TSE)",INDEX(Accounts!$G$2:$G$21,MATCH($A870,Accounts!$B$2:$B$21,0))&amp;"")&amp;" / "&amp;IF(INDEX(Accounts!$F$2:$F$21,MATCH($A870,Accounts!$B$2:$B$21,0))&amp;""="","(no PS)",INDEX(Accounts!$F$2:$F$21,MATCH($A870,Accounts!$B$2:$B$21,0))&amp;""),"")))),""))</f>
        <v/>
      </c>
      <c r="F870" s="42" t="s">
        <v>104</v>
      </c>
      <c r="I870" s="42" t="s">
        <v>34</v>
      </c>
      <c r="K870" s="44" t="str">
        <f t="shared" si="1"/>
        <v>Owner missing </v>
      </c>
    </row>
    <row r="871" ht="15.75" customHeight="1">
      <c r="E871" s="43" t="str">
        <f t="array" ref="E871">IF($A871="","",IFERROR(IF($D871="TSE",INDEX(Accounts!$G$2:$G$21,MATCH($A871,Accounts!$B$2:$B$21,0))&amp;"",IF($D871="PS",INDEX(Accounts!$F$2:$F$21,MATCH($A871,Accounts!$B$2:$B$21,0))&amp;"",IF($D871="Named engineer",INDEX(Accounts!$I$2:$I$21,MATCH($A871,Accounts!$B$2:$B$21,0))&amp;"",IF($D871="TSE + PS",IF(INDEX(Accounts!$G$2:$G$21,MATCH($A871,Accounts!$B$2:$B$21,0))&amp;""="","(no TSE)",INDEX(Accounts!$G$2:$G$21,MATCH($A871,Accounts!$B$2:$B$21,0))&amp;"")&amp;" / "&amp;IF(INDEX(Accounts!$F$2:$F$21,MATCH($A871,Accounts!$B$2:$B$21,0))&amp;""="","(no PS)",INDEX(Accounts!$F$2:$F$21,MATCH($A871,Accounts!$B$2:$B$21,0))&amp;""),"")))),""))</f>
        <v/>
      </c>
      <c r="F871" s="42" t="s">
        <v>104</v>
      </c>
      <c r="I871" s="42" t="s">
        <v>34</v>
      </c>
      <c r="K871" s="44" t="str">
        <f t="shared" si="1"/>
        <v>Owner missing </v>
      </c>
    </row>
    <row r="872" ht="15.75" customHeight="1">
      <c r="E872" s="43" t="str">
        <f t="array" ref="E872">IF($A872="","",IFERROR(IF($D872="TSE",INDEX(Accounts!$G$2:$G$21,MATCH($A872,Accounts!$B$2:$B$21,0))&amp;"",IF($D872="PS",INDEX(Accounts!$F$2:$F$21,MATCH($A872,Accounts!$B$2:$B$21,0))&amp;"",IF($D872="Named engineer",INDEX(Accounts!$I$2:$I$21,MATCH($A872,Accounts!$B$2:$B$21,0))&amp;"",IF($D872="TSE + PS",IF(INDEX(Accounts!$G$2:$G$21,MATCH($A872,Accounts!$B$2:$B$21,0))&amp;""="","(no TSE)",INDEX(Accounts!$G$2:$G$21,MATCH($A872,Accounts!$B$2:$B$21,0))&amp;"")&amp;" / "&amp;IF(INDEX(Accounts!$F$2:$F$21,MATCH($A872,Accounts!$B$2:$B$21,0))&amp;""="","(no PS)",INDEX(Accounts!$F$2:$F$21,MATCH($A872,Accounts!$B$2:$B$21,0))&amp;""),"")))),""))</f>
        <v/>
      </c>
      <c r="F872" s="42" t="s">
        <v>104</v>
      </c>
      <c r="I872" s="42" t="s">
        <v>34</v>
      </c>
      <c r="K872" s="44" t="str">
        <f t="shared" si="1"/>
        <v>Owner missing </v>
      </c>
    </row>
    <row r="873" ht="15.75" customHeight="1">
      <c r="E873" s="43" t="str">
        <f t="array" ref="E873">IF($A873="","",IFERROR(IF($D873="TSE",INDEX(Accounts!$G$2:$G$21,MATCH($A873,Accounts!$B$2:$B$21,0))&amp;"",IF($D873="PS",INDEX(Accounts!$F$2:$F$21,MATCH($A873,Accounts!$B$2:$B$21,0))&amp;"",IF($D873="Named engineer",INDEX(Accounts!$I$2:$I$21,MATCH($A873,Accounts!$B$2:$B$21,0))&amp;"",IF($D873="TSE + PS",IF(INDEX(Accounts!$G$2:$G$21,MATCH($A873,Accounts!$B$2:$B$21,0))&amp;""="","(no TSE)",INDEX(Accounts!$G$2:$G$21,MATCH($A873,Accounts!$B$2:$B$21,0))&amp;"")&amp;" / "&amp;IF(INDEX(Accounts!$F$2:$F$21,MATCH($A873,Accounts!$B$2:$B$21,0))&amp;""="","(no PS)",INDEX(Accounts!$F$2:$F$21,MATCH($A873,Accounts!$B$2:$B$21,0))&amp;""),"")))),""))</f>
        <v/>
      </c>
      <c r="F873" s="42" t="s">
        <v>104</v>
      </c>
      <c r="I873" s="42" t="s">
        <v>34</v>
      </c>
      <c r="K873" s="44" t="str">
        <f t="shared" si="1"/>
        <v>Owner missing </v>
      </c>
    </row>
    <row r="874" ht="15.75" customHeight="1">
      <c r="E874" s="43" t="str">
        <f t="array" ref="E874">IF($A874="","",IFERROR(IF($D874="TSE",INDEX(Accounts!$G$2:$G$21,MATCH($A874,Accounts!$B$2:$B$21,0))&amp;"",IF($D874="PS",INDEX(Accounts!$F$2:$F$21,MATCH($A874,Accounts!$B$2:$B$21,0))&amp;"",IF($D874="Named engineer",INDEX(Accounts!$I$2:$I$21,MATCH($A874,Accounts!$B$2:$B$21,0))&amp;"",IF($D874="TSE + PS",IF(INDEX(Accounts!$G$2:$G$21,MATCH($A874,Accounts!$B$2:$B$21,0))&amp;""="","(no TSE)",INDEX(Accounts!$G$2:$G$21,MATCH($A874,Accounts!$B$2:$B$21,0))&amp;"")&amp;" / "&amp;IF(INDEX(Accounts!$F$2:$F$21,MATCH($A874,Accounts!$B$2:$B$21,0))&amp;""="","(no PS)",INDEX(Accounts!$F$2:$F$21,MATCH($A874,Accounts!$B$2:$B$21,0))&amp;""),"")))),""))</f>
        <v/>
      </c>
      <c r="F874" s="42" t="s">
        <v>104</v>
      </c>
      <c r="I874" s="42" t="s">
        <v>34</v>
      </c>
      <c r="K874" s="44" t="str">
        <f t="shared" si="1"/>
        <v>Owner missing </v>
      </c>
    </row>
    <row r="875" ht="15.75" customHeight="1">
      <c r="E875" s="43" t="str">
        <f t="array" ref="E875">IF($A875="","",IFERROR(IF($D875="TSE",INDEX(Accounts!$G$2:$G$21,MATCH($A875,Accounts!$B$2:$B$21,0))&amp;"",IF($D875="PS",INDEX(Accounts!$F$2:$F$21,MATCH($A875,Accounts!$B$2:$B$21,0))&amp;"",IF($D875="Named engineer",INDEX(Accounts!$I$2:$I$21,MATCH($A875,Accounts!$B$2:$B$21,0))&amp;"",IF($D875="TSE + PS",IF(INDEX(Accounts!$G$2:$G$21,MATCH($A875,Accounts!$B$2:$B$21,0))&amp;""="","(no TSE)",INDEX(Accounts!$G$2:$G$21,MATCH($A875,Accounts!$B$2:$B$21,0))&amp;"")&amp;" / "&amp;IF(INDEX(Accounts!$F$2:$F$21,MATCH($A875,Accounts!$B$2:$B$21,0))&amp;""="","(no PS)",INDEX(Accounts!$F$2:$F$21,MATCH($A875,Accounts!$B$2:$B$21,0))&amp;""),"")))),""))</f>
        <v/>
      </c>
      <c r="F875" s="42" t="s">
        <v>104</v>
      </c>
      <c r="I875" s="42" t="s">
        <v>34</v>
      </c>
      <c r="K875" s="44" t="str">
        <f t="shared" si="1"/>
        <v>Owner missing </v>
      </c>
    </row>
    <row r="876" ht="15.75" customHeight="1">
      <c r="E876" s="43" t="str">
        <f t="array" ref="E876">IF($A876="","",IFERROR(IF($D876="TSE",INDEX(Accounts!$G$2:$G$21,MATCH($A876,Accounts!$B$2:$B$21,0))&amp;"",IF($D876="PS",INDEX(Accounts!$F$2:$F$21,MATCH($A876,Accounts!$B$2:$B$21,0))&amp;"",IF($D876="Named engineer",INDEX(Accounts!$I$2:$I$21,MATCH($A876,Accounts!$B$2:$B$21,0))&amp;"",IF($D876="TSE + PS",IF(INDEX(Accounts!$G$2:$G$21,MATCH($A876,Accounts!$B$2:$B$21,0))&amp;""="","(no TSE)",INDEX(Accounts!$G$2:$G$21,MATCH($A876,Accounts!$B$2:$B$21,0))&amp;"")&amp;" / "&amp;IF(INDEX(Accounts!$F$2:$F$21,MATCH($A876,Accounts!$B$2:$B$21,0))&amp;""="","(no PS)",INDEX(Accounts!$F$2:$F$21,MATCH($A876,Accounts!$B$2:$B$21,0))&amp;""),"")))),""))</f>
        <v/>
      </c>
      <c r="F876" s="42" t="s">
        <v>104</v>
      </c>
      <c r="I876" s="42" t="s">
        <v>34</v>
      </c>
      <c r="K876" s="44" t="str">
        <f t="shared" si="1"/>
        <v>Owner missing </v>
      </c>
    </row>
    <row r="877" ht="15.75" customHeight="1">
      <c r="E877" s="43" t="str">
        <f t="array" ref="E877">IF($A877="","",IFERROR(IF($D877="TSE",INDEX(Accounts!$G$2:$G$21,MATCH($A877,Accounts!$B$2:$B$21,0))&amp;"",IF($D877="PS",INDEX(Accounts!$F$2:$F$21,MATCH($A877,Accounts!$B$2:$B$21,0))&amp;"",IF($D877="Named engineer",INDEX(Accounts!$I$2:$I$21,MATCH($A877,Accounts!$B$2:$B$21,0))&amp;"",IF($D877="TSE + PS",IF(INDEX(Accounts!$G$2:$G$21,MATCH($A877,Accounts!$B$2:$B$21,0))&amp;""="","(no TSE)",INDEX(Accounts!$G$2:$G$21,MATCH($A877,Accounts!$B$2:$B$21,0))&amp;"")&amp;" / "&amp;IF(INDEX(Accounts!$F$2:$F$21,MATCH($A877,Accounts!$B$2:$B$21,0))&amp;""="","(no PS)",INDEX(Accounts!$F$2:$F$21,MATCH($A877,Accounts!$B$2:$B$21,0))&amp;""),"")))),""))</f>
        <v/>
      </c>
      <c r="F877" s="42" t="s">
        <v>104</v>
      </c>
      <c r="I877" s="42" t="s">
        <v>34</v>
      </c>
      <c r="K877" s="44" t="str">
        <f t="shared" si="1"/>
        <v>Owner missing </v>
      </c>
    </row>
    <row r="878" ht="15.75" customHeight="1">
      <c r="E878" s="43" t="str">
        <f t="array" ref="E878">IF($A878="","",IFERROR(IF($D878="TSE",INDEX(Accounts!$G$2:$G$21,MATCH($A878,Accounts!$B$2:$B$21,0))&amp;"",IF($D878="PS",INDEX(Accounts!$F$2:$F$21,MATCH($A878,Accounts!$B$2:$B$21,0))&amp;"",IF($D878="Named engineer",INDEX(Accounts!$I$2:$I$21,MATCH($A878,Accounts!$B$2:$B$21,0))&amp;"",IF($D878="TSE + PS",IF(INDEX(Accounts!$G$2:$G$21,MATCH($A878,Accounts!$B$2:$B$21,0))&amp;""="","(no TSE)",INDEX(Accounts!$G$2:$G$21,MATCH($A878,Accounts!$B$2:$B$21,0))&amp;"")&amp;" / "&amp;IF(INDEX(Accounts!$F$2:$F$21,MATCH($A878,Accounts!$B$2:$B$21,0))&amp;""="","(no PS)",INDEX(Accounts!$F$2:$F$21,MATCH($A878,Accounts!$B$2:$B$21,0))&amp;""),"")))),""))</f>
        <v/>
      </c>
      <c r="F878" s="42" t="s">
        <v>104</v>
      </c>
      <c r="I878" s="42" t="s">
        <v>34</v>
      </c>
      <c r="K878" s="44" t="str">
        <f t="shared" si="1"/>
        <v>Owner missing </v>
      </c>
    </row>
    <row r="879" ht="15.75" customHeight="1">
      <c r="E879" s="43" t="str">
        <f t="array" ref="E879">IF($A879="","",IFERROR(IF($D879="TSE",INDEX(Accounts!$G$2:$G$21,MATCH($A879,Accounts!$B$2:$B$21,0))&amp;"",IF($D879="PS",INDEX(Accounts!$F$2:$F$21,MATCH($A879,Accounts!$B$2:$B$21,0))&amp;"",IF($D879="Named engineer",INDEX(Accounts!$I$2:$I$21,MATCH($A879,Accounts!$B$2:$B$21,0))&amp;"",IF($D879="TSE + PS",IF(INDEX(Accounts!$G$2:$G$21,MATCH($A879,Accounts!$B$2:$B$21,0))&amp;""="","(no TSE)",INDEX(Accounts!$G$2:$G$21,MATCH($A879,Accounts!$B$2:$B$21,0))&amp;"")&amp;" / "&amp;IF(INDEX(Accounts!$F$2:$F$21,MATCH($A879,Accounts!$B$2:$B$21,0))&amp;""="","(no PS)",INDEX(Accounts!$F$2:$F$21,MATCH($A879,Accounts!$B$2:$B$21,0))&amp;""),"")))),""))</f>
        <v/>
      </c>
      <c r="F879" s="42" t="s">
        <v>104</v>
      </c>
      <c r="I879" s="42" t="s">
        <v>34</v>
      </c>
      <c r="K879" s="44" t="str">
        <f t="shared" si="1"/>
        <v>Owner missing </v>
      </c>
    </row>
    <row r="880" ht="15.75" customHeight="1">
      <c r="E880" s="43" t="str">
        <f t="array" ref="E880">IF($A880="","",IFERROR(IF($D880="TSE",INDEX(Accounts!$G$2:$G$21,MATCH($A880,Accounts!$B$2:$B$21,0))&amp;"",IF($D880="PS",INDEX(Accounts!$F$2:$F$21,MATCH($A880,Accounts!$B$2:$B$21,0))&amp;"",IF($D880="Named engineer",INDEX(Accounts!$I$2:$I$21,MATCH($A880,Accounts!$B$2:$B$21,0))&amp;"",IF($D880="TSE + PS",IF(INDEX(Accounts!$G$2:$G$21,MATCH($A880,Accounts!$B$2:$B$21,0))&amp;""="","(no TSE)",INDEX(Accounts!$G$2:$G$21,MATCH($A880,Accounts!$B$2:$B$21,0))&amp;"")&amp;" / "&amp;IF(INDEX(Accounts!$F$2:$F$21,MATCH($A880,Accounts!$B$2:$B$21,0))&amp;""="","(no PS)",INDEX(Accounts!$F$2:$F$21,MATCH($A880,Accounts!$B$2:$B$21,0))&amp;""),"")))),""))</f>
        <v/>
      </c>
      <c r="F880" s="42" t="s">
        <v>104</v>
      </c>
      <c r="I880" s="42" t="s">
        <v>34</v>
      </c>
      <c r="K880" s="44" t="str">
        <f t="shared" si="1"/>
        <v>Owner missing </v>
      </c>
    </row>
    <row r="881" ht="15.75" customHeight="1">
      <c r="E881" s="43" t="str">
        <f t="array" ref="E881">IF($A881="","",IFERROR(IF($D881="TSE",INDEX(Accounts!$G$2:$G$21,MATCH($A881,Accounts!$B$2:$B$21,0))&amp;"",IF($D881="PS",INDEX(Accounts!$F$2:$F$21,MATCH($A881,Accounts!$B$2:$B$21,0))&amp;"",IF($D881="Named engineer",INDEX(Accounts!$I$2:$I$21,MATCH($A881,Accounts!$B$2:$B$21,0))&amp;"",IF($D881="TSE + PS",IF(INDEX(Accounts!$G$2:$G$21,MATCH($A881,Accounts!$B$2:$B$21,0))&amp;""="","(no TSE)",INDEX(Accounts!$G$2:$G$21,MATCH($A881,Accounts!$B$2:$B$21,0))&amp;"")&amp;" / "&amp;IF(INDEX(Accounts!$F$2:$F$21,MATCH($A881,Accounts!$B$2:$B$21,0))&amp;""="","(no PS)",INDEX(Accounts!$F$2:$F$21,MATCH($A881,Accounts!$B$2:$B$21,0))&amp;""),"")))),""))</f>
        <v/>
      </c>
      <c r="F881" s="42" t="s">
        <v>104</v>
      </c>
      <c r="I881" s="42" t="s">
        <v>34</v>
      </c>
      <c r="K881" s="44" t="str">
        <f t="shared" si="1"/>
        <v>Owner missing </v>
      </c>
    </row>
    <row r="882" ht="15.75" customHeight="1">
      <c r="E882" s="43" t="str">
        <f t="array" ref="E882">IF($A882="","",IFERROR(IF($D882="TSE",INDEX(Accounts!$G$2:$G$21,MATCH($A882,Accounts!$B$2:$B$21,0))&amp;"",IF($D882="PS",INDEX(Accounts!$F$2:$F$21,MATCH($A882,Accounts!$B$2:$B$21,0))&amp;"",IF($D882="Named engineer",INDEX(Accounts!$I$2:$I$21,MATCH($A882,Accounts!$B$2:$B$21,0))&amp;"",IF($D882="TSE + PS",IF(INDEX(Accounts!$G$2:$G$21,MATCH($A882,Accounts!$B$2:$B$21,0))&amp;""="","(no TSE)",INDEX(Accounts!$G$2:$G$21,MATCH($A882,Accounts!$B$2:$B$21,0))&amp;"")&amp;" / "&amp;IF(INDEX(Accounts!$F$2:$F$21,MATCH($A882,Accounts!$B$2:$B$21,0))&amp;""="","(no PS)",INDEX(Accounts!$F$2:$F$21,MATCH($A882,Accounts!$B$2:$B$21,0))&amp;""),"")))),""))</f>
        <v/>
      </c>
      <c r="F882" s="42" t="s">
        <v>104</v>
      </c>
      <c r="I882" s="42" t="s">
        <v>34</v>
      </c>
      <c r="K882" s="44" t="str">
        <f t="shared" si="1"/>
        <v>Owner missing </v>
      </c>
    </row>
    <row r="883" ht="15.75" customHeight="1">
      <c r="E883" s="43" t="str">
        <f t="array" ref="E883">IF($A883="","",IFERROR(IF($D883="TSE",INDEX(Accounts!$G$2:$G$21,MATCH($A883,Accounts!$B$2:$B$21,0))&amp;"",IF($D883="PS",INDEX(Accounts!$F$2:$F$21,MATCH($A883,Accounts!$B$2:$B$21,0))&amp;"",IF($D883="Named engineer",INDEX(Accounts!$I$2:$I$21,MATCH($A883,Accounts!$B$2:$B$21,0))&amp;"",IF($D883="TSE + PS",IF(INDEX(Accounts!$G$2:$G$21,MATCH($A883,Accounts!$B$2:$B$21,0))&amp;""="","(no TSE)",INDEX(Accounts!$G$2:$G$21,MATCH($A883,Accounts!$B$2:$B$21,0))&amp;"")&amp;" / "&amp;IF(INDEX(Accounts!$F$2:$F$21,MATCH($A883,Accounts!$B$2:$B$21,0))&amp;""="","(no PS)",INDEX(Accounts!$F$2:$F$21,MATCH($A883,Accounts!$B$2:$B$21,0))&amp;""),"")))),""))</f>
        <v/>
      </c>
      <c r="F883" s="42" t="s">
        <v>104</v>
      </c>
      <c r="I883" s="42" t="s">
        <v>34</v>
      </c>
      <c r="K883" s="44" t="str">
        <f t="shared" si="1"/>
        <v>Owner missing </v>
      </c>
    </row>
    <row r="884" ht="15.75" customHeight="1">
      <c r="E884" s="43" t="str">
        <f t="array" ref="E884">IF($A884="","",IFERROR(IF($D884="TSE",INDEX(Accounts!$G$2:$G$21,MATCH($A884,Accounts!$B$2:$B$21,0))&amp;"",IF($D884="PS",INDEX(Accounts!$F$2:$F$21,MATCH($A884,Accounts!$B$2:$B$21,0))&amp;"",IF($D884="Named engineer",INDEX(Accounts!$I$2:$I$21,MATCH($A884,Accounts!$B$2:$B$21,0))&amp;"",IF($D884="TSE + PS",IF(INDEX(Accounts!$G$2:$G$21,MATCH($A884,Accounts!$B$2:$B$21,0))&amp;""="","(no TSE)",INDEX(Accounts!$G$2:$G$21,MATCH($A884,Accounts!$B$2:$B$21,0))&amp;"")&amp;" / "&amp;IF(INDEX(Accounts!$F$2:$F$21,MATCH($A884,Accounts!$B$2:$B$21,0))&amp;""="","(no PS)",INDEX(Accounts!$F$2:$F$21,MATCH($A884,Accounts!$B$2:$B$21,0))&amp;""),"")))),""))</f>
        <v/>
      </c>
      <c r="F884" s="42" t="s">
        <v>104</v>
      </c>
      <c r="I884" s="42" t="s">
        <v>34</v>
      </c>
      <c r="K884" s="44" t="str">
        <f t="shared" si="1"/>
        <v>Owner missing </v>
      </c>
    </row>
    <row r="885" ht="15.75" customHeight="1">
      <c r="E885" s="43" t="str">
        <f t="array" ref="E885">IF($A885="","",IFERROR(IF($D885="TSE",INDEX(Accounts!$G$2:$G$21,MATCH($A885,Accounts!$B$2:$B$21,0))&amp;"",IF($D885="PS",INDEX(Accounts!$F$2:$F$21,MATCH($A885,Accounts!$B$2:$B$21,0))&amp;"",IF($D885="Named engineer",INDEX(Accounts!$I$2:$I$21,MATCH($A885,Accounts!$B$2:$B$21,0))&amp;"",IF($D885="TSE + PS",IF(INDEX(Accounts!$G$2:$G$21,MATCH($A885,Accounts!$B$2:$B$21,0))&amp;""="","(no TSE)",INDEX(Accounts!$G$2:$G$21,MATCH($A885,Accounts!$B$2:$B$21,0))&amp;"")&amp;" / "&amp;IF(INDEX(Accounts!$F$2:$F$21,MATCH($A885,Accounts!$B$2:$B$21,0))&amp;""="","(no PS)",INDEX(Accounts!$F$2:$F$21,MATCH($A885,Accounts!$B$2:$B$21,0))&amp;""),"")))),""))</f>
        <v/>
      </c>
      <c r="F885" s="42" t="s">
        <v>104</v>
      </c>
      <c r="I885" s="42" t="s">
        <v>34</v>
      </c>
      <c r="K885" s="44" t="str">
        <f t="shared" si="1"/>
        <v>Owner missing </v>
      </c>
    </row>
    <row r="886" ht="15.75" customHeight="1">
      <c r="E886" s="43" t="str">
        <f t="array" ref="E886">IF($A886="","",IFERROR(IF($D886="TSE",INDEX(Accounts!$G$2:$G$21,MATCH($A886,Accounts!$B$2:$B$21,0))&amp;"",IF($D886="PS",INDEX(Accounts!$F$2:$F$21,MATCH($A886,Accounts!$B$2:$B$21,0))&amp;"",IF($D886="Named engineer",INDEX(Accounts!$I$2:$I$21,MATCH($A886,Accounts!$B$2:$B$21,0))&amp;"",IF($D886="TSE + PS",IF(INDEX(Accounts!$G$2:$G$21,MATCH($A886,Accounts!$B$2:$B$21,0))&amp;""="","(no TSE)",INDEX(Accounts!$G$2:$G$21,MATCH($A886,Accounts!$B$2:$B$21,0))&amp;"")&amp;" / "&amp;IF(INDEX(Accounts!$F$2:$F$21,MATCH($A886,Accounts!$B$2:$B$21,0))&amp;""="","(no PS)",INDEX(Accounts!$F$2:$F$21,MATCH($A886,Accounts!$B$2:$B$21,0))&amp;""),"")))),""))</f>
        <v/>
      </c>
      <c r="F886" s="42" t="s">
        <v>104</v>
      </c>
      <c r="I886" s="42" t="s">
        <v>34</v>
      </c>
      <c r="K886" s="44" t="str">
        <f t="shared" si="1"/>
        <v>Owner missing </v>
      </c>
    </row>
    <row r="887" ht="15.75" customHeight="1">
      <c r="E887" s="43" t="str">
        <f t="array" ref="E887">IF($A887="","",IFERROR(IF($D887="TSE",INDEX(Accounts!$G$2:$G$21,MATCH($A887,Accounts!$B$2:$B$21,0))&amp;"",IF($D887="PS",INDEX(Accounts!$F$2:$F$21,MATCH($A887,Accounts!$B$2:$B$21,0))&amp;"",IF($D887="Named engineer",INDEX(Accounts!$I$2:$I$21,MATCH($A887,Accounts!$B$2:$B$21,0))&amp;"",IF($D887="TSE + PS",IF(INDEX(Accounts!$G$2:$G$21,MATCH($A887,Accounts!$B$2:$B$21,0))&amp;""="","(no TSE)",INDEX(Accounts!$G$2:$G$21,MATCH($A887,Accounts!$B$2:$B$21,0))&amp;"")&amp;" / "&amp;IF(INDEX(Accounts!$F$2:$F$21,MATCH($A887,Accounts!$B$2:$B$21,0))&amp;""="","(no PS)",INDEX(Accounts!$F$2:$F$21,MATCH($A887,Accounts!$B$2:$B$21,0))&amp;""),"")))),""))</f>
        <v/>
      </c>
      <c r="F887" s="42" t="s">
        <v>104</v>
      </c>
      <c r="I887" s="42" t="s">
        <v>34</v>
      </c>
      <c r="K887" s="44" t="str">
        <f t="shared" si="1"/>
        <v>Owner missing </v>
      </c>
    </row>
    <row r="888" ht="15.75" customHeight="1">
      <c r="E888" s="43" t="str">
        <f t="array" ref="E888">IF($A888="","",IFERROR(IF($D888="TSE",INDEX(Accounts!$G$2:$G$21,MATCH($A888,Accounts!$B$2:$B$21,0))&amp;"",IF($D888="PS",INDEX(Accounts!$F$2:$F$21,MATCH($A888,Accounts!$B$2:$B$21,0))&amp;"",IF($D888="Named engineer",INDEX(Accounts!$I$2:$I$21,MATCH($A888,Accounts!$B$2:$B$21,0))&amp;"",IF($D888="TSE + PS",IF(INDEX(Accounts!$G$2:$G$21,MATCH($A888,Accounts!$B$2:$B$21,0))&amp;""="","(no TSE)",INDEX(Accounts!$G$2:$G$21,MATCH($A888,Accounts!$B$2:$B$21,0))&amp;"")&amp;" / "&amp;IF(INDEX(Accounts!$F$2:$F$21,MATCH($A888,Accounts!$B$2:$B$21,0))&amp;""="","(no PS)",INDEX(Accounts!$F$2:$F$21,MATCH($A888,Accounts!$B$2:$B$21,0))&amp;""),"")))),""))</f>
        <v/>
      </c>
      <c r="F888" s="42" t="s">
        <v>104</v>
      </c>
      <c r="I888" s="42" t="s">
        <v>34</v>
      </c>
      <c r="K888" s="44" t="str">
        <f t="shared" si="1"/>
        <v>Owner missing </v>
      </c>
    </row>
    <row r="889" ht="15.75" customHeight="1">
      <c r="E889" s="43" t="str">
        <f t="array" ref="E889">IF($A889="","",IFERROR(IF($D889="TSE",INDEX(Accounts!$G$2:$G$21,MATCH($A889,Accounts!$B$2:$B$21,0))&amp;"",IF($D889="PS",INDEX(Accounts!$F$2:$F$21,MATCH($A889,Accounts!$B$2:$B$21,0))&amp;"",IF($D889="Named engineer",INDEX(Accounts!$I$2:$I$21,MATCH($A889,Accounts!$B$2:$B$21,0))&amp;"",IF($D889="TSE + PS",IF(INDEX(Accounts!$G$2:$G$21,MATCH($A889,Accounts!$B$2:$B$21,0))&amp;""="","(no TSE)",INDEX(Accounts!$G$2:$G$21,MATCH($A889,Accounts!$B$2:$B$21,0))&amp;"")&amp;" / "&amp;IF(INDEX(Accounts!$F$2:$F$21,MATCH($A889,Accounts!$B$2:$B$21,0))&amp;""="","(no PS)",INDEX(Accounts!$F$2:$F$21,MATCH($A889,Accounts!$B$2:$B$21,0))&amp;""),"")))),""))</f>
        <v/>
      </c>
      <c r="F889" s="42" t="s">
        <v>104</v>
      </c>
      <c r="I889" s="42" t="s">
        <v>34</v>
      </c>
      <c r="K889" s="44" t="str">
        <f t="shared" si="1"/>
        <v>Owner missing </v>
      </c>
    </row>
    <row r="890" ht="15.75" customHeight="1">
      <c r="E890" s="43" t="str">
        <f t="array" ref="E890">IF($A890="","",IFERROR(IF($D890="TSE",INDEX(Accounts!$G$2:$G$21,MATCH($A890,Accounts!$B$2:$B$21,0))&amp;"",IF($D890="PS",INDEX(Accounts!$F$2:$F$21,MATCH($A890,Accounts!$B$2:$B$21,0))&amp;"",IF($D890="Named engineer",INDEX(Accounts!$I$2:$I$21,MATCH($A890,Accounts!$B$2:$B$21,0))&amp;"",IF($D890="TSE + PS",IF(INDEX(Accounts!$G$2:$G$21,MATCH($A890,Accounts!$B$2:$B$21,0))&amp;""="","(no TSE)",INDEX(Accounts!$G$2:$G$21,MATCH($A890,Accounts!$B$2:$B$21,0))&amp;"")&amp;" / "&amp;IF(INDEX(Accounts!$F$2:$F$21,MATCH($A890,Accounts!$B$2:$B$21,0))&amp;""="","(no PS)",INDEX(Accounts!$F$2:$F$21,MATCH($A890,Accounts!$B$2:$B$21,0))&amp;""),"")))),""))</f>
        <v/>
      </c>
      <c r="F890" s="42" t="s">
        <v>104</v>
      </c>
      <c r="I890" s="42" t="s">
        <v>34</v>
      </c>
      <c r="K890" s="44" t="str">
        <f t="shared" si="1"/>
        <v>Owner missing </v>
      </c>
    </row>
    <row r="891" ht="15.75" customHeight="1">
      <c r="E891" s="43" t="str">
        <f t="array" ref="E891">IF($A891="","",IFERROR(IF($D891="TSE",INDEX(Accounts!$G$2:$G$21,MATCH($A891,Accounts!$B$2:$B$21,0))&amp;"",IF($D891="PS",INDEX(Accounts!$F$2:$F$21,MATCH($A891,Accounts!$B$2:$B$21,0))&amp;"",IF($D891="Named engineer",INDEX(Accounts!$I$2:$I$21,MATCH($A891,Accounts!$B$2:$B$21,0))&amp;"",IF($D891="TSE + PS",IF(INDEX(Accounts!$G$2:$G$21,MATCH($A891,Accounts!$B$2:$B$21,0))&amp;""="","(no TSE)",INDEX(Accounts!$G$2:$G$21,MATCH($A891,Accounts!$B$2:$B$21,0))&amp;"")&amp;" / "&amp;IF(INDEX(Accounts!$F$2:$F$21,MATCH($A891,Accounts!$B$2:$B$21,0))&amp;""="","(no PS)",INDEX(Accounts!$F$2:$F$21,MATCH($A891,Accounts!$B$2:$B$21,0))&amp;""),"")))),""))</f>
        <v/>
      </c>
      <c r="F891" s="42" t="s">
        <v>104</v>
      </c>
      <c r="I891" s="42" t="s">
        <v>34</v>
      </c>
      <c r="K891" s="44" t="str">
        <f t="shared" si="1"/>
        <v>Owner missing </v>
      </c>
    </row>
    <row r="892" ht="15.75" customHeight="1">
      <c r="E892" s="43" t="str">
        <f t="array" ref="E892">IF($A892="","",IFERROR(IF($D892="TSE",INDEX(Accounts!$G$2:$G$21,MATCH($A892,Accounts!$B$2:$B$21,0))&amp;"",IF($D892="PS",INDEX(Accounts!$F$2:$F$21,MATCH($A892,Accounts!$B$2:$B$21,0))&amp;"",IF($D892="Named engineer",INDEX(Accounts!$I$2:$I$21,MATCH($A892,Accounts!$B$2:$B$21,0))&amp;"",IF($D892="TSE + PS",IF(INDEX(Accounts!$G$2:$G$21,MATCH($A892,Accounts!$B$2:$B$21,0))&amp;""="","(no TSE)",INDEX(Accounts!$G$2:$G$21,MATCH($A892,Accounts!$B$2:$B$21,0))&amp;"")&amp;" / "&amp;IF(INDEX(Accounts!$F$2:$F$21,MATCH($A892,Accounts!$B$2:$B$21,0))&amp;""="","(no PS)",INDEX(Accounts!$F$2:$F$21,MATCH($A892,Accounts!$B$2:$B$21,0))&amp;""),"")))),""))</f>
        <v/>
      </c>
      <c r="F892" s="42" t="s">
        <v>104</v>
      </c>
      <c r="I892" s="42" t="s">
        <v>34</v>
      </c>
      <c r="K892" s="44" t="str">
        <f t="shared" si="1"/>
        <v>Owner missing </v>
      </c>
    </row>
    <row r="893" ht="15.75" customHeight="1">
      <c r="E893" s="43" t="str">
        <f t="array" ref="E893">IF($A893="","",IFERROR(IF($D893="TSE",INDEX(Accounts!$G$2:$G$21,MATCH($A893,Accounts!$B$2:$B$21,0))&amp;"",IF($D893="PS",INDEX(Accounts!$F$2:$F$21,MATCH($A893,Accounts!$B$2:$B$21,0))&amp;"",IF($D893="Named engineer",INDEX(Accounts!$I$2:$I$21,MATCH($A893,Accounts!$B$2:$B$21,0))&amp;"",IF($D893="TSE + PS",IF(INDEX(Accounts!$G$2:$G$21,MATCH($A893,Accounts!$B$2:$B$21,0))&amp;""="","(no TSE)",INDEX(Accounts!$G$2:$G$21,MATCH($A893,Accounts!$B$2:$B$21,0))&amp;"")&amp;" / "&amp;IF(INDEX(Accounts!$F$2:$F$21,MATCH($A893,Accounts!$B$2:$B$21,0))&amp;""="","(no PS)",INDEX(Accounts!$F$2:$F$21,MATCH($A893,Accounts!$B$2:$B$21,0))&amp;""),"")))),""))</f>
        <v/>
      </c>
      <c r="F893" s="42" t="s">
        <v>104</v>
      </c>
      <c r="I893" s="42" t="s">
        <v>34</v>
      </c>
      <c r="K893" s="44" t="str">
        <f t="shared" si="1"/>
        <v>Owner missing </v>
      </c>
    </row>
    <row r="894" ht="15.75" customHeight="1">
      <c r="E894" s="43" t="str">
        <f t="array" ref="E894">IF($A894="","",IFERROR(IF($D894="TSE",INDEX(Accounts!$G$2:$G$21,MATCH($A894,Accounts!$B$2:$B$21,0))&amp;"",IF($D894="PS",INDEX(Accounts!$F$2:$F$21,MATCH($A894,Accounts!$B$2:$B$21,0))&amp;"",IF($D894="Named engineer",INDEX(Accounts!$I$2:$I$21,MATCH($A894,Accounts!$B$2:$B$21,0))&amp;"",IF($D894="TSE + PS",IF(INDEX(Accounts!$G$2:$G$21,MATCH($A894,Accounts!$B$2:$B$21,0))&amp;""="","(no TSE)",INDEX(Accounts!$G$2:$G$21,MATCH($A894,Accounts!$B$2:$B$21,0))&amp;"")&amp;" / "&amp;IF(INDEX(Accounts!$F$2:$F$21,MATCH($A894,Accounts!$B$2:$B$21,0))&amp;""="","(no PS)",INDEX(Accounts!$F$2:$F$21,MATCH($A894,Accounts!$B$2:$B$21,0))&amp;""),"")))),""))</f>
        <v/>
      </c>
      <c r="F894" s="42" t="s">
        <v>104</v>
      </c>
      <c r="I894" s="42" t="s">
        <v>34</v>
      </c>
      <c r="K894" s="44" t="str">
        <f t="shared" si="1"/>
        <v>Owner missing </v>
      </c>
    </row>
    <row r="895" ht="15.75" customHeight="1">
      <c r="E895" s="43" t="str">
        <f t="array" ref="E895">IF($A895="","",IFERROR(IF($D895="TSE",INDEX(Accounts!$G$2:$G$21,MATCH($A895,Accounts!$B$2:$B$21,0))&amp;"",IF($D895="PS",INDEX(Accounts!$F$2:$F$21,MATCH($A895,Accounts!$B$2:$B$21,0))&amp;"",IF($D895="Named engineer",INDEX(Accounts!$I$2:$I$21,MATCH($A895,Accounts!$B$2:$B$21,0))&amp;"",IF($D895="TSE + PS",IF(INDEX(Accounts!$G$2:$G$21,MATCH($A895,Accounts!$B$2:$B$21,0))&amp;""="","(no TSE)",INDEX(Accounts!$G$2:$G$21,MATCH($A895,Accounts!$B$2:$B$21,0))&amp;"")&amp;" / "&amp;IF(INDEX(Accounts!$F$2:$F$21,MATCH($A895,Accounts!$B$2:$B$21,0))&amp;""="","(no PS)",INDEX(Accounts!$F$2:$F$21,MATCH($A895,Accounts!$B$2:$B$21,0))&amp;""),"")))),""))</f>
        <v/>
      </c>
      <c r="F895" s="42" t="s">
        <v>104</v>
      </c>
      <c r="I895" s="42" t="s">
        <v>34</v>
      </c>
      <c r="K895" s="44" t="str">
        <f t="shared" si="1"/>
        <v>Owner missing </v>
      </c>
    </row>
    <row r="896" ht="15.75" customHeight="1">
      <c r="E896" s="43" t="str">
        <f t="array" ref="E896">IF($A896="","",IFERROR(IF($D896="TSE",INDEX(Accounts!$G$2:$G$21,MATCH($A896,Accounts!$B$2:$B$21,0))&amp;"",IF($D896="PS",INDEX(Accounts!$F$2:$F$21,MATCH($A896,Accounts!$B$2:$B$21,0))&amp;"",IF($D896="Named engineer",INDEX(Accounts!$I$2:$I$21,MATCH($A896,Accounts!$B$2:$B$21,0))&amp;"",IF($D896="TSE + PS",IF(INDEX(Accounts!$G$2:$G$21,MATCH($A896,Accounts!$B$2:$B$21,0))&amp;""="","(no TSE)",INDEX(Accounts!$G$2:$G$21,MATCH($A896,Accounts!$B$2:$B$21,0))&amp;"")&amp;" / "&amp;IF(INDEX(Accounts!$F$2:$F$21,MATCH($A896,Accounts!$B$2:$B$21,0))&amp;""="","(no PS)",INDEX(Accounts!$F$2:$F$21,MATCH($A896,Accounts!$B$2:$B$21,0))&amp;""),"")))),""))</f>
        <v/>
      </c>
      <c r="F896" s="42" t="s">
        <v>104</v>
      </c>
      <c r="I896" s="42" t="s">
        <v>34</v>
      </c>
      <c r="K896" s="44" t="str">
        <f t="shared" si="1"/>
        <v>Owner missing </v>
      </c>
    </row>
    <row r="897" ht="15.75" customHeight="1">
      <c r="E897" s="43" t="str">
        <f t="array" ref="E897">IF($A897="","",IFERROR(IF($D897="TSE",INDEX(Accounts!$G$2:$G$21,MATCH($A897,Accounts!$B$2:$B$21,0))&amp;"",IF($D897="PS",INDEX(Accounts!$F$2:$F$21,MATCH($A897,Accounts!$B$2:$B$21,0))&amp;"",IF($D897="Named engineer",INDEX(Accounts!$I$2:$I$21,MATCH($A897,Accounts!$B$2:$B$21,0))&amp;"",IF($D897="TSE + PS",IF(INDEX(Accounts!$G$2:$G$21,MATCH($A897,Accounts!$B$2:$B$21,0))&amp;""="","(no TSE)",INDEX(Accounts!$G$2:$G$21,MATCH($A897,Accounts!$B$2:$B$21,0))&amp;"")&amp;" / "&amp;IF(INDEX(Accounts!$F$2:$F$21,MATCH($A897,Accounts!$B$2:$B$21,0))&amp;""="","(no PS)",INDEX(Accounts!$F$2:$F$21,MATCH($A897,Accounts!$B$2:$B$21,0))&amp;""),"")))),""))</f>
        <v/>
      </c>
      <c r="F897" s="42" t="s">
        <v>104</v>
      </c>
      <c r="I897" s="42" t="s">
        <v>34</v>
      </c>
      <c r="K897" s="44" t="str">
        <f t="shared" si="1"/>
        <v>Owner missing </v>
      </c>
    </row>
    <row r="898" ht="15.75" customHeight="1">
      <c r="E898" s="43" t="str">
        <f t="array" ref="E898">IF($A898="","",IFERROR(IF($D898="TSE",INDEX(Accounts!$G$2:$G$21,MATCH($A898,Accounts!$B$2:$B$21,0))&amp;"",IF($D898="PS",INDEX(Accounts!$F$2:$F$21,MATCH($A898,Accounts!$B$2:$B$21,0))&amp;"",IF($D898="Named engineer",INDEX(Accounts!$I$2:$I$21,MATCH($A898,Accounts!$B$2:$B$21,0))&amp;"",IF($D898="TSE + PS",IF(INDEX(Accounts!$G$2:$G$21,MATCH($A898,Accounts!$B$2:$B$21,0))&amp;""="","(no TSE)",INDEX(Accounts!$G$2:$G$21,MATCH($A898,Accounts!$B$2:$B$21,0))&amp;"")&amp;" / "&amp;IF(INDEX(Accounts!$F$2:$F$21,MATCH($A898,Accounts!$B$2:$B$21,0))&amp;""="","(no PS)",INDEX(Accounts!$F$2:$F$21,MATCH($A898,Accounts!$B$2:$B$21,0))&amp;""),"")))),""))</f>
        <v/>
      </c>
      <c r="F898" s="42" t="s">
        <v>104</v>
      </c>
      <c r="I898" s="42" t="s">
        <v>34</v>
      </c>
      <c r="K898" s="44" t="str">
        <f t="shared" si="1"/>
        <v>Owner missing </v>
      </c>
    </row>
    <row r="899" ht="15.75" customHeight="1">
      <c r="E899" s="43" t="str">
        <f t="array" ref="E899">IF($A899="","",IFERROR(IF($D899="TSE",INDEX(Accounts!$G$2:$G$21,MATCH($A899,Accounts!$B$2:$B$21,0))&amp;"",IF($D899="PS",INDEX(Accounts!$F$2:$F$21,MATCH($A899,Accounts!$B$2:$B$21,0))&amp;"",IF($D899="Named engineer",INDEX(Accounts!$I$2:$I$21,MATCH($A899,Accounts!$B$2:$B$21,0))&amp;"",IF($D899="TSE + PS",IF(INDEX(Accounts!$G$2:$G$21,MATCH($A899,Accounts!$B$2:$B$21,0))&amp;""="","(no TSE)",INDEX(Accounts!$G$2:$G$21,MATCH($A899,Accounts!$B$2:$B$21,0))&amp;"")&amp;" / "&amp;IF(INDEX(Accounts!$F$2:$F$21,MATCH($A899,Accounts!$B$2:$B$21,0))&amp;""="","(no PS)",INDEX(Accounts!$F$2:$F$21,MATCH($A899,Accounts!$B$2:$B$21,0))&amp;""),"")))),""))</f>
        <v/>
      </c>
      <c r="F899" s="42" t="s">
        <v>104</v>
      </c>
      <c r="I899" s="42" t="s">
        <v>34</v>
      </c>
      <c r="K899" s="44" t="str">
        <f t="shared" si="1"/>
        <v>Owner missing </v>
      </c>
    </row>
    <row r="900" ht="15.75" customHeight="1">
      <c r="E900" s="43" t="str">
        <f t="array" ref="E900">IF($A900="","",IFERROR(IF($D900="TSE",INDEX(Accounts!$G$2:$G$21,MATCH($A900,Accounts!$B$2:$B$21,0))&amp;"",IF($D900="PS",INDEX(Accounts!$F$2:$F$21,MATCH($A900,Accounts!$B$2:$B$21,0))&amp;"",IF($D900="Named engineer",INDEX(Accounts!$I$2:$I$21,MATCH($A900,Accounts!$B$2:$B$21,0))&amp;"",IF($D900="TSE + PS",IF(INDEX(Accounts!$G$2:$G$21,MATCH($A900,Accounts!$B$2:$B$21,0))&amp;""="","(no TSE)",INDEX(Accounts!$G$2:$G$21,MATCH($A900,Accounts!$B$2:$B$21,0))&amp;"")&amp;" / "&amp;IF(INDEX(Accounts!$F$2:$F$21,MATCH($A900,Accounts!$B$2:$B$21,0))&amp;""="","(no PS)",INDEX(Accounts!$F$2:$F$21,MATCH($A900,Accounts!$B$2:$B$21,0))&amp;""),"")))),""))</f>
        <v/>
      </c>
      <c r="F900" s="42" t="s">
        <v>104</v>
      </c>
      <c r="I900" s="42" t="s">
        <v>34</v>
      </c>
      <c r="K900" s="44" t="str">
        <f t="shared" si="1"/>
        <v>Owner missing </v>
      </c>
    </row>
    <row r="901" ht="15.75" customHeight="1">
      <c r="E901" s="43" t="str">
        <f t="array" ref="E901">IF($A901="","",IFERROR(IF($D901="TSE",INDEX(Accounts!$G$2:$G$21,MATCH($A901,Accounts!$B$2:$B$21,0))&amp;"",IF($D901="PS",INDEX(Accounts!$F$2:$F$21,MATCH($A901,Accounts!$B$2:$B$21,0))&amp;"",IF($D901="Named engineer",INDEX(Accounts!$I$2:$I$21,MATCH($A901,Accounts!$B$2:$B$21,0))&amp;"",IF($D901="TSE + PS",IF(INDEX(Accounts!$G$2:$G$21,MATCH($A901,Accounts!$B$2:$B$21,0))&amp;""="","(no TSE)",INDEX(Accounts!$G$2:$G$21,MATCH($A901,Accounts!$B$2:$B$21,0))&amp;"")&amp;" / "&amp;IF(INDEX(Accounts!$F$2:$F$21,MATCH($A901,Accounts!$B$2:$B$21,0))&amp;""="","(no PS)",INDEX(Accounts!$F$2:$F$21,MATCH($A901,Accounts!$B$2:$B$21,0))&amp;""),"")))),""))</f>
        <v/>
      </c>
      <c r="F901" s="42" t="s">
        <v>104</v>
      </c>
      <c r="I901" s="42" t="s">
        <v>34</v>
      </c>
      <c r="K901" s="44" t="str">
        <f t="shared" si="1"/>
        <v>Owner missing </v>
      </c>
    </row>
    <row r="902" ht="15.75" customHeight="1">
      <c r="E902" s="43" t="str">
        <f t="array" ref="E902">IF($A902="","",IFERROR(IF($D902="TSE",INDEX(Accounts!$G$2:$G$21,MATCH($A902,Accounts!$B$2:$B$21,0))&amp;"",IF($D902="PS",INDEX(Accounts!$F$2:$F$21,MATCH($A902,Accounts!$B$2:$B$21,0))&amp;"",IF($D902="Named engineer",INDEX(Accounts!$I$2:$I$21,MATCH($A902,Accounts!$B$2:$B$21,0))&amp;"",IF($D902="TSE + PS",IF(INDEX(Accounts!$G$2:$G$21,MATCH($A902,Accounts!$B$2:$B$21,0))&amp;""="","(no TSE)",INDEX(Accounts!$G$2:$G$21,MATCH($A902,Accounts!$B$2:$B$21,0))&amp;"")&amp;" / "&amp;IF(INDEX(Accounts!$F$2:$F$21,MATCH($A902,Accounts!$B$2:$B$21,0))&amp;""="","(no PS)",INDEX(Accounts!$F$2:$F$21,MATCH($A902,Accounts!$B$2:$B$21,0))&amp;""),"")))),""))</f>
        <v/>
      </c>
      <c r="F902" s="42" t="s">
        <v>104</v>
      </c>
      <c r="I902" s="42" t="s">
        <v>34</v>
      </c>
      <c r="K902" s="44" t="str">
        <f t="shared" si="1"/>
        <v>Owner missing </v>
      </c>
    </row>
    <row r="903" ht="15.75" customHeight="1">
      <c r="E903" s="43" t="str">
        <f t="array" ref="E903">IF($A903="","",IFERROR(IF($D903="TSE",INDEX(Accounts!$G$2:$G$21,MATCH($A903,Accounts!$B$2:$B$21,0))&amp;"",IF($D903="PS",INDEX(Accounts!$F$2:$F$21,MATCH($A903,Accounts!$B$2:$B$21,0))&amp;"",IF($D903="Named engineer",INDEX(Accounts!$I$2:$I$21,MATCH($A903,Accounts!$B$2:$B$21,0))&amp;"",IF($D903="TSE + PS",IF(INDEX(Accounts!$G$2:$G$21,MATCH($A903,Accounts!$B$2:$B$21,0))&amp;""="","(no TSE)",INDEX(Accounts!$G$2:$G$21,MATCH($A903,Accounts!$B$2:$B$21,0))&amp;"")&amp;" / "&amp;IF(INDEX(Accounts!$F$2:$F$21,MATCH($A903,Accounts!$B$2:$B$21,0))&amp;""="","(no PS)",INDEX(Accounts!$F$2:$F$21,MATCH($A903,Accounts!$B$2:$B$21,0))&amp;""),"")))),""))</f>
        <v/>
      </c>
      <c r="F903" s="42" t="s">
        <v>104</v>
      </c>
      <c r="I903" s="42" t="s">
        <v>34</v>
      </c>
      <c r="K903" s="44" t="str">
        <f t="shared" si="1"/>
        <v>Owner missing </v>
      </c>
    </row>
    <row r="904" ht="15.75" customHeight="1">
      <c r="E904" s="43" t="str">
        <f t="array" ref="E904">IF($A904="","",IFERROR(IF($D904="TSE",INDEX(Accounts!$G$2:$G$21,MATCH($A904,Accounts!$B$2:$B$21,0))&amp;"",IF($D904="PS",INDEX(Accounts!$F$2:$F$21,MATCH($A904,Accounts!$B$2:$B$21,0))&amp;"",IF($D904="Named engineer",INDEX(Accounts!$I$2:$I$21,MATCH($A904,Accounts!$B$2:$B$21,0))&amp;"",IF($D904="TSE + PS",IF(INDEX(Accounts!$G$2:$G$21,MATCH($A904,Accounts!$B$2:$B$21,0))&amp;""="","(no TSE)",INDEX(Accounts!$G$2:$G$21,MATCH($A904,Accounts!$B$2:$B$21,0))&amp;"")&amp;" / "&amp;IF(INDEX(Accounts!$F$2:$F$21,MATCH($A904,Accounts!$B$2:$B$21,0))&amp;""="","(no PS)",INDEX(Accounts!$F$2:$F$21,MATCH($A904,Accounts!$B$2:$B$21,0))&amp;""),"")))),""))</f>
        <v/>
      </c>
      <c r="F904" s="42" t="s">
        <v>104</v>
      </c>
      <c r="I904" s="42" t="s">
        <v>34</v>
      </c>
      <c r="K904" s="44" t="str">
        <f t="shared" si="1"/>
        <v>Owner missing </v>
      </c>
    </row>
    <row r="905" ht="15.75" customHeight="1">
      <c r="E905" s="43" t="str">
        <f t="array" ref="E905">IF($A905="","",IFERROR(IF($D905="TSE",INDEX(Accounts!$G$2:$G$21,MATCH($A905,Accounts!$B$2:$B$21,0))&amp;"",IF($D905="PS",INDEX(Accounts!$F$2:$F$21,MATCH($A905,Accounts!$B$2:$B$21,0))&amp;"",IF($D905="Named engineer",INDEX(Accounts!$I$2:$I$21,MATCH($A905,Accounts!$B$2:$B$21,0))&amp;"",IF($D905="TSE + PS",IF(INDEX(Accounts!$G$2:$G$21,MATCH($A905,Accounts!$B$2:$B$21,0))&amp;""="","(no TSE)",INDEX(Accounts!$G$2:$G$21,MATCH($A905,Accounts!$B$2:$B$21,0))&amp;"")&amp;" / "&amp;IF(INDEX(Accounts!$F$2:$F$21,MATCH($A905,Accounts!$B$2:$B$21,0))&amp;""="","(no PS)",INDEX(Accounts!$F$2:$F$21,MATCH($A905,Accounts!$B$2:$B$21,0))&amp;""),"")))),""))</f>
        <v/>
      </c>
      <c r="F905" s="42" t="s">
        <v>104</v>
      </c>
      <c r="I905" s="42" t="s">
        <v>34</v>
      </c>
      <c r="K905" s="44" t="str">
        <f t="shared" si="1"/>
        <v>Owner missing </v>
      </c>
    </row>
    <row r="906" ht="15.75" customHeight="1">
      <c r="E906" s="43" t="str">
        <f t="array" ref="E906">IF($A906="","",IFERROR(IF($D906="TSE",INDEX(Accounts!$G$2:$G$21,MATCH($A906,Accounts!$B$2:$B$21,0))&amp;"",IF($D906="PS",INDEX(Accounts!$F$2:$F$21,MATCH($A906,Accounts!$B$2:$B$21,0))&amp;"",IF($D906="Named engineer",INDEX(Accounts!$I$2:$I$21,MATCH($A906,Accounts!$B$2:$B$21,0))&amp;"",IF($D906="TSE + PS",IF(INDEX(Accounts!$G$2:$G$21,MATCH($A906,Accounts!$B$2:$B$21,0))&amp;""="","(no TSE)",INDEX(Accounts!$G$2:$G$21,MATCH($A906,Accounts!$B$2:$B$21,0))&amp;"")&amp;" / "&amp;IF(INDEX(Accounts!$F$2:$F$21,MATCH($A906,Accounts!$B$2:$B$21,0))&amp;""="","(no PS)",INDEX(Accounts!$F$2:$F$21,MATCH($A906,Accounts!$B$2:$B$21,0))&amp;""),"")))),""))</f>
        <v/>
      </c>
      <c r="F906" s="42" t="s">
        <v>104</v>
      </c>
      <c r="I906" s="42" t="s">
        <v>34</v>
      </c>
      <c r="K906" s="44" t="str">
        <f t="shared" si="1"/>
        <v>Owner missing </v>
      </c>
    </row>
    <row r="907" ht="15.75" customHeight="1">
      <c r="E907" s="43" t="str">
        <f t="array" ref="E907">IF($A907="","",IFERROR(IF($D907="TSE",INDEX(Accounts!$G$2:$G$21,MATCH($A907,Accounts!$B$2:$B$21,0))&amp;"",IF($D907="PS",INDEX(Accounts!$F$2:$F$21,MATCH($A907,Accounts!$B$2:$B$21,0))&amp;"",IF($D907="Named engineer",INDEX(Accounts!$I$2:$I$21,MATCH($A907,Accounts!$B$2:$B$21,0))&amp;"",IF($D907="TSE + PS",IF(INDEX(Accounts!$G$2:$G$21,MATCH($A907,Accounts!$B$2:$B$21,0))&amp;""="","(no TSE)",INDEX(Accounts!$G$2:$G$21,MATCH($A907,Accounts!$B$2:$B$21,0))&amp;"")&amp;" / "&amp;IF(INDEX(Accounts!$F$2:$F$21,MATCH($A907,Accounts!$B$2:$B$21,0))&amp;""="","(no PS)",INDEX(Accounts!$F$2:$F$21,MATCH($A907,Accounts!$B$2:$B$21,0))&amp;""),"")))),""))</f>
        <v/>
      </c>
      <c r="F907" s="42" t="s">
        <v>104</v>
      </c>
      <c r="I907" s="42" t="s">
        <v>34</v>
      </c>
      <c r="K907" s="44" t="str">
        <f t="shared" si="1"/>
        <v>Owner missing </v>
      </c>
    </row>
    <row r="908" ht="15.75" customHeight="1">
      <c r="E908" s="43" t="str">
        <f t="array" ref="E908">IF($A908="","",IFERROR(IF($D908="TSE",INDEX(Accounts!$G$2:$G$21,MATCH($A908,Accounts!$B$2:$B$21,0))&amp;"",IF($D908="PS",INDEX(Accounts!$F$2:$F$21,MATCH($A908,Accounts!$B$2:$B$21,0))&amp;"",IF($D908="Named engineer",INDEX(Accounts!$I$2:$I$21,MATCH($A908,Accounts!$B$2:$B$21,0))&amp;"",IF($D908="TSE + PS",IF(INDEX(Accounts!$G$2:$G$21,MATCH($A908,Accounts!$B$2:$B$21,0))&amp;""="","(no TSE)",INDEX(Accounts!$G$2:$G$21,MATCH($A908,Accounts!$B$2:$B$21,0))&amp;"")&amp;" / "&amp;IF(INDEX(Accounts!$F$2:$F$21,MATCH($A908,Accounts!$B$2:$B$21,0))&amp;""="","(no PS)",INDEX(Accounts!$F$2:$F$21,MATCH($A908,Accounts!$B$2:$B$21,0))&amp;""),"")))),""))</f>
        <v/>
      </c>
      <c r="F908" s="42" t="s">
        <v>104</v>
      </c>
      <c r="I908" s="42" t="s">
        <v>34</v>
      </c>
      <c r="K908" s="44" t="str">
        <f t="shared" si="1"/>
        <v>Owner missing </v>
      </c>
    </row>
    <row r="909" ht="15.75" customHeight="1">
      <c r="E909" s="43" t="str">
        <f t="array" ref="E909">IF($A909="","",IFERROR(IF($D909="TSE",INDEX(Accounts!$G$2:$G$21,MATCH($A909,Accounts!$B$2:$B$21,0))&amp;"",IF($D909="PS",INDEX(Accounts!$F$2:$F$21,MATCH($A909,Accounts!$B$2:$B$21,0))&amp;"",IF($D909="Named engineer",INDEX(Accounts!$I$2:$I$21,MATCH($A909,Accounts!$B$2:$B$21,0))&amp;"",IF($D909="TSE + PS",IF(INDEX(Accounts!$G$2:$G$21,MATCH($A909,Accounts!$B$2:$B$21,0))&amp;""="","(no TSE)",INDEX(Accounts!$G$2:$G$21,MATCH($A909,Accounts!$B$2:$B$21,0))&amp;"")&amp;" / "&amp;IF(INDEX(Accounts!$F$2:$F$21,MATCH($A909,Accounts!$B$2:$B$21,0))&amp;""="","(no PS)",INDEX(Accounts!$F$2:$F$21,MATCH($A909,Accounts!$B$2:$B$21,0))&amp;""),"")))),""))</f>
        <v/>
      </c>
      <c r="F909" s="42" t="s">
        <v>104</v>
      </c>
      <c r="I909" s="42" t="s">
        <v>34</v>
      </c>
      <c r="K909" s="44" t="str">
        <f t="shared" si="1"/>
        <v>Owner missing </v>
      </c>
    </row>
    <row r="910" ht="15.75" customHeight="1">
      <c r="E910" s="43" t="str">
        <f t="array" ref="E910">IF($A910="","",IFERROR(IF($D910="TSE",INDEX(Accounts!$G$2:$G$21,MATCH($A910,Accounts!$B$2:$B$21,0))&amp;"",IF($D910="PS",INDEX(Accounts!$F$2:$F$21,MATCH($A910,Accounts!$B$2:$B$21,0))&amp;"",IF($D910="Named engineer",INDEX(Accounts!$I$2:$I$21,MATCH($A910,Accounts!$B$2:$B$21,0))&amp;"",IF($D910="TSE + PS",IF(INDEX(Accounts!$G$2:$G$21,MATCH($A910,Accounts!$B$2:$B$21,0))&amp;""="","(no TSE)",INDEX(Accounts!$G$2:$G$21,MATCH($A910,Accounts!$B$2:$B$21,0))&amp;"")&amp;" / "&amp;IF(INDEX(Accounts!$F$2:$F$21,MATCH($A910,Accounts!$B$2:$B$21,0))&amp;""="","(no PS)",INDEX(Accounts!$F$2:$F$21,MATCH($A910,Accounts!$B$2:$B$21,0))&amp;""),"")))),""))</f>
        <v/>
      </c>
      <c r="F910" s="42" t="s">
        <v>104</v>
      </c>
      <c r="I910" s="42" t="s">
        <v>34</v>
      </c>
      <c r="K910" s="44" t="str">
        <f t="shared" si="1"/>
        <v>Owner missing </v>
      </c>
    </row>
    <row r="911" ht="15.75" customHeight="1">
      <c r="E911" s="43" t="str">
        <f t="array" ref="E911">IF($A911="","",IFERROR(IF($D911="TSE",INDEX(Accounts!$G$2:$G$21,MATCH($A911,Accounts!$B$2:$B$21,0))&amp;"",IF($D911="PS",INDEX(Accounts!$F$2:$F$21,MATCH($A911,Accounts!$B$2:$B$21,0))&amp;"",IF($D911="Named engineer",INDEX(Accounts!$I$2:$I$21,MATCH($A911,Accounts!$B$2:$B$21,0))&amp;"",IF($D911="TSE + PS",IF(INDEX(Accounts!$G$2:$G$21,MATCH($A911,Accounts!$B$2:$B$21,0))&amp;""="","(no TSE)",INDEX(Accounts!$G$2:$G$21,MATCH($A911,Accounts!$B$2:$B$21,0))&amp;"")&amp;" / "&amp;IF(INDEX(Accounts!$F$2:$F$21,MATCH($A911,Accounts!$B$2:$B$21,0))&amp;""="","(no PS)",INDEX(Accounts!$F$2:$F$21,MATCH($A911,Accounts!$B$2:$B$21,0))&amp;""),"")))),""))</f>
        <v/>
      </c>
      <c r="F911" s="42" t="s">
        <v>104</v>
      </c>
      <c r="I911" s="42" t="s">
        <v>34</v>
      </c>
      <c r="K911" s="44" t="str">
        <f t="shared" si="1"/>
        <v>Owner missing </v>
      </c>
    </row>
    <row r="912" ht="15.75" customHeight="1">
      <c r="E912" s="43" t="str">
        <f t="array" ref="E912">IF($A912="","",IFERROR(IF($D912="TSE",INDEX(Accounts!$G$2:$G$21,MATCH($A912,Accounts!$B$2:$B$21,0))&amp;"",IF($D912="PS",INDEX(Accounts!$F$2:$F$21,MATCH($A912,Accounts!$B$2:$B$21,0))&amp;"",IF($D912="Named engineer",INDEX(Accounts!$I$2:$I$21,MATCH($A912,Accounts!$B$2:$B$21,0))&amp;"",IF($D912="TSE + PS",IF(INDEX(Accounts!$G$2:$G$21,MATCH($A912,Accounts!$B$2:$B$21,0))&amp;""="","(no TSE)",INDEX(Accounts!$G$2:$G$21,MATCH($A912,Accounts!$B$2:$B$21,0))&amp;"")&amp;" / "&amp;IF(INDEX(Accounts!$F$2:$F$21,MATCH($A912,Accounts!$B$2:$B$21,0))&amp;""="","(no PS)",INDEX(Accounts!$F$2:$F$21,MATCH($A912,Accounts!$B$2:$B$21,0))&amp;""),"")))),""))</f>
        <v/>
      </c>
      <c r="F912" s="42" t="s">
        <v>104</v>
      </c>
      <c r="I912" s="42" t="s">
        <v>34</v>
      </c>
      <c r="K912" s="44" t="str">
        <f t="shared" si="1"/>
        <v>Owner missing </v>
      </c>
    </row>
    <row r="913" ht="15.75" customHeight="1">
      <c r="E913" s="43" t="str">
        <f t="array" ref="E913">IF($A913="","",IFERROR(IF($D913="TSE",INDEX(Accounts!$G$2:$G$21,MATCH($A913,Accounts!$B$2:$B$21,0))&amp;"",IF($D913="PS",INDEX(Accounts!$F$2:$F$21,MATCH($A913,Accounts!$B$2:$B$21,0))&amp;"",IF($D913="Named engineer",INDEX(Accounts!$I$2:$I$21,MATCH($A913,Accounts!$B$2:$B$21,0))&amp;"",IF($D913="TSE + PS",IF(INDEX(Accounts!$G$2:$G$21,MATCH($A913,Accounts!$B$2:$B$21,0))&amp;""="","(no TSE)",INDEX(Accounts!$G$2:$G$21,MATCH($A913,Accounts!$B$2:$B$21,0))&amp;"")&amp;" / "&amp;IF(INDEX(Accounts!$F$2:$F$21,MATCH($A913,Accounts!$B$2:$B$21,0))&amp;""="","(no PS)",INDEX(Accounts!$F$2:$F$21,MATCH($A913,Accounts!$B$2:$B$21,0))&amp;""),"")))),""))</f>
        <v/>
      </c>
      <c r="F913" s="42" t="s">
        <v>104</v>
      </c>
      <c r="I913" s="42" t="s">
        <v>34</v>
      </c>
      <c r="K913" s="44" t="str">
        <f t="shared" si="1"/>
        <v>Owner missing </v>
      </c>
    </row>
    <row r="914" ht="15.75" customHeight="1">
      <c r="E914" s="43" t="str">
        <f t="array" ref="E914">IF($A914="","",IFERROR(IF($D914="TSE",INDEX(Accounts!$G$2:$G$21,MATCH($A914,Accounts!$B$2:$B$21,0))&amp;"",IF($D914="PS",INDEX(Accounts!$F$2:$F$21,MATCH($A914,Accounts!$B$2:$B$21,0))&amp;"",IF($D914="Named engineer",INDEX(Accounts!$I$2:$I$21,MATCH($A914,Accounts!$B$2:$B$21,0))&amp;"",IF($D914="TSE + PS",IF(INDEX(Accounts!$G$2:$G$21,MATCH($A914,Accounts!$B$2:$B$21,0))&amp;""="","(no TSE)",INDEX(Accounts!$G$2:$G$21,MATCH($A914,Accounts!$B$2:$B$21,0))&amp;"")&amp;" / "&amp;IF(INDEX(Accounts!$F$2:$F$21,MATCH($A914,Accounts!$B$2:$B$21,0))&amp;""="","(no PS)",INDEX(Accounts!$F$2:$F$21,MATCH($A914,Accounts!$B$2:$B$21,0))&amp;""),"")))),""))</f>
        <v/>
      </c>
      <c r="F914" s="42" t="s">
        <v>104</v>
      </c>
      <c r="I914" s="42" t="s">
        <v>34</v>
      </c>
      <c r="K914" s="44" t="str">
        <f t="shared" si="1"/>
        <v>Owner missing </v>
      </c>
    </row>
    <row r="915" ht="15.75" customHeight="1">
      <c r="E915" s="43" t="str">
        <f t="array" ref="E915">IF($A915="","",IFERROR(IF($D915="TSE",INDEX(Accounts!$G$2:$G$21,MATCH($A915,Accounts!$B$2:$B$21,0))&amp;"",IF($D915="PS",INDEX(Accounts!$F$2:$F$21,MATCH($A915,Accounts!$B$2:$B$21,0))&amp;"",IF($D915="Named engineer",INDEX(Accounts!$I$2:$I$21,MATCH($A915,Accounts!$B$2:$B$21,0))&amp;"",IF($D915="TSE + PS",IF(INDEX(Accounts!$G$2:$G$21,MATCH($A915,Accounts!$B$2:$B$21,0))&amp;""="","(no TSE)",INDEX(Accounts!$G$2:$G$21,MATCH($A915,Accounts!$B$2:$B$21,0))&amp;"")&amp;" / "&amp;IF(INDEX(Accounts!$F$2:$F$21,MATCH($A915,Accounts!$B$2:$B$21,0))&amp;""="","(no PS)",INDEX(Accounts!$F$2:$F$21,MATCH($A915,Accounts!$B$2:$B$21,0))&amp;""),"")))),""))</f>
        <v/>
      </c>
      <c r="F915" s="42" t="s">
        <v>104</v>
      </c>
      <c r="I915" s="42" t="s">
        <v>34</v>
      </c>
      <c r="K915" s="44" t="str">
        <f t="shared" si="1"/>
        <v>Owner missing </v>
      </c>
    </row>
    <row r="916" ht="15.75" customHeight="1">
      <c r="E916" s="43" t="str">
        <f t="array" ref="E916">IF($A916="","",IFERROR(IF($D916="TSE",INDEX(Accounts!$G$2:$G$21,MATCH($A916,Accounts!$B$2:$B$21,0))&amp;"",IF($D916="PS",INDEX(Accounts!$F$2:$F$21,MATCH($A916,Accounts!$B$2:$B$21,0))&amp;"",IF($D916="Named engineer",INDEX(Accounts!$I$2:$I$21,MATCH($A916,Accounts!$B$2:$B$21,0))&amp;"",IF($D916="TSE + PS",IF(INDEX(Accounts!$G$2:$G$21,MATCH($A916,Accounts!$B$2:$B$21,0))&amp;""="","(no TSE)",INDEX(Accounts!$G$2:$G$21,MATCH($A916,Accounts!$B$2:$B$21,0))&amp;"")&amp;" / "&amp;IF(INDEX(Accounts!$F$2:$F$21,MATCH($A916,Accounts!$B$2:$B$21,0))&amp;""="","(no PS)",INDEX(Accounts!$F$2:$F$21,MATCH($A916,Accounts!$B$2:$B$21,0))&amp;""),"")))),""))</f>
        <v/>
      </c>
      <c r="F916" s="42" t="s">
        <v>104</v>
      </c>
      <c r="I916" s="42" t="s">
        <v>34</v>
      </c>
      <c r="K916" s="44" t="str">
        <f t="shared" si="1"/>
        <v>Owner missing </v>
      </c>
    </row>
    <row r="917" ht="15.75" customHeight="1">
      <c r="E917" s="43" t="str">
        <f t="array" ref="E917">IF($A917="","",IFERROR(IF($D917="TSE",INDEX(Accounts!$G$2:$G$21,MATCH($A917,Accounts!$B$2:$B$21,0))&amp;"",IF($D917="PS",INDEX(Accounts!$F$2:$F$21,MATCH($A917,Accounts!$B$2:$B$21,0))&amp;"",IF($D917="Named engineer",INDEX(Accounts!$I$2:$I$21,MATCH($A917,Accounts!$B$2:$B$21,0))&amp;"",IF($D917="TSE + PS",IF(INDEX(Accounts!$G$2:$G$21,MATCH($A917,Accounts!$B$2:$B$21,0))&amp;""="","(no TSE)",INDEX(Accounts!$G$2:$G$21,MATCH($A917,Accounts!$B$2:$B$21,0))&amp;"")&amp;" / "&amp;IF(INDEX(Accounts!$F$2:$F$21,MATCH($A917,Accounts!$B$2:$B$21,0))&amp;""="","(no PS)",INDEX(Accounts!$F$2:$F$21,MATCH($A917,Accounts!$B$2:$B$21,0))&amp;""),"")))),""))</f>
        <v/>
      </c>
      <c r="F917" s="42" t="s">
        <v>104</v>
      </c>
      <c r="I917" s="42" t="s">
        <v>34</v>
      </c>
      <c r="K917" s="44" t="str">
        <f t="shared" si="1"/>
        <v>Owner missing </v>
      </c>
    </row>
    <row r="918" ht="15.75" customHeight="1">
      <c r="E918" s="43" t="str">
        <f t="array" ref="E918">IF($A918="","",IFERROR(IF($D918="TSE",INDEX(Accounts!$G$2:$G$21,MATCH($A918,Accounts!$B$2:$B$21,0))&amp;"",IF($D918="PS",INDEX(Accounts!$F$2:$F$21,MATCH($A918,Accounts!$B$2:$B$21,0))&amp;"",IF($D918="Named engineer",INDEX(Accounts!$I$2:$I$21,MATCH($A918,Accounts!$B$2:$B$21,0))&amp;"",IF($D918="TSE + PS",IF(INDEX(Accounts!$G$2:$G$21,MATCH($A918,Accounts!$B$2:$B$21,0))&amp;""="","(no TSE)",INDEX(Accounts!$G$2:$G$21,MATCH($A918,Accounts!$B$2:$B$21,0))&amp;"")&amp;" / "&amp;IF(INDEX(Accounts!$F$2:$F$21,MATCH($A918,Accounts!$B$2:$B$21,0))&amp;""="","(no PS)",INDEX(Accounts!$F$2:$F$21,MATCH($A918,Accounts!$B$2:$B$21,0))&amp;""),"")))),""))</f>
        <v/>
      </c>
      <c r="F918" s="42" t="s">
        <v>104</v>
      </c>
      <c r="I918" s="42" t="s">
        <v>34</v>
      </c>
      <c r="K918" s="44" t="str">
        <f t="shared" si="1"/>
        <v>Owner missing </v>
      </c>
    </row>
    <row r="919" ht="15.75" customHeight="1">
      <c r="E919" s="43" t="str">
        <f t="array" ref="E919">IF($A919="","",IFERROR(IF($D919="TSE",INDEX(Accounts!$G$2:$G$21,MATCH($A919,Accounts!$B$2:$B$21,0))&amp;"",IF($D919="PS",INDEX(Accounts!$F$2:$F$21,MATCH($A919,Accounts!$B$2:$B$21,0))&amp;"",IF($D919="Named engineer",INDEX(Accounts!$I$2:$I$21,MATCH($A919,Accounts!$B$2:$B$21,0))&amp;"",IF($D919="TSE + PS",IF(INDEX(Accounts!$G$2:$G$21,MATCH($A919,Accounts!$B$2:$B$21,0))&amp;""="","(no TSE)",INDEX(Accounts!$G$2:$G$21,MATCH($A919,Accounts!$B$2:$B$21,0))&amp;"")&amp;" / "&amp;IF(INDEX(Accounts!$F$2:$F$21,MATCH($A919,Accounts!$B$2:$B$21,0))&amp;""="","(no PS)",INDEX(Accounts!$F$2:$F$21,MATCH($A919,Accounts!$B$2:$B$21,0))&amp;""),"")))),""))</f>
        <v/>
      </c>
      <c r="F919" s="42" t="s">
        <v>104</v>
      </c>
      <c r="I919" s="42" t="s">
        <v>34</v>
      </c>
      <c r="K919" s="44" t="str">
        <f t="shared" si="1"/>
        <v>Owner missing </v>
      </c>
    </row>
    <row r="920" ht="15.75" customHeight="1">
      <c r="E920" s="43" t="str">
        <f t="array" ref="E920">IF($A920="","",IFERROR(IF($D920="TSE",INDEX(Accounts!$G$2:$G$21,MATCH($A920,Accounts!$B$2:$B$21,0))&amp;"",IF($D920="PS",INDEX(Accounts!$F$2:$F$21,MATCH($A920,Accounts!$B$2:$B$21,0))&amp;"",IF($D920="Named engineer",INDEX(Accounts!$I$2:$I$21,MATCH($A920,Accounts!$B$2:$B$21,0))&amp;"",IF($D920="TSE + PS",IF(INDEX(Accounts!$G$2:$G$21,MATCH($A920,Accounts!$B$2:$B$21,0))&amp;""="","(no TSE)",INDEX(Accounts!$G$2:$G$21,MATCH($A920,Accounts!$B$2:$B$21,0))&amp;"")&amp;" / "&amp;IF(INDEX(Accounts!$F$2:$F$21,MATCH($A920,Accounts!$B$2:$B$21,0))&amp;""="","(no PS)",INDEX(Accounts!$F$2:$F$21,MATCH($A920,Accounts!$B$2:$B$21,0))&amp;""),"")))),""))</f>
        <v/>
      </c>
      <c r="F920" s="42" t="s">
        <v>104</v>
      </c>
      <c r="I920" s="42" t="s">
        <v>34</v>
      </c>
      <c r="K920" s="44" t="str">
        <f t="shared" si="1"/>
        <v>Owner missing </v>
      </c>
    </row>
    <row r="921" ht="15.75" customHeight="1">
      <c r="E921" s="43" t="str">
        <f t="array" ref="E921">IF($A921="","",IFERROR(IF($D921="TSE",INDEX(Accounts!$G$2:$G$21,MATCH($A921,Accounts!$B$2:$B$21,0))&amp;"",IF($D921="PS",INDEX(Accounts!$F$2:$F$21,MATCH($A921,Accounts!$B$2:$B$21,0))&amp;"",IF($D921="Named engineer",INDEX(Accounts!$I$2:$I$21,MATCH($A921,Accounts!$B$2:$B$21,0))&amp;"",IF($D921="TSE + PS",IF(INDEX(Accounts!$G$2:$G$21,MATCH($A921,Accounts!$B$2:$B$21,0))&amp;""="","(no TSE)",INDEX(Accounts!$G$2:$G$21,MATCH($A921,Accounts!$B$2:$B$21,0))&amp;"")&amp;" / "&amp;IF(INDEX(Accounts!$F$2:$F$21,MATCH($A921,Accounts!$B$2:$B$21,0))&amp;""="","(no PS)",INDEX(Accounts!$F$2:$F$21,MATCH($A921,Accounts!$B$2:$B$21,0))&amp;""),"")))),""))</f>
        <v/>
      </c>
      <c r="F921" s="42" t="s">
        <v>104</v>
      </c>
      <c r="I921" s="42" t="s">
        <v>34</v>
      </c>
      <c r="K921" s="44" t="str">
        <f t="shared" si="1"/>
        <v>Owner missing </v>
      </c>
    </row>
    <row r="922" ht="15.75" customHeight="1">
      <c r="E922" s="43" t="str">
        <f t="array" ref="E922">IF($A922="","",IFERROR(IF($D922="TSE",INDEX(Accounts!$G$2:$G$21,MATCH($A922,Accounts!$B$2:$B$21,0))&amp;"",IF($D922="PS",INDEX(Accounts!$F$2:$F$21,MATCH($A922,Accounts!$B$2:$B$21,0))&amp;"",IF($D922="Named engineer",INDEX(Accounts!$I$2:$I$21,MATCH($A922,Accounts!$B$2:$B$21,0))&amp;"",IF($D922="TSE + PS",IF(INDEX(Accounts!$G$2:$G$21,MATCH($A922,Accounts!$B$2:$B$21,0))&amp;""="","(no TSE)",INDEX(Accounts!$G$2:$G$21,MATCH($A922,Accounts!$B$2:$B$21,0))&amp;"")&amp;" / "&amp;IF(INDEX(Accounts!$F$2:$F$21,MATCH($A922,Accounts!$B$2:$B$21,0))&amp;""="","(no PS)",INDEX(Accounts!$F$2:$F$21,MATCH($A922,Accounts!$B$2:$B$21,0))&amp;""),"")))),""))</f>
        <v/>
      </c>
      <c r="F922" s="42" t="s">
        <v>104</v>
      </c>
      <c r="I922" s="42" t="s">
        <v>34</v>
      </c>
      <c r="K922" s="44" t="str">
        <f t="shared" si="1"/>
        <v>Owner missing </v>
      </c>
    </row>
    <row r="923" ht="15.75" customHeight="1">
      <c r="E923" s="43" t="str">
        <f t="array" ref="E923">IF($A923="","",IFERROR(IF($D923="TSE",INDEX(Accounts!$G$2:$G$21,MATCH($A923,Accounts!$B$2:$B$21,0))&amp;"",IF($D923="PS",INDEX(Accounts!$F$2:$F$21,MATCH($A923,Accounts!$B$2:$B$21,0))&amp;"",IF($D923="Named engineer",INDEX(Accounts!$I$2:$I$21,MATCH($A923,Accounts!$B$2:$B$21,0))&amp;"",IF($D923="TSE + PS",IF(INDEX(Accounts!$G$2:$G$21,MATCH($A923,Accounts!$B$2:$B$21,0))&amp;""="","(no TSE)",INDEX(Accounts!$G$2:$G$21,MATCH($A923,Accounts!$B$2:$B$21,0))&amp;"")&amp;" / "&amp;IF(INDEX(Accounts!$F$2:$F$21,MATCH($A923,Accounts!$B$2:$B$21,0))&amp;""="","(no PS)",INDEX(Accounts!$F$2:$F$21,MATCH($A923,Accounts!$B$2:$B$21,0))&amp;""),"")))),""))</f>
        <v/>
      </c>
      <c r="F923" s="42" t="s">
        <v>104</v>
      </c>
      <c r="I923" s="42" t="s">
        <v>34</v>
      </c>
      <c r="K923" s="44" t="str">
        <f t="shared" si="1"/>
        <v>Owner missing </v>
      </c>
    </row>
    <row r="924" ht="15.75" customHeight="1">
      <c r="E924" s="43" t="str">
        <f t="array" ref="E924">IF($A924="","",IFERROR(IF($D924="TSE",INDEX(Accounts!$G$2:$G$21,MATCH($A924,Accounts!$B$2:$B$21,0))&amp;"",IF($D924="PS",INDEX(Accounts!$F$2:$F$21,MATCH($A924,Accounts!$B$2:$B$21,0))&amp;"",IF($D924="Named engineer",INDEX(Accounts!$I$2:$I$21,MATCH($A924,Accounts!$B$2:$B$21,0))&amp;"",IF($D924="TSE + PS",IF(INDEX(Accounts!$G$2:$G$21,MATCH($A924,Accounts!$B$2:$B$21,0))&amp;""="","(no TSE)",INDEX(Accounts!$G$2:$G$21,MATCH($A924,Accounts!$B$2:$B$21,0))&amp;"")&amp;" / "&amp;IF(INDEX(Accounts!$F$2:$F$21,MATCH($A924,Accounts!$B$2:$B$21,0))&amp;""="","(no PS)",INDEX(Accounts!$F$2:$F$21,MATCH($A924,Accounts!$B$2:$B$21,0))&amp;""),"")))),""))</f>
        <v/>
      </c>
      <c r="F924" s="42" t="s">
        <v>104</v>
      </c>
      <c r="I924" s="42" t="s">
        <v>34</v>
      </c>
      <c r="K924" s="44" t="str">
        <f t="shared" si="1"/>
        <v>Owner missing </v>
      </c>
    </row>
    <row r="925" ht="15.75" customHeight="1">
      <c r="E925" s="43" t="str">
        <f t="array" ref="E925">IF($A925="","",IFERROR(IF($D925="TSE",INDEX(Accounts!$G$2:$G$21,MATCH($A925,Accounts!$B$2:$B$21,0))&amp;"",IF($D925="PS",INDEX(Accounts!$F$2:$F$21,MATCH($A925,Accounts!$B$2:$B$21,0))&amp;"",IF($D925="Named engineer",INDEX(Accounts!$I$2:$I$21,MATCH($A925,Accounts!$B$2:$B$21,0))&amp;"",IF($D925="TSE + PS",IF(INDEX(Accounts!$G$2:$G$21,MATCH($A925,Accounts!$B$2:$B$21,0))&amp;""="","(no TSE)",INDEX(Accounts!$G$2:$G$21,MATCH($A925,Accounts!$B$2:$B$21,0))&amp;"")&amp;" / "&amp;IF(INDEX(Accounts!$F$2:$F$21,MATCH($A925,Accounts!$B$2:$B$21,0))&amp;""="","(no PS)",INDEX(Accounts!$F$2:$F$21,MATCH($A925,Accounts!$B$2:$B$21,0))&amp;""),"")))),""))</f>
        <v/>
      </c>
      <c r="F925" s="42" t="s">
        <v>104</v>
      </c>
      <c r="I925" s="42" t="s">
        <v>34</v>
      </c>
      <c r="K925" s="44" t="str">
        <f t="shared" si="1"/>
        <v>Owner missing </v>
      </c>
    </row>
    <row r="926" ht="15.75" customHeight="1">
      <c r="E926" s="43" t="str">
        <f t="array" ref="E926">IF($A926="","",IFERROR(IF($D926="TSE",INDEX(Accounts!$G$2:$G$21,MATCH($A926,Accounts!$B$2:$B$21,0))&amp;"",IF($D926="PS",INDEX(Accounts!$F$2:$F$21,MATCH($A926,Accounts!$B$2:$B$21,0))&amp;"",IF($D926="Named engineer",INDEX(Accounts!$I$2:$I$21,MATCH($A926,Accounts!$B$2:$B$21,0))&amp;"",IF($D926="TSE + PS",IF(INDEX(Accounts!$G$2:$G$21,MATCH($A926,Accounts!$B$2:$B$21,0))&amp;""="","(no TSE)",INDEX(Accounts!$G$2:$G$21,MATCH($A926,Accounts!$B$2:$B$21,0))&amp;"")&amp;" / "&amp;IF(INDEX(Accounts!$F$2:$F$21,MATCH($A926,Accounts!$B$2:$B$21,0))&amp;""="","(no PS)",INDEX(Accounts!$F$2:$F$21,MATCH($A926,Accounts!$B$2:$B$21,0))&amp;""),"")))),""))</f>
        <v/>
      </c>
      <c r="F926" s="42" t="s">
        <v>104</v>
      </c>
      <c r="I926" s="42" t="s">
        <v>34</v>
      </c>
      <c r="K926" s="44" t="str">
        <f t="shared" si="1"/>
        <v>Owner missing </v>
      </c>
    </row>
    <row r="927" ht="15.75" customHeight="1">
      <c r="E927" s="43" t="str">
        <f t="array" ref="E927">IF($A927="","",IFERROR(IF($D927="TSE",INDEX(Accounts!$G$2:$G$21,MATCH($A927,Accounts!$B$2:$B$21,0))&amp;"",IF($D927="PS",INDEX(Accounts!$F$2:$F$21,MATCH($A927,Accounts!$B$2:$B$21,0))&amp;"",IF($D927="Named engineer",INDEX(Accounts!$I$2:$I$21,MATCH($A927,Accounts!$B$2:$B$21,0))&amp;"",IF($D927="TSE + PS",IF(INDEX(Accounts!$G$2:$G$21,MATCH($A927,Accounts!$B$2:$B$21,0))&amp;""="","(no TSE)",INDEX(Accounts!$G$2:$G$21,MATCH($A927,Accounts!$B$2:$B$21,0))&amp;"")&amp;" / "&amp;IF(INDEX(Accounts!$F$2:$F$21,MATCH($A927,Accounts!$B$2:$B$21,0))&amp;""="","(no PS)",INDEX(Accounts!$F$2:$F$21,MATCH($A927,Accounts!$B$2:$B$21,0))&amp;""),"")))),""))</f>
        <v/>
      </c>
      <c r="F927" s="42" t="s">
        <v>104</v>
      </c>
      <c r="I927" s="42" t="s">
        <v>34</v>
      </c>
      <c r="K927" s="44" t="str">
        <f t="shared" si="1"/>
        <v>Owner missing </v>
      </c>
    </row>
    <row r="928" ht="15.75" customHeight="1">
      <c r="E928" s="43" t="str">
        <f t="array" ref="E928">IF($A928="","",IFERROR(IF($D928="TSE",INDEX(Accounts!$G$2:$G$21,MATCH($A928,Accounts!$B$2:$B$21,0))&amp;"",IF($D928="PS",INDEX(Accounts!$F$2:$F$21,MATCH($A928,Accounts!$B$2:$B$21,0))&amp;"",IF($D928="Named engineer",INDEX(Accounts!$I$2:$I$21,MATCH($A928,Accounts!$B$2:$B$21,0))&amp;"",IF($D928="TSE + PS",IF(INDEX(Accounts!$G$2:$G$21,MATCH($A928,Accounts!$B$2:$B$21,0))&amp;""="","(no TSE)",INDEX(Accounts!$G$2:$G$21,MATCH($A928,Accounts!$B$2:$B$21,0))&amp;"")&amp;" / "&amp;IF(INDEX(Accounts!$F$2:$F$21,MATCH($A928,Accounts!$B$2:$B$21,0))&amp;""="","(no PS)",INDEX(Accounts!$F$2:$F$21,MATCH($A928,Accounts!$B$2:$B$21,0))&amp;""),"")))),""))</f>
        <v/>
      </c>
      <c r="F928" s="42" t="s">
        <v>104</v>
      </c>
      <c r="I928" s="42" t="s">
        <v>34</v>
      </c>
      <c r="K928" s="44" t="str">
        <f t="shared" si="1"/>
        <v>Owner missing </v>
      </c>
    </row>
    <row r="929" ht="15.75" customHeight="1">
      <c r="E929" s="43" t="str">
        <f t="array" ref="E929">IF($A929="","",IFERROR(IF($D929="TSE",INDEX(Accounts!$G$2:$G$21,MATCH($A929,Accounts!$B$2:$B$21,0))&amp;"",IF($D929="PS",INDEX(Accounts!$F$2:$F$21,MATCH($A929,Accounts!$B$2:$B$21,0))&amp;"",IF($D929="Named engineer",INDEX(Accounts!$I$2:$I$21,MATCH($A929,Accounts!$B$2:$B$21,0))&amp;"",IF($D929="TSE + PS",IF(INDEX(Accounts!$G$2:$G$21,MATCH($A929,Accounts!$B$2:$B$21,0))&amp;""="","(no TSE)",INDEX(Accounts!$G$2:$G$21,MATCH($A929,Accounts!$B$2:$B$21,0))&amp;"")&amp;" / "&amp;IF(INDEX(Accounts!$F$2:$F$21,MATCH($A929,Accounts!$B$2:$B$21,0))&amp;""="","(no PS)",INDEX(Accounts!$F$2:$F$21,MATCH($A929,Accounts!$B$2:$B$21,0))&amp;""),"")))),""))</f>
        <v/>
      </c>
      <c r="F929" s="42" t="s">
        <v>104</v>
      </c>
      <c r="I929" s="42" t="s">
        <v>34</v>
      </c>
      <c r="K929" s="44" t="str">
        <f t="shared" si="1"/>
        <v>Owner missing </v>
      </c>
    </row>
    <row r="930" ht="15.75" customHeight="1">
      <c r="E930" s="43" t="str">
        <f t="array" ref="E930">IF($A930="","",IFERROR(IF($D930="TSE",INDEX(Accounts!$G$2:$G$21,MATCH($A930,Accounts!$B$2:$B$21,0))&amp;"",IF($D930="PS",INDEX(Accounts!$F$2:$F$21,MATCH($A930,Accounts!$B$2:$B$21,0))&amp;"",IF($D930="Named engineer",INDEX(Accounts!$I$2:$I$21,MATCH($A930,Accounts!$B$2:$B$21,0))&amp;"",IF($D930="TSE + PS",IF(INDEX(Accounts!$G$2:$G$21,MATCH($A930,Accounts!$B$2:$B$21,0))&amp;""="","(no TSE)",INDEX(Accounts!$G$2:$G$21,MATCH($A930,Accounts!$B$2:$B$21,0))&amp;"")&amp;" / "&amp;IF(INDEX(Accounts!$F$2:$F$21,MATCH($A930,Accounts!$B$2:$B$21,0))&amp;""="","(no PS)",INDEX(Accounts!$F$2:$F$21,MATCH($A930,Accounts!$B$2:$B$21,0))&amp;""),"")))),""))</f>
        <v/>
      </c>
      <c r="F930" s="42" t="s">
        <v>104</v>
      </c>
      <c r="I930" s="42" t="s">
        <v>34</v>
      </c>
      <c r="K930" s="44" t="str">
        <f t="shared" si="1"/>
        <v>Owner missing </v>
      </c>
    </row>
    <row r="931" ht="15.75" customHeight="1">
      <c r="E931" s="43" t="str">
        <f t="array" ref="E931">IF($A931="","",IFERROR(IF($D931="TSE",INDEX(Accounts!$G$2:$G$21,MATCH($A931,Accounts!$B$2:$B$21,0))&amp;"",IF($D931="PS",INDEX(Accounts!$F$2:$F$21,MATCH($A931,Accounts!$B$2:$B$21,0))&amp;"",IF($D931="Named engineer",INDEX(Accounts!$I$2:$I$21,MATCH($A931,Accounts!$B$2:$B$21,0))&amp;"",IF($D931="TSE + PS",IF(INDEX(Accounts!$G$2:$G$21,MATCH($A931,Accounts!$B$2:$B$21,0))&amp;""="","(no TSE)",INDEX(Accounts!$G$2:$G$21,MATCH($A931,Accounts!$B$2:$B$21,0))&amp;"")&amp;" / "&amp;IF(INDEX(Accounts!$F$2:$F$21,MATCH($A931,Accounts!$B$2:$B$21,0))&amp;""="","(no PS)",INDEX(Accounts!$F$2:$F$21,MATCH($A931,Accounts!$B$2:$B$21,0))&amp;""),"")))),""))</f>
        <v/>
      </c>
      <c r="F931" s="42" t="s">
        <v>104</v>
      </c>
      <c r="I931" s="42" t="s">
        <v>34</v>
      </c>
      <c r="K931" s="44" t="str">
        <f t="shared" si="1"/>
        <v>Owner missing </v>
      </c>
    </row>
    <row r="932" ht="15.75" customHeight="1">
      <c r="E932" s="43" t="str">
        <f t="array" ref="E932">IF($A932="","",IFERROR(IF($D932="TSE",INDEX(Accounts!$G$2:$G$21,MATCH($A932,Accounts!$B$2:$B$21,0))&amp;"",IF($D932="PS",INDEX(Accounts!$F$2:$F$21,MATCH($A932,Accounts!$B$2:$B$21,0))&amp;"",IF($D932="Named engineer",INDEX(Accounts!$I$2:$I$21,MATCH($A932,Accounts!$B$2:$B$21,0))&amp;"",IF($D932="TSE + PS",IF(INDEX(Accounts!$G$2:$G$21,MATCH($A932,Accounts!$B$2:$B$21,0))&amp;""="","(no TSE)",INDEX(Accounts!$G$2:$G$21,MATCH($A932,Accounts!$B$2:$B$21,0))&amp;"")&amp;" / "&amp;IF(INDEX(Accounts!$F$2:$F$21,MATCH($A932,Accounts!$B$2:$B$21,0))&amp;""="","(no PS)",INDEX(Accounts!$F$2:$F$21,MATCH($A932,Accounts!$B$2:$B$21,0))&amp;""),"")))),""))</f>
        <v/>
      </c>
      <c r="F932" s="42" t="s">
        <v>104</v>
      </c>
      <c r="I932" s="42" t="s">
        <v>34</v>
      </c>
      <c r="K932" s="44" t="str">
        <f t="shared" si="1"/>
        <v>Owner missing </v>
      </c>
    </row>
    <row r="933" ht="15.75" customHeight="1">
      <c r="E933" s="43" t="str">
        <f t="array" ref="E933">IF($A933="","",IFERROR(IF($D933="TSE",INDEX(Accounts!$G$2:$G$21,MATCH($A933,Accounts!$B$2:$B$21,0))&amp;"",IF($D933="PS",INDEX(Accounts!$F$2:$F$21,MATCH($A933,Accounts!$B$2:$B$21,0))&amp;"",IF($D933="Named engineer",INDEX(Accounts!$I$2:$I$21,MATCH($A933,Accounts!$B$2:$B$21,0))&amp;"",IF($D933="TSE + PS",IF(INDEX(Accounts!$G$2:$G$21,MATCH($A933,Accounts!$B$2:$B$21,0))&amp;""="","(no TSE)",INDEX(Accounts!$G$2:$G$21,MATCH($A933,Accounts!$B$2:$B$21,0))&amp;"")&amp;" / "&amp;IF(INDEX(Accounts!$F$2:$F$21,MATCH($A933,Accounts!$B$2:$B$21,0))&amp;""="","(no PS)",INDEX(Accounts!$F$2:$F$21,MATCH($A933,Accounts!$B$2:$B$21,0))&amp;""),"")))),""))</f>
        <v/>
      </c>
      <c r="F933" s="42" t="s">
        <v>104</v>
      </c>
      <c r="I933" s="42" t="s">
        <v>34</v>
      </c>
      <c r="K933" s="44" t="str">
        <f t="shared" si="1"/>
        <v>Owner missing </v>
      </c>
    </row>
    <row r="934" ht="15.75" customHeight="1">
      <c r="E934" s="43" t="str">
        <f t="array" ref="E934">IF($A934="","",IFERROR(IF($D934="TSE",INDEX(Accounts!$G$2:$G$21,MATCH($A934,Accounts!$B$2:$B$21,0))&amp;"",IF($D934="PS",INDEX(Accounts!$F$2:$F$21,MATCH($A934,Accounts!$B$2:$B$21,0))&amp;"",IF($D934="Named engineer",INDEX(Accounts!$I$2:$I$21,MATCH($A934,Accounts!$B$2:$B$21,0))&amp;"",IF($D934="TSE + PS",IF(INDEX(Accounts!$G$2:$G$21,MATCH($A934,Accounts!$B$2:$B$21,0))&amp;""="","(no TSE)",INDEX(Accounts!$G$2:$G$21,MATCH($A934,Accounts!$B$2:$B$21,0))&amp;"")&amp;" / "&amp;IF(INDEX(Accounts!$F$2:$F$21,MATCH($A934,Accounts!$B$2:$B$21,0))&amp;""="","(no PS)",INDEX(Accounts!$F$2:$F$21,MATCH($A934,Accounts!$B$2:$B$21,0))&amp;""),"")))),""))</f>
        <v/>
      </c>
      <c r="F934" s="42" t="s">
        <v>104</v>
      </c>
      <c r="I934" s="42" t="s">
        <v>34</v>
      </c>
      <c r="K934" s="44" t="str">
        <f t="shared" si="1"/>
        <v>Owner missing </v>
      </c>
    </row>
    <row r="935" ht="15.75" customHeight="1">
      <c r="E935" s="43" t="str">
        <f t="array" ref="E935">IF($A935="","",IFERROR(IF($D935="TSE",INDEX(Accounts!$G$2:$G$21,MATCH($A935,Accounts!$B$2:$B$21,0))&amp;"",IF($D935="PS",INDEX(Accounts!$F$2:$F$21,MATCH($A935,Accounts!$B$2:$B$21,0))&amp;"",IF($D935="Named engineer",INDEX(Accounts!$I$2:$I$21,MATCH($A935,Accounts!$B$2:$B$21,0))&amp;"",IF($D935="TSE + PS",IF(INDEX(Accounts!$G$2:$G$21,MATCH($A935,Accounts!$B$2:$B$21,0))&amp;""="","(no TSE)",INDEX(Accounts!$G$2:$G$21,MATCH($A935,Accounts!$B$2:$B$21,0))&amp;"")&amp;" / "&amp;IF(INDEX(Accounts!$F$2:$F$21,MATCH($A935,Accounts!$B$2:$B$21,0))&amp;""="","(no PS)",INDEX(Accounts!$F$2:$F$21,MATCH($A935,Accounts!$B$2:$B$21,0))&amp;""),"")))),""))</f>
        <v/>
      </c>
      <c r="F935" s="42" t="s">
        <v>104</v>
      </c>
      <c r="I935" s="42" t="s">
        <v>34</v>
      </c>
      <c r="K935" s="44" t="str">
        <f t="shared" si="1"/>
        <v>Owner missing </v>
      </c>
    </row>
    <row r="936" ht="15.75" customHeight="1">
      <c r="E936" s="43" t="str">
        <f t="array" ref="E936">IF($A936="","",IFERROR(IF($D936="TSE",INDEX(Accounts!$G$2:$G$21,MATCH($A936,Accounts!$B$2:$B$21,0))&amp;"",IF($D936="PS",INDEX(Accounts!$F$2:$F$21,MATCH($A936,Accounts!$B$2:$B$21,0))&amp;"",IF($D936="Named engineer",INDEX(Accounts!$I$2:$I$21,MATCH($A936,Accounts!$B$2:$B$21,0))&amp;"",IF($D936="TSE + PS",IF(INDEX(Accounts!$G$2:$G$21,MATCH($A936,Accounts!$B$2:$B$21,0))&amp;""="","(no TSE)",INDEX(Accounts!$G$2:$G$21,MATCH($A936,Accounts!$B$2:$B$21,0))&amp;"")&amp;" / "&amp;IF(INDEX(Accounts!$F$2:$F$21,MATCH($A936,Accounts!$B$2:$B$21,0))&amp;""="","(no PS)",INDEX(Accounts!$F$2:$F$21,MATCH($A936,Accounts!$B$2:$B$21,0))&amp;""),"")))),""))</f>
        <v/>
      </c>
      <c r="F936" s="42" t="s">
        <v>104</v>
      </c>
      <c r="I936" s="42" t="s">
        <v>34</v>
      </c>
      <c r="K936" s="44" t="str">
        <f t="shared" si="1"/>
        <v>Owner missing </v>
      </c>
    </row>
    <row r="937" ht="15.75" customHeight="1">
      <c r="E937" s="43" t="str">
        <f t="array" ref="E937">IF($A937="","",IFERROR(IF($D937="TSE",INDEX(Accounts!$G$2:$G$21,MATCH($A937,Accounts!$B$2:$B$21,0))&amp;"",IF($D937="PS",INDEX(Accounts!$F$2:$F$21,MATCH($A937,Accounts!$B$2:$B$21,0))&amp;"",IF($D937="Named engineer",INDEX(Accounts!$I$2:$I$21,MATCH($A937,Accounts!$B$2:$B$21,0))&amp;"",IF($D937="TSE + PS",IF(INDEX(Accounts!$G$2:$G$21,MATCH($A937,Accounts!$B$2:$B$21,0))&amp;""="","(no TSE)",INDEX(Accounts!$G$2:$G$21,MATCH($A937,Accounts!$B$2:$B$21,0))&amp;"")&amp;" / "&amp;IF(INDEX(Accounts!$F$2:$F$21,MATCH($A937,Accounts!$B$2:$B$21,0))&amp;""="","(no PS)",INDEX(Accounts!$F$2:$F$21,MATCH($A937,Accounts!$B$2:$B$21,0))&amp;""),"")))),""))</f>
        <v/>
      </c>
      <c r="F937" s="42" t="s">
        <v>104</v>
      </c>
      <c r="I937" s="42" t="s">
        <v>34</v>
      </c>
      <c r="K937" s="44" t="str">
        <f t="shared" si="1"/>
        <v>Owner missing </v>
      </c>
    </row>
    <row r="938" ht="15.75" customHeight="1">
      <c r="E938" s="43" t="str">
        <f t="array" ref="E938">IF($A938="","",IFERROR(IF($D938="TSE",INDEX(Accounts!$G$2:$G$21,MATCH($A938,Accounts!$B$2:$B$21,0))&amp;"",IF($D938="PS",INDEX(Accounts!$F$2:$F$21,MATCH($A938,Accounts!$B$2:$B$21,0))&amp;"",IF($D938="Named engineer",INDEX(Accounts!$I$2:$I$21,MATCH($A938,Accounts!$B$2:$B$21,0))&amp;"",IF($D938="TSE + PS",IF(INDEX(Accounts!$G$2:$G$21,MATCH($A938,Accounts!$B$2:$B$21,0))&amp;""="","(no TSE)",INDEX(Accounts!$G$2:$G$21,MATCH($A938,Accounts!$B$2:$B$21,0))&amp;"")&amp;" / "&amp;IF(INDEX(Accounts!$F$2:$F$21,MATCH($A938,Accounts!$B$2:$B$21,0))&amp;""="","(no PS)",INDEX(Accounts!$F$2:$F$21,MATCH($A938,Accounts!$B$2:$B$21,0))&amp;""),"")))),""))</f>
        <v/>
      </c>
      <c r="F938" s="42" t="s">
        <v>104</v>
      </c>
      <c r="I938" s="42" t="s">
        <v>34</v>
      </c>
      <c r="K938" s="44" t="str">
        <f t="shared" si="1"/>
        <v>Owner missing </v>
      </c>
    </row>
    <row r="939" ht="15.75" customHeight="1">
      <c r="E939" s="43" t="str">
        <f t="array" ref="E939">IF($A939="","",IFERROR(IF($D939="TSE",INDEX(Accounts!$G$2:$G$21,MATCH($A939,Accounts!$B$2:$B$21,0))&amp;"",IF($D939="PS",INDEX(Accounts!$F$2:$F$21,MATCH($A939,Accounts!$B$2:$B$21,0))&amp;"",IF($D939="Named engineer",INDEX(Accounts!$I$2:$I$21,MATCH($A939,Accounts!$B$2:$B$21,0))&amp;"",IF($D939="TSE + PS",IF(INDEX(Accounts!$G$2:$G$21,MATCH($A939,Accounts!$B$2:$B$21,0))&amp;""="","(no TSE)",INDEX(Accounts!$G$2:$G$21,MATCH($A939,Accounts!$B$2:$B$21,0))&amp;"")&amp;" / "&amp;IF(INDEX(Accounts!$F$2:$F$21,MATCH($A939,Accounts!$B$2:$B$21,0))&amp;""="","(no PS)",INDEX(Accounts!$F$2:$F$21,MATCH($A939,Accounts!$B$2:$B$21,0))&amp;""),"")))),""))</f>
        <v/>
      </c>
      <c r="F939" s="42" t="s">
        <v>104</v>
      </c>
      <c r="I939" s="42" t="s">
        <v>34</v>
      </c>
      <c r="K939" s="44" t="str">
        <f t="shared" si="1"/>
        <v>Owner missing </v>
      </c>
    </row>
    <row r="940" ht="15.75" customHeight="1">
      <c r="E940" s="43" t="str">
        <f t="array" ref="E940">IF($A940="","",IFERROR(IF($D940="TSE",INDEX(Accounts!$G$2:$G$21,MATCH($A940,Accounts!$B$2:$B$21,0))&amp;"",IF($D940="PS",INDEX(Accounts!$F$2:$F$21,MATCH($A940,Accounts!$B$2:$B$21,0))&amp;"",IF($D940="Named engineer",INDEX(Accounts!$I$2:$I$21,MATCH($A940,Accounts!$B$2:$B$21,0))&amp;"",IF($D940="TSE + PS",IF(INDEX(Accounts!$G$2:$G$21,MATCH($A940,Accounts!$B$2:$B$21,0))&amp;""="","(no TSE)",INDEX(Accounts!$G$2:$G$21,MATCH($A940,Accounts!$B$2:$B$21,0))&amp;"")&amp;" / "&amp;IF(INDEX(Accounts!$F$2:$F$21,MATCH($A940,Accounts!$B$2:$B$21,0))&amp;""="","(no PS)",INDEX(Accounts!$F$2:$F$21,MATCH($A940,Accounts!$B$2:$B$21,0))&amp;""),"")))),""))</f>
        <v/>
      </c>
      <c r="F940" s="42" t="s">
        <v>104</v>
      </c>
      <c r="I940" s="42" t="s">
        <v>34</v>
      </c>
      <c r="K940" s="44" t="str">
        <f t="shared" si="1"/>
        <v>Owner missing </v>
      </c>
    </row>
    <row r="941" ht="15.75" customHeight="1">
      <c r="E941" s="43" t="str">
        <f t="array" ref="E941">IF($A941="","",IFERROR(IF($D941="TSE",INDEX(Accounts!$G$2:$G$21,MATCH($A941,Accounts!$B$2:$B$21,0))&amp;"",IF($D941="PS",INDEX(Accounts!$F$2:$F$21,MATCH($A941,Accounts!$B$2:$B$21,0))&amp;"",IF($D941="Named engineer",INDEX(Accounts!$I$2:$I$21,MATCH($A941,Accounts!$B$2:$B$21,0))&amp;"",IF($D941="TSE + PS",IF(INDEX(Accounts!$G$2:$G$21,MATCH($A941,Accounts!$B$2:$B$21,0))&amp;""="","(no TSE)",INDEX(Accounts!$G$2:$G$21,MATCH($A941,Accounts!$B$2:$B$21,0))&amp;"")&amp;" / "&amp;IF(INDEX(Accounts!$F$2:$F$21,MATCH($A941,Accounts!$B$2:$B$21,0))&amp;""="","(no PS)",INDEX(Accounts!$F$2:$F$21,MATCH($A941,Accounts!$B$2:$B$21,0))&amp;""),"")))),""))</f>
        <v/>
      </c>
      <c r="F941" s="42" t="s">
        <v>104</v>
      </c>
      <c r="I941" s="42" t="s">
        <v>34</v>
      </c>
      <c r="K941" s="44" t="str">
        <f t="shared" si="1"/>
        <v>Owner missing </v>
      </c>
    </row>
    <row r="942" ht="15.75" customHeight="1">
      <c r="E942" s="43" t="str">
        <f t="array" ref="E942">IF($A942="","",IFERROR(IF($D942="TSE",INDEX(Accounts!$G$2:$G$21,MATCH($A942,Accounts!$B$2:$B$21,0))&amp;"",IF($D942="PS",INDEX(Accounts!$F$2:$F$21,MATCH($A942,Accounts!$B$2:$B$21,0))&amp;"",IF($D942="Named engineer",INDEX(Accounts!$I$2:$I$21,MATCH($A942,Accounts!$B$2:$B$21,0))&amp;"",IF($D942="TSE + PS",IF(INDEX(Accounts!$G$2:$G$21,MATCH($A942,Accounts!$B$2:$B$21,0))&amp;""="","(no TSE)",INDEX(Accounts!$G$2:$G$21,MATCH($A942,Accounts!$B$2:$B$21,0))&amp;"")&amp;" / "&amp;IF(INDEX(Accounts!$F$2:$F$21,MATCH($A942,Accounts!$B$2:$B$21,0))&amp;""="","(no PS)",INDEX(Accounts!$F$2:$F$21,MATCH($A942,Accounts!$B$2:$B$21,0))&amp;""),"")))),""))</f>
        <v/>
      </c>
      <c r="F942" s="42" t="s">
        <v>104</v>
      </c>
      <c r="I942" s="42" t="s">
        <v>34</v>
      </c>
      <c r="K942" s="44" t="str">
        <f t="shared" si="1"/>
        <v>Owner missing </v>
      </c>
    </row>
    <row r="943" ht="15.75" customHeight="1">
      <c r="E943" s="43" t="str">
        <f t="array" ref="E943">IF($A943="","",IFERROR(IF($D943="TSE",INDEX(Accounts!$G$2:$G$21,MATCH($A943,Accounts!$B$2:$B$21,0))&amp;"",IF($D943="PS",INDEX(Accounts!$F$2:$F$21,MATCH($A943,Accounts!$B$2:$B$21,0))&amp;"",IF($D943="Named engineer",INDEX(Accounts!$I$2:$I$21,MATCH($A943,Accounts!$B$2:$B$21,0))&amp;"",IF($D943="TSE + PS",IF(INDEX(Accounts!$G$2:$G$21,MATCH($A943,Accounts!$B$2:$B$21,0))&amp;""="","(no TSE)",INDEX(Accounts!$G$2:$G$21,MATCH($A943,Accounts!$B$2:$B$21,0))&amp;"")&amp;" / "&amp;IF(INDEX(Accounts!$F$2:$F$21,MATCH($A943,Accounts!$B$2:$B$21,0))&amp;""="","(no PS)",INDEX(Accounts!$F$2:$F$21,MATCH($A943,Accounts!$B$2:$B$21,0))&amp;""),"")))),""))</f>
        <v/>
      </c>
      <c r="F943" s="42" t="s">
        <v>104</v>
      </c>
      <c r="I943" s="42" t="s">
        <v>34</v>
      </c>
      <c r="K943" s="44" t="str">
        <f t="shared" si="1"/>
        <v>Owner missing </v>
      </c>
    </row>
    <row r="944" ht="15.75" customHeight="1">
      <c r="E944" s="43" t="str">
        <f t="array" ref="E944">IF($A944="","",IFERROR(IF($D944="TSE",INDEX(Accounts!$G$2:$G$21,MATCH($A944,Accounts!$B$2:$B$21,0))&amp;"",IF($D944="PS",INDEX(Accounts!$F$2:$F$21,MATCH($A944,Accounts!$B$2:$B$21,0))&amp;"",IF($D944="Named engineer",INDEX(Accounts!$I$2:$I$21,MATCH($A944,Accounts!$B$2:$B$21,0))&amp;"",IF($D944="TSE + PS",IF(INDEX(Accounts!$G$2:$G$21,MATCH($A944,Accounts!$B$2:$B$21,0))&amp;""="","(no TSE)",INDEX(Accounts!$G$2:$G$21,MATCH($A944,Accounts!$B$2:$B$21,0))&amp;"")&amp;" / "&amp;IF(INDEX(Accounts!$F$2:$F$21,MATCH($A944,Accounts!$B$2:$B$21,0))&amp;""="","(no PS)",INDEX(Accounts!$F$2:$F$21,MATCH($A944,Accounts!$B$2:$B$21,0))&amp;""),"")))),""))</f>
        <v/>
      </c>
      <c r="F944" s="42" t="s">
        <v>104</v>
      </c>
      <c r="I944" s="42" t="s">
        <v>34</v>
      </c>
      <c r="K944" s="44" t="str">
        <f t="shared" si="1"/>
        <v>Owner missing </v>
      </c>
    </row>
    <row r="945" ht="15.75" customHeight="1">
      <c r="E945" s="43" t="str">
        <f t="array" ref="E945">IF($A945="","",IFERROR(IF($D945="TSE",INDEX(Accounts!$G$2:$G$21,MATCH($A945,Accounts!$B$2:$B$21,0))&amp;"",IF($D945="PS",INDEX(Accounts!$F$2:$F$21,MATCH($A945,Accounts!$B$2:$B$21,0))&amp;"",IF($D945="Named engineer",INDEX(Accounts!$I$2:$I$21,MATCH($A945,Accounts!$B$2:$B$21,0))&amp;"",IF($D945="TSE + PS",IF(INDEX(Accounts!$G$2:$G$21,MATCH($A945,Accounts!$B$2:$B$21,0))&amp;""="","(no TSE)",INDEX(Accounts!$G$2:$G$21,MATCH($A945,Accounts!$B$2:$B$21,0))&amp;"")&amp;" / "&amp;IF(INDEX(Accounts!$F$2:$F$21,MATCH($A945,Accounts!$B$2:$B$21,0))&amp;""="","(no PS)",INDEX(Accounts!$F$2:$F$21,MATCH($A945,Accounts!$B$2:$B$21,0))&amp;""),"")))),""))</f>
        <v/>
      </c>
      <c r="F945" s="42" t="s">
        <v>104</v>
      </c>
      <c r="I945" s="42" t="s">
        <v>34</v>
      </c>
      <c r="K945" s="44" t="str">
        <f t="shared" si="1"/>
        <v>Owner missing </v>
      </c>
    </row>
    <row r="946" ht="15.75" customHeight="1">
      <c r="E946" s="43" t="str">
        <f t="array" ref="E946">IF($A946="","",IFERROR(IF($D946="TSE",INDEX(Accounts!$G$2:$G$21,MATCH($A946,Accounts!$B$2:$B$21,0))&amp;"",IF($D946="PS",INDEX(Accounts!$F$2:$F$21,MATCH($A946,Accounts!$B$2:$B$21,0))&amp;"",IF($D946="Named engineer",INDEX(Accounts!$I$2:$I$21,MATCH($A946,Accounts!$B$2:$B$21,0))&amp;"",IF($D946="TSE + PS",IF(INDEX(Accounts!$G$2:$G$21,MATCH($A946,Accounts!$B$2:$B$21,0))&amp;""="","(no TSE)",INDEX(Accounts!$G$2:$G$21,MATCH($A946,Accounts!$B$2:$B$21,0))&amp;"")&amp;" / "&amp;IF(INDEX(Accounts!$F$2:$F$21,MATCH($A946,Accounts!$B$2:$B$21,0))&amp;""="","(no PS)",INDEX(Accounts!$F$2:$F$21,MATCH($A946,Accounts!$B$2:$B$21,0))&amp;""),"")))),""))</f>
        <v/>
      </c>
      <c r="F946" s="42" t="s">
        <v>104</v>
      </c>
      <c r="I946" s="42" t="s">
        <v>34</v>
      </c>
      <c r="K946" s="44" t="str">
        <f t="shared" si="1"/>
        <v>Owner missing </v>
      </c>
    </row>
    <row r="947" ht="15.75" customHeight="1">
      <c r="E947" s="43" t="str">
        <f t="array" ref="E947">IF($A947="","",IFERROR(IF($D947="TSE",INDEX(Accounts!$G$2:$G$21,MATCH($A947,Accounts!$B$2:$B$21,0))&amp;"",IF($D947="PS",INDEX(Accounts!$F$2:$F$21,MATCH($A947,Accounts!$B$2:$B$21,0))&amp;"",IF($D947="Named engineer",INDEX(Accounts!$I$2:$I$21,MATCH($A947,Accounts!$B$2:$B$21,0))&amp;"",IF($D947="TSE + PS",IF(INDEX(Accounts!$G$2:$G$21,MATCH($A947,Accounts!$B$2:$B$21,0))&amp;""="","(no TSE)",INDEX(Accounts!$G$2:$G$21,MATCH($A947,Accounts!$B$2:$B$21,0))&amp;"")&amp;" / "&amp;IF(INDEX(Accounts!$F$2:$F$21,MATCH($A947,Accounts!$B$2:$B$21,0))&amp;""="","(no PS)",INDEX(Accounts!$F$2:$F$21,MATCH($A947,Accounts!$B$2:$B$21,0))&amp;""),"")))),""))</f>
        <v/>
      </c>
      <c r="F947" s="42" t="s">
        <v>104</v>
      </c>
      <c r="I947" s="42" t="s">
        <v>34</v>
      </c>
      <c r="K947" s="44" t="str">
        <f t="shared" si="1"/>
        <v>Owner missing </v>
      </c>
    </row>
    <row r="948" ht="15.75" customHeight="1">
      <c r="E948" s="43" t="str">
        <f t="array" ref="E948">IF($A948="","",IFERROR(IF($D948="TSE",INDEX(Accounts!$G$2:$G$21,MATCH($A948,Accounts!$B$2:$B$21,0))&amp;"",IF($D948="PS",INDEX(Accounts!$F$2:$F$21,MATCH($A948,Accounts!$B$2:$B$21,0))&amp;"",IF($D948="Named engineer",INDEX(Accounts!$I$2:$I$21,MATCH($A948,Accounts!$B$2:$B$21,0))&amp;"",IF($D948="TSE + PS",IF(INDEX(Accounts!$G$2:$G$21,MATCH($A948,Accounts!$B$2:$B$21,0))&amp;""="","(no TSE)",INDEX(Accounts!$G$2:$G$21,MATCH($A948,Accounts!$B$2:$B$21,0))&amp;"")&amp;" / "&amp;IF(INDEX(Accounts!$F$2:$F$21,MATCH($A948,Accounts!$B$2:$B$21,0))&amp;""="","(no PS)",INDEX(Accounts!$F$2:$F$21,MATCH($A948,Accounts!$B$2:$B$21,0))&amp;""),"")))),""))</f>
        <v/>
      </c>
      <c r="F948" s="42" t="s">
        <v>104</v>
      </c>
      <c r="I948" s="42" t="s">
        <v>34</v>
      </c>
      <c r="K948" s="44" t="str">
        <f t="shared" si="1"/>
        <v>Owner missing </v>
      </c>
    </row>
    <row r="949" ht="15.75" customHeight="1">
      <c r="E949" s="43" t="str">
        <f t="array" ref="E949">IF($A949="","",IFERROR(IF($D949="TSE",INDEX(Accounts!$G$2:$G$21,MATCH($A949,Accounts!$B$2:$B$21,0))&amp;"",IF($D949="PS",INDEX(Accounts!$F$2:$F$21,MATCH($A949,Accounts!$B$2:$B$21,0))&amp;"",IF($D949="Named engineer",INDEX(Accounts!$I$2:$I$21,MATCH($A949,Accounts!$B$2:$B$21,0))&amp;"",IF($D949="TSE + PS",IF(INDEX(Accounts!$G$2:$G$21,MATCH($A949,Accounts!$B$2:$B$21,0))&amp;""="","(no TSE)",INDEX(Accounts!$G$2:$G$21,MATCH($A949,Accounts!$B$2:$B$21,0))&amp;"")&amp;" / "&amp;IF(INDEX(Accounts!$F$2:$F$21,MATCH($A949,Accounts!$B$2:$B$21,0))&amp;""="","(no PS)",INDEX(Accounts!$F$2:$F$21,MATCH($A949,Accounts!$B$2:$B$21,0))&amp;""),"")))),""))</f>
        <v/>
      </c>
      <c r="F949" s="42" t="s">
        <v>104</v>
      </c>
      <c r="I949" s="42" t="s">
        <v>34</v>
      </c>
      <c r="K949" s="44" t="str">
        <f t="shared" si="1"/>
        <v>Owner missing </v>
      </c>
    </row>
    <row r="950" ht="15.75" customHeight="1">
      <c r="E950" s="43" t="str">
        <f t="array" ref="E950">IF($A950="","",IFERROR(IF($D950="TSE",INDEX(Accounts!$G$2:$G$21,MATCH($A950,Accounts!$B$2:$B$21,0))&amp;"",IF($D950="PS",INDEX(Accounts!$F$2:$F$21,MATCH($A950,Accounts!$B$2:$B$21,0))&amp;"",IF($D950="Named engineer",INDEX(Accounts!$I$2:$I$21,MATCH($A950,Accounts!$B$2:$B$21,0))&amp;"",IF($D950="TSE + PS",IF(INDEX(Accounts!$G$2:$G$21,MATCH($A950,Accounts!$B$2:$B$21,0))&amp;""="","(no TSE)",INDEX(Accounts!$G$2:$G$21,MATCH($A950,Accounts!$B$2:$B$21,0))&amp;"")&amp;" / "&amp;IF(INDEX(Accounts!$F$2:$F$21,MATCH($A950,Accounts!$B$2:$B$21,0))&amp;""="","(no PS)",INDEX(Accounts!$F$2:$F$21,MATCH($A950,Accounts!$B$2:$B$21,0))&amp;""),"")))),""))</f>
        <v/>
      </c>
      <c r="F950" s="42" t="s">
        <v>104</v>
      </c>
      <c r="I950" s="42" t="s">
        <v>34</v>
      </c>
      <c r="K950" s="44" t="str">
        <f t="shared" si="1"/>
        <v>Owner missing </v>
      </c>
    </row>
    <row r="951" ht="15.75" customHeight="1">
      <c r="E951" s="43" t="str">
        <f t="array" ref="E951">IF($A951="","",IFERROR(IF($D951="TSE",INDEX(Accounts!$G$2:$G$21,MATCH($A951,Accounts!$B$2:$B$21,0))&amp;"",IF($D951="PS",INDEX(Accounts!$F$2:$F$21,MATCH($A951,Accounts!$B$2:$B$21,0))&amp;"",IF($D951="Named engineer",INDEX(Accounts!$I$2:$I$21,MATCH($A951,Accounts!$B$2:$B$21,0))&amp;"",IF($D951="TSE + PS",IF(INDEX(Accounts!$G$2:$G$21,MATCH($A951,Accounts!$B$2:$B$21,0))&amp;""="","(no TSE)",INDEX(Accounts!$G$2:$G$21,MATCH($A951,Accounts!$B$2:$B$21,0))&amp;"")&amp;" / "&amp;IF(INDEX(Accounts!$F$2:$F$21,MATCH($A951,Accounts!$B$2:$B$21,0))&amp;""="","(no PS)",INDEX(Accounts!$F$2:$F$21,MATCH($A951,Accounts!$B$2:$B$21,0))&amp;""),"")))),""))</f>
        <v/>
      </c>
      <c r="F951" s="42" t="s">
        <v>104</v>
      </c>
      <c r="I951" s="42" t="s">
        <v>34</v>
      </c>
      <c r="K951" s="44" t="str">
        <f t="shared" si="1"/>
        <v>Owner missing </v>
      </c>
    </row>
    <row r="952" ht="15.75" customHeight="1">
      <c r="E952" s="43" t="str">
        <f t="array" ref="E952">IF($A952="","",IFERROR(IF($D952="TSE",INDEX(Accounts!$G$2:$G$21,MATCH($A952,Accounts!$B$2:$B$21,0))&amp;"",IF($D952="PS",INDEX(Accounts!$F$2:$F$21,MATCH($A952,Accounts!$B$2:$B$21,0))&amp;"",IF($D952="Named engineer",INDEX(Accounts!$I$2:$I$21,MATCH($A952,Accounts!$B$2:$B$21,0))&amp;"",IF($D952="TSE + PS",IF(INDEX(Accounts!$G$2:$G$21,MATCH($A952,Accounts!$B$2:$B$21,0))&amp;""="","(no TSE)",INDEX(Accounts!$G$2:$G$21,MATCH($A952,Accounts!$B$2:$B$21,0))&amp;"")&amp;" / "&amp;IF(INDEX(Accounts!$F$2:$F$21,MATCH($A952,Accounts!$B$2:$B$21,0))&amp;""="","(no PS)",INDEX(Accounts!$F$2:$F$21,MATCH($A952,Accounts!$B$2:$B$21,0))&amp;""),"")))),""))</f>
        <v/>
      </c>
      <c r="F952" s="42" t="s">
        <v>104</v>
      </c>
      <c r="I952" s="42" t="s">
        <v>34</v>
      </c>
      <c r="K952" s="44" t="str">
        <f t="shared" si="1"/>
        <v>Owner missing </v>
      </c>
    </row>
    <row r="953" ht="15.75" customHeight="1">
      <c r="E953" s="43" t="str">
        <f t="array" ref="E953">IF($A953="","",IFERROR(IF($D953="TSE",INDEX(Accounts!$G$2:$G$21,MATCH($A953,Accounts!$B$2:$B$21,0))&amp;"",IF($D953="PS",INDEX(Accounts!$F$2:$F$21,MATCH($A953,Accounts!$B$2:$B$21,0))&amp;"",IF($D953="Named engineer",INDEX(Accounts!$I$2:$I$21,MATCH($A953,Accounts!$B$2:$B$21,0))&amp;"",IF($D953="TSE + PS",IF(INDEX(Accounts!$G$2:$G$21,MATCH($A953,Accounts!$B$2:$B$21,0))&amp;""="","(no TSE)",INDEX(Accounts!$G$2:$G$21,MATCH($A953,Accounts!$B$2:$B$21,0))&amp;"")&amp;" / "&amp;IF(INDEX(Accounts!$F$2:$F$21,MATCH($A953,Accounts!$B$2:$B$21,0))&amp;""="","(no PS)",INDEX(Accounts!$F$2:$F$21,MATCH($A953,Accounts!$B$2:$B$21,0))&amp;""),"")))),""))</f>
        <v/>
      </c>
      <c r="F953" s="42" t="s">
        <v>104</v>
      </c>
      <c r="I953" s="42" t="s">
        <v>34</v>
      </c>
      <c r="K953" s="44" t="str">
        <f t="shared" si="1"/>
        <v>Owner missing </v>
      </c>
    </row>
    <row r="954" ht="15.75" customHeight="1">
      <c r="E954" s="43" t="str">
        <f t="array" ref="E954">IF($A954="","",IFERROR(IF($D954="TSE",INDEX(Accounts!$G$2:$G$21,MATCH($A954,Accounts!$B$2:$B$21,0))&amp;"",IF($D954="PS",INDEX(Accounts!$F$2:$F$21,MATCH($A954,Accounts!$B$2:$B$21,0))&amp;"",IF($D954="Named engineer",INDEX(Accounts!$I$2:$I$21,MATCH($A954,Accounts!$B$2:$B$21,0))&amp;"",IF($D954="TSE + PS",IF(INDEX(Accounts!$G$2:$G$21,MATCH($A954,Accounts!$B$2:$B$21,0))&amp;""="","(no TSE)",INDEX(Accounts!$G$2:$G$21,MATCH($A954,Accounts!$B$2:$B$21,0))&amp;"")&amp;" / "&amp;IF(INDEX(Accounts!$F$2:$F$21,MATCH($A954,Accounts!$B$2:$B$21,0))&amp;""="","(no PS)",INDEX(Accounts!$F$2:$F$21,MATCH($A954,Accounts!$B$2:$B$21,0))&amp;""),"")))),""))</f>
        <v/>
      </c>
      <c r="F954" s="42" t="s">
        <v>104</v>
      </c>
      <c r="I954" s="42" t="s">
        <v>34</v>
      </c>
      <c r="K954" s="44" t="str">
        <f t="shared" si="1"/>
        <v>Owner missing </v>
      </c>
    </row>
    <row r="955" ht="15.75" customHeight="1">
      <c r="E955" s="43" t="str">
        <f t="array" ref="E955">IF($A955="","",IFERROR(IF($D955="TSE",INDEX(Accounts!$G$2:$G$21,MATCH($A955,Accounts!$B$2:$B$21,0))&amp;"",IF($D955="PS",INDEX(Accounts!$F$2:$F$21,MATCH($A955,Accounts!$B$2:$B$21,0))&amp;"",IF($D955="Named engineer",INDEX(Accounts!$I$2:$I$21,MATCH($A955,Accounts!$B$2:$B$21,0))&amp;"",IF($D955="TSE + PS",IF(INDEX(Accounts!$G$2:$G$21,MATCH($A955,Accounts!$B$2:$B$21,0))&amp;""="","(no TSE)",INDEX(Accounts!$G$2:$G$21,MATCH($A955,Accounts!$B$2:$B$21,0))&amp;"")&amp;" / "&amp;IF(INDEX(Accounts!$F$2:$F$21,MATCH($A955,Accounts!$B$2:$B$21,0))&amp;""="","(no PS)",INDEX(Accounts!$F$2:$F$21,MATCH($A955,Accounts!$B$2:$B$21,0))&amp;""),"")))),""))</f>
        <v/>
      </c>
      <c r="F955" s="42" t="s">
        <v>104</v>
      </c>
      <c r="I955" s="42" t="s">
        <v>34</v>
      </c>
      <c r="K955" s="44" t="str">
        <f t="shared" si="1"/>
        <v>Owner missing </v>
      </c>
    </row>
    <row r="956" ht="15.75" customHeight="1">
      <c r="E956" s="43" t="str">
        <f t="array" ref="E956">IF($A956="","",IFERROR(IF($D956="TSE",INDEX(Accounts!$G$2:$G$21,MATCH($A956,Accounts!$B$2:$B$21,0))&amp;"",IF($D956="PS",INDEX(Accounts!$F$2:$F$21,MATCH($A956,Accounts!$B$2:$B$21,0))&amp;"",IF($D956="Named engineer",INDEX(Accounts!$I$2:$I$21,MATCH($A956,Accounts!$B$2:$B$21,0))&amp;"",IF($D956="TSE + PS",IF(INDEX(Accounts!$G$2:$G$21,MATCH($A956,Accounts!$B$2:$B$21,0))&amp;""="","(no TSE)",INDEX(Accounts!$G$2:$G$21,MATCH($A956,Accounts!$B$2:$B$21,0))&amp;"")&amp;" / "&amp;IF(INDEX(Accounts!$F$2:$F$21,MATCH($A956,Accounts!$B$2:$B$21,0))&amp;""="","(no PS)",INDEX(Accounts!$F$2:$F$21,MATCH($A956,Accounts!$B$2:$B$21,0))&amp;""),"")))),""))</f>
        <v/>
      </c>
      <c r="F956" s="42" t="s">
        <v>104</v>
      </c>
      <c r="I956" s="42" t="s">
        <v>34</v>
      </c>
      <c r="K956" s="44" t="str">
        <f t="shared" si="1"/>
        <v>Owner missing </v>
      </c>
    </row>
    <row r="957" ht="15.75" customHeight="1">
      <c r="E957" s="43" t="str">
        <f t="array" ref="E957">IF($A957="","",IFERROR(IF($D957="TSE",INDEX(Accounts!$G$2:$G$21,MATCH($A957,Accounts!$B$2:$B$21,0))&amp;"",IF($D957="PS",INDEX(Accounts!$F$2:$F$21,MATCH($A957,Accounts!$B$2:$B$21,0))&amp;"",IF($D957="Named engineer",INDEX(Accounts!$I$2:$I$21,MATCH($A957,Accounts!$B$2:$B$21,0))&amp;"",IF($D957="TSE + PS",IF(INDEX(Accounts!$G$2:$G$21,MATCH($A957,Accounts!$B$2:$B$21,0))&amp;""="","(no TSE)",INDEX(Accounts!$G$2:$G$21,MATCH($A957,Accounts!$B$2:$B$21,0))&amp;"")&amp;" / "&amp;IF(INDEX(Accounts!$F$2:$F$21,MATCH($A957,Accounts!$B$2:$B$21,0))&amp;""="","(no PS)",INDEX(Accounts!$F$2:$F$21,MATCH($A957,Accounts!$B$2:$B$21,0))&amp;""),"")))),""))</f>
        <v/>
      </c>
      <c r="F957" s="42" t="s">
        <v>104</v>
      </c>
      <c r="I957" s="42" t="s">
        <v>34</v>
      </c>
      <c r="K957" s="44" t="str">
        <f t="shared" si="1"/>
        <v>Owner missing </v>
      </c>
    </row>
    <row r="958" ht="15.75" customHeight="1">
      <c r="E958" s="43" t="str">
        <f t="array" ref="E958">IF($A958="","",IFERROR(IF($D958="TSE",INDEX(Accounts!$G$2:$G$21,MATCH($A958,Accounts!$B$2:$B$21,0))&amp;"",IF($D958="PS",INDEX(Accounts!$F$2:$F$21,MATCH($A958,Accounts!$B$2:$B$21,0))&amp;"",IF($D958="Named engineer",INDEX(Accounts!$I$2:$I$21,MATCH($A958,Accounts!$B$2:$B$21,0))&amp;"",IF($D958="TSE + PS",IF(INDEX(Accounts!$G$2:$G$21,MATCH($A958,Accounts!$B$2:$B$21,0))&amp;""="","(no TSE)",INDEX(Accounts!$G$2:$G$21,MATCH($A958,Accounts!$B$2:$B$21,0))&amp;"")&amp;" / "&amp;IF(INDEX(Accounts!$F$2:$F$21,MATCH($A958,Accounts!$B$2:$B$21,0))&amp;""="","(no PS)",INDEX(Accounts!$F$2:$F$21,MATCH($A958,Accounts!$B$2:$B$21,0))&amp;""),"")))),""))</f>
        <v/>
      </c>
      <c r="F958" s="42" t="s">
        <v>104</v>
      </c>
      <c r="I958" s="42" t="s">
        <v>34</v>
      </c>
      <c r="K958" s="44" t="str">
        <f t="shared" si="1"/>
        <v>Owner missing </v>
      </c>
    </row>
    <row r="959" ht="15.75" customHeight="1">
      <c r="E959" s="43" t="str">
        <f t="array" ref="E959">IF($A959="","",IFERROR(IF($D959="TSE",INDEX(Accounts!$G$2:$G$21,MATCH($A959,Accounts!$B$2:$B$21,0))&amp;"",IF($D959="PS",INDEX(Accounts!$F$2:$F$21,MATCH($A959,Accounts!$B$2:$B$21,0))&amp;"",IF($D959="Named engineer",INDEX(Accounts!$I$2:$I$21,MATCH($A959,Accounts!$B$2:$B$21,0))&amp;"",IF($D959="TSE + PS",IF(INDEX(Accounts!$G$2:$G$21,MATCH($A959,Accounts!$B$2:$B$21,0))&amp;""="","(no TSE)",INDEX(Accounts!$G$2:$G$21,MATCH($A959,Accounts!$B$2:$B$21,0))&amp;"")&amp;" / "&amp;IF(INDEX(Accounts!$F$2:$F$21,MATCH($A959,Accounts!$B$2:$B$21,0))&amp;""="","(no PS)",INDEX(Accounts!$F$2:$F$21,MATCH($A959,Accounts!$B$2:$B$21,0))&amp;""),"")))),""))</f>
        <v/>
      </c>
      <c r="F959" s="42" t="s">
        <v>104</v>
      </c>
      <c r="I959" s="42" t="s">
        <v>34</v>
      </c>
      <c r="K959" s="44" t="str">
        <f t="shared" si="1"/>
        <v>Owner missing </v>
      </c>
    </row>
    <row r="960" ht="15.75" customHeight="1">
      <c r="E960" s="43" t="str">
        <f t="array" ref="E960">IF($A960="","",IFERROR(IF($D960="TSE",INDEX(Accounts!$G$2:$G$21,MATCH($A960,Accounts!$B$2:$B$21,0))&amp;"",IF($D960="PS",INDEX(Accounts!$F$2:$F$21,MATCH($A960,Accounts!$B$2:$B$21,0))&amp;"",IF($D960="Named engineer",INDEX(Accounts!$I$2:$I$21,MATCH($A960,Accounts!$B$2:$B$21,0))&amp;"",IF($D960="TSE + PS",IF(INDEX(Accounts!$G$2:$G$21,MATCH($A960,Accounts!$B$2:$B$21,0))&amp;""="","(no TSE)",INDEX(Accounts!$G$2:$G$21,MATCH($A960,Accounts!$B$2:$B$21,0))&amp;"")&amp;" / "&amp;IF(INDEX(Accounts!$F$2:$F$21,MATCH($A960,Accounts!$B$2:$B$21,0))&amp;""="","(no PS)",INDEX(Accounts!$F$2:$F$21,MATCH($A960,Accounts!$B$2:$B$21,0))&amp;""),"")))),""))</f>
        <v/>
      </c>
      <c r="F960" s="42" t="s">
        <v>104</v>
      </c>
      <c r="I960" s="42" t="s">
        <v>34</v>
      </c>
      <c r="K960" s="44" t="str">
        <f t="shared" si="1"/>
        <v>Owner missing </v>
      </c>
    </row>
    <row r="961" ht="15.75" customHeight="1">
      <c r="E961" s="43" t="str">
        <f t="array" ref="E961">IF($A961="","",IFERROR(IF($D961="TSE",INDEX(Accounts!$G$2:$G$21,MATCH($A961,Accounts!$B$2:$B$21,0))&amp;"",IF($D961="PS",INDEX(Accounts!$F$2:$F$21,MATCH($A961,Accounts!$B$2:$B$21,0))&amp;"",IF($D961="Named engineer",INDEX(Accounts!$I$2:$I$21,MATCH($A961,Accounts!$B$2:$B$21,0))&amp;"",IF($D961="TSE + PS",IF(INDEX(Accounts!$G$2:$G$21,MATCH($A961,Accounts!$B$2:$B$21,0))&amp;""="","(no TSE)",INDEX(Accounts!$G$2:$G$21,MATCH($A961,Accounts!$B$2:$B$21,0))&amp;"")&amp;" / "&amp;IF(INDEX(Accounts!$F$2:$F$21,MATCH($A961,Accounts!$B$2:$B$21,0))&amp;""="","(no PS)",INDEX(Accounts!$F$2:$F$21,MATCH($A961,Accounts!$B$2:$B$21,0))&amp;""),"")))),""))</f>
        <v/>
      </c>
      <c r="F961" s="42" t="s">
        <v>104</v>
      </c>
      <c r="I961" s="42" t="s">
        <v>34</v>
      </c>
      <c r="K961" s="44" t="str">
        <f t="shared" si="1"/>
        <v>Owner missing </v>
      </c>
    </row>
    <row r="962" ht="15.75" customHeight="1">
      <c r="E962" s="43" t="str">
        <f t="array" ref="E962">IF($A962="","",IFERROR(IF($D962="TSE",INDEX(Accounts!$G$2:$G$21,MATCH($A962,Accounts!$B$2:$B$21,0))&amp;"",IF($D962="PS",INDEX(Accounts!$F$2:$F$21,MATCH($A962,Accounts!$B$2:$B$21,0))&amp;"",IF($D962="Named engineer",INDEX(Accounts!$I$2:$I$21,MATCH($A962,Accounts!$B$2:$B$21,0))&amp;"",IF($D962="TSE + PS",IF(INDEX(Accounts!$G$2:$G$21,MATCH($A962,Accounts!$B$2:$B$21,0))&amp;""="","(no TSE)",INDEX(Accounts!$G$2:$G$21,MATCH($A962,Accounts!$B$2:$B$21,0))&amp;"")&amp;" / "&amp;IF(INDEX(Accounts!$F$2:$F$21,MATCH($A962,Accounts!$B$2:$B$21,0))&amp;""="","(no PS)",INDEX(Accounts!$F$2:$F$21,MATCH($A962,Accounts!$B$2:$B$21,0))&amp;""),"")))),""))</f>
        <v/>
      </c>
      <c r="F962" s="42" t="s">
        <v>104</v>
      </c>
      <c r="I962" s="42" t="s">
        <v>34</v>
      </c>
      <c r="K962" s="44" t="str">
        <f t="shared" si="1"/>
        <v>Owner missing </v>
      </c>
    </row>
    <row r="963" ht="15.75" customHeight="1">
      <c r="E963" s="43" t="str">
        <f t="array" ref="E963">IF($A963="","",IFERROR(IF($D963="TSE",INDEX(Accounts!$G$2:$G$21,MATCH($A963,Accounts!$B$2:$B$21,0))&amp;"",IF($D963="PS",INDEX(Accounts!$F$2:$F$21,MATCH($A963,Accounts!$B$2:$B$21,0))&amp;"",IF($D963="Named engineer",INDEX(Accounts!$I$2:$I$21,MATCH($A963,Accounts!$B$2:$B$21,0))&amp;"",IF($D963="TSE + PS",IF(INDEX(Accounts!$G$2:$G$21,MATCH($A963,Accounts!$B$2:$B$21,0))&amp;""="","(no TSE)",INDEX(Accounts!$G$2:$G$21,MATCH($A963,Accounts!$B$2:$B$21,0))&amp;"")&amp;" / "&amp;IF(INDEX(Accounts!$F$2:$F$21,MATCH($A963,Accounts!$B$2:$B$21,0))&amp;""="","(no PS)",INDEX(Accounts!$F$2:$F$21,MATCH($A963,Accounts!$B$2:$B$21,0))&amp;""),"")))),""))</f>
        <v/>
      </c>
      <c r="F963" s="42" t="s">
        <v>104</v>
      </c>
      <c r="I963" s="42" t="s">
        <v>34</v>
      </c>
      <c r="K963" s="44" t="str">
        <f t="shared" si="1"/>
        <v>Owner missing </v>
      </c>
    </row>
    <row r="964" ht="15.75" customHeight="1">
      <c r="E964" s="43" t="str">
        <f t="array" ref="E964">IF($A964="","",IFERROR(IF($D964="TSE",INDEX(Accounts!$G$2:$G$21,MATCH($A964,Accounts!$B$2:$B$21,0))&amp;"",IF($D964="PS",INDEX(Accounts!$F$2:$F$21,MATCH($A964,Accounts!$B$2:$B$21,0))&amp;"",IF($D964="Named engineer",INDEX(Accounts!$I$2:$I$21,MATCH($A964,Accounts!$B$2:$B$21,0))&amp;"",IF($D964="TSE + PS",IF(INDEX(Accounts!$G$2:$G$21,MATCH($A964,Accounts!$B$2:$B$21,0))&amp;""="","(no TSE)",INDEX(Accounts!$G$2:$G$21,MATCH($A964,Accounts!$B$2:$B$21,0))&amp;"")&amp;" / "&amp;IF(INDEX(Accounts!$F$2:$F$21,MATCH($A964,Accounts!$B$2:$B$21,0))&amp;""="","(no PS)",INDEX(Accounts!$F$2:$F$21,MATCH($A964,Accounts!$B$2:$B$21,0))&amp;""),"")))),""))</f>
        <v/>
      </c>
      <c r="F964" s="42" t="s">
        <v>104</v>
      </c>
      <c r="I964" s="42" t="s">
        <v>34</v>
      </c>
      <c r="K964" s="44" t="str">
        <f t="shared" si="1"/>
        <v>Owner missing </v>
      </c>
    </row>
    <row r="965" ht="15.75" customHeight="1">
      <c r="E965" s="43" t="str">
        <f t="array" ref="E965">IF($A965="","",IFERROR(IF($D965="TSE",INDEX(Accounts!$G$2:$G$21,MATCH($A965,Accounts!$B$2:$B$21,0))&amp;"",IF($D965="PS",INDEX(Accounts!$F$2:$F$21,MATCH($A965,Accounts!$B$2:$B$21,0))&amp;"",IF($D965="Named engineer",INDEX(Accounts!$I$2:$I$21,MATCH($A965,Accounts!$B$2:$B$21,0))&amp;"",IF($D965="TSE + PS",IF(INDEX(Accounts!$G$2:$G$21,MATCH($A965,Accounts!$B$2:$B$21,0))&amp;""="","(no TSE)",INDEX(Accounts!$G$2:$G$21,MATCH($A965,Accounts!$B$2:$B$21,0))&amp;"")&amp;" / "&amp;IF(INDEX(Accounts!$F$2:$F$21,MATCH($A965,Accounts!$B$2:$B$21,0))&amp;""="","(no PS)",INDEX(Accounts!$F$2:$F$21,MATCH($A965,Accounts!$B$2:$B$21,0))&amp;""),"")))),""))</f>
        <v/>
      </c>
      <c r="F965" s="42" t="s">
        <v>104</v>
      </c>
      <c r="I965" s="42" t="s">
        <v>34</v>
      </c>
      <c r="K965" s="44" t="str">
        <f t="shared" si="1"/>
        <v>Owner missing </v>
      </c>
    </row>
    <row r="966" ht="15.75" customHeight="1">
      <c r="E966" s="43" t="str">
        <f t="array" ref="E966">IF($A966="","",IFERROR(IF($D966="TSE",INDEX(Accounts!$G$2:$G$21,MATCH($A966,Accounts!$B$2:$B$21,0))&amp;"",IF($D966="PS",INDEX(Accounts!$F$2:$F$21,MATCH($A966,Accounts!$B$2:$B$21,0))&amp;"",IF($D966="Named engineer",INDEX(Accounts!$I$2:$I$21,MATCH($A966,Accounts!$B$2:$B$21,0))&amp;"",IF($D966="TSE + PS",IF(INDEX(Accounts!$G$2:$G$21,MATCH($A966,Accounts!$B$2:$B$21,0))&amp;""="","(no TSE)",INDEX(Accounts!$G$2:$G$21,MATCH($A966,Accounts!$B$2:$B$21,0))&amp;"")&amp;" / "&amp;IF(INDEX(Accounts!$F$2:$F$21,MATCH($A966,Accounts!$B$2:$B$21,0))&amp;""="","(no PS)",INDEX(Accounts!$F$2:$F$21,MATCH($A966,Accounts!$B$2:$B$21,0))&amp;""),"")))),""))</f>
        <v/>
      </c>
      <c r="F966" s="42" t="s">
        <v>104</v>
      </c>
      <c r="I966" s="42" t="s">
        <v>34</v>
      </c>
      <c r="K966" s="44" t="str">
        <f t="shared" si="1"/>
        <v>Owner missing </v>
      </c>
    </row>
    <row r="967" ht="15.75" customHeight="1">
      <c r="E967" s="43" t="str">
        <f t="array" ref="E967">IF($A967="","",IFERROR(IF($D967="TSE",INDEX(Accounts!$G$2:$G$21,MATCH($A967,Accounts!$B$2:$B$21,0))&amp;"",IF($D967="PS",INDEX(Accounts!$F$2:$F$21,MATCH($A967,Accounts!$B$2:$B$21,0))&amp;"",IF($D967="Named engineer",INDEX(Accounts!$I$2:$I$21,MATCH($A967,Accounts!$B$2:$B$21,0))&amp;"",IF($D967="TSE + PS",IF(INDEX(Accounts!$G$2:$G$21,MATCH($A967,Accounts!$B$2:$B$21,0))&amp;""="","(no TSE)",INDEX(Accounts!$G$2:$G$21,MATCH($A967,Accounts!$B$2:$B$21,0))&amp;"")&amp;" / "&amp;IF(INDEX(Accounts!$F$2:$F$21,MATCH($A967,Accounts!$B$2:$B$21,0))&amp;""="","(no PS)",INDEX(Accounts!$F$2:$F$21,MATCH($A967,Accounts!$B$2:$B$21,0))&amp;""),"")))),""))</f>
        <v/>
      </c>
      <c r="F967" s="42" t="s">
        <v>104</v>
      </c>
      <c r="I967" s="42" t="s">
        <v>34</v>
      </c>
      <c r="K967" s="44" t="str">
        <f t="shared" si="1"/>
        <v>Owner missing </v>
      </c>
    </row>
    <row r="968" ht="15.75" customHeight="1">
      <c r="E968" s="43" t="str">
        <f t="array" ref="E968">IF($A968="","",IFERROR(IF($D968="TSE",INDEX(Accounts!$G$2:$G$21,MATCH($A968,Accounts!$B$2:$B$21,0))&amp;"",IF($D968="PS",INDEX(Accounts!$F$2:$F$21,MATCH($A968,Accounts!$B$2:$B$21,0))&amp;"",IF($D968="Named engineer",INDEX(Accounts!$I$2:$I$21,MATCH($A968,Accounts!$B$2:$B$21,0))&amp;"",IF($D968="TSE + PS",IF(INDEX(Accounts!$G$2:$G$21,MATCH($A968,Accounts!$B$2:$B$21,0))&amp;""="","(no TSE)",INDEX(Accounts!$G$2:$G$21,MATCH($A968,Accounts!$B$2:$B$21,0))&amp;"")&amp;" / "&amp;IF(INDEX(Accounts!$F$2:$F$21,MATCH($A968,Accounts!$B$2:$B$21,0))&amp;""="","(no PS)",INDEX(Accounts!$F$2:$F$21,MATCH($A968,Accounts!$B$2:$B$21,0))&amp;""),"")))),""))</f>
        <v/>
      </c>
      <c r="F968" s="42" t="s">
        <v>104</v>
      </c>
      <c r="I968" s="42" t="s">
        <v>34</v>
      </c>
      <c r="K968" s="44" t="str">
        <f t="shared" si="1"/>
        <v>Owner missing </v>
      </c>
    </row>
    <row r="969" ht="15.75" customHeight="1">
      <c r="E969" s="43" t="str">
        <f t="array" ref="E969">IF($A969="","",IFERROR(IF($D969="TSE",INDEX(Accounts!$G$2:$G$21,MATCH($A969,Accounts!$B$2:$B$21,0))&amp;"",IF($D969="PS",INDEX(Accounts!$F$2:$F$21,MATCH($A969,Accounts!$B$2:$B$21,0))&amp;"",IF($D969="Named engineer",INDEX(Accounts!$I$2:$I$21,MATCH($A969,Accounts!$B$2:$B$21,0))&amp;"",IF($D969="TSE + PS",IF(INDEX(Accounts!$G$2:$G$21,MATCH($A969,Accounts!$B$2:$B$21,0))&amp;""="","(no TSE)",INDEX(Accounts!$G$2:$G$21,MATCH($A969,Accounts!$B$2:$B$21,0))&amp;"")&amp;" / "&amp;IF(INDEX(Accounts!$F$2:$F$21,MATCH($A969,Accounts!$B$2:$B$21,0))&amp;""="","(no PS)",INDEX(Accounts!$F$2:$F$21,MATCH($A969,Accounts!$B$2:$B$21,0))&amp;""),"")))),""))</f>
        <v/>
      </c>
      <c r="F969" s="42" t="s">
        <v>104</v>
      </c>
      <c r="I969" s="42" t="s">
        <v>34</v>
      </c>
      <c r="K969" s="44" t="str">
        <f t="shared" si="1"/>
        <v>Owner missing </v>
      </c>
    </row>
    <row r="970" ht="15.75" customHeight="1">
      <c r="E970" s="43" t="str">
        <f t="array" ref="E970">IF($A970="","",IFERROR(IF($D970="TSE",INDEX(Accounts!$G$2:$G$21,MATCH($A970,Accounts!$B$2:$B$21,0))&amp;"",IF($D970="PS",INDEX(Accounts!$F$2:$F$21,MATCH($A970,Accounts!$B$2:$B$21,0))&amp;"",IF($D970="Named engineer",INDEX(Accounts!$I$2:$I$21,MATCH($A970,Accounts!$B$2:$B$21,0))&amp;"",IF($D970="TSE + PS",IF(INDEX(Accounts!$G$2:$G$21,MATCH($A970,Accounts!$B$2:$B$21,0))&amp;""="","(no TSE)",INDEX(Accounts!$G$2:$G$21,MATCH($A970,Accounts!$B$2:$B$21,0))&amp;"")&amp;" / "&amp;IF(INDEX(Accounts!$F$2:$F$21,MATCH($A970,Accounts!$B$2:$B$21,0))&amp;""="","(no PS)",INDEX(Accounts!$F$2:$F$21,MATCH($A970,Accounts!$B$2:$B$21,0))&amp;""),"")))),""))</f>
        <v/>
      </c>
      <c r="F970" s="42" t="s">
        <v>104</v>
      </c>
      <c r="I970" s="42" t="s">
        <v>34</v>
      </c>
      <c r="K970" s="44" t="str">
        <f t="shared" si="1"/>
        <v>Owner missing </v>
      </c>
    </row>
    <row r="971" ht="15.75" customHeight="1">
      <c r="E971" s="43" t="str">
        <f t="array" ref="E971">IF($A971="","",IFERROR(IF($D971="TSE",INDEX(Accounts!$G$2:$G$21,MATCH($A971,Accounts!$B$2:$B$21,0))&amp;"",IF($D971="PS",INDEX(Accounts!$F$2:$F$21,MATCH($A971,Accounts!$B$2:$B$21,0))&amp;"",IF($D971="Named engineer",INDEX(Accounts!$I$2:$I$21,MATCH($A971,Accounts!$B$2:$B$21,0))&amp;"",IF($D971="TSE + PS",IF(INDEX(Accounts!$G$2:$G$21,MATCH($A971,Accounts!$B$2:$B$21,0))&amp;""="","(no TSE)",INDEX(Accounts!$G$2:$G$21,MATCH($A971,Accounts!$B$2:$B$21,0))&amp;"")&amp;" / "&amp;IF(INDEX(Accounts!$F$2:$F$21,MATCH($A971,Accounts!$B$2:$B$21,0))&amp;""="","(no PS)",INDEX(Accounts!$F$2:$F$21,MATCH($A971,Accounts!$B$2:$B$21,0))&amp;""),"")))),""))</f>
        <v/>
      </c>
      <c r="F971" s="42" t="s">
        <v>104</v>
      </c>
      <c r="I971" s="42" t="s">
        <v>34</v>
      </c>
      <c r="K971" s="44" t="str">
        <f t="shared" si="1"/>
        <v>Owner missing </v>
      </c>
    </row>
    <row r="972" ht="15.75" customHeight="1">
      <c r="E972" s="43" t="str">
        <f t="array" ref="E972">IF($A972="","",IFERROR(IF($D972="TSE",INDEX(Accounts!$G$2:$G$21,MATCH($A972,Accounts!$B$2:$B$21,0))&amp;"",IF($D972="PS",INDEX(Accounts!$F$2:$F$21,MATCH($A972,Accounts!$B$2:$B$21,0))&amp;"",IF($D972="Named engineer",INDEX(Accounts!$I$2:$I$21,MATCH($A972,Accounts!$B$2:$B$21,0))&amp;"",IF($D972="TSE + PS",IF(INDEX(Accounts!$G$2:$G$21,MATCH($A972,Accounts!$B$2:$B$21,0))&amp;""="","(no TSE)",INDEX(Accounts!$G$2:$G$21,MATCH($A972,Accounts!$B$2:$B$21,0))&amp;"")&amp;" / "&amp;IF(INDEX(Accounts!$F$2:$F$21,MATCH($A972,Accounts!$B$2:$B$21,0))&amp;""="","(no PS)",INDEX(Accounts!$F$2:$F$21,MATCH($A972,Accounts!$B$2:$B$21,0))&amp;""),"")))),""))</f>
        <v/>
      </c>
      <c r="F972" s="42" t="s">
        <v>104</v>
      </c>
      <c r="I972" s="42" t="s">
        <v>34</v>
      </c>
      <c r="K972" s="44" t="str">
        <f t="shared" si="1"/>
        <v>Owner missing </v>
      </c>
    </row>
    <row r="973" ht="15.75" customHeight="1">
      <c r="E973" s="43" t="str">
        <f t="array" ref="E973">IF($A973="","",IFERROR(IF($D973="TSE",INDEX(Accounts!$G$2:$G$21,MATCH($A973,Accounts!$B$2:$B$21,0))&amp;"",IF($D973="PS",INDEX(Accounts!$F$2:$F$21,MATCH($A973,Accounts!$B$2:$B$21,0))&amp;"",IF($D973="Named engineer",INDEX(Accounts!$I$2:$I$21,MATCH($A973,Accounts!$B$2:$B$21,0))&amp;"",IF($D973="TSE + PS",IF(INDEX(Accounts!$G$2:$G$21,MATCH($A973,Accounts!$B$2:$B$21,0))&amp;""="","(no TSE)",INDEX(Accounts!$G$2:$G$21,MATCH($A973,Accounts!$B$2:$B$21,0))&amp;"")&amp;" / "&amp;IF(INDEX(Accounts!$F$2:$F$21,MATCH($A973,Accounts!$B$2:$B$21,0))&amp;""="","(no PS)",INDEX(Accounts!$F$2:$F$21,MATCH($A973,Accounts!$B$2:$B$21,0))&amp;""),"")))),""))</f>
        <v/>
      </c>
      <c r="F973" s="42" t="s">
        <v>104</v>
      </c>
      <c r="I973" s="42" t="s">
        <v>34</v>
      </c>
      <c r="K973" s="44" t="str">
        <f t="shared" si="1"/>
        <v>Owner missing </v>
      </c>
    </row>
    <row r="974" ht="15.75" customHeight="1">
      <c r="E974" s="43" t="str">
        <f t="array" ref="E974">IF($A974="","",IFERROR(IF($D974="TSE",INDEX(Accounts!$G$2:$G$21,MATCH($A974,Accounts!$B$2:$B$21,0))&amp;"",IF($D974="PS",INDEX(Accounts!$F$2:$F$21,MATCH($A974,Accounts!$B$2:$B$21,0))&amp;"",IF($D974="Named engineer",INDEX(Accounts!$I$2:$I$21,MATCH($A974,Accounts!$B$2:$B$21,0))&amp;"",IF($D974="TSE + PS",IF(INDEX(Accounts!$G$2:$G$21,MATCH($A974,Accounts!$B$2:$B$21,0))&amp;""="","(no TSE)",INDEX(Accounts!$G$2:$G$21,MATCH($A974,Accounts!$B$2:$B$21,0))&amp;"")&amp;" / "&amp;IF(INDEX(Accounts!$F$2:$F$21,MATCH($A974,Accounts!$B$2:$B$21,0))&amp;""="","(no PS)",INDEX(Accounts!$F$2:$F$21,MATCH($A974,Accounts!$B$2:$B$21,0))&amp;""),"")))),""))</f>
        <v/>
      </c>
      <c r="F974" s="42" t="s">
        <v>104</v>
      </c>
      <c r="I974" s="42" t="s">
        <v>34</v>
      </c>
      <c r="K974" s="44" t="str">
        <f t="shared" si="1"/>
        <v>Owner missing </v>
      </c>
    </row>
    <row r="975" ht="15.75" customHeight="1">
      <c r="E975" s="43" t="str">
        <f t="array" ref="E975">IF($A975="","",IFERROR(IF($D975="TSE",INDEX(Accounts!$G$2:$G$21,MATCH($A975,Accounts!$B$2:$B$21,0))&amp;"",IF($D975="PS",INDEX(Accounts!$F$2:$F$21,MATCH($A975,Accounts!$B$2:$B$21,0))&amp;"",IF($D975="Named engineer",INDEX(Accounts!$I$2:$I$21,MATCH($A975,Accounts!$B$2:$B$21,0))&amp;"",IF($D975="TSE + PS",IF(INDEX(Accounts!$G$2:$G$21,MATCH($A975,Accounts!$B$2:$B$21,0))&amp;""="","(no TSE)",INDEX(Accounts!$G$2:$G$21,MATCH($A975,Accounts!$B$2:$B$21,0))&amp;"")&amp;" / "&amp;IF(INDEX(Accounts!$F$2:$F$21,MATCH($A975,Accounts!$B$2:$B$21,0))&amp;""="","(no PS)",INDEX(Accounts!$F$2:$F$21,MATCH($A975,Accounts!$B$2:$B$21,0))&amp;""),"")))),""))</f>
        <v/>
      </c>
      <c r="F975" s="42" t="s">
        <v>104</v>
      </c>
      <c r="I975" s="42" t="s">
        <v>34</v>
      </c>
      <c r="K975" s="44" t="str">
        <f t="shared" si="1"/>
        <v>Owner missing </v>
      </c>
    </row>
    <row r="976" ht="15.75" customHeight="1">
      <c r="E976" s="43" t="str">
        <f t="array" ref="E976">IF($A976="","",IFERROR(IF($D976="TSE",INDEX(Accounts!$G$2:$G$21,MATCH($A976,Accounts!$B$2:$B$21,0))&amp;"",IF($D976="PS",INDEX(Accounts!$F$2:$F$21,MATCH($A976,Accounts!$B$2:$B$21,0))&amp;"",IF($D976="Named engineer",INDEX(Accounts!$I$2:$I$21,MATCH($A976,Accounts!$B$2:$B$21,0))&amp;"",IF($D976="TSE + PS",IF(INDEX(Accounts!$G$2:$G$21,MATCH($A976,Accounts!$B$2:$B$21,0))&amp;""="","(no TSE)",INDEX(Accounts!$G$2:$G$21,MATCH($A976,Accounts!$B$2:$B$21,0))&amp;"")&amp;" / "&amp;IF(INDEX(Accounts!$F$2:$F$21,MATCH($A976,Accounts!$B$2:$B$21,0))&amp;""="","(no PS)",INDEX(Accounts!$F$2:$F$21,MATCH($A976,Accounts!$B$2:$B$21,0))&amp;""),"")))),""))</f>
        <v/>
      </c>
      <c r="F976" s="42" t="s">
        <v>104</v>
      </c>
      <c r="I976" s="42" t="s">
        <v>34</v>
      </c>
      <c r="K976" s="44" t="str">
        <f t="shared" si="1"/>
        <v>Owner missing </v>
      </c>
    </row>
    <row r="977" ht="15.75" customHeight="1">
      <c r="E977" s="43" t="str">
        <f t="array" ref="E977">IF($A977="","",IFERROR(IF($D977="TSE",INDEX(Accounts!$G$2:$G$21,MATCH($A977,Accounts!$B$2:$B$21,0))&amp;"",IF($D977="PS",INDEX(Accounts!$F$2:$F$21,MATCH($A977,Accounts!$B$2:$B$21,0))&amp;"",IF($D977="Named engineer",INDEX(Accounts!$I$2:$I$21,MATCH($A977,Accounts!$B$2:$B$21,0))&amp;"",IF($D977="TSE + PS",IF(INDEX(Accounts!$G$2:$G$21,MATCH($A977,Accounts!$B$2:$B$21,0))&amp;""="","(no TSE)",INDEX(Accounts!$G$2:$G$21,MATCH($A977,Accounts!$B$2:$B$21,0))&amp;"")&amp;" / "&amp;IF(INDEX(Accounts!$F$2:$F$21,MATCH($A977,Accounts!$B$2:$B$21,0))&amp;""="","(no PS)",INDEX(Accounts!$F$2:$F$21,MATCH($A977,Accounts!$B$2:$B$21,0))&amp;""),"")))),""))</f>
        <v/>
      </c>
      <c r="F977" s="42" t="s">
        <v>104</v>
      </c>
      <c r="I977" s="42" t="s">
        <v>34</v>
      </c>
      <c r="K977" s="44" t="str">
        <f t="shared" si="1"/>
        <v>Owner missing </v>
      </c>
    </row>
    <row r="978" ht="15.75" customHeight="1">
      <c r="E978" s="43" t="str">
        <f t="array" ref="E978">IF($A978="","",IFERROR(IF($D978="TSE",INDEX(Accounts!$G$2:$G$21,MATCH($A978,Accounts!$B$2:$B$21,0))&amp;"",IF($D978="PS",INDEX(Accounts!$F$2:$F$21,MATCH($A978,Accounts!$B$2:$B$21,0))&amp;"",IF($D978="Named engineer",INDEX(Accounts!$I$2:$I$21,MATCH($A978,Accounts!$B$2:$B$21,0))&amp;"",IF($D978="TSE + PS",IF(INDEX(Accounts!$G$2:$G$21,MATCH($A978,Accounts!$B$2:$B$21,0))&amp;""="","(no TSE)",INDEX(Accounts!$G$2:$G$21,MATCH($A978,Accounts!$B$2:$B$21,0))&amp;"")&amp;" / "&amp;IF(INDEX(Accounts!$F$2:$F$21,MATCH($A978,Accounts!$B$2:$B$21,0))&amp;""="","(no PS)",INDEX(Accounts!$F$2:$F$21,MATCH($A978,Accounts!$B$2:$B$21,0))&amp;""),"")))),""))</f>
        <v/>
      </c>
      <c r="F978" s="42" t="s">
        <v>104</v>
      </c>
      <c r="I978" s="42" t="s">
        <v>34</v>
      </c>
      <c r="K978" s="44" t="str">
        <f t="shared" si="1"/>
        <v>Owner missing </v>
      </c>
    </row>
    <row r="979" ht="15.75" customHeight="1">
      <c r="E979" s="43" t="str">
        <f t="array" ref="E979">IF($A979="","",IFERROR(IF($D979="TSE",INDEX(Accounts!$G$2:$G$21,MATCH($A979,Accounts!$B$2:$B$21,0))&amp;"",IF($D979="PS",INDEX(Accounts!$F$2:$F$21,MATCH($A979,Accounts!$B$2:$B$21,0))&amp;"",IF($D979="Named engineer",INDEX(Accounts!$I$2:$I$21,MATCH($A979,Accounts!$B$2:$B$21,0))&amp;"",IF($D979="TSE + PS",IF(INDEX(Accounts!$G$2:$G$21,MATCH($A979,Accounts!$B$2:$B$21,0))&amp;""="","(no TSE)",INDEX(Accounts!$G$2:$G$21,MATCH($A979,Accounts!$B$2:$B$21,0))&amp;"")&amp;" / "&amp;IF(INDEX(Accounts!$F$2:$F$21,MATCH($A979,Accounts!$B$2:$B$21,0))&amp;""="","(no PS)",INDEX(Accounts!$F$2:$F$21,MATCH($A979,Accounts!$B$2:$B$21,0))&amp;""),"")))),""))</f>
        <v/>
      </c>
      <c r="F979" s="42" t="s">
        <v>104</v>
      </c>
      <c r="I979" s="42" t="s">
        <v>34</v>
      </c>
      <c r="K979" s="44" t="str">
        <f t="shared" si="1"/>
        <v>Owner missing </v>
      </c>
    </row>
    <row r="980" ht="15.75" customHeight="1">
      <c r="E980" s="43" t="str">
        <f t="array" ref="E980">IF($A980="","",IFERROR(IF($D980="TSE",INDEX(Accounts!$G$2:$G$21,MATCH($A980,Accounts!$B$2:$B$21,0))&amp;"",IF($D980="PS",INDEX(Accounts!$F$2:$F$21,MATCH($A980,Accounts!$B$2:$B$21,0))&amp;"",IF($D980="Named engineer",INDEX(Accounts!$I$2:$I$21,MATCH($A980,Accounts!$B$2:$B$21,0))&amp;"",IF($D980="TSE + PS",IF(INDEX(Accounts!$G$2:$G$21,MATCH($A980,Accounts!$B$2:$B$21,0))&amp;""="","(no TSE)",INDEX(Accounts!$G$2:$G$21,MATCH($A980,Accounts!$B$2:$B$21,0))&amp;"")&amp;" / "&amp;IF(INDEX(Accounts!$F$2:$F$21,MATCH($A980,Accounts!$B$2:$B$21,0))&amp;""="","(no PS)",INDEX(Accounts!$F$2:$F$21,MATCH($A980,Accounts!$B$2:$B$21,0))&amp;""),"")))),""))</f>
        <v/>
      </c>
      <c r="F980" s="42" t="s">
        <v>104</v>
      </c>
      <c r="I980" s="42" t="s">
        <v>34</v>
      </c>
      <c r="K980" s="44" t="str">
        <f t="shared" si="1"/>
        <v>Owner missing </v>
      </c>
    </row>
    <row r="981" ht="15.75" customHeight="1">
      <c r="E981" s="43" t="str">
        <f t="array" ref="E981">IF($A981="","",IFERROR(IF($D981="TSE",INDEX(Accounts!$G$2:$G$21,MATCH($A981,Accounts!$B$2:$B$21,0))&amp;"",IF($D981="PS",INDEX(Accounts!$F$2:$F$21,MATCH($A981,Accounts!$B$2:$B$21,0))&amp;"",IF($D981="Named engineer",INDEX(Accounts!$I$2:$I$21,MATCH($A981,Accounts!$B$2:$B$21,0))&amp;"",IF($D981="TSE + PS",IF(INDEX(Accounts!$G$2:$G$21,MATCH($A981,Accounts!$B$2:$B$21,0))&amp;""="","(no TSE)",INDEX(Accounts!$G$2:$G$21,MATCH($A981,Accounts!$B$2:$B$21,0))&amp;"")&amp;" / "&amp;IF(INDEX(Accounts!$F$2:$F$21,MATCH($A981,Accounts!$B$2:$B$21,0))&amp;""="","(no PS)",INDEX(Accounts!$F$2:$F$21,MATCH($A981,Accounts!$B$2:$B$21,0))&amp;""),"")))),""))</f>
        <v/>
      </c>
      <c r="F981" s="42" t="s">
        <v>104</v>
      </c>
      <c r="I981" s="42" t="s">
        <v>34</v>
      </c>
      <c r="K981" s="44" t="str">
        <f t="shared" si="1"/>
        <v>Owner missing </v>
      </c>
    </row>
    <row r="982" ht="15.75" customHeight="1">
      <c r="E982" s="43" t="str">
        <f t="array" ref="E982">IF($A982="","",IFERROR(IF($D982="TSE",INDEX(Accounts!$G$2:$G$21,MATCH($A982,Accounts!$B$2:$B$21,0))&amp;"",IF($D982="PS",INDEX(Accounts!$F$2:$F$21,MATCH($A982,Accounts!$B$2:$B$21,0))&amp;"",IF($D982="Named engineer",INDEX(Accounts!$I$2:$I$21,MATCH($A982,Accounts!$B$2:$B$21,0))&amp;"",IF($D982="TSE + PS",IF(INDEX(Accounts!$G$2:$G$21,MATCH($A982,Accounts!$B$2:$B$21,0))&amp;""="","(no TSE)",INDEX(Accounts!$G$2:$G$21,MATCH($A982,Accounts!$B$2:$B$21,0))&amp;"")&amp;" / "&amp;IF(INDEX(Accounts!$F$2:$F$21,MATCH($A982,Accounts!$B$2:$B$21,0))&amp;""="","(no PS)",INDEX(Accounts!$F$2:$F$21,MATCH($A982,Accounts!$B$2:$B$21,0))&amp;""),"")))),""))</f>
        <v/>
      </c>
      <c r="F982" s="42" t="s">
        <v>104</v>
      </c>
      <c r="I982" s="42" t="s">
        <v>34</v>
      </c>
      <c r="K982" s="44" t="str">
        <f t="shared" si="1"/>
        <v>Owner missing </v>
      </c>
    </row>
    <row r="983" ht="15.75" customHeight="1">
      <c r="E983" s="43" t="str">
        <f t="array" ref="E983">IF($A983="","",IFERROR(IF($D983="TSE",INDEX(Accounts!$G$2:$G$21,MATCH($A983,Accounts!$B$2:$B$21,0))&amp;"",IF($D983="PS",INDEX(Accounts!$F$2:$F$21,MATCH($A983,Accounts!$B$2:$B$21,0))&amp;"",IF($D983="Named engineer",INDEX(Accounts!$I$2:$I$21,MATCH($A983,Accounts!$B$2:$B$21,0))&amp;"",IF($D983="TSE + PS",IF(INDEX(Accounts!$G$2:$G$21,MATCH($A983,Accounts!$B$2:$B$21,0))&amp;""="","(no TSE)",INDEX(Accounts!$G$2:$G$21,MATCH($A983,Accounts!$B$2:$B$21,0))&amp;"")&amp;" / "&amp;IF(INDEX(Accounts!$F$2:$F$21,MATCH($A983,Accounts!$B$2:$B$21,0))&amp;""="","(no PS)",INDEX(Accounts!$F$2:$F$21,MATCH($A983,Accounts!$B$2:$B$21,0))&amp;""),"")))),""))</f>
        <v/>
      </c>
      <c r="F983" s="42" t="s">
        <v>104</v>
      </c>
      <c r="I983" s="42" t="s">
        <v>34</v>
      </c>
      <c r="K983" s="44" t="str">
        <f t="shared" si="1"/>
        <v>Owner missing </v>
      </c>
    </row>
    <row r="984" ht="15.75" customHeight="1">
      <c r="E984" s="43" t="str">
        <f t="array" ref="E984">IF($A984="","",IFERROR(IF($D984="TSE",INDEX(Accounts!$G$2:$G$21,MATCH($A984,Accounts!$B$2:$B$21,0))&amp;"",IF($D984="PS",INDEX(Accounts!$F$2:$F$21,MATCH($A984,Accounts!$B$2:$B$21,0))&amp;"",IF($D984="Named engineer",INDEX(Accounts!$I$2:$I$21,MATCH($A984,Accounts!$B$2:$B$21,0))&amp;"",IF($D984="TSE + PS",IF(INDEX(Accounts!$G$2:$G$21,MATCH($A984,Accounts!$B$2:$B$21,0))&amp;""="","(no TSE)",INDEX(Accounts!$G$2:$G$21,MATCH($A984,Accounts!$B$2:$B$21,0))&amp;"")&amp;" / "&amp;IF(INDEX(Accounts!$F$2:$F$21,MATCH($A984,Accounts!$B$2:$B$21,0))&amp;""="","(no PS)",INDEX(Accounts!$F$2:$F$21,MATCH($A984,Accounts!$B$2:$B$21,0))&amp;""),"")))),""))</f>
        <v/>
      </c>
      <c r="F984" s="42" t="s">
        <v>104</v>
      </c>
      <c r="I984" s="42" t="s">
        <v>34</v>
      </c>
      <c r="K984" s="44" t="str">
        <f t="shared" si="1"/>
        <v>Owner missing </v>
      </c>
    </row>
    <row r="985" ht="15.75" customHeight="1">
      <c r="E985" s="43" t="str">
        <f t="array" ref="E985">IF($A985="","",IFERROR(IF($D985="TSE",INDEX(Accounts!$G$2:$G$21,MATCH($A985,Accounts!$B$2:$B$21,0))&amp;"",IF($D985="PS",INDEX(Accounts!$F$2:$F$21,MATCH($A985,Accounts!$B$2:$B$21,0))&amp;"",IF($D985="Named engineer",INDEX(Accounts!$I$2:$I$21,MATCH($A985,Accounts!$B$2:$B$21,0))&amp;"",IF($D985="TSE + PS",IF(INDEX(Accounts!$G$2:$G$21,MATCH($A985,Accounts!$B$2:$B$21,0))&amp;""="","(no TSE)",INDEX(Accounts!$G$2:$G$21,MATCH($A985,Accounts!$B$2:$B$21,0))&amp;"")&amp;" / "&amp;IF(INDEX(Accounts!$F$2:$F$21,MATCH($A985,Accounts!$B$2:$B$21,0))&amp;""="","(no PS)",INDEX(Accounts!$F$2:$F$21,MATCH($A985,Accounts!$B$2:$B$21,0))&amp;""),"")))),""))</f>
        <v/>
      </c>
      <c r="F985" s="42" t="s">
        <v>104</v>
      </c>
      <c r="I985" s="42" t="s">
        <v>34</v>
      </c>
      <c r="K985" s="44" t="str">
        <f t="shared" si="1"/>
        <v>Owner missing </v>
      </c>
    </row>
    <row r="986" ht="15.75" customHeight="1">
      <c r="E986" s="43" t="str">
        <f t="array" ref="E986">IF($A986="","",IFERROR(IF($D986="TSE",INDEX(Accounts!$G$2:$G$21,MATCH($A986,Accounts!$B$2:$B$21,0))&amp;"",IF($D986="PS",INDEX(Accounts!$F$2:$F$21,MATCH($A986,Accounts!$B$2:$B$21,0))&amp;"",IF($D986="Named engineer",INDEX(Accounts!$I$2:$I$21,MATCH($A986,Accounts!$B$2:$B$21,0))&amp;"",IF($D986="TSE + PS",IF(INDEX(Accounts!$G$2:$G$21,MATCH($A986,Accounts!$B$2:$B$21,0))&amp;""="","(no TSE)",INDEX(Accounts!$G$2:$G$21,MATCH($A986,Accounts!$B$2:$B$21,0))&amp;"")&amp;" / "&amp;IF(INDEX(Accounts!$F$2:$F$21,MATCH($A986,Accounts!$B$2:$B$21,0))&amp;""="","(no PS)",INDEX(Accounts!$F$2:$F$21,MATCH($A986,Accounts!$B$2:$B$21,0))&amp;""),"")))),""))</f>
        <v/>
      </c>
      <c r="F986" s="42" t="s">
        <v>104</v>
      </c>
      <c r="I986" s="42" t="s">
        <v>34</v>
      </c>
      <c r="K986" s="44" t="str">
        <f t="shared" si="1"/>
        <v>Owner missing </v>
      </c>
    </row>
    <row r="987" ht="15.75" customHeight="1">
      <c r="E987" s="43" t="str">
        <f t="array" ref="E987">IF($A987="","",IFERROR(IF($D987="TSE",INDEX(Accounts!$G$2:$G$21,MATCH($A987,Accounts!$B$2:$B$21,0))&amp;"",IF($D987="PS",INDEX(Accounts!$F$2:$F$21,MATCH($A987,Accounts!$B$2:$B$21,0))&amp;"",IF($D987="Named engineer",INDEX(Accounts!$I$2:$I$21,MATCH($A987,Accounts!$B$2:$B$21,0))&amp;"",IF($D987="TSE + PS",IF(INDEX(Accounts!$G$2:$G$21,MATCH($A987,Accounts!$B$2:$B$21,0))&amp;""="","(no TSE)",INDEX(Accounts!$G$2:$G$21,MATCH($A987,Accounts!$B$2:$B$21,0))&amp;"")&amp;" / "&amp;IF(INDEX(Accounts!$F$2:$F$21,MATCH($A987,Accounts!$B$2:$B$21,0))&amp;""="","(no PS)",INDEX(Accounts!$F$2:$F$21,MATCH($A987,Accounts!$B$2:$B$21,0))&amp;""),"")))),""))</f>
        <v/>
      </c>
      <c r="F987" s="42" t="s">
        <v>104</v>
      </c>
      <c r="I987" s="42" t="s">
        <v>34</v>
      </c>
      <c r="K987" s="44" t="str">
        <f t="shared" si="1"/>
        <v>Owner missing </v>
      </c>
    </row>
    <row r="988" ht="15.75" customHeight="1">
      <c r="E988" s="43" t="str">
        <f t="array" ref="E988">IF($A988="","",IFERROR(IF($D988="TSE",INDEX(Accounts!$G$2:$G$21,MATCH($A988,Accounts!$B$2:$B$21,0))&amp;"",IF($D988="PS",INDEX(Accounts!$F$2:$F$21,MATCH($A988,Accounts!$B$2:$B$21,0))&amp;"",IF($D988="Named engineer",INDEX(Accounts!$I$2:$I$21,MATCH($A988,Accounts!$B$2:$B$21,0))&amp;"",IF($D988="TSE + PS",IF(INDEX(Accounts!$G$2:$G$21,MATCH($A988,Accounts!$B$2:$B$21,0))&amp;""="","(no TSE)",INDEX(Accounts!$G$2:$G$21,MATCH($A988,Accounts!$B$2:$B$21,0))&amp;"")&amp;" / "&amp;IF(INDEX(Accounts!$F$2:$F$21,MATCH($A988,Accounts!$B$2:$B$21,0))&amp;""="","(no PS)",INDEX(Accounts!$F$2:$F$21,MATCH($A988,Accounts!$B$2:$B$21,0))&amp;""),"")))),""))</f>
        <v/>
      </c>
      <c r="F988" s="42" t="s">
        <v>104</v>
      </c>
      <c r="I988" s="42" t="s">
        <v>34</v>
      </c>
      <c r="K988" s="44" t="str">
        <f t="shared" si="1"/>
        <v>Owner missing </v>
      </c>
    </row>
    <row r="989" ht="15.75" customHeight="1">
      <c r="E989" s="43" t="str">
        <f t="array" ref="E989">IF($A989="","",IFERROR(IF($D989="TSE",INDEX(Accounts!$G$2:$G$21,MATCH($A989,Accounts!$B$2:$B$21,0))&amp;"",IF($D989="PS",INDEX(Accounts!$F$2:$F$21,MATCH($A989,Accounts!$B$2:$B$21,0))&amp;"",IF($D989="Named engineer",INDEX(Accounts!$I$2:$I$21,MATCH($A989,Accounts!$B$2:$B$21,0))&amp;"",IF($D989="TSE + PS",IF(INDEX(Accounts!$G$2:$G$21,MATCH($A989,Accounts!$B$2:$B$21,0))&amp;""="","(no TSE)",INDEX(Accounts!$G$2:$G$21,MATCH($A989,Accounts!$B$2:$B$21,0))&amp;"")&amp;" / "&amp;IF(INDEX(Accounts!$F$2:$F$21,MATCH($A989,Accounts!$B$2:$B$21,0))&amp;""="","(no PS)",INDEX(Accounts!$F$2:$F$21,MATCH($A989,Accounts!$B$2:$B$21,0))&amp;""),"")))),""))</f>
        <v/>
      </c>
      <c r="F989" s="42" t="s">
        <v>104</v>
      </c>
      <c r="I989" s="42" t="s">
        <v>34</v>
      </c>
      <c r="K989" s="44" t="str">
        <f t="shared" si="1"/>
        <v>Owner missing </v>
      </c>
    </row>
    <row r="990" ht="15.75" customHeight="1">
      <c r="E990" s="43" t="str">
        <f t="array" ref="E990">IF($A990="","",IFERROR(IF($D990="TSE",INDEX(Accounts!$G$2:$G$21,MATCH($A990,Accounts!$B$2:$B$21,0))&amp;"",IF($D990="PS",INDEX(Accounts!$F$2:$F$21,MATCH($A990,Accounts!$B$2:$B$21,0))&amp;"",IF($D990="Named engineer",INDEX(Accounts!$I$2:$I$21,MATCH($A990,Accounts!$B$2:$B$21,0))&amp;"",IF($D990="TSE + PS",IF(INDEX(Accounts!$G$2:$G$21,MATCH($A990,Accounts!$B$2:$B$21,0))&amp;""="","(no TSE)",INDEX(Accounts!$G$2:$G$21,MATCH($A990,Accounts!$B$2:$B$21,0))&amp;"")&amp;" / "&amp;IF(INDEX(Accounts!$F$2:$F$21,MATCH($A990,Accounts!$B$2:$B$21,0))&amp;""="","(no PS)",INDEX(Accounts!$F$2:$F$21,MATCH($A990,Accounts!$B$2:$B$21,0))&amp;""),"")))),""))</f>
        <v/>
      </c>
      <c r="F990" s="42" t="s">
        <v>104</v>
      </c>
      <c r="I990" s="42" t="s">
        <v>34</v>
      </c>
      <c r="K990" s="44" t="str">
        <f t="shared" si="1"/>
        <v>Owner missing </v>
      </c>
    </row>
    <row r="991" ht="15.75" customHeight="1">
      <c r="E991" s="43" t="str">
        <f t="array" ref="E991">IF($A991="","",IFERROR(IF($D991="TSE",INDEX(Accounts!$G$2:$G$21,MATCH($A991,Accounts!$B$2:$B$21,0))&amp;"",IF($D991="PS",INDEX(Accounts!$F$2:$F$21,MATCH($A991,Accounts!$B$2:$B$21,0))&amp;"",IF($D991="Named engineer",INDEX(Accounts!$I$2:$I$21,MATCH($A991,Accounts!$B$2:$B$21,0))&amp;"",IF($D991="TSE + PS",IF(INDEX(Accounts!$G$2:$G$21,MATCH($A991,Accounts!$B$2:$B$21,0))&amp;""="","(no TSE)",INDEX(Accounts!$G$2:$G$21,MATCH($A991,Accounts!$B$2:$B$21,0))&amp;"")&amp;" / "&amp;IF(INDEX(Accounts!$F$2:$F$21,MATCH($A991,Accounts!$B$2:$B$21,0))&amp;""="","(no PS)",INDEX(Accounts!$F$2:$F$21,MATCH($A991,Accounts!$B$2:$B$21,0))&amp;""),"")))),""))</f>
        <v/>
      </c>
      <c r="F991" s="42" t="s">
        <v>104</v>
      </c>
      <c r="I991" s="42" t="s">
        <v>34</v>
      </c>
      <c r="K991" s="44" t="str">
        <f t="shared" si="1"/>
        <v>Owner missing </v>
      </c>
    </row>
    <row r="992" ht="15.75" customHeight="1">
      <c r="E992" s="43" t="str">
        <f t="array" ref="E992">IF($A992="","",IFERROR(IF($D992="TSE",INDEX(Accounts!$G$2:$G$21,MATCH($A992,Accounts!$B$2:$B$21,0))&amp;"",IF($D992="PS",INDEX(Accounts!$F$2:$F$21,MATCH($A992,Accounts!$B$2:$B$21,0))&amp;"",IF($D992="Named engineer",INDEX(Accounts!$I$2:$I$21,MATCH($A992,Accounts!$B$2:$B$21,0))&amp;"",IF($D992="TSE + PS",IF(INDEX(Accounts!$G$2:$G$21,MATCH($A992,Accounts!$B$2:$B$21,0))&amp;""="","(no TSE)",INDEX(Accounts!$G$2:$G$21,MATCH($A992,Accounts!$B$2:$B$21,0))&amp;"")&amp;" / "&amp;IF(INDEX(Accounts!$F$2:$F$21,MATCH($A992,Accounts!$B$2:$B$21,0))&amp;""="","(no PS)",INDEX(Accounts!$F$2:$F$21,MATCH($A992,Accounts!$B$2:$B$21,0))&amp;""),"")))),""))</f>
        <v/>
      </c>
      <c r="F992" s="42" t="s">
        <v>104</v>
      </c>
      <c r="I992" s="42" t="s">
        <v>34</v>
      </c>
      <c r="K992" s="44" t="str">
        <f t="shared" si="1"/>
        <v>Owner missing </v>
      </c>
    </row>
    <row r="993" ht="15.75" customHeight="1">
      <c r="E993" s="43" t="str">
        <f t="array" ref="E993">IF($A993="","",IFERROR(IF($D993="TSE",INDEX(Accounts!$G$2:$G$21,MATCH($A993,Accounts!$B$2:$B$21,0))&amp;"",IF($D993="PS",INDEX(Accounts!$F$2:$F$21,MATCH($A993,Accounts!$B$2:$B$21,0))&amp;"",IF($D993="Named engineer",INDEX(Accounts!$I$2:$I$21,MATCH($A993,Accounts!$B$2:$B$21,0))&amp;"",IF($D993="TSE + PS",IF(INDEX(Accounts!$G$2:$G$21,MATCH($A993,Accounts!$B$2:$B$21,0))&amp;""="","(no TSE)",INDEX(Accounts!$G$2:$G$21,MATCH($A993,Accounts!$B$2:$B$21,0))&amp;"")&amp;" / "&amp;IF(INDEX(Accounts!$F$2:$F$21,MATCH($A993,Accounts!$B$2:$B$21,0))&amp;""="","(no PS)",INDEX(Accounts!$F$2:$F$21,MATCH($A993,Accounts!$B$2:$B$21,0))&amp;""),"")))),""))</f>
        <v/>
      </c>
      <c r="F993" s="42" t="s">
        <v>104</v>
      </c>
      <c r="I993" s="42" t="s">
        <v>34</v>
      </c>
      <c r="K993" s="44" t="str">
        <f t="shared" si="1"/>
        <v>Owner missing </v>
      </c>
    </row>
    <row r="994" ht="15.75" customHeight="1">
      <c r="E994" s="43" t="str">
        <f t="array" ref="E994">IF($A994="","",IFERROR(IF($D994="TSE",INDEX(Accounts!$G$2:$G$21,MATCH($A994,Accounts!$B$2:$B$21,0))&amp;"",IF($D994="PS",INDEX(Accounts!$F$2:$F$21,MATCH($A994,Accounts!$B$2:$B$21,0))&amp;"",IF($D994="Named engineer",INDEX(Accounts!$I$2:$I$21,MATCH($A994,Accounts!$B$2:$B$21,0))&amp;"",IF($D994="TSE + PS",IF(INDEX(Accounts!$G$2:$G$21,MATCH($A994,Accounts!$B$2:$B$21,0))&amp;""="","(no TSE)",INDEX(Accounts!$G$2:$G$21,MATCH($A994,Accounts!$B$2:$B$21,0))&amp;"")&amp;" / "&amp;IF(INDEX(Accounts!$F$2:$F$21,MATCH($A994,Accounts!$B$2:$B$21,0))&amp;""="","(no PS)",INDEX(Accounts!$F$2:$F$21,MATCH($A994,Accounts!$B$2:$B$21,0))&amp;""),"")))),""))</f>
        <v/>
      </c>
      <c r="F994" s="42" t="s">
        <v>104</v>
      </c>
      <c r="I994" s="42" t="s">
        <v>34</v>
      </c>
      <c r="K994" s="44" t="str">
        <f t="shared" si="1"/>
        <v>Owner missing </v>
      </c>
    </row>
    <row r="995" ht="15.75" customHeight="1">
      <c r="E995" s="43" t="str">
        <f t="array" ref="E995">IF($A995="","",IFERROR(IF($D995="TSE",INDEX(Accounts!$G$2:$G$21,MATCH($A995,Accounts!$B$2:$B$21,0))&amp;"",IF($D995="PS",INDEX(Accounts!$F$2:$F$21,MATCH($A995,Accounts!$B$2:$B$21,0))&amp;"",IF($D995="Named engineer",INDEX(Accounts!$I$2:$I$21,MATCH($A995,Accounts!$B$2:$B$21,0))&amp;"",IF($D995="TSE + PS",IF(INDEX(Accounts!$G$2:$G$21,MATCH($A995,Accounts!$B$2:$B$21,0))&amp;""="","(no TSE)",INDEX(Accounts!$G$2:$G$21,MATCH($A995,Accounts!$B$2:$B$21,0))&amp;"")&amp;" / "&amp;IF(INDEX(Accounts!$F$2:$F$21,MATCH($A995,Accounts!$B$2:$B$21,0))&amp;""="","(no PS)",INDEX(Accounts!$F$2:$F$21,MATCH($A995,Accounts!$B$2:$B$21,0))&amp;""),"")))),""))</f>
        <v/>
      </c>
      <c r="F995" s="42" t="s">
        <v>104</v>
      </c>
      <c r="I995" s="42" t="s">
        <v>34</v>
      </c>
      <c r="K995" s="44" t="str">
        <f t="shared" si="1"/>
        <v>Owner missing </v>
      </c>
    </row>
    <row r="996" ht="15.75" customHeight="1">
      <c r="E996" s="43" t="str">
        <f t="array" ref="E996">IF($A996="","",IFERROR(IF($D996="TSE",INDEX(Accounts!$G$2:$G$21,MATCH($A996,Accounts!$B$2:$B$21,0))&amp;"",IF($D996="PS",INDEX(Accounts!$F$2:$F$21,MATCH($A996,Accounts!$B$2:$B$21,0))&amp;"",IF($D996="Named engineer",INDEX(Accounts!$I$2:$I$21,MATCH($A996,Accounts!$B$2:$B$21,0))&amp;"",IF($D996="TSE + PS",IF(INDEX(Accounts!$G$2:$G$21,MATCH($A996,Accounts!$B$2:$B$21,0))&amp;""="","(no TSE)",INDEX(Accounts!$G$2:$G$21,MATCH($A996,Accounts!$B$2:$B$21,0))&amp;"")&amp;" / "&amp;IF(INDEX(Accounts!$F$2:$F$21,MATCH($A996,Accounts!$B$2:$B$21,0))&amp;""="","(no PS)",INDEX(Accounts!$F$2:$F$21,MATCH($A996,Accounts!$B$2:$B$21,0))&amp;""),"")))),""))</f>
        <v/>
      </c>
      <c r="F996" s="42" t="s">
        <v>104</v>
      </c>
      <c r="I996" s="42" t="s">
        <v>34</v>
      </c>
      <c r="K996" s="44" t="str">
        <f t="shared" si="1"/>
        <v>Owner missing </v>
      </c>
    </row>
    <row r="997" ht="15.75" customHeight="1">
      <c r="E997" s="43" t="str">
        <f t="array" ref="E997">IF($A997="","",IFERROR(IF($D997="TSE",INDEX(Accounts!$G$2:$G$21,MATCH($A997,Accounts!$B$2:$B$21,0))&amp;"",IF($D997="PS",INDEX(Accounts!$F$2:$F$21,MATCH($A997,Accounts!$B$2:$B$21,0))&amp;"",IF($D997="Named engineer",INDEX(Accounts!$I$2:$I$21,MATCH($A997,Accounts!$B$2:$B$21,0))&amp;"",IF($D997="TSE + PS",IF(INDEX(Accounts!$G$2:$G$21,MATCH($A997,Accounts!$B$2:$B$21,0))&amp;""="","(no TSE)",INDEX(Accounts!$G$2:$G$21,MATCH($A997,Accounts!$B$2:$B$21,0))&amp;"")&amp;" / "&amp;IF(INDEX(Accounts!$F$2:$F$21,MATCH($A997,Accounts!$B$2:$B$21,0))&amp;""="","(no PS)",INDEX(Accounts!$F$2:$F$21,MATCH($A997,Accounts!$B$2:$B$21,0))&amp;""),"")))),""))</f>
        <v/>
      </c>
      <c r="F997" s="42" t="s">
        <v>104</v>
      </c>
      <c r="I997" s="42" t="s">
        <v>34</v>
      </c>
      <c r="K997" s="44" t="str">
        <f t="shared" si="1"/>
        <v>Owner missing </v>
      </c>
    </row>
    <row r="998" ht="15.75" customHeight="1">
      <c r="E998" s="43" t="str">
        <f t="array" ref="E998">IF($A998="","",IFERROR(IF($D998="TSE",INDEX(Accounts!$G$2:$G$21,MATCH($A998,Accounts!$B$2:$B$21,0))&amp;"",IF($D998="PS",INDEX(Accounts!$F$2:$F$21,MATCH($A998,Accounts!$B$2:$B$21,0))&amp;"",IF($D998="Named engineer",INDEX(Accounts!$I$2:$I$21,MATCH($A998,Accounts!$B$2:$B$21,0))&amp;"",IF($D998="TSE + PS",IF(INDEX(Accounts!$G$2:$G$21,MATCH($A998,Accounts!$B$2:$B$21,0))&amp;""="","(no TSE)",INDEX(Accounts!$G$2:$G$21,MATCH($A998,Accounts!$B$2:$B$21,0))&amp;"")&amp;" / "&amp;IF(INDEX(Accounts!$F$2:$F$21,MATCH($A998,Accounts!$B$2:$B$21,0))&amp;""="","(no PS)",INDEX(Accounts!$F$2:$F$21,MATCH($A998,Accounts!$B$2:$B$21,0))&amp;""),"")))),""))</f>
        <v/>
      </c>
      <c r="F998" s="42" t="s">
        <v>104</v>
      </c>
      <c r="I998" s="42" t="s">
        <v>34</v>
      </c>
      <c r="K998" s="44" t="str">
        <f t="shared" si="1"/>
        <v>Owner missing </v>
      </c>
    </row>
    <row r="999" ht="15.75" customHeight="1">
      <c r="E999" s="43" t="str">
        <f t="array" ref="E999">IF($A999="","",IFERROR(IF($D999="TSE",INDEX(Accounts!$G$2:$G$21,MATCH($A999,Accounts!$B$2:$B$21,0))&amp;"",IF($D999="PS",INDEX(Accounts!$F$2:$F$21,MATCH($A999,Accounts!$B$2:$B$21,0))&amp;"",IF($D999="Named engineer",INDEX(Accounts!$I$2:$I$21,MATCH($A999,Accounts!$B$2:$B$21,0))&amp;"",IF($D999="TSE + PS",IF(INDEX(Accounts!$G$2:$G$21,MATCH($A999,Accounts!$B$2:$B$21,0))&amp;""="","(no TSE)",INDEX(Accounts!$G$2:$G$21,MATCH($A999,Accounts!$B$2:$B$21,0))&amp;"")&amp;" / "&amp;IF(INDEX(Accounts!$F$2:$F$21,MATCH($A999,Accounts!$B$2:$B$21,0))&amp;""="","(no PS)",INDEX(Accounts!$F$2:$F$21,MATCH($A999,Accounts!$B$2:$B$21,0))&amp;""),"")))),""))</f>
        <v/>
      </c>
      <c r="F999" s="42" t="s">
        <v>104</v>
      </c>
      <c r="I999" s="42" t="s">
        <v>34</v>
      </c>
      <c r="K999" s="44" t="str">
        <f t="shared" si="1"/>
        <v>Owner missing </v>
      </c>
    </row>
    <row r="1000" ht="15.75" customHeight="1">
      <c r="E1000" s="43" t="str">
        <f t="array" ref="E1000">IF($A1000="","",IFERROR(IF($D1000="TSE",INDEX(Accounts!$G$2:$G$21,MATCH($A1000,Accounts!$B$2:$B$21,0))&amp;"",IF($D1000="PS",INDEX(Accounts!$F$2:$F$21,MATCH($A1000,Accounts!$B$2:$B$21,0))&amp;"",IF($D1000="Named engineer",INDEX(Accounts!$I$2:$I$21,MATCH($A1000,Accounts!$B$2:$B$21,0))&amp;"",IF($D1000="TSE + PS",IF(INDEX(Accounts!$G$2:$G$21,MATCH($A1000,Accounts!$B$2:$B$21,0))&amp;""="","(no TSE)",INDEX(Accounts!$G$2:$G$21,MATCH($A1000,Accounts!$B$2:$B$21,0))&amp;"")&amp;" / "&amp;IF(INDEX(Accounts!$F$2:$F$21,MATCH($A1000,Accounts!$B$2:$B$21,0))&amp;""="","(no PS)",INDEX(Accounts!$F$2:$F$21,MATCH($A1000,Accounts!$B$2:$B$21,0))&amp;""),"")))),""))</f>
        <v/>
      </c>
      <c r="F1000" s="42" t="s">
        <v>104</v>
      </c>
      <c r="I1000" s="42" t="s">
        <v>34</v>
      </c>
      <c r="K1000" s="44" t="str">
        <f t="shared" si="1"/>
        <v>Owner missing </v>
      </c>
    </row>
  </sheetData>
  <conditionalFormatting sqref="F2:F1000">
    <cfRule type="expression" dxfId="4" priority="1">
      <formula>$F2="Done"</formula>
    </cfRule>
  </conditionalFormatting>
  <conditionalFormatting sqref="F2:F1000">
    <cfRule type="expression" dxfId="0" priority="2">
      <formula>$F2="Skipped"</formula>
    </cfRule>
  </conditionalFormatting>
  <conditionalFormatting sqref="K2:K1000">
    <cfRule type="expression" dxfId="5" priority="3">
      <formula>$K2&lt;&gt;""</formula>
    </cfRule>
  </conditionalFormatting>
  <conditionalFormatting sqref="H2:H1000">
    <cfRule type="expression" dxfId="6" priority="4">
      <formula>AND($F2="Done",$I2="Y",$H2="")</formula>
    </cfRule>
  </conditionalFormatting>
  <dataValidations>
    <dataValidation type="list" allowBlank="1" showInputMessage="1" showErrorMessage="1" prompt="Pick a value from the list" sqref="F2:F1000">
      <formula1>"Not started,In progress,Done,Skipped,N/A"</formula1>
    </dataValidation>
  </dataValidations>
  <hyperlinks>
    <hyperlink r:id="rId1" ref="H34"/>
    <hyperlink r:id="rId2" ref="H35"/>
    <hyperlink r:id="rId3" ref="H36"/>
    <hyperlink r:id="rId4" ref="H41"/>
    <hyperlink r:id="rId5" ref="H42"/>
    <hyperlink r:id="rId6" ref="H44"/>
    <hyperlink r:id="rId7" ref="H45"/>
    <hyperlink r:id="rId8" ref="H46"/>
    <hyperlink r:id="rId9" ref="H48"/>
    <hyperlink r:id="rId10" ref="H115"/>
    <hyperlink r:id="rId11" ref="H122"/>
  </hyperlinks>
  <printOptions/>
  <pageMargins bottom="1.0" footer="0.0" header="0.0" left="0.75" right="0.75" top="1.0"/>
  <pageSetup orientation="landscape"/>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A55"/>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1.0"/>
    <col customWidth="1" min="2" max="2" width="22.0"/>
    <col customWidth="1" min="3" max="3" width="12.86"/>
    <col customWidth="1" min="4" max="4" width="17.57"/>
    <col customWidth="1" min="5" max="5" width="51.29"/>
    <col customWidth="1" min="6" max="6" width="26.0"/>
    <col customWidth="1" min="7" max="7" width="16.71"/>
    <col customWidth="1" min="8" max="8" width="16.43"/>
    <col customWidth="1" min="9" max="9" width="18.0"/>
    <col customWidth="1" min="10" max="10" width="10.0"/>
    <col customWidth="1" min="11" max="11" width="20.0"/>
    <col customWidth="1" min="12" max="12" width="36.0"/>
  </cols>
  <sheetData>
    <row r="1" ht="49.5" customHeight="1">
      <c r="A1" s="10" t="s">
        <v>241</v>
      </c>
      <c r="B1" s="10" t="s">
        <v>111</v>
      </c>
      <c r="C1" s="10" t="s">
        <v>20</v>
      </c>
      <c r="D1" s="10" t="s">
        <v>242</v>
      </c>
      <c r="E1" s="10" t="s">
        <v>243</v>
      </c>
      <c r="F1" s="10" t="s">
        <v>244</v>
      </c>
      <c r="G1" s="10" t="s">
        <v>245</v>
      </c>
      <c r="H1" s="10" t="s">
        <v>246</v>
      </c>
      <c r="I1" s="10" t="s">
        <v>122</v>
      </c>
      <c r="J1" s="10" t="s">
        <v>212</v>
      </c>
      <c r="K1" s="10" t="s">
        <v>247</v>
      </c>
      <c r="L1" s="10" t="s">
        <v>248</v>
      </c>
    </row>
    <row r="2">
      <c r="D2" s="42"/>
      <c r="F2" s="42"/>
      <c r="H2" s="42"/>
      <c r="J2" s="42"/>
      <c r="K2" s="42"/>
    </row>
    <row r="3">
      <c r="D3" s="42"/>
      <c r="F3" s="42"/>
      <c r="H3" s="42"/>
      <c r="J3" s="42"/>
      <c r="K3" s="42"/>
    </row>
    <row r="4">
      <c r="D4" s="42"/>
      <c r="F4" s="42"/>
      <c r="H4" s="42"/>
      <c r="J4" s="42"/>
      <c r="K4" s="42"/>
    </row>
    <row r="5">
      <c r="D5" s="42"/>
      <c r="F5" s="42"/>
      <c r="H5" s="42"/>
      <c r="J5" s="42"/>
      <c r="K5" s="42"/>
    </row>
    <row r="6">
      <c r="D6" s="42"/>
      <c r="F6" s="42"/>
      <c r="H6" s="42"/>
      <c r="J6" s="42"/>
      <c r="K6" s="42"/>
    </row>
    <row r="7">
      <c r="D7" s="42"/>
      <c r="F7" s="42"/>
      <c r="H7" s="42"/>
      <c r="J7" s="42"/>
      <c r="K7" s="42"/>
    </row>
    <row r="8">
      <c r="D8" s="42"/>
      <c r="F8" s="42"/>
      <c r="H8" s="42"/>
      <c r="J8" s="42"/>
      <c r="K8" s="42"/>
    </row>
    <row r="9">
      <c r="D9" s="42"/>
      <c r="F9" s="42"/>
      <c r="H9" s="42"/>
      <c r="J9" s="42"/>
      <c r="K9" s="42"/>
    </row>
    <row r="10">
      <c r="D10" s="42"/>
      <c r="F10" s="42"/>
      <c r="H10" s="42"/>
      <c r="J10" s="42"/>
      <c r="K10" s="42"/>
    </row>
    <row r="11">
      <c r="D11" s="42"/>
      <c r="F11" s="42"/>
      <c r="H11" s="42"/>
      <c r="J11" s="42"/>
      <c r="K11" s="42"/>
    </row>
    <row r="12">
      <c r="D12" s="42"/>
      <c r="F12" s="42"/>
      <c r="H12" s="42"/>
      <c r="J12" s="42"/>
      <c r="K12" s="42"/>
    </row>
    <row r="13">
      <c r="D13" s="42"/>
      <c r="F13" s="42"/>
      <c r="H13" s="42"/>
      <c r="J13" s="42"/>
      <c r="K13" s="42"/>
    </row>
    <row r="14">
      <c r="D14" s="42"/>
      <c r="F14" s="42"/>
      <c r="H14" s="42"/>
      <c r="J14" s="42"/>
      <c r="K14" s="42"/>
    </row>
    <row r="15">
      <c r="D15" s="42"/>
      <c r="F15" s="42"/>
      <c r="H15" s="42"/>
      <c r="J15" s="42"/>
      <c r="K15" s="42"/>
    </row>
    <row r="16">
      <c r="D16" s="42"/>
      <c r="F16" s="42"/>
      <c r="H16" s="42"/>
      <c r="J16" s="42"/>
      <c r="K16" s="42"/>
    </row>
    <row r="17">
      <c r="D17" s="42"/>
      <c r="F17" s="42"/>
      <c r="H17" s="42"/>
      <c r="J17" s="42"/>
      <c r="K17" s="42"/>
    </row>
    <row r="18">
      <c r="D18" s="42"/>
      <c r="F18" s="42"/>
      <c r="H18" s="42"/>
      <c r="J18" s="42"/>
      <c r="K18" s="42"/>
    </row>
    <row r="19">
      <c r="D19" s="42"/>
      <c r="F19" s="42"/>
      <c r="H19" s="42"/>
      <c r="J19" s="42"/>
      <c r="K19" s="42"/>
    </row>
    <row r="20">
      <c r="D20" s="42"/>
      <c r="F20" s="42"/>
      <c r="H20" s="42"/>
      <c r="J20" s="42"/>
      <c r="K20" s="42"/>
    </row>
    <row r="21" ht="15.75" customHeight="1">
      <c r="D21" s="42"/>
      <c r="F21" s="42"/>
      <c r="H21" s="42"/>
      <c r="J21" s="42"/>
      <c r="K21" s="42"/>
    </row>
    <row r="22" ht="15.75" customHeight="1">
      <c r="D22" s="42"/>
      <c r="F22" s="42"/>
      <c r="H22" s="42"/>
      <c r="J22" s="42"/>
      <c r="K22" s="42"/>
    </row>
    <row r="23" ht="15.75" customHeight="1">
      <c r="D23" s="42"/>
      <c r="F23" s="42"/>
      <c r="H23" s="42"/>
      <c r="J23" s="42"/>
      <c r="K23" s="42"/>
    </row>
    <row r="24" ht="15.75" customHeight="1">
      <c r="D24" s="42"/>
      <c r="F24" s="42"/>
      <c r="H24" s="42"/>
      <c r="J24" s="42"/>
      <c r="K24" s="42"/>
    </row>
    <row r="25" ht="15.75" customHeight="1">
      <c r="D25" s="42"/>
      <c r="F25" s="42"/>
      <c r="H25" s="42"/>
      <c r="J25" s="42"/>
      <c r="K25" s="42"/>
    </row>
    <row r="26" ht="15.75" customHeight="1">
      <c r="D26" s="42"/>
      <c r="F26" s="42"/>
      <c r="H26" s="42"/>
      <c r="J26" s="42"/>
      <c r="K26" s="42"/>
    </row>
    <row r="27" ht="15.75" customHeight="1">
      <c r="D27" s="42"/>
      <c r="F27" s="42"/>
      <c r="H27" s="42"/>
      <c r="J27" s="42"/>
      <c r="K27" s="42"/>
    </row>
    <row r="28" ht="15.75" customHeight="1">
      <c r="D28" s="42"/>
      <c r="F28" s="42"/>
      <c r="H28" s="42"/>
      <c r="J28" s="42"/>
      <c r="K28" s="42"/>
    </row>
    <row r="29" ht="15.75" customHeight="1">
      <c r="D29" s="42"/>
      <c r="F29" s="42"/>
      <c r="H29" s="42"/>
      <c r="J29" s="42"/>
      <c r="K29" s="42"/>
    </row>
    <row r="30" ht="15.75" customHeight="1">
      <c r="D30" s="42"/>
      <c r="F30" s="42"/>
      <c r="H30" s="42"/>
      <c r="J30" s="42"/>
      <c r="K30" s="42"/>
    </row>
    <row r="31" ht="15.75" customHeight="1">
      <c r="D31" s="42"/>
      <c r="F31" s="42"/>
      <c r="H31" s="42"/>
      <c r="J31" s="42"/>
      <c r="K31" s="42"/>
    </row>
    <row r="32" ht="15.75" customHeight="1">
      <c r="D32" s="42"/>
      <c r="F32" s="42"/>
      <c r="H32" s="42"/>
      <c r="J32" s="42"/>
      <c r="K32" s="42"/>
    </row>
    <row r="33" ht="15.75" customHeight="1">
      <c r="D33" s="42"/>
      <c r="F33" s="42"/>
      <c r="H33" s="42"/>
      <c r="J33" s="42"/>
      <c r="K33" s="42"/>
    </row>
    <row r="34" ht="15.75" customHeight="1">
      <c r="D34" s="42"/>
      <c r="F34" s="42"/>
      <c r="H34" s="42"/>
      <c r="J34" s="42"/>
      <c r="K34" s="42"/>
    </row>
    <row r="35" ht="15.75" customHeight="1">
      <c r="D35" s="42"/>
      <c r="F35" s="42"/>
      <c r="H35" s="42"/>
      <c r="J35" s="42"/>
      <c r="K35" s="42"/>
    </row>
    <row r="36" ht="15.75" customHeight="1">
      <c r="D36" s="42"/>
      <c r="F36" s="42"/>
      <c r="H36" s="42"/>
      <c r="J36" s="42"/>
      <c r="K36" s="42"/>
    </row>
    <row r="37" ht="15.75" customHeight="1">
      <c r="D37" s="42"/>
      <c r="F37" s="42"/>
      <c r="H37" s="42"/>
      <c r="J37" s="42"/>
      <c r="K37" s="42"/>
    </row>
    <row r="38" ht="15.75" customHeight="1">
      <c r="D38" s="42"/>
      <c r="F38" s="42"/>
      <c r="H38" s="42"/>
      <c r="J38" s="42"/>
      <c r="K38" s="42"/>
    </row>
    <row r="39" ht="15.75" customHeight="1">
      <c r="D39" s="42"/>
      <c r="F39" s="42"/>
      <c r="H39" s="42"/>
      <c r="J39" s="42"/>
      <c r="K39" s="42"/>
    </row>
    <row r="40" ht="15.75" customHeight="1">
      <c r="D40" s="42"/>
      <c r="F40" s="42"/>
      <c r="H40" s="42"/>
      <c r="J40" s="42"/>
      <c r="K40" s="42"/>
    </row>
    <row r="41" ht="15.75" customHeight="1">
      <c r="D41" s="42"/>
      <c r="F41" s="42"/>
      <c r="H41" s="42"/>
      <c r="J41" s="42"/>
      <c r="K41" s="42"/>
    </row>
    <row r="42" ht="15.75" customHeight="1">
      <c r="D42" s="42"/>
      <c r="F42" s="42"/>
      <c r="H42" s="42"/>
      <c r="J42" s="42"/>
      <c r="K42" s="42"/>
    </row>
    <row r="43" ht="15.75" customHeight="1">
      <c r="D43" s="42"/>
      <c r="F43" s="42"/>
      <c r="H43" s="42"/>
      <c r="J43" s="42"/>
      <c r="K43" s="42"/>
    </row>
    <row r="44" ht="15.75" customHeight="1">
      <c r="D44" s="42"/>
      <c r="F44" s="42"/>
      <c r="H44" s="42"/>
      <c r="J44" s="42"/>
      <c r="K44" s="42"/>
    </row>
    <row r="45" ht="15.75" customHeight="1">
      <c r="D45" s="42"/>
      <c r="F45" s="42"/>
      <c r="H45" s="42"/>
      <c r="J45" s="42"/>
      <c r="K45" s="42"/>
    </row>
    <row r="46" ht="15.75" customHeight="1">
      <c r="D46" s="42"/>
      <c r="F46" s="42"/>
      <c r="H46" s="42"/>
      <c r="J46" s="42"/>
      <c r="K46" s="42"/>
    </row>
    <row r="47" ht="15.75" customHeight="1">
      <c r="D47" s="42"/>
      <c r="F47" s="42"/>
      <c r="H47" s="42"/>
      <c r="J47" s="42"/>
      <c r="K47" s="42"/>
    </row>
    <row r="48" ht="15.75" customHeight="1">
      <c r="D48" s="42"/>
      <c r="F48" s="42"/>
      <c r="H48" s="42"/>
      <c r="J48" s="42"/>
      <c r="K48" s="42"/>
    </row>
    <row r="49" ht="15.75" customHeight="1">
      <c r="D49" s="42"/>
      <c r="F49" s="42"/>
      <c r="H49" s="42"/>
      <c r="J49" s="42"/>
      <c r="K49" s="42"/>
    </row>
    <row r="50" ht="15.75" customHeight="1">
      <c r="D50" s="42"/>
      <c r="F50" s="42"/>
      <c r="H50" s="42"/>
      <c r="J50" s="42"/>
      <c r="K50" s="42"/>
    </row>
    <row r="51" ht="15.75" customHeight="1">
      <c r="D51" s="42"/>
      <c r="F51" s="42"/>
      <c r="H51" s="42"/>
      <c r="J51" s="42"/>
      <c r="K51" s="42"/>
    </row>
    <row r="52" ht="15.75" customHeight="1">
      <c r="D52" s="42"/>
      <c r="F52" s="42"/>
      <c r="H52" s="42"/>
      <c r="J52" s="42"/>
      <c r="K52" s="42"/>
    </row>
    <row r="53" ht="15.75" customHeight="1">
      <c r="D53" s="42"/>
      <c r="F53" s="42"/>
      <c r="H53" s="42"/>
      <c r="J53" s="42"/>
      <c r="K53" s="42"/>
    </row>
    <row r="54" ht="15.75" customHeight="1">
      <c r="D54" s="42"/>
      <c r="F54" s="42"/>
      <c r="H54" s="42"/>
      <c r="J54" s="42"/>
      <c r="K54" s="42"/>
    </row>
    <row r="55" ht="15.75" customHeight="1">
      <c r="D55" s="42"/>
      <c r="F55" s="42"/>
      <c r="H55" s="42"/>
      <c r="J55" s="42"/>
      <c r="K55" s="42"/>
    </row>
    <row r="56" ht="15.75" customHeight="1">
      <c r="D56" s="42"/>
      <c r="F56" s="42"/>
      <c r="H56" s="42"/>
      <c r="J56" s="42"/>
      <c r="K56" s="42"/>
    </row>
    <row r="57" ht="15.75" customHeight="1">
      <c r="D57" s="42"/>
      <c r="F57" s="42"/>
      <c r="H57" s="42"/>
      <c r="J57" s="42"/>
      <c r="K57" s="42"/>
    </row>
    <row r="58" ht="15.75" customHeight="1">
      <c r="D58" s="42"/>
      <c r="F58" s="42"/>
      <c r="H58" s="42"/>
      <c r="J58" s="42"/>
      <c r="K58" s="42"/>
    </row>
    <row r="59" ht="15.75" customHeight="1">
      <c r="D59" s="42"/>
      <c r="F59" s="42"/>
      <c r="H59" s="42"/>
      <c r="J59" s="42"/>
      <c r="K59" s="42"/>
    </row>
    <row r="60" ht="15.75" customHeight="1">
      <c r="D60" s="42"/>
      <c r="F60" s="42"/>
      <c r="H60" s="42"/>
      <c r="J60" s="42"/>
      <c r="K60" s="42"/>
    </row>
    <row r="61" ht="15.75" customHeight="1">
      <c r="D61" s="42"/>
      <c r="F61" s="42"/>
      <c r="H61" s="42"/>
      <c r="J61" s="42"/>
      <c r="K61" s="42"/>
    </row>
    <row r="62" ht="15.75" customHeight="1">
      <c r="D62" s="42"/>
      <c r="F62" s="42"/>
      <c r="H62" s="42"/>
      <c r="J62" s="42"/>
      <c r="K62" s="42"/>
    </row>
    <row r="63" ht="15.75" customHeight="1">
      <c r="D63" s="42"/>
      <c r="F63" s="42"/>
      <c r="H63" s="42"/>
      <c r="J63" s="42"/>
      <c r="K63" s="42"/>
    </row>
    <row r="64" ht="15.75" customHeight="1">
      <c r="D64" s="42"/>
      <c r="F64" s="42"/>
      <c r="H64" s="42"/>
      <c r="J64" s="42"/>
      <c r="K64" s="42"/>
    </row>
    <row r="65" ht="15.75" customHeight="1">
      <c r="D65" s="42"/>
      <c r="F65" s="42"/>
      <c r="H65" s="42"/>
      <c r="J65" s="42"/>
      <c r="K65" s="42"/>
    </row>
    <row r="66" ht="15.75" customHeight="1">
      <c r="D66" s="42"/>
      <c r="F66" s="42"/>
      <c r="H66" s="42"/>
      <c r="J66" s="42"/>
      <c r="K66" s="42"/>
    </row>
    <row r="67" ht="15.75" customHeight="1">
      <c r="D67" s="42"/>
      <c r="F67" s="42"/>
      <c r="H67" s="42"/>
      <c r="J67" s="42"/>
      <c r="K67" s="42"/>
    </row>
    <row r="68" ht="15.75" customHeight="1">
      <c r="D68" s="42"/>
      <c r="F68" s="42"/>
      <c r="H68" s="42"/>
      <c r="J68" s="42"/>
      <c r="K68" s="42"/>
    </row>
    <row r="69" ht="15.75" customHeight="1">
      <c r="D69" s="42"/>
      <c r="F69" s="42"/>
      <c r="H69" s="42"/>
      <c r="J69" s="42"/>
      <c r="K69" s="42"/>
    </row>
    <row r="70" ht="15.75" customHeight="1">
      <c r="D70" s="42"/>
      <c r="F70" s="42"/>
      <c r="H70" s="42"/>
      <c r="J70" s="42"/>
      <c r="K70" s="42"/>
    </row>
    <row r="71" ht="15.75" customHeight="1">
      <c r="D71" s="42"/>
      <c r="F71" s="42"/>
      <c r="H71" s="42"/>
      <c r="J71" s="42"/>
      <c r="K71" s="42"/>
    </row>
    <row r="72" ht="15.75" customHeight="1">
      <c r="D72" s="42"/>
      <c r="F72" s="42"/>
      <c r="H72" s="42"/>
      <c r="J72" s="42"/>
      <c r="K72" s="42"/>
    </row>
    <row r="73" ht="15.75" customHeight="1">
      <c r="D73" s="42"/>
      <c r="F73" s="42"/>
      <c r="H73" s="42"/>
      <c r="J73" s="42"/>
      <c r="K73" s="42"/>
    </row>
    <row r="74" ht="15.75" customHeight="1">
      <c r="D74" s="42"/>
      <c r="F74" s="42"/>
      <c r="H74" s="42"/>
      <c r="J74" s="42"/>
      <c r="K74" s="42"/>
    </row>
    <row r="75" ht="15.75" customHeight="1">
      <c r="D75" s="42"/>
      <c r="F75" s="42"/>
      <c r="H75" s="42"/>
      <c r="J75" s="42"/>
      <c r="K75" s="42"/>
    </row>
    <row r="76" ht="15.75" customHeight="1">
      <c r="D76" s="42"/>
      <c r="F76" s="42"/>
      <c r="H76" s="42"/>
      <c r="J76" s="42"/>
      <c r="K76" s="42"/>
    </row>
    <row r="77" ht="15.75" customHeight="1">
      <c r="D77" s="42"/>
      <c r="F77" s="42"/>
      <c r="H77" s="42"/>
      <c r="J77" s="42"/>
      <c r="K77" s="42"/>
    </row>
    <row r="78" ht="15.75" customHeight="1">
      <c r="D78" s="42"/>
      <c r="F78" s="42"/>
      <c r="H78" s="42"/>
      <c r="J78" s="42"/>
      <c r="K78" s="42"/>
    </row>
    <row r="79" ht="15.75" customHeight="1">
      <c r="D79" s="42"/>
      <c r="F79" s="42"/>
      <c r="H79" s="42"/>
      <c r="J79" s="42"/>
      <c r="K79" s="42"/>
    </row>
    <row r="80" ht="15.75" customHeight="1">
      <c r="D80" s="42"/>
      <c r="F80" s="42"/>
      <c r="H80" s="42"/>
      <c r="J80" s="42"/>
      <c r="K80" s="42"/>
    </row>
    <row r="81" ht="15.75" customHeight="1">
      <c r="D81" s="42"/>
      <c r="F81" s="42"/>
      <c r="H81" s="42"/>
      <c r="J81" s="42"/>
      <c r="K81" s="42"/>
    </row>
    <row r="82" ht="15.75" customHeight="1">
      <c r="D82" s="42"/>
      <c r="F82" s="42"/>
      <c r="H82" s="42"/>
      <c r="J82" s="42"/>
      <c r="K82" s="42"/>
    </row>
    <row r="83" ht="15.75" customHeight="1">
      <c r="D83" s="42"/>
      <c r="F83" s="42"/>
      <c r="H83" s="42"/>
      <c r="J83" s="42"/>
      <c r="K83" s="42"/>
    </row>
    <row r="84" ht="15.75" customHeight="1">
      <c r="D84" s="42"/>
      <c r="F84" s="42"/>
      <c r="H84" s="42"/>
      <c r="J84" s="42"/>
      <c r="K84" s="42"/>
    </row>
    <row r="85" ht="15.75" customHeight="1">
      <c r="D85" s="42"/>
      <c r="F85" s="42"/>
      <c r="H85" s="42"/>
      <c r="J85" s="42"/>
      <c r="K85" s="42"/>
    </row>
    <row r="86" ht="15.75" customHeight="1">
      <c r="D86" s="42"/>
      <c r="F86" s="42"/>
      <c r="H86" s="42"/>
      <c r="J86" s="42"/>
      <c r="K86" s="42"/>
    </row>
    <row r="87" ht="15.75" customHeight="1">
      <c r="D87" s="42"/>
      <c r="F87" s="42"/>
      <c r="H87" s="42"/>
      <c r="J87" s="42"/>
      <c r="K87" s="42"/>
    </row>
    <row r="88" ht="15.75" customHeight="1">
      <c r="D88" s="42"/>
      <c r="F88" s="42"/>
      <c r="H88" s="42"/>
      <c r="J88" s="42"/>
      <c r="K88" s="42"/>
    </row>
    <row r="89" ht="15.75" customHeight="1">
      <c r="D89" s="42"/>
      <c r="F89" s="42"/>
      <c r="H89" s="42"/>
      <c r="J89" s="42"/>
      <c r="K89" s="42"/>
    </row>
    <row r="90" ht="15.75" customHeight="1">
      <c r="D90" s="42"/>
      <c r="F90" s="42"/>
      <c r="H90" s="42"/>
      <c r="J90" s="42"/>
      <c r="K90" s="42"/>
    </row>
    <row r="91" ht="15.75" customHeight="1">
      <c r="D91" s="42"/>
      <c r="F91" s="42"/>
      <c r="H91" s="42"/>
      <c r="J91" s="42"/>
      <c r="K91" s="42"/>
    </row>
    <row r="92" ht="15.75" customHeight="1">
      <c r="D92" s="42"/>
      <c r="F92" s="42"/>
      <c r="H92" s="42"/>
      <c r="J92" s="42"/>
      <c r="K92" s="42"/>
    </row>
    <row r="93" ht="15.75" customHeight="1">
      <c r="D93" s="42"/>
      <c r="F93" s="42"/>
      <c r="H93" s="42"/>
      <c r="J93" s="42"/>
      <c r="K93" s="42"/>
    </row>
    <row r="94" ht="15.75" customHeight="1">
      <c r="D94" s="42"/>
      <c r="F94" s="42"/>
      <c r="H94" s="42"/>
      <c r="J94" s="42"/>
      <c r="K94" s="42"/>
    </row>
    <row r="95" ht="15.75" customHeight="1">
      <c r="D95" s="42"/>
      <c r="F95" s="42"/>
      <c r="H95" s="42"/>
      <c r="J95" s="42"/>
      <c r="K95" s="42"/>
    </row>
    <row r="96" ht="15.75" customHeight="1">
      <c r="D96" s="42"/>
      <c r="F96" s="42"/>
      <c r="H96" s="42"/>
      <c r="J96" s="42"/>
      <c r="K96" s="42"/>
    </row>
    <row r="97" ht="15.75" customHeight="1">
      <c r="D97" s="42"/>
      <c r="F97" s="42"/>
      <c r="H97" s="42"/>
      <c r="J97" s="42"/>
      <c r="K97" s="42"/>
    </row>
    <row r="98" ht="15.75" customHeight="1">
      <c r="D98" s="42"/>
      <c r="F98" s="42"/>
      <c r="H98" s="42"/>
      <c r="J98" s="42"/>
      <c r="K98" s="42"/>
    </row>
    <row r="99" ht="15.75" customHeight="1">
      <c r="D99" s="42"/>
      <c r="F99" s="42"/>
      <c r="H99" s="42"/>
      <c r="J99" s="42"/>
      <c r="K99" s="42"/>
    </row>
    <row r="100" ht="15.75" customHeight="1">
      <c r="D100" s="42"/>
      <c r="F100" s="42"/>
      <c r="H100" s="42"/>
      <c r="J100" s="42"/>
      <c r="K100" s="42"/>
    </row>
    <row r="101" ht="15.75" customHeight="1">
      <c r="D101" s="42"/>
      <c r="F101" s="42"/>
      <c r="H101" s="42"/>
      <c r="J101" s="42"/>
      <c r="K101" s="42"/>
    </row>
    <row r="102" ht="15.75" customHeight="1">
      <c r="D102" s="42"/>
      <c r="F102" s="42"/>
      <c r="H102" s="42"/>
      <c r="J102" s="42"/>
      <c r="K102" s="42"/>
    </row>
    <row r="103" ht="15.75" customHeight="1">
      <c r="D103" s="42"/>
      <c r="F103" s="42"/>
      <c r="H103" s="42"/>
      <c r="J103" s="42"/>
      <c r="K103" s="42"/>
    </row>
    <row r="104" ht="15.75" customHeight="1">
      <c r="D104" s="42"/>
      <c r="F104" s="42"/>
      <c r="H104" s="42"/>
      <c r="J104" s="42"/>
      <c r="K104" s="42"/>
    </row>
    <row r="105" ht="15.75" customHeight="1">
      <c r="D105" s="42"/>
      <c r="F105" s="42"/>
      <c r="H105" s="42"/>
      <c r="J105" s="42"/>
      <c r="K105" s="42"/>
    </row>
    <row r="106" ht="15.75" customHeight="1">
      <c r="D106" s="42"/>
      <c r="F106" s="42"/>
      <c r="H106" s="42"/>
      <c r="J106" s="42"/>
      <c r="K106" s="42"/>
    </row>
    <row r="107" ht="15.75" customHeight="1">
      <c r="D107" s="42"/>
      <c r="F107" s="42"/>
      <c r="H107" s="42"/>
      <c r="J107" s="42"/>
      <c r="K107" s="42"/>
    </row>
    <row r="108" ht="15.75" customHeight="1">
      <c r="D108" s="42"/>
      <c r="F108" s="42"/>
      <c r="H108" s="42"/>
      <c r="J108" s="42"/>
      <c r="K108" s="42"/>
    </row>
    <row r="109" ht="15.75" customHeight="1">
      <c r="D109" s="42"/>
      <c r="F109" s="42"/>
      <c r="H109" s="42"/>
      <c r="J109" s="42"/>
      <c r="K109" s="42"/>
    </row>
    <row r="110" ht="15.75" customHeight="1">
      <c r="D110" s="42"/>
      <c r="F110" s="42"/>
      <c r="H110" s="42"/>
      <c r="J110" s="42"/>
      <c r="K110" s="42"/>
    </row>
    <row r="111" ht="15.75" customHeight="1">
      <c r="D111" s="42"/>
      <c r="F111" s="42"/>
      <c r="H111" s="42"/>
      <c r="J111" s="42"/>
      <c r="K111" s="42"/>
    </row>
    <row r="112" ht="15.75" customHeight="1">
      <c r="D112" s="42"/>
      <c r="F112" s="42"/>
      <c r="H112" s="42"/>
      <c r="J112" s="42"/>
      <c r="K112" s="42"/>
    </row>
    <row r="113" ht="15.75" customHeight="1">
      <c r="D113" s="42"/>
      <c r="F113" s="42"/>
      <c r="H113" s="42"/>
      <c r="J113" s="42"/>
      <c r="K113" s="42"/>
    </row>
    <row r="114" ht="15.75" customHeight="1">
      <c r="D114" s="42"/>
      <c r="F114" s="42"/>
      <c r="H114" s="42"/>
      <c r="J114" s="42"/>
      <c r="K114" s="42"/>
    </row>
    <row r="115" ht="15.75" customHeight="1">
      <c r="D115" s="42"/>
      <c r="F115" s="42"/>
      <c r="H115" s="42"/>
      <c r="J115" s="42"/>
      <c r="K115" s="42"/>
    </row>
    <row r="116" ht="15.75" customHeight="1">
      <c r="D116" s="42"/>
      <c r="F116" s="42"/>
      <c r="H116" s="42"/>
      <c r="J116" s="42"/>
      <c r="K116" s="42"/>
    </row>
    <row r="117" ht="15.75" customHeight="1">
      <c r="D117" s="42"/>
      <c r="F117" s="42"/>
      <c r="H117" s="42"/>
      <c r="J117" s="42"/>
      <c r="K117" s="42"/>
    </row>
    <row r="118" ht="15.75" customHeight="1">
      <c r="D118" s="42"/>
      <c r="F118" s="42"/>
      <c r="H118" s="42"/>
      <c r="J118" s="42"/>
      <c r="K118" s="42"/>
    </row>
    <row r="119" ht="15.75" customHeight="1">
      <c r="D119" s="42"/>
      <c r="F119" s="42"/>
      <c r="H119" s="42"/>
      <c r="J119" s="42"/>
      <c r="K119" s="42"/>
    </row>
    <row r="120" ht="15.75" customHeight="1">
      <c r="D120" s="42"/>
      <c r="F120" s="42"/>
      <c r="H120" s="42"/>
      <c r="J120" s="42"/>
      <c r="K120" s="42"/>
    </row>
    <row r="121" ht="15.75" customHeight="1">
      <c r="D121" s="42"/>
      <c r="F121" s="42"/>
      <c r="H121" s="42"/>
      <c r="J121" s="42"/>
      <c r="K121" s="42"/>
    </row>
    <row r="122" ht="15.75" customHeight="1">
      <c r="D122" s="42"/>
      <c r="F122" s="42"/>
      <c r="H122" s="42"/>
      <c r="J122" s="42"/>
      <c r="K122" s="42"/>
    </row>
    <row r="123" ht="15.75" customHeight="1">
      <c r="D123" s="42"/>
      <c r="F123" s="42"/>
      <c r="H123" s="42"/>
      <c r="J123" s="42"/>
      <c r="K123" s="42"/>
    </row>
    <row r="124" ht="15.75" customHeight="1">
      <c r="D124" s="42"/>
      <c r="F124" s="42"/>
      <c r="H124" s="42"/>
      <c r="J124" s="42"/>
      <c r="K124" s="42"/>
    </row>
    <row r="125" ht="15.75" customHeight="1">
      <c r="D125" s="42"/>
      <c r="F125" s="42"/>
      <c r="H125" s="42"/>
      <c r="J125" s="42"/>
      <c r="K125" s="42"/>
    </row>
    <row r="126" ht="15.75" customHeight="1">
      <c r="D126" s="42"/>
      <c r="F126" s="42"/>
      <c r="H126" s="42"/>
      <c r="J126" s="42"/>
      <c r="K126" s="42"/>
    </row>
    <row r="127" ht="15.75" customHeight="1">
      <c r="D127" s="42"/>
      <c r="F127" s="42"/>
      <c r="H127" s="42"/>
      <c r="J127" s="42"/>
      <c r="K127" s="42"/>
    </row>
    <row r="128" ht="15.75" customHeight="1">
      <c r="D128" s="42"/>
      <c r="F128" s="42"/>
      <c r="H128" s="42"/>
      <c r="J128" s="42"/>
      <c r="K128" s="42"/>
    </row>
    <row r="129" ht="15.75" customHeight="1">
      <c r="D129" s="42"/>
      <c r="F129" s="42"/>
      <c r="H129" s="42"/>
      <c r="J129" s="42"/>
      <c r="K129" s="42"/>
    </row>
    <row r="130" ht="15.75" customHeight="1">
      <c r="D130" s="42"/>
      <c r="F130" s="42"/>
      <c r="H130" s="42"/>
      <c r="J130" s="42"/>
      <c r="K130" s="42"/>
    </row>
    <row r="131" ht="15.75" customHeight="1">
      <c r="D131" s="42"/>
      <c r="F131" s="42"/>
      <c r="H131" s="42"/>
      <c r="J131" s="42"/>
      <c r="K131" s="42"/>
    </row>
    <row r="132" ht="15.75" customHeight="1">
      <c r="D132" s="42"/>
      <c r="F132" s="42"/>
      <c r="H132" s="42"/>
      <c r="J132" s="42"/>
      <c r="K132" s="42"/>
    </row>
    <row r="133" ht="15.75" customHeight="1">
      <c r="D133" s="42"/>
      <c r="F133" s="42"/>
      <c r="H133" s="42"/>
      <c r="J133" s="42"/>
      <c r="K133" s="42"/>
    </row>
    <row r="134" ht="15.75" customHeight="1">
      <c r="D134" s="42"/>
      <c r="F134" s="42"/>
      <c r="H134" s="42"/>
      <c r="J134" s="42"/>
      <c r="K134" s="42"/>
    </row>
    <row r="135" ht="15.75" customHeight="1">
      <c r="D135" s="42"/>
      <c r="F135" s="42"/>
      <c r="H135" s="42"/>
      <c r="J135" s="42"/>
      <c r="K135" s="42"/>
    </row>
    <row r="136" ht="15.75" customHeight="1">
      <c r="D136" s="42"/>
      <c r="F136" s="42"/>
      <c r="H136" s="42"/>
      <c r="J136" s="42"/>
      <c r="K136" s="42"/>
    </row>
    <row r="137" ht="15.75" customHeight="1">
      <c r="D137" s="42"/>
      <c r="F137" s="42"/>
      <c r="H137" s="42"/>
      <c r="J137" s="42"/>
      <c r="K137" s="42"/>
    </row>
    <row r="138" ht="15.75" customHeight="1">
      <c r="D138" s="42"/>
      <c r="F138" s="42"/>
      <c r="H138" s="42"/>
      <c r="J138" s="42"/>
      <c r="K138" s="42"/>
    </row>
    <row r="139" ht="15.75" customHeight="1">
      <c r="D139" s="42"/>
      <c r="F139" s="42"/>
      <c r="H139" s="42"/>
      <c r="J139" s="42"/>
      <c r="K139" s="42"/>
    </row>
    <row r="140" ht="15.75" customHeight="1">
      <c r="D140" s="42"/>
      <c r="F140" s="42"/>
      <c r="H140" s="42"/>
      <c r="J140" s="42"/>
      <c r="K140" s="42"/>
    </row>
    <row r="141" ht="15.75" customHeight="1">
      <c r="D141" s="42"/>
      <c r="F141" s="42"/>
      <c r="H141" s="42"/>
      <c r="J141" s="42"/>
      <c r="K141" s="42"/>
    </row>
    <row r="142" ht="15.75" customHeight="1">
      <c r="D142" s="42"/>
      <c r="F142" s="42"/>
      <c r="H142" s="42"/>
      <c r="J142" s="42"/>
      <c r="K142" s="42"/>
    </row>
    <row r="143" ht="15.75" customHeight="1">
      <c r="D143" s="42"/>
      <c r="F143" s="42"/>
      <c r="H143" s="42"/>
      <c r="J143" s="42"/>
      <c r="K143" s="42"/>
    </row>
    <row r="144" ht="15.75" customHeight="1">
      <c r="D144" s="42"/>
      <c r="F144" s="42"/>
      <c r="H144" s="42"/>
      <c r="J144" s="42"/>
      <c r="K144" s="42"/>
    </row>
    <row r="145" ht="15.75" customHeight="1">
      <c r="D145" s="42"/>
      <c r="F145" s="42"/>
      <c r="H145" s="42"/>
      <c r="J145" s="42"/>
      <c r="K145" s="42"/>
    </row>
    <row r="146" ht="15.75" customHeight="1">
      <c r="D146" s="42"/>
      <c r="F146" s="42"/>
      <c r="H146" s="42"/>
      <c r="J146" s="42"/>
      <c r="K146" s="42"/>
    </row>
    <row r="147" ht="15.75" customHeight="1">
      <c r="D147" s="42"/>
      <c r="F147" s="42"/>
      <c r="H147" s="42"/>
      <c r="J147" s="42"/>
      <c r="K147" s="42"/>
    </row>
    <row r="148" ht="15.75" customHeight="1">
      <c r="D148" s="42"/>
      <c r="F148" s="42"/>
      <c r="H148" s="42"/>
      <c r="J148" s="42"/>
      <c r="K148" s="42"/>
    </row>
    <row r="149" ht="15.75" customHeight="1">
      <c r="D149" s="42"/>
      <c r="F149" s="42"/>
      <c r="H149" s="42"/>
      <c r="J149" s="42"/>
      <c r="K149" s="42"/>
    </row>
    <row r="150" ht="15.75" customHeight="1">
      <c r="D150" s="42"/>
      <c r="F150" s="42"/>
      <c r="H150" s="42"/>
      <c r="J150" s="42"/>
      <c r="K150" s="42"/>
    </row>
    <row r="151" ht="15.75" customHeight="1">
      <c r="D151" s="42"/>
      <c r="F151" s="42"/>
      <c r="H151" s="42"/>
      <c r="J151" s="42"/>
      <c r="K151" s="42"/>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51"/>
  <dataValidations>
    <dataValidation type="list" allowBlank="1" showInputMessage="1" showErrorMessage="1" prompt="Pick a value from the list" sqref="D2:D151">
      <formula1>"AWS,Azure,GCP,OCI"</formula1>
    </dataValidation>
    <dataValidation type="list" allowBlank="1" showInputMessage="1" showErrorMessage="1" prompt="Pick a value from the list" sqref="H2:H151">
      <formula1>"Y,N"</formula1>
    </dataValidation>
    <dataValidation type="list" allowBlank="1" showInputMessage="1" showErrorMessage="1" prompt="Pick a value from the list" sqref="K2:K151">
      <formula1>"Runbook,Docs feedback log,Pre-flight script,Engineering ask"</formula1>
    </dataValidation>
    <dataValidation type="list" allowBlank="1" showInputMessage="1" showErrorMessage="1" prompt="Pick a value from the list" sqref="F2:F151">
      <formula1>"a) Missing capability,b) Broken behavior,c) Parity gap vs Prisma Cloud,d) Design tradeoff"</formula1>
    </dataValidation>
    <dataValidation type="list" allowBlank="1" showInputMessage="1" showErrorMessage="1" prompt="Pick a value from the list" sqref="J2:J151">
      <formula1>"Open,Resolved"</formula1>
    </dataValidation>
  </dataValidations>
  <printOptions/>
  <pageMargins bottom="1.0" footer="0.0" header="0.0" left="0.75" right="0.75" top="1.0"/>
  <pageSetup orientation="landscape"/>
  <drawing r:id="rId1"/>
</worksheet>
</file>